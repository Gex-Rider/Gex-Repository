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0" windowWidth="5175" windowHeight="190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A45" i="1" l="1"/>
  <c r="A4" i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l="1"/>
  <c r="C135" i="1" s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46" i="2"/>
  <c r="B86" i="2"/>
  <c r="B48" i="2"/>
  <c r="B139" i="2"/>
  <c r="B140" i="2"/>
  <c r="B138" i="2"/>
  <c r="B49" i="2"/>
  <c r="B5" i="2"/>
  <c r="B47" i="2"/>
  <c r="B141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138" i="2"/>
  <c r="B50" i="2"/>
  <c r="C49" i="2"/>
  <c r="C141" i="2"/>
  <c r="C140" i="2"/>
  <c r="C86" i="2"/>
  <c r="C142" i="2"/>
  <c r="C5" i="2"/>
  <c r="C46" i="2"/>
  <c r="C48" i="2"/>
  <c r="C50" i="2"/>
  <c r="C139" i="2"/>
  <c r="B142" i="2"/>
  <c r="C47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86" i="2"/>
  <c r="D51" i="2"/>
  <c r="B143" i="2"/>
  <c r="B51" i="2"/>
  <c r="D47" i="2"/>
  <c r="D138" i="2"/>
  <c r="D49" i="2"/>
  <c r="D139" i="2"/>
  <c r="C51" i="2"/>
  <c r="D141" i="2"/>
  <c r="D142" i="2"/>
  <c r="D5" i="2"/>
  <c r="D143" i="2"/>
  <c r="D50" i="2"/>
  <c r="D46" i="2"/>
  <c r="D140" i="2"/>
  <c r="D48" i="2"/>
  <c r="C143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51" i="2"/>
  <c r="E138" i="2"/>
  <c r="E49" i="2"/>
  <c r="E141" i="2"/>
  <c r="E139" i="2"/>
  <c r="E46" i="2"/>
  <c r="D52" i="2"/>
  <c r="C144" i="2"/>
  <c r="E144" i="2"/>
  <c r="B52" i="2"/>
  <c r="D144" i="2"/>
  <c r="E143" i="2"/>
  <c r="E86" i="2"/>
  <c r="E140" i="2"/>
  <c r="E142" i="2"/>
  <c r="E47" i="2"/>
  <c r="E5" i="2"/>
  <c r="B144" i="2"/>
  <c r="C52" i="2"/>
  <c r="E50" i="2"/>
  <c r="E52" i="2"/>
  <c r="E48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46" i="2"/>
  <c r="E53" i="2"/>
  <c r="F5" i="2"/>
  <c r="F138" i="2"/>
  <c r="F49" i="2"/>
  <c r="F48" i="2"/>
  <c r="F86" i="2"/>
  <c r="F144" i="2"/>
  <c r="F145" i="2"/>
  <c r="D145" i="2"/>
  <c r="F50" i="2"/>
  <c r="F143" i="2"/>
  <c r="E145" i="2"/>
  <c r="F52" i="2"/>
  <c r="C53" i="2"/>
  <c r="B145" i="2"/>
  <c r="C145" i="2"/>
  <c r="F141" i="2"/>
  <c r="D53" i="2"/>
  <c r="F51" i="2"/>
  <c r="F47" i="2"/>
  <c r="F140" i="2"/>
  <c r="F139" i="2"/>
  <c r="B53" i="2"/>
  <c r="F53" i="2"/>
  <c r="F142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E134" i="1"/>
  <c r="D146" i="2"/>
  <c r="G140" i="2"/>
  <c r="G51" i="2"/>
  <c r="F146" i="2"/>
  <c r="G145" i="2"/>
  <c r="E146" i="2"/>
  <c r="C54" i="2"/>
  <c r="G86" i="2"/>
  <c r="G53" i="2"/>
  <c r="G49" i="2"/>
  <c r="G48" i="2"/>
  <c r="G142" i="2"/>
  <c r="B54" i="2"/>
  <c r="E54" i="2"/>
  <c r="F54" i="2"/>
  <c r="G46" i="2"/>
  <c r="G146" i="2"/>
  <c r="G52" i="2"/>
  <c r="G144" i="2"/>
  <c r="G47" i="2"/>
  <c r="C146" i="2"/>
  <c r="G50" i="2"/>
  <c r="G138" i="2"/>
  <c r="D54" i="2"/>
  <c r="G143" i="2"/>
  <c r="G139" i="2"/>
  <c r="G5" i="2"/>
  <c r="G141" i="2"/>
  <c r="B146" i="2"/>
  <c r="G54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F55" i="2"/>
  <c r="B55" i="2"/>
  <c r="C147" i="2"/>
  <c r="H139" i="2"/>
  <c r="H50" i="2"/>
  <c r="H48" i="2"/>
  <c r="H144" i="2"/>
  <c r="B147" i="2"/>
  <c r="H147" i="2"/>
  <c r="H86" i="2"/>
  <c r="H5" i="2"/>
  <c r="H51" i="2"/>
  <c r="F147" i="2"/>
  <c r="H54" i="2"/>
  <c r="H52" i="2"/>
  <c r="H140" i="2"/>
  <c r="D147" i="2"/>
  <c r="H47" i="2"/>
  <c r="H53" i="2"/>
  <c r="H46" i="2"/>
  <c r="H141" i="2"/>
  <c r="H146" i="2"/>
  <c r="C55" i="2"/>
  <c r="E55" i="2"/>
  <c r="E147" i="2"/>
  <c r="H138" i="2"/>
  <c r="G55" i="2"/>
  <c r="H49" i="2"/>
  <c r="H55" i="2"/>
  <c r="G147" i="2"/>
  <c r="H142" i="2"/>
  <c r="H143" i="2"/>
  <c r="D55" i="2"/>
  <c r="H145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55" i="2"/>
  <c r="I141" i="2"/>
  <c r="I142" i="2"/>
  <c r="I144" i="2"/>
  <c r="C56" i="2"/>
  <c r="I48" i="2"/>
  <c r="I47" i="2"/>
  <c r="E56" i="2"/>
  <c r="I51" i="2"/>
  <c r="I54" i="2"/>
  <c r="H56" i="2"/>
  <c r="I145" i="2"/>
  <c r="I138" i="2"/>
  <c r="D56" i="2"/>
  <c r="B56" i="2"/>
  <c r="H148" i="2"/>
  <c r="I139" i="2"/>
  <c r="I140" i="2"/>
  <c r="I49" i="2"/>
  <c r="E148" i="2"/>
  <c r="F56" i="2"/>
  <c r="C148" i="2"/>
  <c r="I46" i="2"/>
  <c r="G56" i="2"/>
  <c r="I53" i="2"/>
  <c r="I148" i="2"/>
  <c r="I147" i="2"/>
  <c r="I86" i="2"/>
  <c r="B148" i="2"/>
  <c r="G148" i="2"/>
  <c r="D148" i="2"/>
  <c r="F148" i="2"/>
  <c r="I5" i="2"/>
  <c r="I56" i="2"/>
  <c r="I146" i="2"/>
  <c r="I50" i="2"/>
  <c r="I143" i="2"/>
  <c r="I52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147" i="2"/>
  <c r="J55" i="2"/>
  <c r="J144" i="2"/>
  <c r="J56" i="2"/>
  <c r="E149" i="2"/>
  <c r="J146" i="2"/>
  <c r="J50" i="2"/>
  <c r="J145" i="2"/>
  <c r="C57" i="2"/>
  <c r="D57" i="2"/>
  <c r="C149" i="2"/>
  <c r="J54" i="2"/>
  <c r="F149" i="2"/>
  <c r="J47" i="2"/>
  <c r="J142" i="2"/>
  <c r="J148" i="2"/>
  <c r="J143" i="2"/>
  <c r="J53" i="2"/>
  <c r="J138" i="2"/>
  <c r="J139" i="2"/>
  <c r="J48" i="2"/>
  <c r="J86" i="2"/>
  <c r="J149" i="2"/>
  <c r="J5" i="2"/>
  <c r="G149" i="2"/>
  <c r="J49" i="2"/>
  <c r="J57" i="2"/>
  <c r="H57" i="2"/>
  <c r="G57" i="2"/>
  <c r="I57" i="2"/>
  <c r="J52" i="2"/>
  <c r="I149" i="2"/>
  <c r="H149" i="2"/>
  <c r="D149" i="2"/>
  <c r="B149" i="2"/>
  <c r="J140" i="2"/>
  <c r="B57" i="2"/>
  <c r="J46" i="2"/>
  <c r="F57" i="2"/>
  <c r="J51" i="2"/>
  <c r="E57" i="2"/>
  <c r="J141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38" i="2"/>
  <c r="K147" i="2"/>
  <c r="K48" i="2"/>
  <c r="B150" i="2"/>
  <c r="B58" i="2"/>
  <c r="K144" i="2"/>
  <c r="E150" i="2"/>
  <c r="C150" i="2"/>
  <c r="K86" i="2"/>
  <c r="I58" i="2"/>
  <c r="K148" i="2"/>
  <c r="K50" i="2"/>
  <c r="K47" i="2"/>
  <c r="K149" i="2"/>
  <c r="K146" i="2"/>
  <c r="K143" i="2"/>
  <c r="K5" i="2"/>
  <c r="K51" i="2"/>
  <c r="I150" i="2"/>
  <c r="K53" i="2"/>
  <c r="J150" i="2"/>
  <c r="K139" i="2"/>
  <c r="H58" i="2"/>
  <c r="K142" i="2"/>
  <c r="K145" i="2"/>
  <c r="D150" i="2"/>
  <c r="K56" i="2"/>
  <c r="K52" i="2"/>
  <c r="G58" i="2"/>
  <c r="G150" i="2"/>
  <c r="E58" i="2"/>
  <c r="K55" i="2"/>
  <c r="F150" i="2"/>
  <c r="K150" i="2"/>
  <c r="K46" i="2"/>
  <c r="J58" i="2"/>
  <c r="K141" i="2"/>
  <c r="K54" i="2"/>
  <c r="D58" i="2"/>
  <c r="C58" i="2"/>
  <c r="K57" i="2"/>
  <c r="K49" i="2"/>
  <c r="H150" i="2"/>
  <c r="F58" i="2"/>
  <c r="K140" i="2"/>
  <c r="K58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L149" i="2"/>
  <c r="J59" i="2"/>
  <c r="L50" i="2"/>
  <c r="G151" i="2"/>
  <c r="L59" i="2"/>
  <c r="L55" i="2"/>
  <c r="L51" i="2"/>
  <c r="L52" i="2"/>
  <c r="H151" i="2"/>
  <c r="L148" i="2"/>
  <c r="K59" i="2"/>
  <c r="C151" i="2"/>
  <c r="L140" i="2"/>
  <c r="I151" i="2"/>
  <c r="L151" i="2"/>
  <c r="B151" i="2"/>
  <c r="L150" i="2"/>
  <c r="L46" i="2"/>
  <c r="E59" i="2"/>
  <c r="L145" i="2"/>
  <c r="L5" i="2"/>
  <c r="L141" i="2"/>
  <c r="I59" i="2"/>
  <c r="F151" i="2"/>
  <c r="L56" i="2"/>
  <c r="L143" i="2"/>
  <c r="L138" i="2"/>
  <c r="H59" i="2"/>
  <c r="L86" i="2"/>
  <c r="L57" i="2"/>
  <c r="L142" i="2"/>
  <c r="L147" i="2"/>
  <c r="L53" i="2"/>
  <c r="D151" i="2"/>
  <c r="K151" i="2"/>
  <c r="L146" i="2"/>
  <c r="L58" i="2"/>
  <c r="L54" i="2"/>
  <c r="B59" i="2"/>
  <c r="L49" i="2"/>
  <c r="L139" i="2"/>
  <c r="G59" i="2"/>
  <c r="D59" i="2"/>
  <c r="L47" i="2"/>
  <c r="F59" i="2"/>
  <c r="C59" i="2"/>
  <c r="E151" i="2"/>
  <c r="J151" i="2"/>
  <c r="L144" i="2"/>
  <c r="L48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52" i="2"/>
  <c r="K152" i="2"/>
  <c r="M139" i="2"/>
  <c r="M51" i="2"/>
  <c r="M149" i="2"/>
  <c r="I152" i="2"/>
  <c r="B152" i="2"/>
  <c r="M58" i="2"/>
  <c r="M148" i="2"/>
  <c r="J152" i="2"/>
  <c r="H152" i="2"/>
  <c r="M138" i="2"/>
  <c r="C152" i="2"/>
  <c r="M143" i="2"/>
  <c r="H60" i="2"/>
  <c r="M86" i="2"/>
  <c r="M59" i="2"/>
  <c r="G60" i="2"/>
  <c r="M46" i="2"/>
  <c r="F152" i="2"/>
  <c r="M5" i="2"/>
  <c r="M145" i="2"/>
  <c r="D152" i="2"/>
  <c r="M55" i="2"/>
  <c r="M142" i="2"/>
  <c r="K60" i="2"/>
  <c r="M150" i="2"/>
  <c r="B60" i="2"/>
  <c r="M144" i="2"/>
  <c r="M152" i="2"/>
  <c r="M50" i="2"/>
  <c r="L60" i="2"/>
  <c r="F60" i="2"/>
  <c r="M47" i="2"/>
  <c r="M57" i="2"/>
  <c r="M53" i="2"/>
  <c r="E152" i="2"/>
  <c r="M140" i="2"/>
  <c r="C60" i="2"/>
  <c r="M146" i="2"/>
  <c r="M54" i="2"/>
  <c r="M151" i="2"/>
  <c r="D60" i="2"/>
  <c r="L152" i="2"/>
  <c r="M141" i="2"/>
  <c r="I60" i="2"/>
  <c r="M49" i="2"/>
  <c r="J60" i="2"/>
  <c r="G152" i="2"/>
  <c r="M48" i="2"/>
  <c r="M56" i="2"/>
  <c r="M60" i="2"/>
  <c r="E60" i="2"/>
  <c r="M147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G153" i="2"/>
  <c r="D61" i="2"/>
  <c r="N60" i="2"/>
  <c r="N50" i="2"/>
  <c r="N147" i="2"/>
  <c r="I153" i="2"/>
  <c r="N86" i="2"/>
  <c r="N153" i="2"/>
  <c r="N142" i="2"/>
  <c r="H61" i="2"/>
  <c r="N138" i="2"/>
  <c r="L153" i="2"/>
  <c r="N54" i="2"/>
  <c r="N149" i="2"/>
  <c r="N148" i="2"/>
  <c r="N151" i="2"/>
  <c r="N59" i="2"/>
  <c r="D153" i="2"/>
  <c r="K153" i="2"/>
  <c r="N152" i="2"/>
  <c r="N52" i="2"/>
  <c r="F153" i="2"/>
  <c r="G61" i="2"/>
  <c r="N51" i="2"/>
  <c r="N58" i="2"/>
  <c r="N5" i="2"/>
  <c r="E61" i="2"/>
  <c r="N46" i="2"/>
  <c r="N150" i="2"/>
  <c r="N48" i="2"/>
  <c r="N55" i="2"/>
  <c r="N144" i="2"/>
  <c r="H153" i="2"/>
  <c r="N61" i="2"/>
  <c r="N141" i="2"/>
  <c r="N47" i="2"/>
  <c r="L61" i="2"/>
  <c r="M153" i="2"/>
  <c r="B153" i="2"/>
  <c r="M61" i="2"/>
  <c r="J153" i="2"/>
  <c r="N143" i="2"/>
  <c r="N53" i="2"/>
  <c r="N49" i="2"/>
  <c r="N57" i="2"/>
  <c r="E153" i="2"/>
  <c r="F61" i="2"/>
  <c r="I61" i="2"/>
  <c r="C153" i="2"/>
  <c r="N56" i="2"/>
  <c r="N146" i="2"/>
  <c r="B61" i="2"/>
  <c r="C61" i="2"/>
  <c r="N139" i="2"/>
  <c r="N140" i="2"/>
  <c r="K61" i="2"/>
  <c r="J61" i="2"/>
  <c r="N145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D60" i="1"/>
  <c r="DD61" i="1"/>
  <c r="DF48" i="1"/>
  <c r="DF52" i="1"/>
  <c r="DD50" i="1"/>
  <c r="DD55" i="1"/>
  <c r="DF54" i="1"/>
  <c r="DD46" i="1"/>
  <c r="DD58" i="1"/>
  <c r="DD54" i="1"/>
  <c r="DF49" i="1"/>
  <c r="DD47" i="1"/>
  <c r="DD53" i="1"/>
  <c r="DF50" i="1"/>
  <c r="DD45" i="1"/>
  <c r="DF61" i="1"/>
  <c r="DD56" i="1"/>
  <c r="DF55" i="1"/>
  <c r="DF58" i="1"/>
  <c r="DD49" i="1"/>
  <c r="DF59" i="1"/>
  <c r="DF60" i="1"/>
  <c r="DF53" i="1"/>
  <c r="DF57" i="1"/>
  <c r="DF46" i="1"/>
  <c r="DD52" i="1"/>
  <c r="DF56" i="1"/>
  <c r="DF47" i="1"/>
  <c r="DD51" i="1"/>
  <c r="DF51" i="1"/>
  <c r="DD48" i="1"/>
  <c r="DF45" i="1"/>
  <c r="DD59" i="1"/>
  <c r="DD57" i="1"/>
  <c r="DB54" i="1"/>
  <c r="DB53" i="1"/>
  <c r="DB49" i="1"/>
  <c r="DB58" i="1"/>
  <c r="DB50" i="1"/>
  <c r="DB52" i="1"/>
  <c r="DB47" i="1"/>
  <c r="DB57" i="1"/>
  <c r="DB59" i="1"/>
  <c r="DB55" i="1"/>
  <c r="DB56" i="1"/>
  <c r="DB48" i="1"/>
  <c r="DB60" i="1"/>
  <c r="DB4" i="1"/>
  <c r="DB51" i="1"/>
  <c r="DB46" i="1"/>
  <c r="DB61" i="1"/>
  <c r="DB45" i="1"/>
  <c r="O150" i="2"/>
  <c r="O154" i="2"/>
  <c r="O145" i="2"/>
  <c r="K62" i="2"/>
  <c r="H62" i="2"/>
  <c r="O144" i="2"/>
  <c r="O62" i="2"/>
  <c r="O86" i="2"/>
  <c r="O60" i="2"/>
  <c r="J154" i="2"/>
  <c r="F62" i="2"/>
  <c r="O5" i="2"/>
  <c r="O141" i="2"/>
  <c r="B62" i="2"/>
  <c r="E62" i="2"/>
  <c r="O153" i="2"/>
  <c r="O49" i="2"/>
  <c r="O146" i="2"/>
  <c r="F154" i="2"/>
  <c r="O50" i="2"/>
  <c r="L154" i="2"/>
  <c r="O147" i="2"/>
  <c r="O58" i="2"/>
  <c r="I154" i="2"/>
  <c r="C62" i="2"/>
  <c r="O139" i="2"/>
  <c r="H154" i="2"/>
  <c r="N62" i="2"/>
  <c r="O53" i="2"/>
  <c r="O143" i="2"/>
  <c r="B154" i="2"/>
  <c r="O138" i="2"/>
  <c r="O48" i="2"/>
  <c r="O148" i="2"/>
  <c r="O142" i="2"/>
  <c r="M62" i="2"/>
  <c r="O57" i="2"/>
  <c r="O151" i="2"/>
  <c r="O152" i="2"/>
  <c r="D62" i="2"/>
  <c r="D154" i="2"/>
  <c r="M154" i="2"/>
  <c r="C154" i="2"/>
  <c r="O140" i="2"/>
  <c r="K154" i="2"/>
  <c r="G62" i="2"/>
  <c r="O149" i="2"/>
  <c r="O61" i="2"/>
  <c r="O59" i="2"/>
  <c r="L62" i="2"/>
  <c r="O55" i="2"/>
  <c r="O56" i="2"/>
  <c r="O52" i="2"/>
  <c r="G154" i="2"/>
  <c r="N154" i="2"/>
  <c r="O46" i="2"/>
  <c r="J62" i="2"/>
  <c r="O54" i="2"/>
  <c r="I62" i="2"/>
  <c r="O51" i="2"/>
  <c r="E154" i="2"/>
  <c r="O47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D4" i="1"/>
  <c r="DF4" i="1"/>
  <c r="DF62" i="1"/>
  <c r="DD62" i="1"/>
  <c r="DB62" i="1"/>
  <c r="P47" i="2"/>
  <c r="P140" i="2"/>
  <c r="N63" i="2"/>
  <c r="C155" i="2"/>
  <c r="P146" i="2"/>
  <c r="P50" i="2"/>
  <c r="P150" i="2"/>
  <c r="P143" i="2"/>
  <c r="P153" i="2"/>
  <c r="F63" i="2"/>
  <c r="P138" i="2"/>
  <c r="H63" i="2"/>
  <c r="P58" i="2"/>
  <c r="P63" i="2"/>
  <c r="P86" i="2"/>
  <c r="P148" i="2"/>
  <c r="G63" i="2"/>
  <c r="P53" i="2"/>
  <c r="B155" i="2"/>
  <c r="P51" i="2"/>
  <c r="J155" i="2"/>
  <c r="E155" i="2"/>
  <c r="H155" i="2"/>
  <c r="P48" i="2"/>
  <c r="P60" i="2"/>
  <c r="P147" i="2"/>
  <c r="I63" i="2"/>
  <c r="K155" i="2"/>
  <c r="P142" i="2"/>
  <c r="P57" i="2"/>
  <c r="B63" i="2"/>
  <c r="P52" i="2"/>
  <c r="P61" i="2"/>
  <c r="L63" i="2"/>
  <c r="P149" i="2"/>
  <c r="D155" i="2"/>
  <c r="P55" i="2"/>
  <c r="P152" i="2"/>
  <c r="I155" i="2"/>
  <c r="N155" i="2"/>
  <c r="P139" i="2"/>
  <c r="J63" i="2"/>
  <c r="P151" i="2"/>
  <c r="P62" i="2"/>
  <c r="C63" i="2"/>
  <c r="O155" i="2"/>
  <c r="E63" i="2"/>
  <c r="P155" i="2"/>
  <c r="P154" i="2"/>
  <c r="P49" i="2"/>
  <c r="P144" i="2"/>
  <c r="P59" i="2"/>
  <c r="P145" i="2"/>
  <c r="O63" i="2"/>
  <c r="G155" i="2"/>
  <c r="D63" i="2"/>
  <c r="M63" i="2"/>
  <c r="P54" i="2"/>
  <c r="P5" i="2"/>
  <c r="P46" i="2"/>
  <c r="L155" i="2"/>
  <c r="F155" i="2"/>
  <c r="K63" i="2"/>
  <c r="P141" i="2"/>
  <c r="M155" i="2"/>
  <c r="P56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G44" i="1"/>
  <c r="F3" i="1"/>
  <c r="F44" i="1"/>
  <c r="F136" i="1"/>
  <c r="DD63" i="1"/>
  <c r="F84" i="1"/>
  <c r="DF63" i="1"/>
  <c r="DB63" i="1"/>
  <c r="A3" i="1"/>
  <c r="G84" i="1"/>
  <c r="G136" i="1"/>
  <c r="A44" i="1"/>
  <c r="J156" i="2"/>
  <c r="Q61" i="2"/>
  <c r="Q5" i="2"/>
  <c r="Q144" i="2"/>
  <c r="Q49" i="2"/>
  <c r="Q148" i="2"/>
  <c r="Q48" i="2"/>
  <c r="Q145" i="2"/>
  <c r="P64" i="2"/>
  <c r="Q46" i="2"/>
  <c r="Q59" i="2"/>
  <c r="B156" i="2"/>
  <c r="M156" i="2"/>
  <c r="E156" i="2"/>
  <c r="Q64" i="2"/>
  <c r="G156" i="2"/>
  <c r="L64" i="2"/>
  <c r="Q58" i="2"/>
  <c r="Q54" i="2"/>
  <c r="O64" i="2"/>
  <c r="Q139" i="2"/>
  <c r="Q138" i="2"/>
  <c r="Q146" i="2"/>
  <c r="Q156" i="2"/>
  <c r="C64" i="2"/>
  <c r="Q62" i="2"/>
  <c r="Q154" i="2"/>
  <c r="Q53" i="2"/>
  <c r="I156" i="2"/>
  <c r="P156" i="2"/>
  <c r="H156" i="2"/>
  <c r="Q147" i="2"/>
  <c r="Q142" i="2"/>
  <c r="H64" i="2"/>
  <c r="F156" i="2"/>
  <c r="B64" i="2"/>
  <c r="Q150" i="2"/>
  <c r="Q155" i="2"/>
  <c r="G64" i="2"/>
  <c r="O156" i="2"/>
  <c r="Q55" i="2"/>
  <c r="Q60" i="2"/>
  <c r="Q152" i="2"/>
  <c r="K156" i="2"/>
  <c r="Q141" i="2"/>
  <c r="C156" i="2"/>
  <c r="K64" i="2"/>
  <c r="E64" i="2"/>
  <c r="Q57" i="2"/>
  <c r="Q140" i="2"/>
  <c r="Q153" i="2"/>
  <c r="Q50" i="2"/>
  <c r="Q56" i="2"/>
  <c r="N156" i="2"/>
  <c r="Q149" i="2"/>
  <c r="M64" i="2"/>
  <c r="Q151" i="2"/>
  <c r="Q86" i="2"/>
  <c r="L156" i="2"/>
  <c r="Q52" i="2"/>
  <c r="Q51" i="2"/>
  <c r="N64" i="2"/>
  <c r="Q47" i="2"/>
  <c r="I64" i="2"/>
  <c r="F64" i="2"/>
  <c r="J64" i="2"/>
  <c r="Q63" i="2"/>
  <c r="Q143" i="2"/>
  <c r="D156" i="2"/>
  <c r="D64" i="2"/>
  <c r="D81" i="1" l="1"/>
  <c r="A84" i="1" s="1"/>
  <c r="A85" i="2" s="1"/>
  <c r="Q42" i="2"/>
  <c r="Q82" i="2" s="1"/>
  <c r="Q134" i="2" s="1"/>
  <c r="A4" i="2"/>
  <c r="A45" i="2"/>
  <c r="D133" i="1"/>
  <c r="A136" i="1" s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EQ54" i="1"/>
  <c r="AW54" i="1"/>
  <c r="DF64" i="1"/>
  <c r="EP54" i="1"/>
  <c r="DE54" i="1"/>
  <c r="EN54" i="1"/>
  <c r="AX54" i="1"/>
  <c r="AV54" i="1"/>
  <c r="EO54" i="1"/>
  <c r="DC54" i="1"/>
  <c r="AT54" i="1"/>
  <c r="AU54" i="1"/>
  <c r="BE137" i="1"/>
  <c r="AS54" i="1"/>
  <c r="DD64" i="1"/>
  <c r="BF54" i="1"/>
  <c r="DA54" i="1"/>
  <c r="BE54" i="1"/>
  <c r="CF54" i="1"/>
  <c r="CH54" i="1"/>
  <c r="BC54" i="1"/>
  <c r="BD54" i="1"/>
  <c r="CI54" i="1"/>
  <c r="BB54" i="1"/>
  <c r="CE54" i="1"/>
  <c r="BA54" i="1"/>
  <c r="DB64" i="1"/>
  <c r="CD54" i="1"/>
  <c r="CG54" i="1"/>
  <c r="L65" i="2"/>
  <c r="E65" i="2"/>
  <c r="R86" i="2"/>
  <c r="E157" i="2"/>
  <c r="R141" i="2"/>
  <c r="R152" i="2"/>
  <c r="H157" i="2"/>
  <c r="H65" i="2"/>
  <c r="R58" i="2"/>
  <c r="R146" i="2"/>
  <c r="R64" i="2"/>
  <c r="N157" i="2"/>
  <c r="R55" i="2"/>
  <c r="R143" i="2"/>
  <c r="J157" i="2"/>
  <c r="D65" i="2"/>
  <c r="R139" i="2"/>
  <c r="R54" i="2"/>
  <c r="M157" i="2"/>
  <c r="I65" i="2"/>
  <c r="R145" i="2"/>
  <c r="Q65" i="2"/>
  <c r="O65" i="2"/>
  <c r="J65" i="2"/>
  <c r="R56" i="2"/>
  <c r="R60" i="2"/>
  <c r="R150" i="2"/>
  <c r="R49" i="2"/>
  <c r="R46" i="2"/>
  <c r="R48" i="2"/>
  <c r="G157" i="2"/>
  <c r="B65" i="2"/>
  <c r="R5" i="2"/>
  <c r="R148" i="2"/>
  <c r="R156" i="2"/>
  <c r="P157" i="2"/>
  <c r="F157" i="2"/>
  <c r="B157" i="2"/>
  <c r="M65" i="2"/>
  <c r="R52" i="2"/>
  <c r="C157" i="2"/>
  <c r="R53" i="2"/>
  <c r="K157" i="2"/>
  <c r="Q157" i="2"/>
  <c r="R57" i="2"/>
  <c r="C65" i="2"/>
  <c r="R154" i="2"/>
  <c r="K65" i="2"/>
  <c r="R61" i="2"/>
  <c r="R51" i="2"/>
  <c r="R147" i="2"/>
  <c r="R138" i="2"/>
  <c r="P65" i="2"/>
  <c r="L157" i="2"/>
  <c r="I157" i="2"/>
  <c r="R50" i="2"/>
  <c r="R47" i="2"/>
  <c r="D157" i="2"/>
  <c r="F65" i="2"/>
  <c r="R140" i="2"/>
  <c r="R151" i="2"/>
  <c r="R157" i="2"/>
  <c r="R142" i="2"/>
  <c r="G65" i="2"/>
  <c r="R144" i="2"/>
  <c r="O157" i="2"/>
  <c r="N65" i="2"/>
  <c r="R155" i="2"/>
  <c r="R59" i="2"/>
  <c r="R153" i="2"/>
  <c r="R149" i="2"/>
  <c r="R62" i="2"/>
  <c r="R65" i="2"/>
  <c r="R63" i="2"/>
  <c r="DG64" i="1" l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DC65" i="1"/>
  <c r="AV55" i="1"/>
  <c r="AW137" i="1"/>
  <c r="EP65" i="1"/>
  <c r="AU55" i="1"/>
  <c r="EQ65" i="1"/>
  <c r="EO65" i="1"/>
  <c r="EN55" i="1"/>
  <c r="EN65" i="1"/>
  <c r="DD65" i="1"/>
  <c r="EP55" i="1"/>
  <c r="DE55" i="1"/>
  <c r="EQ55" i="1"/>
  <c r="DE65" i="1"/>
  <c r="AU65" i="1"/>
  <c r="AT65" i="1"/>
  <c r="EO55" i="1"/>
  <c r="DC55" i="1"/>
  <c r="AT55" i="1"/>
  <c r="AX65" i="1"/>
  <c r="AW55" i="1"/>
  <c r="AW65" i="1"/>
  <c r="DF65" i="1"/>
  <c r="AX55" i="1"/>
  <c r="AX137" i="1"/>
  <c r="AS65" i="1"/>
  <c r="AV65" i="1"/>
  <c r="AS55" i="1"/>
  <c r="CE55" i="1"/>
  <c r="CF65" i="1"/>
  <c r="BC65" i="1"/>
  <c r="BA65" i="1"/>
  <c r="BB55" i="1"/>
  <c r="CH55" i="1"/>
  <c r="DA65" i="1"/>
  <c r="DB65" i="1"/>
  <c r="BA55" i="1"/>
  <c r="CF55" i="1"/>
  <c r="DA55" i="1"/>
  <c r="BD55" i="1"/>
  <c r="CI55" i="1"/>
  <c r="BF65" i="1"/>
  <c r="CG65" i="1"/>
  <c r="CD55" i="1"/>
  <c r="BB65" i="1"/>
  <c r="CH65" i="1"/>
  <c r="BF55" i="1"/>
  <c r="CE65" i="1"/>
  <c r="CI65" i="1"/>
  <c r="BC55" i="1"/>
  <c r="BE65" i="1"/>
  <c r="BD65" i="1"/>
  <c r="BE55" i="1"/>
  <c r="CD65" i="1"/>
  <c r="CG55" i="1"/>
  <c r="E87" i="2"/>
  <c r="N87" i="2"/>
  <c r="S60" i="2"/>
  <c r="J158" i="2"/>
  <c r="Q158" i="2"/>
  <c r="S62" i="2"/>
  <c r="C158" i="2"/>
  <c r="S139" i="2"/>
  <c r="S145" i="2"/>
  <c r="S152" i="2"/>
  <c r="G87" i="2"/>
  <c r="I158" i="2"/>
  <c r="N158" i="2"/>
  <c r="S141" i="2"/>
  <c r="E158" i="2"/>
  <c r="S49" i="2"/>
  <c r="S151" i="2"/>
  <c r="S47" i="2"/>
  <c r="Q87" i="2"/>
  <c r="S65" i="2"/>
  <c r="S48" i="2"/>
  <c r="S56" i="2"/>
  <c r="S53" i="2"/>
  <c r="G158" i="2"/>
  <c r="R158" i="2"/>
  <c r="S140" i="2"/>
  <c r="K87" i="2"/>
  <c r="S157" i="2"/>
  <c r="O158" i="2"/>
  <c r="R87" i="2"/>
  <c r="P158" i="2"/>
  <c r="S64" i="2"/>
  <c r="B158" i="2"/>
  <c r="M87" i="2"/>
  <c r="S147" i="2"/>
  <c r="F158" i="2"/>
  <c r="S150" i="2"/>
  <c r="S86" i="2"/>
  <c r="S58" i="2"/>
  <c r="S50" i="2"/>
  <c r="S153" i="2"/>
  <c r="B87" i="2"/>
  <c r="S63" i="2"/>
  <c r="C87" i="2"/>
  <c r="S138" i="2"/>
  <c r="S146" i="2"/>
  <c r="S154" i="2"/>
  <c r="J87" i="2"/>
  <c r="K158" i="2"/>
  <c r="S52" i="2"/>
  <c r="H87" i="2"/>
  <c r="S148" i="2"/>
  <c r="S149" i="2"/>
  <c r="S158" i="2"/>
  <c r="P87" i="2"/>
  <c r="S5" i="2"/>
  <c r="M158" i="2"/>
  <c r="S61" i="2"/>
  <c r="L158" i="2"/>
  <c r="S46" i="2"/>
  <c r="D158" i="2"/>
  <c r="S156" i="2"/>
  <c r="S143" i="2"/>
  <c r="S54" i="2"/>
  <c r="L87" i="2"/>
  <c r="S57" i="2"/>
  <c r="F87" i="2"/>
  <c r="S87" i="2"/>
  <c r="S144" i="2"/>
  <c r="O87" i="2"/>
  <c r="D87" i="2"/>
  <c r="S59" i="2"/>
  <c r="I87" i="2"/>
  <c r="S55" i="2"/>
  <c r="H158" i="2"/>
  <c r="S51" i="2"/>
  <c r="S142" i="2"/>
  <c r="S155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P66" i="2"/>
  <c r="B66" i="2"/>
  <c r="Q66" i="2"/>
  <c r="M66" i="2"/>
  <c r="K66" i="2"/>
  <c r="G66" i="2"/>
  <c r="I66" i="2"/>
  <c r="L66" i="2"/>
  <c r="R66" i="2"/>
  <c r="O66" i="2"/>
  <c r="D66" i="2"/>
  <c r="S66" i="2"/>
  <c r="H66" i="2"/>
  <c r="N66" i="2"/>
  <c r="J66" i="2"/>
  <c r="F66" i="2"/>
  <c r="C66" i="2"/>
  <c r="E66" i="2"/>
  <c r="ES54" i="1" l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DW65" i="1" s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S65" i="1" l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AS139" i="1"/>
  <c r="AT158" i="1"/>
  <c r="AS157" i="1"/>
  <c r="AT156" i="1"/>
  <c r="AS138" i="1"/>
  <c r="AT151" i="1"/>
  <c r="EQ66" i="1"/>
  <c r="AS142" i="1"/>
  <c r="AT146" i="1"/>
  <c r="DE67" i="1"/>
  <c r="AS147" i="1"/>
  <c r="AT141" i="1"/>
  <c r="AS144" i="1"/>
  <c r="AS151" i="1"/>
  <c r="AT155" i="1"/>
  <c r="AS159" i="1"/>
  <c r="BA85" i="1"/>
  <c r="AS137" i="1"/>
  <c r="AT160" i="1"/>
  <c r="AS146" i="1"/>
  <c r="AS153" i="1"/>
  <c r="DD66" i="1"/>
  <c r="AT144" i="1"/>
  <c r="DE68" i="1"/>
  <c r="AS149" i="1"/>
  <c r="AV68" i="1"/>
  <c r="DD67" i="1"/>
  <c r="AT145" i="1"/>
  <c r="AW66" i="1"/>
  <c r="EN68" i="1"/>
  <c r="AT142" i="1"/>
  <c r="AT157" i="1"/>
  <c r="AS158" i="1"/>
  <c r="AT137" i="1"/>
  <c r="AS160" i="1"/>
  <c r="AT154" i="1"/>
  <c r="AX66" i="1"/>
  <c r="AT150" i="1"/>
  <c r="AS143" i="1"/>
  <c r="EO67" i="1"/>
  <c r="AT153" i="1"/>
  <c r="AT68" i="1"/>
  <c r="EP66" i="1"/>
  <c r="DE66" i="1"/>
  <c r="AS67" i="1"/>
  <c r="DC67" i="1"/>
  <c r="AS145" i="1"/>
  <c r="AX68" i="1"/>
  <c r="EN66" i="1"/>
  <c r="AV67" i="1"/>
  <c r="AT67" i="1"/>
  <c r="AT66" i="1"/>
  <c r="DC68" i="1"/>
  <c r="AU67" i="1"/>
  <c r="AT152" i="1"/>
  <c r="AS155" i="1"/>
  <c r="EO68" i="1"/>
  <c r="DF67" i="1"/>
  <c r="AT148" i="1"/>
  <c r="DF66" i="1"/>
  <c r="AW67" i="1"/>
  <c r="BA137" i="1"/>
  <c r="AS156" i="1"/>
  <c r="AT139" i="1"/>
  <c r="AT159" i="1"/>
  <c r="AT138" i="1"/>
  <c r="AS150" i="1"/>
  <c r="EP68" i="1"/>
  <c r="AT147" i="1"/>
  <c r="AS148" i="1"/>
  <c r="EO66" i="1"/>
  <c r="DC66" i="1"/>
  <c r="EP67" i="1"/>
  <c r="AS152" i="1"/>
  <c r="AS140" i="1"/>
  <c r="AV66" i="1"/>
  <c r="AT140" i="1"/>
  <c r="EQ67" i="1"/>
  <c r="AU66" i="1"/>
  <c r="DF68" i="1"/>
  <c r="AT149" i="1"/>
  <c r="AS68" i="1"/>
  <c r="AX67" i="1"/>
  <c r="EQ68" i="1"/>
  <c r="AU68" i="1"/>
  <c r="EN67" i="1"/>
  <c r="AT143" i="1"/>
  <c r="AS154" i="1"/>
  <c r="DD68" i="1"/>
  <c r="AS141" i="1"/>
  <c r="AS66" i="1"/>
  <c r="AW68" i="1"/>
  <c r="CI67" i="1"/>
  <c r="BE68" i="1"/>
  <c r="CG68" i="1"/>
  <c r="CI68" i="1"/>
  <c r="BC68" i="1"/>
  <c r="BD68" i="1"/>
  <c r="BC66" i="1"/>
  <c r="BB67" i="1"/>
  <c r="CD66" i="1"/>
  <c r="BD66" i="1"/>
  <c r="DA66" i="1"/>
  <c r="BB68" i="1"/>
  <c r="CD67" i="1"/>
  <c r="DA67" i="1"/>
  <c r="BF66" i="1"/>
  <c r="CH66" i="1"/>
  <c r="BE67" i="1"/>
  <c r="CI66" i="1"/>
  <c r="CF68" i="1"/>
  <c r="CD68" i="1"/>
  <c r="BB66" i="1"/>
  <c r="CH68" i="1"/>
  <c r="BF67" i="1"/>
  <c r="BF68" i="1"/>
  <c r="CG67" i="1"/>
  <c r="BA68" i="1"/>
  <c r="CH67" i="1"/>
  <c r="CF66" i="1"/>
  <c r="BA67" i="1"/>
  <c r="DB66" i="1"/>
  <c r="DA68" i="1"/>
  <c r="DB68" i="1"/>
  <c r="BE66" i="1"/>
  <c r="CF67" i="1"/>
  <c r="CE67" i="1"/>
  <c r="CG66" i="1"/>
  <c r="CE66" i="1"/>
  <c r="BD67" i="1"/>
  <c r="CE68" i="1"/>
  <c r="DB67" i="1"/>
  <c r="BC67" i="1"/>
  <c r="BA66" i="1"/>
  <c r="T47" i="2"/>
  <c r="T65" i="2"/>
  <c r="M90" i="2"/>
  <c r="E90" i="2"/>
  <c r="E67" i="2"/>
  <c r="V153" i="2"/>
  <c r="U140" i="2"/>
  <c r="B67" i="2"/>
  <c r="I68" i="2"/>
  <c r="U51" i="2"/>
  <c r="V154" i="2"/>
  <c r="O67" i="2"/>
  <c r="R160" i="2"/>
  <c r="I159" i="2"/>
  <c r="R90" i="2"/>
  <c r="T54" i="2"/>
  <c r="E68" i="2"/>
  <c r="T64" i="2"/>
  <c r="T160" i="2"/>
  <c r="T5" i="2"/>
  <c r="V140" i="2"/>
  <c r="U142" i="2"/>
  <c r="H160" i="2"/>
  <c r="T67" i="2"/>
  <c r="T49" i="2"/>
  <c r="L90" i="2"/>
  <c r="T159" i="2"/>
  <c r="U153" i="2"/>
  <c r="V5" i="2"/>
  <c r="U49" i="2"/>
  <c r="V87" i="2"/>
  <c r="M88" i="2"/>
  <c r="V48" i="2"/>
  <c r="L88" i="2"/>
  <c r="S68" i="2"/>
  <c r="V88" i="2"/>
  <c r="D67" i="2"/>
  <c r="L89" i="2"/>
  <c r="T60" i="2"/>
  <c r="T53" i="2"/>
  <c r="N160" i="2"/>
  <c r="T144" i="2"/>
  <c r="H88" i="2"/>
  <c r="V144" i="2"/>
  <c r="D159" i="2"/>
  <c r="I88" i="2"/>
  <c r="U149" i="2"/>
  <c r="V160" i="2"/>
  <c r="V64" i="2"/>
  <c r="J68" i="2"/>
  <c r="U151" i="2"/>
  <c r="U67" i="2"/>
  <c r="F90" i="2"/>
  <c r="C67" i="2"/>
  <c r="N88" i="2"/>
  <c r="K88" i="2"/>
  <c r="L160" i="2"/>
  <c r="K90" i="2"/>
  <c r="U152" i="2"/>
  <c r="U68" i="2"/>
  <c r="V149" i="2"/>
  <c r="V65" i="2"/>
  <c r="T86" i="2"/>
  <c r="T57" i="2"/>
  <c r="T48" i="2"/>
  <c r="I67" i="2"/>
  <c r="U145" i="2"/>
  <c r="U154" i="2"/>
  <c r="F68" i="2"/>
  <c r="U143" i="2"/>
  <c r="V57" i="2"/>
  <c r="U138" i="2"/>
  <c r="V51" i="2"/>
  <c r="O88" i="2"/>
  <c r="U58" i="2"/>
  <c r="R89" i="2"/>
  <c r="N159" i="2"/>
  <c r="O90" i="2"/>
  <c r="V54" i="2"/>
  <c r="F89" i="2"/>
  <c r="K159" i="2"/>
  <c r="C90" i="2"/>
  <c r="S67" i="2"/>
  <c r="C88" i="2"/>
  <c r="U59" i="2"/>
  <c r="J88" i="2"/>
  <c r="V145" i="2"/>
  <c r="T155" i="2"/>
  <c r="V59" i="2"/>
  <c r="T50" i="2"/>
  <c r="T46" i="2"/>
  <c r="D68" i="2"/>
  <c r="T61" i="2"/>
  <c r="Q160" i="2"/>
  <c r="Q88" i="2"/>
  <c r="T143" i="2"/>
  <c r="V89" i="2"/>
  <c r="U61" i="2"/>
  <c r="I160" i="2"/>
  <c r="P67" i="2"/>
  <c r="V50" i="2"/>
  <c r="J90" i="2"/>
  <c r="U86" i="2"/>
  <c r="M160" i="2"/>
  <c r="J159" i="2"/>
  <c r="T141" i="2"/>
  <c r="T153" i="2"/>
  <c r="G159" i="2"/>
  <c r="V157" i="2"/>
  <c r="U60" i="2"/>
  <c r="R88" i="2"/>
  <c r="P68" i="2"/>
  <c r="F160" i="2"/>
  <c r="V138" i="2"/>
  <c r="J160" i="2"/>
  <c r="E88" i="2"/>
  <c r="V49" i="2"/>
  <c r="N89" i="2"/>
  <c r="S160" i="2"/>
  <c r="V53" i="2"/>
  <c r="U65" i="2"/>
  <c r="F88" i="2"/>
  <c r="V46" i="2"/>
  <c r="C159" i="2"/>
  <c r="U64" i="2"/>
  <c r="F67" i="2"/>
  <c r="V156" i="2"/>
  <c r="O68" i="2"/>
  <c r="T148" i="2"/>
  <c r="V158" i="2"/>
  <c r="M68" i="2"/>
  <c r="D88" i="2"/>
  <c r="T88" i="2"/>
  <c r="M159" i="2"/>
  <c r="V159" i="2"/>
  <c r="P160" i="2"/>
  <c r="T156" i="2"/>
  <c r="V55" i="2"/>
  <c r="T55" i="2"/>
  <c r="U47" i="2"/>
  <c r="S159" i="2"/>
  <c r="V68" i="2"/>
  <c r="U158" i="2"/>
  <c r="V150" i="2"/>
  <c r="T68" i="2"/>
  <c r="U5" i="2"/>
  <c r="U50" i="2"/>
  <c r="T87" i="2"/>
  <c r="V143" i="2"/>
  <c r="Q90" i="2"/>
  <c r="T63" i="2"/>
  <c r="T56" i="2"/>
  <c r="T90" i="2"/>
  <c r="U62" i="2"/>
  <c r="B68" i="2"/>
  <c r="Q68" i="2"/>
  <c r="V141" i="2"/>
  <c r="V139" i="2"/>
  <c r="V47" i="2"/>
  <c r="B89" i="2"/>
  <c r="P89" i="2"/>
  <c r="U55" i="2"/>
  <c r="S88" i="2"/>
  <c r="C160" i="2"/>
  <c r="C89" i="2"/>
  <c r="T52" i="2"/>
  <c r="R67" i="2"/>
  <c r="K67" i="2"/>
  <c r="O89" i="2"/>
  <c r="H90" i="2"/>
  <c r="U148" i="2"/>
  <c r="V60" i="2"/>
  <c r="U63" i="2"/>
  <c r="U159" i="2"/>
  <c r="I89" i="2"/>
  <c r="U150" i="2"/>
  <c r="V66" i="2"/>
  <c r="V58" i="2"/>
  <c r="V86" i="2"/>
  <c r="U89" i="2"/>
  <c r="G67" i="2"/>
  <c r="T150" i="2"/>
  <c r="V67" i="2"/>
  <c r="G160" i="2"/>
  <c r="V142" i="2"/>
  <c r="T154" i="2"/>
  <c r="T157" i="2"/>
  <c r="T149" i="2"/>
  <c r="T147" i="2"/>
  <c r="O159" i="2"/>
  <c r="J67" i="2"/>
  <c r="T89" i="2"/>
  <c r="T51" i="2"/>
  <c r="V90" i="2"/>
  <c r="O160" i="2"/>
  <c r="S90" i="2"/>
  <c r="U157" i="2"/>
  <c r="T140" i="2"/>
  <c r="D160" i="2"/>
  <c r="V146" i="2"/>
  <c r="V148" i="2"/>
  <c r="V155" i="2"/>
  <c r="U46" i="2"/>
  <c r="H159" i="2"/>
  <c r="T62" i="2"/>
  <c r="M67" i="2"/>
  <c r="T151" i="2"/>
  <c r="N67" i="2"/>
  <c r="T66" i="2"/>
  <c r="B159" i="2"/>
  <c r="U141" i="2"/>
  <c r="V61" i="2"/>
  <c r="T145" i="2"/>
  <c r="Q89" i="2"/>
  <c r="U54" i="2"/>
  <c r="G68" i="2"/>
  <c r="U155" i="2"/>
  <c r="T142" i="2"/>
  <c r="T158" i="2"/>
  <c r="U160" i="2"/>
  <c r="B160" i="2"/>
  <c r="U66" i="2"/>
  <c r="K68" i="2"/>
  <c r="T152" i="2"/>
  <c r="J89" i="2"/>
  <c r="V52" i="2"/>
  <c r="G90" i="2"/>
  <c r="R159" i="2"/>
  <c r="T138" i="2"/>
  <c r="U53" i="2"/>
  <c r="H89" i="2"/>
  <c r="B88" i="2"/>
  <c r="H67" i="2"/>
  <c r="E160" i="2"/>
  <c r="G89" i="2"/>
  <c r="U139" i="2"/>
  <c r="L68" i="2"/>
  <c r="U52" i="2"/>
  <c r="C68" i="2"/>
  <c r="D90" i="2"/>
  <c r="T146" i="2"/>
  <c r="U144" i="2"/>
  <c r="P159" i="2"/>
  <c r="T58" i="2"/>
  <c r="S89" i="2"/>
  <c r="V56" i="2"/>
  <c r="D89" i="2"/>
  <c r="L67" i="2"/>
  <c r="B90" i="2"/>
  <c r="U147" i="2"/>
  <c r="T59" i="2"/>
  <c r="L159" i="2"/>
  <c r="U156" i="2"/>
  <c r="P88" i="2"/>
  <c r="H68" i="2"/>
  <c r="Q67" i="2"/>
  <c r="U48" i="2"/>
  <c r="V63" i="2"/>
  <c r="F159" i="2"/>
  <c r="U90" i="2"/>
  <c r="U57" i="2"/>
  <c r="K160" i="2"/>
  <c r="Q159" i="2"/>
  <c r="V152" i="2"/>
  <c r="V62" i="2"/>
  <c r="K89" i="2"/>
  <c r="N68" i="2"/>
  <c r="V151" i="2"/>
  <c r="U87" i="2"/>
  <c r="T139" i="2"/>
  <c r="M89" i="2"/>
  <c r="G88" i="2"/>
  <c r="U146" i="2"/>
  <c r="U56" i="2"/>
  <c r="V147" i="2"/>
  <c r="N90" i="2"/>
  <c r="E89" i="2"/>
  <c r="P90" i="2"/>
  <c r="I90" i="2"/>
  <c r="R68" i="2"/>
  <c r="U88" i="2"/>
  <c r="E159" i="2"/>
  <c r="CU67" i="1" l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EQ69" i="1"/>
  <c r="AT161" i="1"/>
  <c r="AS69" i="1"/>
  <c r="AW69" i="1"/>
  <c r="AT69" i="1"/>
  <c r="DC69" i="1"/>
  <c r="AV69" i="1"/>
  <c r="DD69" i="1"/>
  <c r="EO69" i="1"/>
  <c r="AS161" i="1"/>
  <c r="DF69" i="1"/>
  <c r="AU69" i="1"/>
  <c r="EN69" i="1"/>
  <c r="DE69" i="1"/>
  <c r="EP69" i="1"/>
  <c r="AX69" i="1"/>
  <c r="CH69" i="1"/>
  <c r="CD69" i="1"/>
  <c r="CE69" i="1"/>
  <c r="BA69" i="1"/>
  <c r="BB69" i="1"/>
  <c r="BF69" i="1"/>
  <c r="BC69" i="1"/>
  <c r="BD69" i="1"/>
  <c r="CF69" i="1"/>
  <c r="DA69" i="1"/>
  <c r="BE69" i="1"/>
  <c r="CG69" i="1"/>
  <c r="CI69" i="1"/>
  <c r="DB69" i="1"/>
  <c r="W48" i="2"/>
  <c r="W158" i="2"/>
  <c r="W66" i="2"/>
  <c r="N91" i="2"/>
  <c r="W138" i="2"/>
  <c r="M69" i="2"/>
  <c r="W146" i="2"/>
  <c r="M161" i="2"/>
  <c r="O161" i="2"/>
  <c r="T69" i="2"/>
  <c r="N69" i="2"/>
  <c r="W56" i="2"/>
  <c r="P161" i="2"/>
  <c r="E69" i="2"/>
  <c r="H91" i="2"/>
  <c r="C91" i="2"/>
  <c r="W63" i="2"/>
  <c r="B161" i="2"/>
  <c r="W153" i="2"/>
  <c r="W57" i="2"/>
  <c r="W62" i="2"/>
  <c r="T91" i="2"/>
  <c r="W91" i="2"/>
  <c r="O91" i="2"/>
  <c r="W64" i="2"/>
  <c r="W161" i="2"/>
  <c r="S161" i="2"/>
  <c r="R161" i="2"/>
  <c r="J161" i="2"/>
  <c r="J69" i="2"/>
  <c r="H161" i="2"/>
  <c r="G161" i="2"/>
  <c r="W147" i="2"/>
  <c r="W143" i="2"/>
  <c r="W69" i="2"/>
  <c r="M91" i="2"/>
  <c r="V91" i="2"/>
  <c r="U69" i="2"/>
  <c r="W65" i="2"/>
  <c r="W149" i="2"/>
  <c r="W67" i="2"/>
  <c r="B69" i="2"/>
  <c r="W145" i="2"/>
  <c r="W140" i="2"/>
  <c r="W155" i="2"/>
  <c r="I69" i="2"/>
  <c r="U161" i="2"/>
  <c r="D91" i="2"/>
  <c r="L69" i="2"/>
  <c r="W54" i="2"/>
  <c r="G91" i="2"/>
  <c r="P91" i="2"/>
  <c r="W156" i="2"/>
  <c r="W60" i="2"/>
  <c r="W49" i="2"/>
  <c r="W68" i="2"/>
  <c r="L91" i="2"/>
  <c r="W151" i="2"/>
  <c r="F91" i="2"/>
  <c r="T161" i="2"/>
  <c r="W47" i="2"/>
  <c r="W89" i="2"/>
  <c r="N161" i="2"/>
  <c r="Q91" i="2"/>
  <c r="H69" i="2"/>
  <c r="Q69" i="2"/>
  <c r="B91" i="2"/>
  <c r="V161" i="2"/>
  <c r="K91" i="2"/>
  <c r="W144" i="2"/>
  <c r="W61" i="2"/>
  <c r="W150" i="2"/>
  <c r="G69" i="2"/>
  <c r="J91" i="2"/>
  <c r="I161" i="2"/>
  <c r="W52" i="2"/>
  <c r="K69" i="2"/>
  <c r="W148" i="2"/>
  <c r="P69" i="2"/>
  <c r="C69" i="2"/>
  <c r="D69" i="2"/>
  <c r="L161" i="2"/>
  <c r="W142" i="2"/>
  <c r="W139" i="2"/>
  <c r="W58" i="2"/>
  <c r="W50" i="2"/>
  <c r="F161" i="2"/>
  <c r="S69" i="2"/>
  <c r="W157" i="2"/>
  <c r="W46" i="2"/>
  <c r="V69" i="2"/>
  <c r="W55" i="2"/>
  <c r="W154" i="2"/>
  <c r="W152" i="2"/>
  <c r="W53" i="2"/>
  <c r="F69" i="2"/>
  <c r="Q161" i="2"/>
  <c r="D161" i="2"/>
  <c r="W5" i="2"/>
  <c r="E161" i="2"/>
  <c r="O69" i="2"/>
  <c r="W90" i="2"/>
  <c r="U91" i="2"/>
  <c r="W160" i="2"/>
  <c r="C161" i="2"/>
  <c r="S91" i="2"/>
  <c r="W86" i="2"/>
  <c r="W88" i="2"/>
  <c r="W141" i="2"/>
  <c r="E91" i="2"/>
  <c r="R69" i="2"/>
  <c r="W87" i="2"/>
  <c r="I91" i="2"/>
  <c r="W59" i="2"/>
  <c r="K161" i="2"/>
  <c r="W159" i="2"/>
  <c r="W51" i="2"/>
  <c r="R91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DW68" i="1" s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AS162" i="1"/>
  <c r="DD70" i="1"/>
  <c r="DF70" i="1"/>
  <c r="AT162" i="1"/>
  <c r="DB70" i="1"/>
  <c r="P70" i="2"/>
  <c r="C92" i="2"/>
  <c r="X149" i="2"/>
  <c r="L70" i="2"/>
  <c r="U92" i="2"/>
  <c r="C162" i="2"/>
  <c r="G92" i="2"/>
  <c r="X156" i="2"/>
  <c r="D162" i="2"/>
  <c r="M92" i="2"/>
  <c r="M70" i="2"/>
  <c r="X146" i="2"/>
  <c r="L162" i="2"/>
  <c r="X49" i="2"/>
  <c r="X63" i="2"/>
  <c r="Q92" i="2"/>
  <c r="X67" i="2"/>
  <c r="D92" i="2"/>
  <c r="M162" i="2"/>
  <c r="H92" i="2"/>
  <c r="X46" i="2"/>
  <c r="N70" i="2"/>
  <c r="E92" i="2"/>
  <c r="X52" i="2"/>
  <c r="O70" i="2"/>
  <c r="X68" i="2"/>
  <c r="T92" i="2"/>
  <c r="W70" i="2"/>
  <c r="X140" i="2"/>
  <c r="X145" i="2"/>
  <c r="Q70" i="2"/>
  <c r="H70" i="2"/>
  <c r="D70" i="2"/>
  <c r="X50" i="2"/>
  <c r="R92" i="2"/>
  <c r="X157" i="2"/>
  <c r="X154" i="2"/>
  <c r="S162" i="2"/>
  <c r="P162" i="2"/>
  <c r="B92" i="2"/>
  <c r="X86" i="2"/>
  <c r="G162" i="2"/>
  <c r="X54" i="2"/>
  <c r="U162" i="2"/>
  <c r="I70" i="2"/>
  <c r="E70" i="2"/>
  <c r="I92" i="2"/>
  <c r="V70" i="2"/>
  <c r="X162" i="2"/>
  <c r="O92" i="2"/>
  <c r="U70" i="2"/>
  <c r="X70" i="2"/>
  <c r="X150" i="2"/>
  <c r="X138" i="2"/>
  <c r="X90" i="2"/>
  <c r="E162" i="2"/>
  <c r="L92" i="2"/>
  <c r="X155" i="2"/>
  <c r="X58" i="2"/>
  <c r="F70" i="2"/>
  <c r="X141" i="2"/>
  <c r="X88" i="2"/>
  <c r="T70" i="2"/>
  <c r="H162" i="2"/>
  <c r="K70" i="2"/>
  <c r="X159" i="2"/>
  <c r="X89" i="2"/>
  <c r="X57" i="2"/>
  <c r="X161" i="2"/>
  <c r="I162" i="2"/>
  <c r="X139" i="2"/>
  <c r="B162" i="2"/>
  <c r="F92" i="2"/>
  <c r="X47" i="2"/>
  <c r="W92" i="2"/>
  <c r="X64" i="2"/>
  <c r="T162" i="2"/>
  <c r="X51" i="2"/>
  <c r="X160" i="2"/>
  <c r="X152" i="2"/>
  <c r="X66" i="2"/>
  <c r="N162" i="2"/>
  <c r="R162" i="2"/>
  <c r="X55" i="2"/>
  <c r="V162" i="2"/>
  <c r="Q162" i="2"/>
  <c r="K92" i="2"/>
  <c r="N92" i="2"/>
  <c r="J70" i="2"/>
  <c r="G70" i="2"/>
  <c r="X69" i="2"/>
  <c r="X59" i="2"/>
  <c r="X53" i="2"/>
  <c r="R70" i="2"/>
  <c r="K162" i="2"/>
  <c r="O162" i="2"/>
  <c r="X158" i="2"/>
  <c r="X48" i="2"/>
  <c r="J162" i="2"/>
  <c r="F162" i="2"/>
  <c r="V92" i="2"/>
  <c r="X91" i="2"/>
  <c r="J92" i="2"/>
  <c r="S92" i="2"/>
  <c r="X151" i="2"/>
  <c r="X92" i="2"/>
  <c r="X60" i="2"/>
  <c r="X65" i="2"/>
  <c r="X61" i="2"/>
  <c r="X5" i="2"/>
  <c r="X144" i="2"/>
  <c r="B70" i="2"/>
  <c r="X142" i="2"/>
  <c r="X147" i="2"/>
  <c r="X148" i="2"/>
  <c r="X143" i="2"/>
  <c r="W162" i="2"/>
  <c r="X62" i="2"/>
  <c r="X56" i="2"/>
  <c r="P92" i="2"/>
  <c r="C70" i="2"/>
  <c r="S70" i="2"/>
  <c r="X87" i="2"/>
  <c r="X153" i="2"/>
  <c r="ES67" i="1" l="1"/>
  <c r="ES68" i="1"/>
  <c r="ES66" i="1"/>
  <c r="BT68" i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DF71" i="1"/>
  <c r="AT163" i="1"/>
  <c r="AS163" i="1"/>
  <c r="DD71" i="1"/>
  <c r="EQ163" i="1"/>
  <c r="DB71" i="1"/>
  <c r="V93" i="2"/>
  <c r="I93" i="2"/>
  <c r="X71" i="2"/>
  <c r="W71" i="2"/>
  <c r="S163" i="2"/>
  <c r="N93" i="2"/>
  <c r="X93" i="2"/>
  <c r="W93" i="2"/>
  <c r="S93" i="2"/>
  <c r="Q71" i="2"/>
  <c r="U71" i="2"/>
  <c r="S71" i="2"/>
  <c r="B93" i="2"/>
  <c r="C163" i="2"/>
  <c r="L163" i="2"/>
  <c r="M93" i="2"/>
  <c r="P163" i="2"/>
  <c r="F163" i="2"/>
  <c r="B71" i="2"/>
  <c r="I71" i="2"/>
  <c r="H71" i="2"/>
  <c r="N163" i="2"/>
  <c r="T93" i="2"/>
  <c r="V163" i="2"/>
  <c r="J93" i="2"/>
  <c r="D71" i="2"/>
  <c r="R71" i="2"/>
  <c r="J71" i="2"/>
  <c r="O71" i="2"/>
  <c r="K93" i="2"/>
  <c r="M163" i="2"/>
  <c r="R163" i="2"/>
  <c r="K71" i="2"/>
  <c r="M71" i="2"/>
  <c r="L93" i="2"/>
  <c r="L71" i="2"/>
  <c r="F71" i="2"/>
  <c r="N71" i="2"/>
  <c r="G71" i="2"/>
  <c r="D93" i="2"/>
  <c r="H93" i="2"/>
  <c r="P93" i="2"/>
  <c r="Q93" i="2"/>
  <c r="C93" i="2"/>
  <c r="U93" i="2"/>
  <c r="X163" i="2"/>
  <c r="T163" i="2"/>
  <c r="T71" i="2"/>
  <c r="E71" i="2"/>
  <c r="R93" i="2"/>
  <c r="J163" i="2"/>
  <c r="P71" i="2"/>
  <c r="U163" i="2"/>
  <c r="C71" i="2"/>
  <c r="O163" i="2"/>
  <c r="O93" i="2"/>
  <c r="K163" i="2"/>
  <c r="D163" i="2"/>
  <c r="E163" i="2"/>
  <c r="H163" i="2"/>
  <c r="E93" i="2"/>
  <c r="G93" i="2"/>
  <c r="W163" i="2"/>
  <c r="F93" i="2"/>
  <c r="I163" i="2"/>
  <c r="B163" i="2"/>
  <c r="G163" i="2"/>
  <c r="Q163" i="2"/>
  <c r="V71" i="2"/>
  <c r="ES69" i="1" l="1"/>
  <c r="Y163" i="2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F72" i="1"/>
  <c r="DD72" i="1"/>
  <c r="AS164" i="1"/>
  <c r="AT164" i="1"/>
  <c r="DB72" i="1"/>
  <c r="W164" i="2"/>
  <c r="E72" i="2"/>
  <c r="O164" i="2"/>
  <c r="E94" i="2"/>
  <c r="D72" i="2"/>
  <c r="C72" i="2"/>
  <c r="P164" i="2"/>
  <c r="Q164" i="2"/>
  <c r="L94" i="2"/>
  <c r="C164" i="2"/>
  <c r="R94" i="2"/>
  <c r="H164" i="2"/>
  <c r="R72" i="2"/>
  <c r="G72" i="2"/>
  <c r="N72" i="2"/>
  <c r="T164" i="2"/>
  <c r="F72" i="2"/>
  <c r="G164" i="2"/>
  <c r="U72" i="2"/>
  <c r="S94" i="2"/>
  <c r="B94" i="2"/>
  <c r="Q94" i="2"/>
  <c r="F94" i="2"/>
  <c r="J72" i="2"/>
  <c r="J94" i="2"/>
  <c r="V164" i="2"/>
  <c r="F164" i="2"/>
  <c r="L164" i="2"/>
  <c r="K164" i="2"/>
  <c r="X164" i="2"/>
  <c r="R164" i="2"/>
  <c r="I72" i="2"/>
  <c r="T72" i="2"/>
  <c r="C94" i="2"/>
  <c r="H72" i="2"/>
  <c r="D164" i="2"/>
  <c r="I164" i="2"/>
  <c r="M72" i="2"/>
  <c r="V94" i="2"/>
  <c r="N164" i="2"/>
  <c r="E164" i="2"/>
  <c r="B72" i="2"/>
  <c r="O72" i="2"/>
  <c r="H94" i="2"/>
  <c r="V72" i="2"/>
  <c r="J164" i="2"/>
  <c r="G94" i="2"/>
  <c r="D94" i="2"/>
  <c r="K72" i="2"/>
  <c r="P94" i="2"/>
  <c r="M94" i="2"/>
  <c r="W94" i="2"/>
  <c r="W72" i="2"/>
  <c r="M164" i="2"/>
  <c r="S72" i="2"/>
  <c r="X94" i="2"/>
  <c r="P72" i="2"/>
  <c r="I94" i="2"/>
  <c r="U164" i="2"/>
  <c r="X72" i="2"/>
  <c r="N94" i="2"/>
  <c r="K94" i="2"/>
  <c r="Q72" i="2"/>
  <c r="B164" i="2"/>
  <c r="L72" i="2"/>
  <c r="T94" i="2"/>
  <c r="U94" i="2"/>
  <c r="O94" i="2"/>
  <c r="S164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D73" i="1"/>
  <c r="AT165" i="1"/>
  <c r="AS165" i="1"/>
  <c r="DF73" i="1"/>
  <c r="DB73" i="1"/>
  <c r="C165" i="2"/>
  <c r="L95" i="2"/>
  <c r="G95" i="2"/>
  <c r="Q165" i="2"/>
  <c r="K165" i="2"/>
  <c r="R95" i="2"/>
  <c r="C73" i="2"/>
  <c r="P165" i="2"/>
  <c r="O95" i="2"/>
  <c r="U165" i="2"/>
  <c r="S165" i="2"/>
  <c r="H165" i="2"/>
  <c r="P73" i="2"/>
  <c r="L73" i="2"/>
  <c r="Q73" i="2"/>
  <c r="V165" i="2"/>
  <c r="S73" i="2"/>
  <c r="F95" i="2"/>
  <c r="J95" i="2"/>
  <c r="O73" i="2"/>
  <c r="I165" i="2"/>
  <c r="I95" i="2"/>
  <c r="W95" i="2"/>
  <c r="P95" i="2"/>
  <c r="T165" i="2"/>
  <c r="K95" i="2"/>
  <c r="U95" i="2"/>
  <c r="D95" i="2"/>
  <c r="N95" i="2"/>
  <c r="M165" i="2"/>
  <c r="L165" i="2"/>
  <c r="V73" i="2"/>
  <c r="W73" i="2"/>
  <c r="F165" i="2"/>
  <c r="B73" i="2"/>
  <c r="W165" i="2"/>
  <c r="D73" i="2"/>
  <c r="T73" i="2"/>
  <c r="X73" i="2"/>
  <c r="M73" i="2"/>
  <c r="I73" i="2"/>
  <c r="M95" i="2"/>
  <c r="F73" i="2"/>
  <c r="S95" i="2"/>
  <c r="E95" i="2"/>
  <c r="G165" i="2"/>
  <c r="H73" i="2"/>
  <c r="O165" i="2"/>
  <c r="R165" i="2"/>
  <c r="B165" i="2"/>
  <c r="E73" i="2"/>
  <c r="T95" i="2"/>
  <c r="H95" i="2"/>
  <c r="X165" i="2"/>
  <c r="X95" i="2"/>
  <c r="J73" i="2"/>
  <c r="G73" i="2"/>
  <c r="D165" i="2"/>
  <c r="N73" i="2"/>
  <c r="C95" i="2"/>
  <c r="R73" i="2"/>
  <c r="N165" i="2"/>
  <c r="U73" i="2"/>
  <c r="V95" i="2"/>
  <c r="J165" i="2"/>
  <c r="K73" i="2"/>
  <c r="B95" i="2"/>
  <c r="E165" i="2"/>
  <c r="Q95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DF74" i="1"/>
  <c r="DD74" i="1"/>
  <c r="AT166" i="1"/>
  <c r="AS166" i="1"/>
  <c r="DB74" i="1"/>
  <c r="U74" i="2"/>
  <c r="X166" i="2"/>
  <c r="L74" i="2"/>
  <c r="P96" i="2"/>
  <c r="E96" i="2"/>
  <c r="K96" i="2"/>
  <c r="G166" i="2"/>
  <c r="J166" i="2"/>
  <c r="N74" i="2"/>
  <c r="D96" i="2"/>
  <c r="T166" i="2"/>
  <c r="O74" i="2"/>
  <c r="V74" i="2"/>
  <c r="H96" i="2"/>
  <c r="H166" i="2"/>
  <c r="F74" i="2"/>
  <c r="J74" i="2"/>
  <c r="S74" i="2"/>
  <c r="Q166" i="2"/>
  <c r="W74" i="2"/>
  <c r="D74" i="2"/>
  <c r="B166" i="2"/>
  <c r="H74" i="2"/>
  <c r="R166" i="2"/>
  <c r="I74" i="2"/>
  <c r="O166" i="2"/>
  <c r="V96" i="2"/>
  <c r="F96" i="2"/>
  <c r="V166" i="2"/>
  <c r="U96" i="2"/>
  <c r="M96" i="2"/>
  <c r="M166" i="2"/>
  <c r="B96" i="2"/>
  <c r="X96" i="2"/>
  <c r="N166" i="2"/>
  <c r="G74" i="2"/>
  <c r="P74" i="2"/>
  <c r="O96" i="2"/>
  <c r="I96" i="2"/>
  <c r="C74" i="2"/>
  <c r="L166" i="2"/>
  <c r="G96" i="2"/>
  <c r="D166" i="2"/>
  <c r="C96" i="2"/>
  <c r="I166" i="2"/>
  <c r="E166" i="2"/>
  <c r="J96" i="2"/>
  <c r="T96" i="2"/>
  <c r="P166" i="2"/>
  <c r="U166" i="2"/>
  <c r="W96" i="2"/>
  <c r="K166" i="2"/>
  <c r="Q74" i="2"/>
  <c r="M74" i="2"/>
  <c r="B74" i="2"/>
  <c r="Q96" i="2"/>
  <c r="E74" i="2"/>
  <c r="X74" i="2"/>
  <c r="W166" i="2"/>
  <c r="F166" i="2"/>
  <c r="K74" i="2"/>
  <c r="C166" i="2"/>
  <c r="S96" i="2"/>
  <c r="L96" i="2"/>
  <c r="R74" i="2"/>
  <c r="N96" i="2"/>
  <c r="T74" i="2"/>
  <c r="S166" i="2"/>
  <c r="R96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AT167" i="1"/>
  <c r="AS167" i="1"/>
  <c r="DF75" i="1"/>
  <c r="DD75" i="1"/>
  <c r="DB75" i="1"/>
  <c r="M97" i="2"/>
  <c r="S75" i="2"/>
  <c r="X75" i="2"/>
  <c r="F97" i="2"/>
  <c r="E97" i="2"/>
  <c r="S97" i="2"/>
  <c r="D167" i="2"/>
  <c r="C97" i="2"/>
  <c r="U97" i="2"/>
  <c r="Q75" i="2"/>
  <c r="X167" i="2"/>
  <c r="J97" i="2"/>
  <c r="I97" i="2"/>
  <c r="N75" i="2"/>
  <c r="M167" i="2"/>
  <c r="T97" i="2"/>
  <c r="D75" i="2"/>
  <c r="V97" i="2"/>
  <c r="H75" i="2"/>
  <c r="B167" i="2"/>
  <c r="T75" i="2"/>
  <c r="F75" i="2"/>
  <c r="Q97" i="2"/>
  <c r="C167" i="2"/>
  <c r="D97" i="2"/>
  <c r="O167" i="2"/>
  <c r="M75" i="2"/>
  <c r="I167" i="2"/>
  <c r="R75" i="2"/>
  <c r="N167" i="2"/>
  <c r="T167" i="2"/>
  <c r="X97" i="2"/>
  <c r="U167" i="2"/>
  <c r="P97" i="2"/>
  <c r="W97" i="2"/>
  <c r="F167" i="2"/>
  <c r="H97" i="2"/>
  <c r="U75" i="2"/>
  <c r="L97" i="2"/>
  <c r="L167" i="2"/>
  <c r="V75" i="2"/>
  <c r="O97" i="2"/>
  <c r="J75" i="2"/>
  <c r="J167" i="2"/>
  <c r="W75" i="2"/>
  <c r="R97" i="2"/>
  <c r="O75" i="2"/>
  <c r="E167" i="2"/>
  <c r="V167" i="2"/>
  <c r="I75" i="2"/>
  <c r="B97" i="2"/>
  <c r="B75" i="2"/>
  <c r="P75" i="2"/>
  <c r="W167" i="2"/>
  <c r="P167" i="2"/>
  <c r="N97" i="2"/>
  <c r="K167" i="2"/>
  <c r="G97" i="2"/>
  <c r="R167" i="2"/>
  <c r="K97" i="2"/>
  <c r="Q167" i="2"/>
  <c r="G75" i="2"/>
  <c r="S167" i="2"/>
  <c r="L75" i="2"/>
  <c r="H167" i="2"/>
  <c r="C75" i="2"/>
  <c r="G167" i="2"/>
  <c r="E75" i="2"/>
  <c r="K75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AT168" i="1"/>
  <c r="AS168" i="1"/>
  <c r="DF76" i="1"/>
  <c r="DD76" i="1"/>
  <c r="DB76" i="1"/>
  <c r="G168" i="2"/>
  <c r="E76" i="2"/>
  <c r="B168" i="2"/>
  <c r="E168" i="2"/>
  <c r="C76" i="2"/>
  <c r="S76" i="2"/>
  <c r="N168" i="2"/>
  <c r="X76" i="2"/>
  <c r="Q98" i="2"/>
  <c r="O168" i="2"/>
  <c r="G76" i="2"/>
  <c r="H168" i="2"/>
  <c r="I98" i="2"/>
  <c r="J76" i="2"/>
  <c r="J98" i="2"/>
  <c r="V98" i="2"/>
  <c r="H98" i="2"/>
  <c r="K98" i="2"/>
  <c r="O76" i="2"/>
  <c r="T98" i="2"/>
  <c r="C98" i="2"/>
  <c r="O98" i="2"/>
  <c r="R76" i="2"/>
  <c r="U168" i="2"/>
  <c r="P98" i="2"/>
  <c r="F168" i="2"/>
  <c r="T76" i="2"/>
  <c r="S168" i="2"/>
  <c r="Q76" i="2"/>
  <c r="Q168" i="2"/>
  <c r="D168" i="2"/>
  <c r="H76" i="2"/>
  <c r="K76" i="2"/>
  <c r="F98" i="2"/>
  <c r="N76" i="2"/>
  <c r="R168" i="2"/>
  <c r="P168" i="2"/>
  <c r="I76" i="2"/>
  <c r="M76" i="2"/>
  <c r="D98" i="2"/>
  <c r="C168" i="2"/>
  <c r="R98" i="2"/>
  <c r="L168" i="2"/>
  <c r="I168" i="2"/>
  <c r="V168" i="2"/>
  <c r="M168" i="2"/>
  <c r="W98" i="2"/>
  <c r="J168" i="2"/>
  <c r="T168" i="2"/>
  <c r="U98" i="2"/>
  <c r="W76" i="2"/>
  <c r="N98" i="2"/>
  <c r="F76" i="2"/>
  <c r="B76" i="2"/>
  <c r="B98" i="2"/>
  <c r="V76" i="2"/>
  <c r="W168" i="2"/>
  <c r="L76" i="2"/>
  <c r="S98" i="2"/>
  <c r="P76" i="2"/>
  <c r="M98" i="2"/>
  <c r="X98" i="2"/>
  <c r="K168" i="2"/>
  <c r="X168" i="2"/>
  <c r="E98" i="2"/>
  <c r="D76" i="2"/>
  <c r="L98" i="2"/>
  <c r="G98" i="2"/>
  <c r="U76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AT169" i="1"/>
  <c r="AS169" i="1"/>
  <c r="DD77" i="1"/>
  <c r="DF77" i="1"/>
  <c r="DB77" i="1"/>
  <c r="R169" i="2"/>
  <c r="T77" i="2"/>
  <c r="M77" i="2"/>
  <c r="J77" i="2"/>
  <c r="C77" i="2"/>
  <c r="S77" i="2"/>
  <c r="N77" i="2"/>
  <c r="G77" i="2"/>
  <c r="P169" i="2"/>
  <c r="V77" i="2"/>
  <c r="O77" i="2"/>
  <c r="I169" i="2"/>
  <c r="E169" i="2"/>
  <c r="C169" i="2"/>
  <c r="B77" i="2"/>
  <c r="F169" i="2"/>
  <c r="X169" i="2"/>
  <c r="P77" i="2"/>
  <c r="B169" i="2"/>
  <c r="N169" i="2"/>
  <c r="K77" i="2"/>
  <c r="O169" i="2"/>
  <c r="W169" i="2"/>
  <c r="L169" i="2"/>
  <c r="S169" i="2"/>
  <c r="L77" i="2"/>
  <c r="M169" i="2"/>
  <c r="Q169" i="2"/>
  <c r="J169" i="2"/>
  <c r="Q77" i="2"/>
  <c r="H169" i="2"/>
  <c r="U169" i="2"/>
  <c r="W77" i="2"/>
  <c r="X77" i="2"/>
  <c r="G169" i="2"/>
  <c r="R77" i="2"/>
  <c r="H77" i="2"/>
  <c r="K169" i="2"/>
  <c r="V169" i="2"/>
  <c r="F77" i="2"/>
  <c r="D77" i="2"/>
  <c r="E77" i="2"/>
  <c r="D169" i="2"/>
  <c r="I77" i="2"/>
  <c r="U77" i="2"/>
  <c r="T169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F78" i="1"/>
  <c r="DD78" i="1"/>
  <c r="AT170" i="1"/>
  <c r="AS170" i="1"/>
  <c r="DB78" i="1"/>
  <c r="E100" i="2"/>
  <c r="S78" i="2"/>
  <c r="J100" i="2"/>
  <c r="D100" i="2"/>
  <c r="K99" i="2"/>
  <c r="X99" i="2"/>
  <c r="N100" i="2"/>
  <c r="Q170" i="2"/>
  <c r="M170" i="2"/>
  <c r="I100" i="2"/>
  <c r="W78" i="2"/>
  <c r="U170" i="2"/>
  <c r="V170" i="2"/>
  <c r="W99" i="2"/>
  <c r="U78" i="2"/>
  <c r="C99" i="2"/>
  <c r="G170" i="2"/>
  <c r="V99" i="2"/>
  <c r="G99" i="2"/>
  <c r="Q100" i="2"/>
  <c r="K78" i="2"/>
  <c r="U99" i="2"/>
  <c r="R100" i="2"/>
  <c r="H170" i="2"/>
  <c r="O99" i="2"/>
  <c r="X100" i="2"/>
  <c r="S170" i="2"/>
  <c r="R78" i="2"/>
  <c r="E99" i="2"/>
  <c r="T170" i="2"/>
  <c r="H100" i="2"/>
  <c r="D78" i="2"/>
  <c r="K170" i="2"/>
  <c r="G100" i="2"/>
  <c r="R170" i="2"/>
  <c r="P78" i="2"/>
  <c r="B170" i="2"/>
  <c r="M78" i="2"/>
  <c r="N99" i="2"/>
  <c r="E78" i="2"/>
  <c r="T78" i="2"/>
  <c r="F170" i="2"/>
  <c r="C100" i="2"/>
  <c r="Q99" i="2"/>
  <c r="W100" i="2"/>
  <c r="J170" i="2"/>
  <c r="L99" i="2"/>
  <c r="J78" i="2"/>
  <c r="K100" i="2"/>
  <c r="N78" i="2"/>
  <c r="F99" i="2"/>
  <c r="I99" i="2"/>
  <c r="I170" i="2"/>
  <c r="P100" i="2"/>
  <c r="T99" i="2"/>
  <c r="P99" i="2"/>
  <c r="H78" i="2"/>
  <c r="N170" i="2"/>
  <c r="F78" i="2"/>
  <c r="E170" i="2"/>
  <c r="S99" i="2"/>
  <c r="M99" i="2"/>
  <c r="M100" i="2"/>
  <c r="X78" i="2"/>
  <c r="B99" i="2"/>
  <c r="S100" i="2"/>
  <c r="C170" i="2"/>
  <c r="Q78" i="2"/>
  <c r="B78" i="2"/>
  <c r="H99" i="2"/>
  <c r="T100" i="2"/>
  <c r="L78" i="2"/>
  <c r="X170" i="2"/>
  <c r="O170" i="2"/>
  <c r="W170" i="2"/>
  <c r="V78" i="2"/>
  <c r="U100" i="2"/>
  <c r="L170" i="2"/>
  <c r="L100" i="2"/>
  <c r="B100" i="2"/>
  <c r="D170" i="2"/>
  <c r="I78" i="2"/>
  <c r="P170" i="2"/>
  <c r="D99" i="2"/>
  <c r="G78" i="2"/>
  <c r="R99" i="2"/>
  <c r="O78" i="2"/>
  <c r="O100" i="2"/>
  <c r="V100" i="2"/>
  <c r="C78" i="2"/>
  <c r="J99" i="2"/>
  <c r="F10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S171" i="1"/>
  <c r="DF79" i="1"/>
  <c r="DD79" i="1"/>
  <c r="AT171" i="1"/>
  <c r="DB79" i="1"/>
  <c r="K101" i="2"/>
  <c r="I79" i="2"/>
  <c r="V101" i="2"/>
  <c r="O101" i="2"/>
  <c r="J101" i="2"/>
  <c r="C171" i="2"/>
  <c r="Q171" i="2"/>
  <c r="O79" i="2"/>
  <c r="K79" i="2"/>
  <c r="P101" i="2"/>
  <c r="B171" i="2"/>
  <c r="W171" i="2"/>
  <c r="X101" i="2"/>
  <c r="F171" i="2"/>
  <c r="I101" i="2"/>
  <c r="N79" i="2"/>
  <c r="G101" i="2"/>
  <c r="I171" i="2"/>
  <c r="B101" i="2"/>
  <c r="S79" i="2"/>
  <c r="T171" i="2"/>
  <c r="N171" i="2"/>
  <c r="C79" i="2"/>
  <c r="E171" i="2"/>
  <c r="T79" i="2"/>
  <c r="R101" i="2"/>
  <c r="D171" i="2"/>
  <c r="M79" i="2"/>
  <c r="O171" i="2"/>
  <c r="H79" i="2"/>
  <c r="M171" i="2"/>
  <c r="H101" i="2"/>
  <c r="V171" i="2"/>
  <c r="T101" i="2"/>
  <c r="N101" i="2"/>
  <c r="Q79" i="2"/>
  <c r="G79" i="2"/>
  <c r="G171" i="2"/>
  <c r="W101" i="2"/>
  <c r="J171" i="2"/>
  <c r="U79" i="2"/>
  <c r="D79" i="2"/>
  <c r="C101" i="2"/>
  <c r="X79" i="2"/>
  <c r="R171" i="2"/>
  <c r="E79" i="2"/>
  <c r="B79" i="2"/>
  <c r="F101" i="2"/>
  <c r="W79" i="2"/>
  <c r="L79" i="2"/>
  <c r="V79" i="2"/>
  <c r="U171" i="2"/>
  <c r="M101" i="2"/>
  <c r="L171" i="2"/>
  <c r="U101" i="2"/>
  <c r="S101" i="2"/>
  <c r="R79" i="2"/>
  <c r="H171" i="2"/>
  <c r="X171" i="2"/>
  <c r="P79" i="2"/>
  <c r="D101" i="2"/>
  <c r="J79" i="2"/>
  <c r="K171" i="2"/>
  <c r="Q101" i="2"/>
  <c r="F79" i="2"/>
  <c r="E101" i="2"/>
  <c r="S171" i="2"/>
  <c r="P171" i="2"/>
  <c r="L101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S172" i="1"/>
  <c r="AT172" i="1"/>
  <c r="F80" i="2"/>
  <c r="M102" i="2"/>
  <c r="X172" i="2"/>
  <c r="S102" i="2"/>
  <c r="E102" i="2"/>
  <c r="N102" i="2"/>
  <c r="M80" i="2"/>
  <c r="Q80" i="2"/>
  <c r="O102" i="2"/>
  <c r="W80" i="2"/>
  <c r="P80" i="2"/>
  <c r="R172" i="2"/>
  <c r="G80" i="2"/>
  <c r="L102" i="2"/>
  <c r="K80" i="2"/>
  <c r="P102" i="2"/>
  <c r="H102" i="2"/>
  <c r="B80" i="2"/>
  <c r="T102" i="2"/>
  <c r="X80" i="2"/>
  <c r="N80" i="2"/>
  <c r="H80" i="2"/>
  <c r="D102" i="2"/>
  <c r="Q172" i="2"/>
  <c r="F172" i="2"/>
  <c r="D80" i="2"/>
  <c r="P172" i="2"/>
  <c r="I102" i="2"/>
  <c r="X102" i="2"/>
  <c r="U102" i="2"/>
  <c r="E172" i="2"/>
  <c r="C80" i="2"/>
  <c r="R80" i="2"/>
  <c r="W172" i="2"/>
  <c r="K102" i="2"/>
  <c r="U172" i="2"/>
  <c r="J172" i="2"/>
  <c r="R102" i="2"/>
  <c r="J80" i="2"/>
  <c r="C172" i="2"/>
  <c r="M172" i="2"/>
  <c r="E80" i="2"/>
  <c r="S172" i="2"/>
  <c r="L172" i="2"/>
  <c r="V102" i="2"/>
  <c r="I172" i="2"/>
  <c r="V172" i="2"/>
  <c r="Q102" i="2"/>
  <c r="F102" i="2"/>
  <c r="T172" i="2"/>
  <c r="L80" i="2"/>
  <c r="O172" i="2"/>
  <c r="U80" i="2"/>
  <c r="J102" i="2"/>
  <c r="G102" i="2"/>
  <c r="I80" i="2"/>
  <c r="D172" i="2"/>
  <c r="W102" i="2"/>
  <c r="H172" i="2"/>
  <c r="S80" i="2"/>
  <c r="N172" i="2"/>
  <c r="C102" i="2"/>
  <c r="O80" i="2"/>
  <c r="G172" i="2"/>
  <c r="K172" i="2"/>
  <c r="B172" i="2"/>
  <c r="B102" i="2"/>
  <c r="T80" i="2"/>
  <c r="V80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T173" i="1"/>
  <c r="AS173" i="1"/>
  <c r="P103" i="2"/>
  <c r="I173" i="2"/>
  <c r="R103" i="2"/>
  <c r="X173" i="2"/>
  <c r="U103" i="2"/>
  <c r="O103" i="2"/>
  <c r="K173" i="2"/>
  <c r="J103" i="2"/>
  <c r="P173" i="2"/>
  <c r="K103" i="2"/>
  <c r="N173" i="2"/>
  <c r="V173" i="2"/>
  <c r="J173" i="2"/>
  <c r="X103" i="2"/>
  <c r="W103" i="2"/>
  <c r="B173" i="2"/>
  <c r="M173" i="2"/>
  <c r="E173" i="2"/>
  <c r="H103" i="2"/>
  <c r="L173" i="2"/>
  <c r="T103" i="2"/>
  <c r="M103" i="2"/>
  <c r="C103" i="2"/>
  <c r="D103" i="2"/>
  <c r="I103" i="2"/>
  <c r="R173" i="2"/>
  <c r="G103" i="2"/>
  <c r="W173" i="2"/>
  <c r="F173" i="2"/>
  <c r="U173" i="2"/>
  <c r="B103" i="2"/>
  <c r="E103" i="2"/>
  <c r="C173" i="2"/>
  <c r="G173" i="2"/>
  <c r="S173" i="2"/>
  <c r="V103" i="2"/>
  <c r="L103" i="2"/>
  <c r="S103" i="2"/>
  <c r="H173" i="2"/>
  <c r="Q103" i="2"/>
  <c r="O173" i="2"/>
  <c r="N103" i="2"/>
  <c r="Q173" i="2"/>
  <c r="D173" i="2"/>
  <c r="F103" i="2"/>
  <c r="T17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AS174" i="1"/>
  <c r="G174" i="2"/>
  <c r="G104" i="2"/>
  <c r="N174" i="2"/>
  <c r="P104" i="2"/>
  <c r="J174" i="2"/>
  <c r="H174" i="2"/>
  <c r="V104" i="2"/>
  <c r="S104" i="2"/>
  <c r="I174" i="2"/>
  <c r="Q174" i="2"/>
  <c r="B104" i="2"/>
  <c r="R174" i="2"/>
  <c r="K174" i="2"/>
  <c r="K104" i="2"/>
  <c r="H104" i="2"/>
  <c r="L104" i="2"/>
  <c r="D174" i="2"/>
  <c r="W104" i="2"/>
  <c r="U104" i="2"/>
  <c r="W174" i="2"/>
  <c r="F104" i="2"/>
  <c r="E174" i="2"/>
  <c r="F174" i="2"/>
  <c r="P174" i="2"/>
  <c r="Q104" i="2"/>
  <c r="B174" i="2"/>
  <c r="L174" i="2"/>
  <c r="X174" i="2"/>
  <c r="E104" i="2"/>
  <c r="O104" i="2"/>
  <c r="I104" i="2"/>
  <c r="V174" i="2"/>
  <c r="C104" i="2"/>
  <c r="U174" i="2"/>
  <c r="M174" i="2"/>
  <c r="S174" i="2"/>
  <c r="T174" i="2"/>
  <c r="O174" i="2"/>
  <c r="R104" i="2"/>
  <c r="X104" i="2"/>
  <c r="N104" i="2"/>
  <c r="J104" i="2"/>
  <c r="T104" i="2"/>
  <c r="D104" i="2"/>
  <c r="M104" i="2"/>
  <c r="C17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S175" i="1"/>
  <c r="AT175" i="1"/>
  <c r="H105" i="2"/>
  <c r="G105" i="2"/>
  <c r="Q105" i="2"/>
  <c r="I105" i="2"/>
  <c r="O175" i="2"/>
  <c r="K175" i="2"/>
  <c r="T105" i="2"/>
  <c r="L105" i="2"/>
  <c r="M175" i="2"/>
  <c r="B105" i="2"/>
  <c r="K105" i="2"/>
  <c r="R105" i="2"/>
  <c r="T175" i="2"/>
  <c r="R175" i="2"/>
  <c r="S105" i="2"/>
  <c r="W175" i="2"/>
  <c r="X175" i="2"/>
  <c r="P105" i="2"/>
  <c r="H175" i="2"/>
  <c r="F175" i="2"/>
  <c r="O105" i="2"/>
  <c r="G175" i="2"/>
  <c r="E175" i="2"/>
  <c r="V105" i="2"/>
  <c r="Q175" i="2"/>
  <c r="X105" i="2"/>
  <c r="J175" i="2"/>
  <c r="I175" i="2"/>
  <c r="N105" i="2"/>
  <c r="W105" i="2"/>
  <c r="E105" i="2"/>
  <c r="D175" i="2"/>
  <c r="U175" i="2"/>
  <c r="D105" i="2"/>
  <c r="M105" i="2"/>
  <c r="S175" i="2"/>
  <c r="N175" i="2"/>
  <c r="U105" i="2"/>
  <c r="F105" i="2"/>
  <c r="C175" i="2"/>
  <c r="C105" i="2"/>
  <c r="J105" i="2"/>
  <c r="V175" i="2"/>
  <c r="B175" i="2"/>
  <c r="L175" i="2"/>
  <c r="P17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T176" i="1"/>
  <c r="AS176" i="1"/>
  <c r="Q106" i="2"/>
  <c r="T106" i="2"/>
  <c r="E106" i="2"/>
  <c r="I106" i="2"/>
  <c r="R176" i="2"/>
  <c r="C106" i="2"/>
  <c r="J106" i="2"/>
  <c r="R106" i="2"/>
  <c r="W176" i="2"/>
  <c r="O176" i="2"/>
  <c r="V106" i="2"/>
  <c r="W106" i="2"/>
  <c r="B106" i="2"/>
  <c r="X106" i="2"/>
  <c r="P106" i="2"/>
  <c r="K176" i="2"/>
  <c r="P176" i="2"/>
  <c r="H106" i="2"/>
  <c r="N176" i="2"/>
  <c r="M106" i="2"/>
  <c r="T176" i="2"/>
  <c r="L176" i="2"/>
  <c r="K106" i="2"/>
  <c r="F106" i="2"/>
  <c r="B176" i="2"/>
  <c r="D106" i="2"/>
  <c r="E176" i="2"/>
  <c r="M176" i="2"/>
  <c r="V176" i="2"/>
  <c r="U106" i="2"/>
  <c r="O106" i="2"/>
  <c r="S176" i="2"/>
  <c r="G106" i="2"/>
  <c r="S106" i="2"/>
  <c r="H176" i="2"/>
  <c r="G176" i="2"/>
  <c r="J176" i="2"/>
  <c r="C176" i="2"/>
  <c r="N106" i="2"/>
  <c r="Q176" i="2"/>
  <c r="X176" i="2"/>
  <c r="D176" i="2"/>
  <c r="L106" i="2"/>
  <c r="U176" i="2"/>
  <c r="I176" i="2"/>
  <c r="F17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K107" i="2"/>
  <c r="C107" i="2"/>
  <c r="U107" i="2"/>
  <c r="X107" i="2"/>
  <c r="O177" i="2"/>
  <c r="E177" i="2"/>
  <c r="J107" i="2"/>
  <c r="G177" i="2"/>
  <c r="F177" i="2"/>
  <c r="D177" i="2"/>
  <c r="R177" i="2"/>
  <c r="V177" i="2"/>
  <c r="S107" i="2"/>
  <c r="U177" i="2"/>
  <c r="N177" i="2"/>
  <c r="H107" i="2"/>
  <c r="B177" i="2"/>
  <c r="Q177" i="2"/>
  <c r="K177" i="2"/>
  <c r="N107" i="2"/>
  <c r="J177" i="2"/>
  <c r="B107" i="2"/>
  <c r="P107" i="2"/>
  <c r="L107" i="2"/>
  <c r="W107" i="2"/>
  <c r="W177" i="2"/>
  <c r="X177" i="2"/>
  <c r="V107" i="2"/>
  <c r="I107" i="2"/>
  <c r="T107" i="2"/>
  <c r="M177" i="2"/>
  <c r="E107" i="2"/>
  <c r="I177" i="2"/>
  <c r="O107" i="2"/>
  <c r="C177" i="2"/>
  <c r="R107" i="2"/>
  <c r="M107" i="2"/>
  <c r="Q107" i="2"/>
  <c r="D107" i="2"/>
  <c r="T177" i="2"/>
  <c r="G107" i="2"/>
  <c r="F107" i="2"/>
  <c r="H177" i="2"/>
  <c r="P177" i="2"/>
  <c r="S177" i="2"/>
  <c r="L17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T178" i="1"/>
  <c r="AS178" i="1"/>
  <c r="J108" i="2"/>
  <c r="K178" i="2"/>
  <c r="S108" i="2"/>
  <c r="F178" i="2"/>
  <c r="R178" i="2"/>
  <c r="T108" i="2"/>
  <c r="K108" i="2"/>
  <c r="X108" i="2"/>
  <c r="P108" i="2"/>
  <c r="O108" i="2"/>
  <c r="M178" i="2"/>
  <c r="G108" i="2"/>
  <c r="C108" i="2"/>
  <c r="E108" i="2"/>
  <c r="M108" i="2"/>
  <c r="C178" i="2"/>
  <c r="U178" i="2"/>
  <c r="N108" i="2"/>
  <c r="B178" i="2"/>
  <c r="I108" i="2"/>
  <c r="X178" i="2"/>
  <c r="W108" i="2"/>
  <c r="V178" i="2"/>
  <c r="V108" i="2"/>
  <c r="R108" i="2"/>
  <c r="J178" i="2"/>
  <c r="L178" i="2"/>
  <c r="T178" i="2"/>
  <c r="B108" i="2"/>
  <c r="Q108" i="2"/>
  <c r="H108" i="2"/>
  <c r="Q178" i="2"/>
  <c r="W178" i="2"/>
  <c r="D178" i="2"/>
  <c r="D108" i="2"/>
  <c r="O178" i="2"/>
  <c r="S178" i="2"/>
  <c r="I178" i="2"/>
  <c r="L108" i="2"/>
  <c r="H178" i="2"/>
  <c r="N178" i="2"/>
  <c r="U108" i="2"/>
  <c r="E178" i="2"/>
  <c r="F108" i="2"/>
  <c r="P178" i="2"/>
  <c r="G17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S179" i="1"/>
  <c r="AT179" i="1"/>
  <c r="C109" i="2"/>
  <c r="R179" i="2"/>
  <c r="W109" i="2"/>
  <c r="L179" i="2"/>
  <c r="V109" i="2"/>
  <c r="J109" i="2"/>
  <c r="I109" i="2"/>
  <c r="F179" i="2"/>
  <c r="I179" i="2"/>
  <c r="N179" i="2"/>
  <c r="M109" i="2"/>
  <c r="W179" i="2"/>
  <c r="P109" i="2"/>
  <c r="Q109" i="2"/>
  <c r="D109" i="2"/>
  <c r="D179" i="2"/>
  <c r="E109" i="2"/>
  <c r="C179" i="2"/>
  <c r="J179" i="2"/>
  <c r="P179" i="2"/>
  <c r="S179" i="2"/>
  <c r="G179" i="2"/>
  <c r="M179" i="2"/>
  <c r="U109" i="2"/>
  <c r="X109" i="2"/>
  <c r="T179" i="2"/>
  <c r="T109" i="2"/>
  <c r="S109" i="2"/>
  <c r="F109" i="2"/>
  <c r="O109" i="2"/>
  <c r="G109" i="2"/>
  <c r="K109" i="2"/>
  <c r="K179" i="2"/>
  <c r="V179" i="2"/>
  <c r="N109" i="2"/>
  <c r="H179" i="2"/>
  <c r="U179" i="2"/>
  <c r="H109" i="2"/>
  <c r="E179" i="2"/>
  <c r="Q179" i="2"/>
  <c r="X179" i="2"/>
  <c r="O179" i="2"/>
  <c r="B179" i="2"/>
  <c r="L109" i="2"/>
  <c r="R109" i="2"/>
  <c r="B10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C180" i="2"/>
  <c r="M180" i="2"/>
  <c r="U110" i="2"/>
  <c r="O110" i="2"/>
  <c r="W110" i="2"/>
  <c r="R180" i="2"/>
  <c r="F180" i="2"/>
  <c r="K110" i="2"/>
  <c r="Q110" i="2"/>
  <c r="V110" i="2"/>
  <c r="S110" i="2"/>
  <c r="U180" i="2"/>
  <c r="E110" i="2"/>
  <c r="H110" i="2"/>
  <c r="I180" i="2"/>
  <c r="B180" i="2"/>
  <c r="F110" i="2"/>
  <c r="G180" i="2"/>
  <c r="C110" i="2"/>
  <c r="S180" i="2"/>
  <c r="P110" i="2"/>
  <c r="J180" i="2"/>
  <c r="P180" i="2"/>
  <c r="B110" i="2"/>
  <c r="J110" i="2"/>
  <c r="X180" i="2"/>
  <c r="L110" i="2"/>
  <c r="W180" i="2"/>
  <c r="D110" i="2"/>
  <c r="H180" i="2"/>
  <c r="X110" i="2"/>
  <c r="N180" i="2"/>
  <c r="O180" i="2"/>
  <c r="Q180" i="2"/>
  <c r="R110" i="2"/>
  <c r="K180" i="2"/>
  <c r="G110" i="2"/>
  <c r="N110" i="2"/>
  <c r="I110" i="2"/>
  <c r="T180" i="2"/>
  <c r="V180" i="2"/>
  <c r="T110" i="2"/>
  <c r="M110" i="2"/>
  <c r="D180" i="2"/>
  <c r="E180" i="2"/>
  <c r="L18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S181" i="1"/>
  <c r="AT181" i="1"/>
  <c r="S111" i="2"/>
  <c r="I181" i="2"/>
  <c r="W111" i="2"/>
  <c r="I111" i="2"/>
  <c r="M181" i="2"/>
  <c r="G181" i="2"/>
  <c r="N181" i="2"/>
  <c r="X111" i="2"/>
  <c r="D111" i="2"/>
  <c r="B181" i="2"/>
  <c r="R181" i="2"/>
  <c r="Q181" i="2"/>
  <c r="K181" i="2"/>
  <c r="B111" i="2"/>
  <c r="L181" i="2"/>
  <c r="U181" i="2"/>
  <c r="M111" i="2"/>
  <c r="H181" i="2"/>
  <c r="N111" i="2"/>
  <c r="F111" i="2"/>
  <c r="V181" i="2"/>
  <c r="S181" i="2"/>
  <c r="F181" i="2"/>
  <c r="J111" i="2"/>
  <c r="X181" i="2"/>
  <c r="T181" i="2"/>
  <c r="K111" i="2"/>
  <c r="O181" i="2"/>
  <c r="T111" i="2"/>
  <c r="C181" i="2"/>
  <c r="L111" i="2"/>
  <c r="R111" i="2"/>
  <c r="P111" i="2"/>
  <c r="W181" i="2"/>
  <c r="V111" i="2"/>
  <c r="O111" i="2"/>
  <c r="G111" i="2"/>
  <c r="E111" i="2"/>
  <c r="Q111" i="2"/>
  <c r="E181" i="2"/>
  <c r="J181" i="2"/>
  <c r="P181" i="2"/>
  <c r="C111" i="2"/>
  <c r="D181" i="2"/>
  <c r="U111" i="2"/>
  <c r="H11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S182" i="1"/>
  <c r="AT182" i="1"/>
  <c r="N112" i="2"/>
  <c r="B182" i="2"/>
  <c r="D112" i="2"/>
  <c r="W112" i="2"/>
  <c r="V182" i="2"/>
  <c r="I182" i="2"/>
  <c r="I112" i="2"/>
  <c r="S182" i="2"/>
  <c r="F182" i="2"/>
  <c r="G182" i="2"/>
  <c r="D182" i="2"/>
  <c r="L182" i="2"/>
  <c r="U182" i="2"/>
  <c r="R182" i="2"/>
  <c r="O112" i="2"/>
  <c r="T112" i="2"/>
  <c r="H112" i="2"/>
  <c r="K182" i="2"/>
  <c r="J182" i="2"/>
  <c r="E182" i="2"/>
  <c r="M112" i="2"/>
  <c r="J112" i="2"/>
  <c r="F112" i="2"/>
  <c r="P112" i="2"/>
  <c r="V112" i="2"/>
  <c r="C182" i="2"/>
  <c r="T182" i="2"/>
  <c r="S112" i="2"/>
  <c r="Q112" i="2"/>
  <c r="R112" i="2"/>
  <c r="G112" i="2"/>
  <c r="E112" i="2"/>
  <c r="O182" i="2"/>
  <c r="B112" i="2"/>
  <c r="U112" i="2"/>
  <c r="N182" i="2"/>
  <c r="Q182" i="2"/>
  <c r="W182" i="2"/>
  <c r="M182" i="2"/>
  <c r="X112" i="2"/>
  <c r="L112" i="2"/>
  <c r="X182" i="2"/>
  <c r="P182" i="2"/>
  <c r="K112" i="2"/>
  <c r="C112" i="2"/>
  <c r="H18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AS183" i="1"/>
  <c r="E183" i="2"/>
  <c r="D113" i="2"/>
  <c r="C183" i="2"/>
  <c r="J183" i="2"/>
  <c r="X113" i="2"/>
  <c r="T113" i="2"/>
  <c r="B183" i="2"/>
  <c r="K183" i="2"/>
  <c r="O113" i="2"/>
  <c r="M113" i="2"/>
  <c r="F113" i="2"/>
  <c r="R113" i="2"/>
  <c r="F183" i="2"/>
  <c r="S183" i="2"/>
  <c r="N113" i="2"/>
  <c r="I183" i="2"/>
  <c r="I113" i="2"/>
  <c r="W183" i="2"/>
  <c r="V183" i="2"/>
  <c r="N183" i="2"/>
  <c r="K113" i="2"/>
  <c r="H113" i="2"/>
  <c r="B113" i="2"/>
  <c r="T183" i="2"/>
  <c r="O183" i="2"/>
  <c r="M183" i="2"/>
  <c r="V113" i="2"/>
  <c r="L183" i="2"/>
  <c r="P183" i="2"/>
  <c r="X183" i="2"/>
  <c r="R183" i="2"/>
  <c r="Q113" i="2"/>
  <c r="U183" i="2"/>
  <c r="E113" i="2"/>
  <c r="G113" i="2"/>
  <c r="L113" i="2"/>
  <c r="S113" i="2"/>
  <c r="Q183" i="2"/>
  <c r="J113" i="2"/>
  <c r="U113" i="2"/>
  <c r="D183" i="2"/>
  <c r="H183" i="2"/>
  <c r="W113" i="2"/>
  <c r="P113" i="2"/>
  <c r="C113" i="2"/>
  <c r="G18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S184" i="1"/>
  <c r="AT184" i="1"/>
  <c r="P114" i="2"/>
  <c r="O184" i="2"/>
  <c r="D114" i="2"/>
  <c r="Q184" i="2"/>
  <c r="V114" i="2"/>
  <c r="K114" i="2"/>
  <c r="C184" i="2"/>
  <c r="N114" i="2"/>
  <c r="M184" i="2"/>
  <c r="J184" i="2"/>
  <c r="J114" i="2"/>
  <c r="E184" i="2"/>
  <c r="M114" i="2"/>
  <c r="L114" i="2"/>
  <c r="Q114" i="2"/>
  <c r="G184" i="2"/>
  <c r="F184" i="2"/>
  <c r="C114" i="2"/>
  <c r="D184" i="2"/>
  <c r="W114" i="2"/>
  <c r="U114" i="2"/>
  <c r="I114" i="2"/>
  <c r="X184" i="2"/>
  <c r="E114" i="2"/>
  <c r="K184" i="2"/>
  <c r="H184" i="2"/>
  <c r="U184" i="2"/>
  <c r="R114" i="2"/>
  <c r="S114" i="2"/>
  <c r="O114" i="2"/>
  <c r="X114" i="2"/>
  <c r="G114" i="2"/>
  <c r="W184" i="2"/>
  <c r="T114" i="2"/>
  <c r="R184" i="2"/>
  <c r="H114" i="2"/>
  <c r="B184" i="2"/>
  <c r="I184" i="2"/>
  <c r="F114" i="2"/>
  <c r="L184" i="2"/>
  <c r="N184" i="2"/>
  <c r="V184" i="2"/>
  <c r="B114" i="2"/>
  <c r="T184" i="2"/>
  <c r="S184" i="2"/>
  <c r="P18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F115" i="2"/>
  <c r="E115" i="2"/>
  <c r="V185" i="2"/>
  <c r="N115" i="2"/>
  <c r="G115" i="2"/>
  <c r="W185" i="2"/>
  <c r="J115" i="2"/>
  <c r="S185" i="2"/>
  <c r="F185" i="2"/>
  <c r="D115" i="2"/>
  <c r="V115" i="2"/>
  <c r="L115" i="2"/>
  <c r="T115" i="2"/>
  <c r="H115" i="2"/>
  <c r="K185" i="2"/>
  <c r="X115" i="2"/>
  <c r="N185" i="2"/>
  <c r="B115" i="2"/>
  <c r="I115" i="2"/>
  <c r="X185" i="2"/>
  <c r="E185" i="2"/>
  <c r="M115" i="2"/>
  <c r="J185" i="2"/>
  <c r="O115" i="2"/>
  <c r="W115" i="2"/>
  <c r="M185" i="2"/>
  <c r="C115" i="2"/>
  <c r="B185" i="2"/>
  <c r="I185" i="2"/>
  <c r="P185" i="2"/>
  <c r="D185" i="2"/>
  <c r="O185" i="2"/>
  <c r="H185" i="2"/>
  <c r="K115" i="2"/>
  <c r="T185" i="2"/>
  <c r="Q185" i="2"/>
  <c r="L185" i="2"/>
  <c r="U115" i="2"/>
  <c r="G185" i="2"/>
  <c r="Q115" i="2"/>
  <c r="C185" i="2"/>
  <c r="P115" i="2"/>
  <c r="R185" i="2"/>
  <c r="U185" i="2"/>
  <c r="R115" i="2"/>
  <c r="S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T186" i="1"/>
  <c r="AS186" i="1"/>
  <c r="T116" i="2"/>
  <c r="E116" i="2"/>
  <c r="N186" i="2"/>
  <c r="H116" i="2"/>
  <c r="G116" i="2"/>
  <c r="L186" i="2"/>
  <c r="C186" i="2"/>
  <c r="J186" i="2"/>
  <c r="W116" i="2"/>
  <c r="E186" i="2"/>
  <c r="S116" i="2"/>
  <c r="M186" i="2"/>
  <c r="B116" i="2"/>
  <c r="P186" i="2"/>
  <c r="N116" i="2"/>
  <c r="I186" i="2"/>
  <c r="T186" i="2"/>
  <c r="L116" i="2"/>
  <c r="S186" i="2"/>
  <c r="Q116" i="2"/>
  <c r="U186" i="2"/>
  <c r="H186" i="2"/>
  <c r="J116" i="2"/>
  <c r="V186" i="2"/>
  <c r="V116" i="2"/>
  <c r="P116" i="2"/>
  <c r="U116" i="2"/>
  <c r="X116" i="2"/>
  <c r="F186" i="2"/>
  <c r="K116" i="2"/>
  <c r="R186" i="2"/>
  <c r="B186" i="2"/>
  <c r="I116" i="2"/>
  <c r="F116" i="2"/>
  <c r="K186" i="2"/>
  <c r="W186" i="2"/>
  <c r="Q186" i="2"/>
  <c r="M116" i="2"/>
  <c r="O116" i="2"/>
  <c r="C116" i="2"/>
  <c r="D186" i="2"/>
  <c r="D116" i="2"/>
  <c r="G186" i="2"/>
  <c r="O186" i="2"/>
  <c r="R116" i="2"/>
  <c r="X18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S187" i="1"/>
  <c r="AT187" i="1"/>
  <c r="E117" i="2"/>
  <c r="O187" i="2"/>
  <c r="G187" i="2"/>
  <c r="F117" i="2"/>
  <c r="B187" i="2"/>
  <c r="D187" i="2"/>
  <c r="E187" i="2"/>
  <c r="N117" i="2"/>
  <c r="S117" i="2"/>
  <c r="P117" i="2"/>
  <c r="G117" i="2"/>
  <c r="F187" i="2"/>
  <c r="V187" i="2"/>
  <c r="O117" i="2"/>
  <c r="I187" i="2"/>
  <c r="X187" i="2"/>
  <c r="I117" i="2"/>
  <c r="J187" i="2"/>
  <c r="U117" i="2"/>
  <c r="R187" i="2"/>
  <c r="S187" i="2"/>
  <c r="D117" i="2"/>
  <c r="H117" i="2"/>
  <c r="T117" i="2"/>
  <c r="L117" i="2"/>
  <c r="W187" i="2"/>
  <c r="X117" i="2"/>
  <c r="Q117" i="2"/>
  <c r="T187" i="2"/>
  <c r="M117" i="2"/>
  <c r="N187" i="2"/>
  <c r="M187" i="2"/>
  <c r="R117" i="2"/>
  <c r="J117" i="2"/>
  <c r="H187" i="2"/>
  <c r="U187" i="2"/>
  <c r="V117" i="2"/>
  <c r="C187" i="2"/>
  <c r="W117" i="2"/>
  <c r="Q187" i="2"/>
  <c r="L187" i="2"/>
  <c r="B117" i="2"/>
  <c r="C117" i="2"/>
  <c r="P187" i="2"/>
  <c r="K187" i="2"/>
  <c r="K11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S188" i="1"/>
  <c r="AT188" i="1"/>
  <c r="S188" i="2"/>
  <c r="J118" i="2"/>
  <c r="R118" i="2"/>
  <c r="K118" i="2"/>
  <c r="T118" i="2"/>
  <c r="L118" i="2"/>
  <c r="U118" i="2"/>
  <c r="F118" i="2"/>
  <c r="E118" i="2"/>
  <c r="H118" i="2"/>
  <c r="D118" i="2"/>
  <c r="B118" i="2"/>
  <c r="Q188" i="2"/>
  <c r="O118" i="2"/>
  <c r="U188" i="2"/>
  <c r="I188" i="2"/>
  <c r="L188" i="2"/>
  <c r="K188" i="2"/>
  <c r="W188" i="2"/>
  <c r="S118" i="2"/>
  <c r="V118" i="2"/>
  <c r="C118" i="2"/>
  <c r="D188" i="2"/>
  <c r="N188" i="2"/>
  <c r="R188" i="2"/>
  <c r="X118" i="2"/>
  <c r="G118" i="2"/>
  <c r="Q118" i="2"/>
  <c r="I118" i="2"/>
  <c r="E188" i="2"/>
  <c r="G188" i="2"/>
  <c r="C188" i="2"/>
  <c r="X188" i="2"/>
  <c r="V188" i="2"/>
  <c r="P118" i="2"/>
  <c r="P188" i="2"/>
  <c r="M188" i="2"/>
  <c r="H188" i="2"/>
  <c r="J188" i="2"/>
  <c r="M118" i="2"/>
  <c r="B188" i="2"/>
  <c r="O188" i="2"/>
  <c r="W118" i="2"/>
  <c r="N118" i="2"/>
  <c r="F188" i="2"/>
  <c r="T18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S189" i="1"/>
  <c r="AT189" i="1"/>
  <c r="DD189" i="1"/>
  <c r="DC189" i="1"/>
  <c r="N119" i="2"/>
  <c r="V189" i="2"/>
  <c r="L189" i="2"/>
  <c r="Q119" i="2"/>
  <c r="J119" i="2"/>
  <c r="X119" i="2"/>
  <c r="S119" i="2"/>
  <c r="O119" i="2"/>
  <c r="O189" i="2"/>
  <c r="F119" i="2"/>
  <c r="T189" i="2"/>
  <c r="S189" i="2"/>
  <c r="Q189" i="2"/>
  <c r="B189" i="2"/>
  <c r="D189" i="2"/>
  <c r="P189" i="2"/>
  <c r="R189" i="2"/>
  <c r="H119" i="2"/>
  <c r="G119" i="2"/>
  <c r="U189" i="2"/>
  <c r="U119" i="2"/>
  <c r="M189" i="2"/>
  <c r="H189" i="2"/>
  <c r="K189" i="2"/>
  <c r="G189" i="2"/>
  <c r="D119" i="2"/>
  <c r="I119" i="2"/>
  <c r="F189" i="2"/>
  <c r="N189" i="2"/>
  <c r="E119" i="2"/>
  <c r="C119" i="2"/>
  <c r="I189" i="2"/>
  <c r="P119" i="2"/>
  <c r="M119" i="2"/>
  <c r="T119" i="2"/>
  <c r="X189" i="2"/>
  <c r="E189" i="2"/>
  <c r="K119" i="2"/>
  <c r="L119" i="2"/>
  <c r="W119" i="2"/>
  <c r="J189" i="2"/>
  <c r="B119" i="2"/>
  <c r="W189" i="2"/>
  <c r="V119" i="2"/>
  <c r="C189" i="2"/>
  <c r="R11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7" i="1"/>
  <c r="EL55" i="1"/>
  <c r="EL68" i="1"/>
  <c r="EL54" i="1"/>
  <c r="EL66" i="1"/>
  <c r="EL65" i="1"/>
  <c r="EL69" i="1"/>
  <c r="G120" i="2"/>
  <c r="K190" i="2"/>
  <c r="N120" i="2"/>
  <c r="P190" i="2"/>
  <c r="H190" i="2"/>
  <c r="H120" i="2"/>
  <c r="D190" i="2"/>
  <c r="S190" i="2"/>
  <c r="F120" i="2"/>
  <c r="W190" i="2"/>
  <c r="U190" i="2"/>
  <c r="B190" i="2"/>
  <c r="U120" i="2"/>
  <c r="O190" i="2"/>
  <c r="G190" i="2"/>
  <c r="L120" i="2"/>
  <c r="N190" i="2"/>
  <c r="I120" i="2"/>
  <c r="V190" i="2"/>
  <c r="P120" i="2"/>
  <c r="C190" i="2"/>
  <c r="X120" i="2"/>
  <c r="J190" i="2"/>
  <c r="R190" i="2"/>
  <c r="S120" i="2"/>
  <c r="Q120" i="2"/>
  <c r="J120" i="2"/>
  <c r="K120" i="2"/>
  <c r="T190" i="2"/>
  <c r="V120" i="2"/>
  <c r="E120" i="2"/>
  <c r="R120" i="2"/>
  <c r="C120" i="2"/>
  <c r="D120" i="2"/>
  <c r="Q190" i="2"/>
  <c r="M120" i="2"/>
  <c r="T120" i="2"/>
  <c r="I190" i="2"/>
  <c r="B120" i="2"/>
  <c r="W120" i="2"/>
  <c r="M190" i="2"/>
  <c r="O120" i="2"/>
  <c r="X190" i="2"/>
  <c r="F190" i="2"/>
  <c r="E190" i="2"/>
  <c r="L19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BJ54" i="1" s="1"/>
  <c r="EE65" i="1"/>
  <c r="DX65" i="1" s="1"/>
  <c r="BJ65" i="1" s="1"/>
  <c r="EE55" i="1"/>
  <c r="DX55" i="1" s="1"/>
  <c r="BJ55" i="1" s="1"/>
  <c r="EE66" i="1"/>
  <c r="DX66" i="1" s="1"/>
  <c r="BJ66" i="1" s="1"/>
  <c r="EE67" i="1"/>
  <c r="DX67" i="1" s="1"/>
  <c r="BJ67" i="1" s="1"/>
  <c r="EE68" i="1"/>
  <c r="DX68" i="1" s="1"/>
  <c r="BJ68" i="1" s="1"/>
  <c r="EE69" i="1"/>
  <c r="DX69" i="1" s="1"/>
  <c r="BJ69" i="1" s="1"/>
  <c r="EL83" i="1"/>
  <c r="EM43" i="1"/>
  <c r="EM67" i="1"/>
  <c r="EM69" i="1"/>
  <c r="EM54" i="1"/>
  <c r="EM66" i="1"/>
  <c r="EM55" i="1"/>
  <c r="EM65" i="1"/>
  <c r="EM68" i="1"/>
  <c r="T121" i="2"/>
  <c r="B121" i="2"/>
  <c r="K121" i="2"/>
  <c r="Q121" i="2"/>
  <c r="W121" i="2"/>
  <c r="H121" i="2"/>
  <c r="D121" i="2"/>
  <c r="O121" i="2"/>
  <c r="M121" i="2"/>
  <c r="G121" i="2"/>
  <c r="U121" i="2"/>
  <c r="F121" i="2"/>
  <c r="V121" i="2"/>
  <c r="X121" i="2"/>
  <c r="S121" i="2"/>
  <c r="P121" i="2"/>
  <c r="E121" i="2"/>
  <c r="C121" i="2"/>
  <c r="N121" i="2"/>
  <c r="J121" i="2"/>
  <c r="R121" i="2"/>
  <c r="I121" i="2"/>
  <c r="L121" i="2"/>
  <c r="Y121" i="2" l="1"/>
  <c r="BG120" i="1" s="1"/>
  <c r="DG120" i="1"/>
  <c r="A121" i="1"/>
  <c r="A122" i="2" s="1"/>
  <c r="AZ120" i="1"/>
  <c r="F120" i="1"/>
  <c r="G120" i="1"/>
  <c r="EF54" i="1"/>
  <c r="DY54" i="1" s="1"/>
  <c r="BK54" i="1" s="1"/>
  <c r="BQ54" i="1" s="1"/>
  <c r="EF65" i="1"/>
  <c r="DY65" i="1" s="1"/>
  <c r="BK65" i="1" s="1"/>
  <c r="DR65" i="1" s="1"/>
  <c r="EF55" i="1"/>
  <c r="DY55" i="1" s="1"/>
  <c r="BK55" i="1" s="1"/>
  <c r="BX55" i="1" s="1"/>
  <c r="EF66" i="1"/>
  <c r="DY66" i="1" s="1"/>
  <c r="BK66" i="1" s="1"/>
  <c r="BQ66" i="1" s="1"/>
  <c r="EF67" i="1"/>
  <c r="DY67" i="1" s="1"/>
  <c r="BK67" i="1" s="1"/>
  <c r="BQ67" i="1" s="1"/>
  <c r="EF68" i="1"/>
  <c r="DY68" i="1" s="1"/>
  <c r="BK68" i="1" s="1"/>
  <c r="BQ68" i="1" s="1"/>
  <c r="EF69" i="1"/>
  <c r="DY69" i="1" s="1"/>
  <c r="BK69" i="1" s="1"/>
  <c r="DR69" i="1" s="1"/>
  <c r="EL135" i="1"/>
  <c r="EM135" i="1" s="1"/>
  <c r="EN135" i="1" s="1"/>
  <c r="EO135" i="1" s="1"/>
  <c r="EP135" i="1" s="1"/>
  <c r="EQ135" i="1" s="1"/>
  <c r="EM83" i="1"/>
  <c r="EN43" i="1"/>
  <c r="Q122" i="2"/>
  <c r="S122" i="2"/>
  <c r="D122" i="2"/>
  <c r="L122" i="2"/>
  <c r="K122" i="2"/>
  <c r="G122" i="2"/>
  <c r="T122" i="2"/>
  <c r="I122" i="2"/>
  <c r="H122" i="2"/>
  <c r="R122" i="2"/>
  <c r="C122" i="2"/>
  <c r="U122" i="2"/>
  <c r="W122" i="2"/>
  <c r="E122" i="2"/>
  <c r="O122" i="2"/>
  <c r="P122" i="2"/>
  <c r="M122" i="2"/>
  <c r="J122" i="2"/>
  <c r="N122" i="2"/>
  <c r="F122" i="2"/>
  <c r="X122" i="2"/>
  <c r="V122" i="2"/>
  <c r="B122" i="2"/>
  <c r="CW68" i="1" l="1"/>
  <c r="BR68" i="1"/>
  <c r="CW67" i="1"/>
  <c r="BR67" i="1"/>
  <c r="CW54" i="1"/>
  <c r="CW66" i="1"/>
  <c r="Y122" i="2"/>
  <c r="BG121" i="1" s="1"/>
  <c r="DG121" i="1"/>
  <c r="G121" i="1"/>
  <c r="A122" i="1"/>
  <c r="A123" i="2" s="1"/>
  <c r="AZ121" i="1"/>
  <c r="F121" i="1"/>
  <c r="BQ65" i="1"/>
  <c r="BR66" i="1" s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ET66" i="1" s="1"/>
  <c r="DR55" i="1"/>
  <c r="BQ69" i="1"/>
  <c r="BX69" i="1"/>
  <c r="BQ55" i="1"/>
  <c r="DR68" i="1"/>
  <c r="CY55" i="1"/>
  <c r="EN83" i="1"/>
  <c r="EO43" i="1"/>
  <c r="H123" i="2"/>
  <c r="X123" i="2"/>
  <c r="Q123" i="2"/>
  <c r="R123" i="2"/>
  <c r="M123" i="2"/>
  <c r="V123" i="2"/>
  <c r="N123" i="2"/>
  <c r="K123" i="2"/>
  <c r="E123" i="2"/>
  <c r="S123" i="2"/>
  <c r="F123" i="2"/>
  <c r="W123" i="2"/>
  <c r="T123" i="2"/>
  <c r="U123" i="2"/>
  <c r="J123" i="2"/>
  <c r="D123" i="2"/>
  <c r="G123" i="2"/>
  <c r="O123" i="2"/>
  <c r="B123" i="2"/>
  <c r="I123" i="2"/>
  <c r="C123" i="2"/>
  <c r="L123" i="2"/>
  <c r="P123" i="2"/>
  <c r="CW55" i="1" l="1"/>
  <c r="BR55" i="1"/>
  <c r="CW65" i="1"/>
  <c r="CW69" i="1"/>
  <c r="BR69" i="1"/>
  <c r="ET55" i="1"/>
  <c r="Y123" i="2"/>
  <c r="BG122" i="1" s="1"/>
  <c r="DG122" i="1"/>
  <c r="F122" i="1"/>
  <c r="A123" i="1"/>
  <c r="A124" i="2" s="1"/>
  <c r="AZ122" i="1"/>
  <c r="G122" i="1"/>
  <c r="ET54" i="1"/>
  <c r="BY69" i="1"/>
  <c r="BY55" i="1"/>
  <c r="ET67" i="1"/>
  <c r="BY66" i="1"/>
  <c r="BY68" i="1"/>
  <c r="BY67" i="1"/>
  <c r="CY66" i="1"/>
  <c r="CZ67" i="1" s="1"/>
  <c r="ET68" i="1"/>
  <c r="ET65" i="1"/>
  <c r="CZ55" i="1"/>
  <c r="ET69" i="1"/>
  <c r="CY69" i="1"/>
  <c r="CZ69" i="1" s="1"/>
  <c r="CZ68" i="1"/>
  <c r="EO83" i="1"/>
  <c r="EP43" i="1"/>
  <c r="L124" i="2"/>
  <c r="G124" i="2"/>
  <c r="K124" i="2"/>
  <c r="W124" i="2"/>
  <c r="T124" i="2"/>
  <c r="V124" i="2"/>
  <c r="J124" i="2"/>
  <c r="H124" i="2"/>
  <c r="N124" i="2"/>
  <c r="E124" i="2"/>
  <c r="Q124" i="2"/>
  <c r="P124" i="2"/>
  <c r="D124" i="2"/>
  <c r="C124" i="2"/>
  <c r="F124" i="2"/>
  <c r="X124" i="2"/>
  <c r="I124" i="2"/>
  <c r="U124" i="2"/>
  <c r="B124" i="2"/>
  <c r="S124" i="2"/>
  <c r="R124" i="2"/>
  <c r="M124" i="2"/>
  <c r="O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B125" i="2"/>
  <c r="S125" i="2"/>
  <c r="O125" i="2"/>
  <c r="F125" i="2"/>
  <c r="G125" i="2"/>
  <c r="C125" i="2"/>
  <c r="H125" i="2"/>
  <c r="N125" i="2"/>
  <c r="E125" i="2"/>
  <c r="P125" i="2"/>
  <c r="X125" i="2"/>
  <c r="L125" i="2"/>
  <c r="T125" i="2"/>
  <c r="V125" i="2"/>
  <c r="K125" i="2"/>
  <c r="R125" i="2"/>
  <c r="M125" i="2"/>
  <c r="W125" i="2"/>
  <c r="U125" i="2"/>
  <c r="J125" i="2"/>
  <c r="D125" i="2"/>
  <c r="Q125" i="2"/>
  <c r="I125" i="2"/>
  <c r="Y125" i="2" l="1"/>
  <c r="BG124" i="1" s="1"/>
  <c r="DG124" i="1"/>
  <c r="A125" i="1"/>
  <c r="A126" i="2" s="1"/>
  <c r="AZ124" i="1"/>
  <c r="F124" i="1"/>
  <c r="G124" i="1"/>
  <c r="EQ83" i="1"/>
  <c r="L126" i="2"/>
  <c r="G126" i="2"/>
  <c r="M126" i="2"/>
  <c r="O126" i="2"/>
  <c r="S126" i="2"/>
  <c r="B126" i="2"/>
  <c r="C126" i="2"/>
  <c r="D126" i="2"/>
  <c r="U126" i="2"/>
  <c r="P126" i="2"/>
  <c r="V126" i="2"/>
  <c r="K126" i="2"/>
  <c r="X126" i="2"/>
  <c r="E126" i="2"/>
  <c r="N126" i="2"/>
  <c r="R126" i="2"/>
  <c r="F126" i="2"/>
  <c r="I126" i="2"/>
  <c r="J126" i="2"/>
  <c r="H126" i="2"/>
  <c r="W126" i="2"/>
  <c r="T126" i="2"/>
  <c r="Q126" i="2"/>
  <c r="Y126" i="2" l="1"/>
  <c r="BG125" i="1" s="1"/>
  <c r="DG125" i="1"/>
  <c r="A126" i="1"/>
  <c r="A127" i="2" s="1"/>
  <c r="AZ125" i="1"/>
  <c r="G125" i="1"/>
  <c r="F125" i="1"/>
  <c r="F4" i="1"/>
  <c r="V127" i="2"/>
  <c r="M127" i="2"/>
  <c r="C127" i="2"/>
  <c r="S127" i="2"/>
  <c r="P127" i="2"/>
  <c r="B127" i="2"/>
  <c r="G127" i="2"/>
  <c r="I127" i="2"/>
  <c r="X127" i="2"/>
  <c r="T127" i="2"/>
  <c r="W127" i="2"/>
  <c r="Q127" i="2"/>
  <c r="D127" i="2"/>
  <c r="R127" i="2"/>
  <c r="U127" i="2"/>
  <c r="L127" i="2"/>
  <c r="H127" i="2"/>
  <c r="O127" i="2"/>
  <c r="N127" i="2"/>
  <c r="K127" i="2"/>
  <c r="F127" i="2"/>
  <c r="J127" i="2"/>
  <c r="E127" i="2"/>
  <c r="Y127" i="2" l="1"/>
  <c r="BG126" i="1" s="1"/>
  <c r="DG126" i="1"/>
  <c r="A127" i="1"/>
  <c r="A128" i="2" s="1"/>
  <c r="AZ126" i="1"/>
  <c r="F126" i="1"/>
  <c r="G126" i="1"/>
  <c r="A5" i="1"/>
  <c r="P128" i="2"/>
  <c r="T128" i="2"/>
  <c r="V128" i="2"/>
  <c r="Q128" i="2"/>
  <c r="W128" i="2"/>
  <c r="R128" i="2"/>
  <c r="L128" i="2"/>
  <c r="D128" i="2"/>
  <c r="O128" i="2"/>
  <c r="B128" i="2"/>
  <c r="I128" i="2"/>
  <c r="X128" i="2"/>
  <c r="E128" i="2"/>
  <c r="S128" i="2"/>
  <c r="K128" i="2"/>
  <c r="F128" i="2"/>
  <c r="H128" i="2"/>
  <c r="M128" i="2"/>
  <c r="C128" i="2"/>
  <c r="N128" i="2"/>
  <c r="G128" i="2"/>
  <c r="U128" i="2"/>
  <c r="J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U129" i="2"/>
  <c r="D6" i="2"/>
  <c r="H129" i="2"/>
  <c r="T6" i="2"/>
  <c r="O6" i="2"/>
  <c r="X129" i="2"/>
  <c r="J6" i="2"/>
  <c r="I6" i="2"/>
  <c r="Q129" i="2"/>
  <c r="D129" i="2"/>
  <c r="R129" i="2"/>
  <c r="O129" i="2"/>
  <c r="L6" i="2"/>
  <c r="N6" i="2"/>
  <c r="G129" i="2"/>
  <c r="V6" i="2"/>
  <c r="M129" i="2"/>
  <c r="L129" i="2"/>
  <c r="W6" i="2"/>
  <c r="K6" i="2"/>
  <c r="U6" i="2"/>
  <c r="N129" i="2"/>
  <c r="S6" i="2"/>
  <c r="Q6" i="2"/>
  <c r="G6" i="2"/>
  <c r="B129" i="2"/>
  <c r="W129" i="2"/>
  <c r="P129" i="2"/>
  <c r="C129" i="2"/>
  <c r="I129" i="2"/>
  <c r="V129" i="2"/>
  <c r="P6" i="2"/>
  <c r="R6" i="2"/>
  <c r="E129" i="2"/>
  <c r="S129" i="2"/>
  <c r="X6" i="2"/>
  <c r="E6" i="2"/>
  <c r="C6" i="2"/>
  <c r="H6" i="2"/>
  <c r="K129" i="2"/>
  <c r="J129" i="2"/>
  <c r="F6" i="2"/>
  <c r="M6" i="2"/>
  <c r="B6" i="2"/>
  <c r="F129" i="2"/>
  <c r="T129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U130" i="2"/>
  <c r="G130" i="2"/>
  <c r="X7" i="2"/>
  <c r="F7" i="2"/>
  <c r="P7" i="2"/>
  <c r="O130" i="2"/>
  <c r="V130" i="2"/>
  <c r="S7" i="2"/>
  <c r="N7" i="2"/>
  <c r="Q130" i="2"/>
  <c r="C7" i="2"/>
  <c r="M130" i="2"/>
  <c r="T7" i="2"/>
  <c r="D130" i="2"/>
  <c r="W7" i="2"/>
  <c r="S130" i="2"/>
  <c r="X130" i="2"/>
  <c r="U7" i="2"/>
  <c r="E7" i="2"/>
  <c r="G7" i="2"/>
  <c r="V7" i="2"/>
  <c r="R7" i="2"/>
  <c r="T130" i="2"/>
  <c r="I7" i="2"/>
  <c r="K130" i="2"/>
  <c r="C130" i="2"/>
  <c r="J130" i="2"/>
  <c r="R130" i="2"/>
  <c r="P130" i="2"/>
  <c r="H130" i="2"/>
  <c r="F130" i="2"/>
  <c r="W130" i="2"/>
  <c r="H7" i="2"/>
  <c r="O7" i="2"/>
  <c r="K7" i="2"/>
  <c r="J7" i="2"/>
  <c r="I130" i="2"/>
  <c r="L130" i="2"/>
  <c r="L7" i="2"/>
  <c r="Q7" i="2"/>
  <c r="N130" i="2"/>
  <c r="B130" i="2"/>
  <c r="M7" i="2"/>
  <c r="D7" i="2"/>
  <c r="E130" i="2"/>
  <c r="B7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F131" i="2"/>
  <c r="J131" i="2"/>
  <c r="I131" i="2"/>
  <c r="H131" i="2"/>
  <c r="C131" i="2"/>
  <c r="K8" i="2"/>
  <c r="S8" i="2"/>
  <c r="V8" i="2"/>
  <c r="T131" i="2"/>
  <c r="N131" i="2"/>
  <c r="Q131" i="2"/>
  <c r="N8" i="2"/>
  <c r="M8" i="2"/>
  <c r="X131" i="2"/>
  <c r="L8" i="2"/>
  <c r="G8" i="2"/>
  <c r="W131" i="2"/>
  <c r="T8" i="2"/>
  <c r="L131" i="2"/>
  <c r="M131" i="2"/>
  <c r="Q8" i="2"/>
  <c r="G131" i="2"/>
  <c r="D8" i="2"/>
  <c r="U8" i="2"/>
  <c r="R8" i="2"/>
  <c r="V131" i="2"/>
  <c r="E8" i="2"/>
  <c r="B131" i="2"/>
  <c r="R131" i="2"/>
  <c r="F8" i="2"/>
  <c r="E131" i="2"/>
  <c r="H8" i="2"/>
  <c r="C8" i="2"/>
  <c r="S131" i="2"/>
  <c r="B8" i="2"/>
  <c r="D131" i="2"/>
  <c r="U131" i="2"/>
  <c r="I8" i="2"/>
  <c r="J8" i="2"/>
  <c r="P131" i="2"/>
  <c r="O8" i="2"/>
  <c r="K131" i="2"/>
  <c r="P8" i="2"/>
  <c r="X8" i="2"/>
  <c r="O131" i="2"/>
  <c r="W8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R9" i="2"/>
  <c r="E9" i="2"/>
  <c r="M9" i="2"/>
  <c r="G9" i="2"/>
  <c r="P9" i="2"/>
  <c r="L9" i="2"/>
  <c r="S9" i="2"/>
  <c r="V9" i="2"/>
  <c r="X9" i="2"/>
  <c r="H9" i="2"/>
  <c r="J9" i="2"/>
  <c r="W9" i="2"/>
  <c r="K9" i="2"/>
  <c r="T9" i="2"/>
  <c r="N9" i="2"/>
  <c r="C9" i="2"/>
  <c r="O9" i="2"/>
  <c r="B9" i="2"/>
  <c r="U9" i="2"/>
  <c r="F9" i="2"/>
  <c r="Q9" i="2"/>
  <c r="D9" i="2"/>
  <c r="I9" i="2"/>
  <c r="Y9" i="2" l="1"/>
  <c r="BG8" i="1" s="1"/>
  <c r="AZ9" i="1"/>
  <c r="A10" i="2"/>
  <c r="DG9" i="1"/>
  <c r="F9" i="1"/>
  <c r="A10" i="1"/>
  <c r="W10" i="2"/>
  <c r="U10" i="2"/>
  <c r="Q10" i="2"/>
  <c r="S10" i="2"/>
  <c r="F10" i="2"/>
  <c r="B10" i="2"/>
  <c r="T10" i="2"/>
  <c r="V10" i="2"/>
  <c r="I10" i="2"/>
  <c r="K10" i="2"/>
  <c r="G10" i="2"/>
  <c r="N10" i="2"/>
  <c r="X10" i="2"/>
  <c r="R10" i="2"/>
  <c r="M10" i="2"/>
  <c r="J10" i="2"/>
  <c r="L10" i="2"/>
  <c r="D10" i="2"/>
  <c r="C10" i="2"/>
  <c r="E10" i="2"/>
  <c r="P10" i="2"/>
  <c r="O10" i="2"/>
  <c r="H10" i="2"/>
  <c r="Y10" i="2" l="1"/>
  <c r="BG9" i="1" s="1"/>
  <c r="AZ10" i="1"/>
  <c r="A11" i="2"/>
  <c r="DG10" i="1"/>
  <c r="F10" i="1"/>
  <c r="A11" i="1"/>
  <c r="J11" i="2"/>
  <c r="N11" i="2"/>
  <c r="H11" i="2"/>
  <c r="U11" i="2"/>
  <c r="P11" i="2"/>
  <c r="D11" i="2"/>
  <c r="M11" i="2"/>
  <c r="B11" i="2"/>
  <c r="X11" i="2"/>
  <c r="F11" i="2"/>
  <c r="S11" i="2"/>
  <c r="V11" i="2"/>
  <c r="K11" i="2"/>
  <c r="Q11" i="2"/>
  <c r="G11" i="2"/>
  <c r="E11" i="2"/>
  <c r="T11" i="2"/>
  <c r="I11" i="2"/>
  <c r="W11" i="2"/>
  <c r="R11" i="2"/>
  <c r="O11" i="2"/>
  <c r="C11" i="2"/>
  <c r="L11" i="2"/>
  <c r="Y11" i="2" l="1"/>
  <c r="BG10" i="1" s="1"/>
  <c r="AZ11" i="1"/>
  <c r="A12" i="2"/>
  <c r="DG11" i="1"/>
  <c r="F11" i="1"/>
  <c r="A12" i="1"/>
  <c r="D12" i="2"/>
  <c r="C12" i="2"/>
  <c r="U12" i="2"/>
  <c r="P12" i="2"/>
  <c r="W12" i="2"/>
  <c r="J12" i="2"/>
  <c r="K12" i="2"/>
  <c r="O12" i="2"/>
  <c r="F12" i="2"/>
  <c r="M12" i="2"/>
  <c r="B12" i="2"/>
  <c r="Q12" i="2"/>
  <c r="G12" i="2"/>
  <c r="X12" i="2"/>
  <c r="H12" i="2"/>
  <c r="N12" i="2"/>
  <c r="S12" i="2"/>
  <c r="T12" i="2"/>
  <c r="E12" i="2"/>
  <c r="V12" i="2"/>
  <c r="I12" i="2"/>
  <c r="L12" i="2"/>
  <c r="R12" i="2"/>
  <c r="Y12" i="2" l="1"/>
  <c r="BG11" i="1" s="1"/>
  <c r="AZ12" i="1"/>
  <c r="A13" i="2"/>
  <c r="DG12" i="1"/>
  <c r="F12" i="1"/>
  <c r="A13" i="1"/>
  <c r="V13" i="2"/>
  <c r="O13" i="2"/>
  <c r="M13" i="2"/>
  <c r="E13" i="2"/>
  <c r="R13" i="2"/>
  <c r="C13" i="2"/>
  <c r="U13" i="2"/>
  <c r="F13" i="2"/>
  <c r="G13" i="2"/>
  <c r="S13" i="2"/>
  <c r="K13" i="2"/>
  <c r="B13" i="2"/>
  <c r="D13" i="2"/>
  <c r="H13" i="2"/>
  <c r="N13" i="2"/>
  <c r="T13" i="2"/>
  <c r="W13" i="2"/>
  <c r="X13" i="2"/>
  <c r="P13" i="2"/>
  <c r="L13" i="2"/>
  <c r="I13" i="2"/>
  <c r="J13" i="2"/>
  <c r="Q13" i="2"/>
  <c r="Y13" i="2" l="1"/>
  <c r="BG12" i="1" s="1"/>
  <c r="AZ13" i="1"/>
  <c r="A14" i="2"/>
  <c r="DG13" i="1"/>
  <c r="F13" i="1"/>
  <c r="A14" i="1"/>
  <c r="P14" i="2"/>
  <c r="D14" i="2"/>
  <c r="M14" i="2"/>
  <c r="H14" i="2"/>
  <c r="L14" i="2"/>
  <c r="C14" i="2"/>
  <c r="G14" i="2"/>
  <c r="F14" i="2"/>
  <c r="X14" i="2"/>
  <c r="U14" i="2"/>
  <c r="S14" i="2"/>
  <c r="N14" i="2"/>
  <c r="O14" i="2"/>
  <c r="R14" i="2"/>
  <c r="B14" i="2"/>
  <c r="I14" i="2"/>
  <c r="J14" i="2"/>
  <c r="V14" i="2"/>
  <c r="T14" i="2"/>
  <c r="K14" i="2"/>
  <c r="E14" i="2"/>
  <c r="Q14" i="2"/>
  <c r="W14" i="2"/>
  <c r="Y14" i="2" l="1"/>
  <c r="BG13" i="1" s="1"/>
  <c r="AZ14" i="1"/>
  <c r="A15" i="2"/>
  <c r="DG14" i="1"/>
  <c r="F14" i="1"/>
  <c r="A15" i="1"/>
  <c r="F15" i="2"/>
  <c r="U15" i="2"/>
  <c r="I15" i="2"/>
  <c r="M15" i="2"/>
  <c r="R15" i="2"/>
  <c r="H15" i="2"/>
  <c r="L15" i="2"/>
  <c r="C15" i="2"/>
  <c r="E15" i="2"/>
  <c r="X15" i="2"/>
  <c r="K15" i="2"/>
  <c r="W15" i="2"/>
  <c r="G15" i="2"/>
  <c r="D15" i="2"/>
  <c r="J15" i="2"/>
  <c r="P15" i="2"/>
  <c r="S15" i="2"/>
  <c r="Q15" i="2"/>
  <c r="T15" i="2"/>
  <c r="N15" i="2"/>
  <c r="O15" i="2"/>
  <c r="V15" i="2"/>
  <c r="B15" i="2"/>
  <c r="Y15" i="2" l="1"/>
  <c r="BG14" i="1" s="1"/>
  <c r="AZ15" i="1"/>
  <c r="A16" i="2"/>
  <c r="DG15" i="1"/>
  <c r="F15" i="1"/>
  <c r="A16" i="1"/>
  <c r="R16" i="2"/>
  <c r="N16" i="2"/>
  <c r="I16" i="2"/>
  <c r="X16" i="2"/>
  <c r="P16" i="2"/>
  <c r="M16" i="2"/>
  <c r="U16" i="2"/>
  <c r="D16" i="2"/>
  <c r="V16" i="2"/>
  <c r="C16" i="2"/>
  <c r="J16" i="2"/>
  <c r="T16" i="2"/>
  <c r="E16" i="2"/>
  <c r="S16" i="2"/>
  <c r="Q16" i="2"/>
  <c r="H16" i="2"/>
  <c r="K16" i="2"/>
  <c r="O16" i="2"/>
  <c r="B16" i="2"/>
  <c r="L16" i="2"/>
  <c r="W16" i="2"/>
  <c r="G16" i="2"/>
  <c r="F16" i="2"/>
  <c r="Y16" i="2" l="1"/>
  <c r="BG15" i="1" s="1"/>
  <c r="AZ16" i="1"/>
  <c r="A17" i="2"/>
  <c r="DG16" i="1"/>
  <c r="F16" i="1"/>
  <c r="A17" i="1"/>
  <c r="J17" i="2"/>
  <c r="T17" i="2"/>
  <c r="H17" i="2"/>
  <c r="Q17" i="2"/>
  <c r="L17" i="2"/>
  <c r="C17" i="2"/>
  <c r="R17" i="2"/>
  <c r="G17" i="2"/>
  <c r="F17" i="2"/>
  <c r="V17" i="2"/>
  <c r="U17" i="2"/>
  <c r="B17" i="2"/>
  <c r="P17" i="2"/>
  <c r="I17" i="2"/>
  <c r="D17" i="2"/>
  <c r="E17" i="2"/>
  <c r="M17" i="2"/>
  <c r="W17" i="2"/>
  <c r="N17" i="2"/>
  <c r="S17" i="2"/>
  <c r="X17" i="2"/>
  <c r="K17" i="2"/>
  <c r="O17" i="2"/>
  <c r="Y17" i="2" l="1"/>
  <c r="BG16" i="1" s="1"/>
  <c r="AZ17" i="1"/>
  <c r="A18" i="2"/>
  <c r="DG17" i="1"/>
  <c r="F17" i="1"/>
  <c r="A18" i="1"/>
  <c r="W18" i="2"/>
  <c r="C18" i="2"/>
  <c r="N18" i="2"/>
  <c r="S18" i="2"/>
  <c r="E18" i="2"/>
  <c r="X18" i="2"/>
  <c r="O18" i="2"/>
  <c r="M18" i="2"/>
  <c r="V18" i="2"/>
  <c r="I18" i="2"/>
  <c r="F18" i="2"/>
  <c r="P18" i="2"/>
  <c r="R18" i="2"/>
  <c r="T18" i="2"/>
  <c r="U18" i="2"/>
  <c r="K18" i="2"/>
  <c r="Q18" i="2"/>
  <c r="B18" i="2"/>
  <c r="L18" i="2"/>
  <c r="J18" i="2"/>
  <c r="H18" i="2"/>
  <c r="G18" i="2"/>
  <c r="D18" i="2"/>
  <c r="Y18" i="2" l="1"/>
  <c r="BG17" i="1" s="1"/>
  <c r="AZ18" i="1"/>
  <c r="A19" i="2"/>
  <c r="DG18" i="1"/>
  <c r="F18" i="1"/>
  <c r="A19" i="1"/>
  <c r="H19" i="2"/>
  <c r="K19" i="2"/>
  <c r="O19" i="2"/>
  <c r="U19" i="2"/>
  <c r="T19" i="2"/>
  <c r="V19" i="2"/>
  <c r="B19" i="2"/>
  <c r="C19" i="2"/>
  <c r="F19" i="2"/>
  <c r="P19" i="2"/>
  <c r="J19" i="2"/>
  <c r="E19" i="2"/>
  <c r="I19" i="2"/>
  <c r="N19" i="2"/>
  <c r="G19" i="2"/>
  <c r="L19" i="2"/>
  <c r="S19" i="2"/>
  <c r="Q19" i="2"/>
  <c r="M19" i="2"/>
  <c r="X19" i="2"/>
  <c r="R19" i="2"/>
  <c r="W19" i="2"/>
  <c r="D19" i="2"/>
  <c r="Y19" i="2" l="1"/>
  <c r="BG18" i="1" s="1"/>
  <c r="AZ19" i="1"/>
  <c r="A20" i="2"/>
  <c r="DG19" i="1"/>
  <c r="F19" i="1"/>
  <c r="A20" i="1"/>
  <c r="P20" i="2"/>
  <c r="K20" i="2"/>
  <c r="H20" i="2"/>
  <c r="M20" i="2"/>
  <c r="I20" i="2"/>
  <c r="X20" i="2"/>
  <c r="C20" i="2"/>
  <c r="S20" i="2"/>
  <c r="E20" i="2"/>
  <c r="T20" i="2"/>
  <c r="R20" i="2"/>
  <c r="F20" i="2"/>
  <c r="B20" i="2"/>
  <c r="D20" i="2"/>
  <c r="O20" i="2"/>
  <c r="W20" i="2"/>
  <c r="Q20" i="2"/>
  <c r="U20" i="2"/>
  <c r="J20" i="2"/>
  <c r="V20" i="2"/>
  <c r="L20" i="2"/>
  <c r="G20" i="2"/>
  <c r="N20" i="2"/>
  <c r="Y20" i="2" l="1"/>
  <c r="BG19" i="1" s="1"/>
  <c r="AZ20" i="1"/>
  <c r="A21" i="2"/>
  <c r="DG20" i="1"/>
  <c r="F20" i="1"/>
  <c r="A21" i="1"/>
  <c r="C21" i="2"/>
  <c r="K21" i="2"/>
  <c r="H21" i="2"/>
  <c r="E21" i="2"/>
  <c r="M21" i="2"/>
  <c r="B21" i="2"/>
  <c r="F21" i="2"/>
  <c r="R21" i="2"/>
  <c r="Q21" i="2"/>
  <c r="I21" i="2"/>
  <c r="U21" i="2"/>
  <c r="N21" i="2"/>
  <c r="D21" i="2"/>
  <c r="L21" i="2"/>
  <c r="V21" i="2"/>
  <c r="W21" i="2"/>
  <c r="P21" i="2"/>
  <c r="S21" i="2"/>
  <c r="T21" i="2"/>
  <c r="O21" i="2"/>
  <c r="J21" i="2"/>
  <c r="G21" i="2"/>
  <c r="X21" i="2"/>
  <c r="Y21" i="2" l="1"/>
  <c r="BG20" i="1" s="1"/>
  <c r="AZ21" i="1"/>
  <c r="A22" i="2"/>
  <c r="DG21" i="1"/>
  <c r="F21" i="1"/>
  <c r="A22" i="1"/>
  <c r="S22" i="2"/>
  <c r="T22" i="2"/>
  <c r="C22" i="2"/>
  <c r="M22" i="2"/>
  <c r="W22" i="2"/>
  <c r="D22" i="2"/>
  <c r="B22" i="2"/>
  <c r="L22" i="2"/>
  <c r="K22" i="2"/>
  <c r="V22" i="2"/>
  <c r="Q22" i="2"/>
  <c r="P22" i="2"/>
  <c r="X22" i="2"/>
  <c r="I22" i="2"/>
  <c r="E22" i="2"/>
  <c r="H22" i="2"/>
  <c r="O22" i="2"/>
  <c r="G22" i="2"/>
  <c r="U22" i="2"/>
  <c r="J22" i="2"/>
  <c r="R22" i="2"/>
  <c r="F22" i="2"/>
  <c r="N22" i="2"/>
  <c r="Y22" i="2" l="1"/>
  <c r="BG21" i="1" s="1"/>
  <c r="AZ22" i="1"/>
  <c r="A23" i="2"/>
  <c r="DG22" i="1"/>
  <c r="F22" i="1"/>
  <c r="A23" i="1"/>
  <c r="R23" i="2"/>
  <c r="N23" i="2"/>
  <c r="G23" i="2"/>
  <c r="X23" i="2"/>
  <c r="H23" i="2"/>
  <c r="S23" i="2"/>
  <c r="J23" i="2"/>
  <c r="D23" i="2"/>
  <c r="C23" i="2"/>
  <c r="U23" i="2"/>
  <c r="O23" i="2"/>
  <c r="Q23" i="2"/>
  <c r="F23" i="2"/>
  <c r="P23" i="2"/>
  <c r="L23" i="2"/>
  <c r="I23" i="2"/>
  <c r="E23" i="2"/>
  <c r="B23" i="2"/>
  <c r="K23" i="2"/>
  <c r="M23" i="2"/>
  <c r="W23" i="2"/>
  <c r="V23" i="2"/>
  <c r="T23" i="2"/>
  <c r="Y23" i="2" l="1"/>
  <c r="BG22" i="1" s="1"/>
  <c r="AZ23" i="1"/>
  <c r="A24" i="2"/>
  <c r="DG23" i="1"/>
  <c r="F23" i="1"/>
  <c r="A24" i="1"/>
  <c r="K24" i="2"/>
  <c r="S24" i="2"/>
  <c r="R24" i="2"/>
  <c r="D24" i="2"/>
  <c r="J24" i="2"/>
  <c r="E24" i="2"/>
  <c r="O24" i="2"/>
  <c r="C24" i="2"/>
  <c r="T24" i="2"/>
  <c r="U24" i="2"/>
  <c r="B24" i="2"/>
  <c r="H24" i="2"/>
  <c r="Q24" i="2"/>
  <c r="F24" i="2"/>
  <c r="M24" i="2"/>
  <c r="G24" i="2"/>
  <c r="N24" i="2"/>
  <c r="X24" i="2"/>
  <c r="V24" i="2"/>
  <c r="W24" i="2"/>
  <c r="L24" i="2"/>
  <c r="I24" i="2"/>
  <c r="P24" i="2"/>
  <c r="Y24" i="2" l="1"/>
  <c r="BG23" i="1" s="1"/>
  <c r="AZ24" i="1"/>
  <c r="A25" i="2"/>
  <c r="DG24" i="1"/>
  <c r="F24" i="1"/>
  <c r="A25" i="1"/>
  <c r="G25" i="2"/>
  <c r="E25" i="2"/>
  <c r="D25" i="2"/>
  <c r="N25" i="2"/>
  <c r="J25" i="2"/>
  <c r="V25" i="2"/>
  <c r="W25" i="2"/>
  <c r="F25" i="2"/>
  <c r="O25" i="2"/>
  <c r="Q25" i="2"/>
  <c r="T25" i="2"/>
  <c r="L25" i="2"/>
  <c r="P25" i="2"/>
  <c r="H25" i="2"/>
  <c r="X25" i="2"/>
  <c r="K25" i="2"/>
  <c r="C25" i="2"/>
  <c r="B25" i="2"/>
  <c r="S25" i="2"/>
  <c r="M25" i="2"/>
  <c r="U25" i="2"/>
  <c r="R25" i="2"/>
  <c r="I25" i="2"/>
  <c r="Y25" i="2" l="1"/>
  <c r="BG24" i="1" s="1"/>
  <c r="AZ25" i="1"/>
  <c r="A26" i="2"/>
  <c r="DG25" i="1"/>
  <c r="F25" i="1"/>
  <c r="A26" i="1"/>
  <c r="EO155" i="1"/>
  <c r="AV141" i="1"/>
  <c r="BA106" i="1"/>
  <c r="AV144" i="1"/>
  <c r="EN177" i="1"/>
  <c r="BA118" i="1"/>
  <c r="BC114" i="1"/>
  <c r="AU180" i="1"/>
  <c r="BB107" i="1"/>
  <c r="BB100" i="1"/>
  <c r="BA127" i="1"/>
  <c r="BB102" i="1"/>
  <c r="AV172" i="1"/>
  <c r="BB92" i="1"/>
  <c r="BC102" i="1"/>
  <c r="AU178" i="1"/>
  <c r="BC129" i="1"/>
  <c r="BC120" i="1"/>
  <c r="BC116" i="1"/>
  <c r="EO151" i="1"/>
  <c r="BC124" i="1"/>
  <c r="BB129" i="1"/>
  <c r="BA107" i="1"/>
  <c r="BC126" i="1"/>
  <c r="BB90" i="1"/>
  <c r="BC93" i="1"/>
  <c r="BB95" i="1"/>
  <c r="BC130" i="1"/>
  <c r="EO143" i="1"/>
  <c r="BB110" i="1"/>
  <c r="EN178" i="1"/>
  <c r="BB105" i="1"/>
  <c r="BC113" i="1"/>
  <c r="BB123" i="1"/>
  <c r="BA102" i="1"/>
  <c r="BA104" i="1"/>
  <c r="BA111" i="1"/>
  <c r="EN137" i="1"/>
  <c r="BC103" i="1"/>
  <c r="BB116" i="1"/>
  <c r="BC117" i="1"/>
  <c r="EN180" i="1"/>
  <c r="AU140" i="1"/>
  <c r="AU183" i="1"/>
  <c r="BA100" i="1"/>
  <c r="BA110" i="1"/>
  <c r="AV150" i="1"/>
  <c r="BA168" i="1"/>
  <c r="EO150" i="1"/>
  <c r="BB120" i="1"/>
  <c r="BD88" i="1"/>
  <c r="AX172" i="1"/>
  <c r="AX170" i="1"/>
  <c r="CD163" i="1"/>
  <c r="AX174" i="1"/>
  <c r="BA119" i="1"/>
  <c r="EO152" i="1"/>
  <c r="AV148" i="1"/>
  <c r="BA96" i="1"/>
  <c r="EO145" i="1"/>
  <c r="BD86" i="1"/>
  <c r="AV147" i="1"/>
  <c r="EO148" i="1"/>
  <c r="BB86" i="1"/>
  <c r="BA114" i="1"/>
  <c r="EO149" i="1"/>
  <c r="BB125" i="1"/>
  <c r="BA97" i="1"/>
  <c r="AV153" i="1"/>
  <c r="EN140" i="1"/>
  <c r="BB117" i="1"/>
  <c r="BD89" i="1"/>
  <c r="BA112" i="1"/>
  <c r="EO154" i="1"/>
  <c r="BB114" i="1"/>
  <c r="BA95" i="1"/>
  <c r="BB108" i="1"/>
  <c r="BA94" i="1"/>
  <c r="BF163" i="1"/>
  <c r="BB98" i="1"/>
  <c r="BD92" i="1"/>
  <c r="BA98" i="1"/>
  <c r="BA101" i="1"/>
  <c r="BB122" i="1"/>
  <c r="BC119" i="1"/>
  <c r="EO173" i="1"/>
  <c r="BB128" i="1"/>
  <c r="BC108" i="1"/>
  <c r="EO156" i="1"/>
  <c r="BB115" i="1"/>
  <c r="AV151" i="1"/>
  <c r="BB101" i="1"/>
  <c r="EN181" i="1"/>
  <c r="AV152" i="1"/>
  <c r="BB94" i="1"/>
  <c r="AV145" i="1"/>
  <c r="BC110" i="1"/>
  <c r="BA122" i="1"/>
  <c r="BA125" i="1"/>
  <c r="BB93" i="1"/>
  <c r="BC92" i="1"/>
  <c r="AV173" i="1"/>
  <c r="BC127" i="1"/>
  <c r="BD87" i="1"/>
  <c r="BA115" i="1"/>
  <c r="BB91" i="1"/>
  <c r="AX173" i="1"/>
  <c r="AX169" i="1"/>
  <c r="CD161" i="1"/>
  <c r="BB88" i="1"/>
  <c r="BA93" i="1"/>
  <c r="CD164" i="1"/>
  <c r="BA126" i="1"/>
  <c r="BC122" i="1"/>
  <c r="EO147" i="1"/>
  <c r="BD91" i="1"/>
  <c r="EN139" i="1"/>
  <c r="BA120" i="1"/>
  <c r="BB89" i="1"/>
  <c r="BB124" i="1"/>
  <c r="AV155" i="1"/>
  <c r="BC100" i="1"/>
  <c r="BB97" i="1"/>
  <c r="EN138" i="1"/>
  <c r="BB126" i="1"/>
  <c r="BB112" i="1"/>
  <c r="BC128" i="1"/>
  <c r="AU186" i="1"/>
  <c r="BA109" i="1"/>
  <c r="EO141" i="1"/>
  <c r="BC125" i="1"/>
  <c r="EN185" i="1"/>
  <c r="AU139" i="1"/>
  <c r="BC118" i="1"/>
  <c r="BC101" i="1"/>
  <c r="BC98" i="1"/>
  <c r="BA128" i="1"/>
  <c r="BC91" i="1"/>
  <c r="BB103" i="1"/>
  <c r="BA129" i="1"/>
  <c r="BA99" i="1"/>
  <c r="AU181" i="1"/>
  <c r="AV149" i="1"/>
  <c r="BB109" i="1"/>
  <c r="BD90" i="1"/>
  <c r="BC97" i="1"/>
  <c r="BC105" i="1"/>
  <c r="BB113" i="1"/>
  <c r="BC109" i="1"/>
  <c r="BA105" i="1"/>
  <c r="EN184" i="1"/>
  <c r="BB85" i="1"/>
  <c r="BC115" i="1"/>
  <c r="BB87" i="1"/>
  <c r="EN182" i="1"/>
  <c r="BC106" i="1"/>
  <c r="AV143" i="1"/>
  <c r="BB111" i="1"/>
  <c r="BC95" i="1"/>
  <c r="AU179" i="1"/>
  <c r="BA113" i="1"/>
  <c r="AX176" i="1"/>
  <c r="CD162" i="1"/>
  <c r="EO153" i="1"/>
  <c r="CD168" i="1"/>
  <c r="BA117" i="1"/>
  <c r="EN187" i="1"/>
  <c r="BC123" i="1"/>
  <c r="AU184" i="1"/>
  <c r="BB96" i="1"/>
  <c r="EN189" i="1"/>
  <c r="BA124" i="1"/>
  <c r="BA121" i="1"/>
  <c r="EN188" i="1"/>
  <c r="BC104" i="1"/>
  <c r="BA123" i="1"/>
  <c r="AU177" i="1"/>
  <c r="EO144" i="1"/>
  <c r="BA108" i="1"/>
  <c r="EO142" i="1"/>
  <c r="EO157" i="1"/>
  <c r="AV142" i="1"/>
  <c r="EO172" i="1"/>
  <c r="BB99" i="1"/>
  <c r="EN183" i="1"/>
  <c r="BC107" i="1"/>
  <c r="BB118" i="1"/>
  <c r="BB119" i="1"/>
  <c r="BB121" i="1"/>
  <c r="EO146" i="1"/>
  <c r="AU187" i="1"/>
  <c r="BB130" i="1"/>
  <c r="BC112" i="1"/>
  <c r="BB106" i="1"/>
  <c r="CD165" i="1"/>
  <c r="BB104" i="1"/>
  <c r="BC111" i="1"/>
  <c r="BC96" i="1"/>
  <c r="BF168" i="1"/>
  <c r="AV157" i="1"/>
  <c r="BC99" i="1"/>
  <c r="BD85" i="1"/>
  <c r="AV146" i="1"/>
  <c r="BA116" i="1"/>
  <c r="AU185" i="1"/>
  <c r="AV154" i="1"/>
  <c r="BB127" i="1"/>
  <c r="EN186" i="1"/>
  <c r="BC121" i="1"/>
  <c r="BA103" i="1"/>
  <c r="BC94" i="1"/>
  <c r="EN179" i="1"/>
  <c r="AU182" i="1"/>
  <c r="AV156" i="1"/>
  <c r="AX171" i="1"/>
  <c r="BA163" i="1"/>
  <c r="AX175" i="1"/>
  <c r="Q26" i="2"/>
  <c r="X26" i="2"/>
  <c r="B26" i="2"/>
  <c r="U26" i="2"/>
  <c r="J26" i="2"/>
  <c r="S26" i="2"/>
  <c r="P26" i="2"/>
  <c r="I26" i="2"/>
  <c r="M26" i="2"/>
  <c r="G26" i="2"/>
  <c r="W26" i="2"/>
  <c r="T26" i="2"/>
  <c r="V26" i="2"/>
  <c r="F26" i="2"/>
  <c r="K26" i="2"/>
  <c r="C26" i="2"/>
  <c r="H26" i="2"/>
  <c r="D26" i="2"/>
  <c r="O26" i="2"/>
  <c r="R26" i="2"/>
  <c r="N26" i="2"/>
  <c r="L26" i="2"/>
  <c r="E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X27" i="2"/>
  <c r="F27" i="2"/>
  <c r="D27" i="2"/>
  <c r="E27" i="2"/>
  <c r="H27" i="2"/>
  <c r="N27" i="2"/>
  <c r="R27" i="2"/>
  <c r="W27" i="2"/>
  <c r="Q27" i="2"/>
  <c r="S27" i="2"/>
  <c r="P27" i="2"/>
  <c r="I27" i="2"/>
  <c r="O27" i="2"/>
  <c r="J27" i="2"/>
  <c r="M27" i="2"/>
  <c r="B27" i="2"/>
  <c r="C27" i="2"/>
  <c r="T27" i="2"/>
  <c r="U27" i="2"/>
  <c r="V27" i="2"/>
  <c r="G27" i="2"/>
  <c r="L27" i="2"/>
  <c r="K27" i="2"/>
  <c r="Y27" i="2" l="1"/>
  <c r="BG26" i="1" s="1"/>
  <c r="AZ27" i="1"/>
  <c r="A28" i="2"/>
  <c r="DG27" i="1"/>
  <c r="F27" i="1"/>
  <c r="A28" i="1"/>
  <c r="EN161" i="1"/>
  <c r="EO166" i="1"/>
  <c r="EN176" i="1"/>
  <c r="EN169" i="1"/>
  <c r="EO168" i="1"/>
  <c r="EN170" i="1"/>
  <c r="EN165" i="1"/>
  <c r="EO170" i="1"/>
  <c r="EN168" i="1"/>
  <c r="BE163" i="1"/>
  <c r="EN158" i="1"/>
  <c r="EN175" i="1"/>
  <c r="EO164" i="1"/>
  <c r="EO176" i="1"/>
  <c r="EN160" i="1"/>
  <c r="EO159" i="1"/>
  <c r="BE168" i="1"/>
  <c r="EN159" i="1"/>
  <c r="EO174" i="1"/>
  <c r="EO165" i="1"/>
  <c r="EN167" i="1"/>
  <c r="EO160" i="1"/>
  <c r="EO169" i="1"/>
  <c r="EN162" i="1"/>
  <c r="EN163" i="1"/>
  <c r="EN164" i="1"/>
  <c r="EO158" i="1"/>
  <c r="EO163" i="1"/>
  <c r="EO162" i="1"/>
  <c r="EN172" i="1"/>
  <c r="EO167" i="1"/>
  <c r="EO171" i="1"/>
  <c r="EO161" i="1"/>
  <c r="EN173" i="1"/>
  <c r="EN174" i="1"/>
  <c r="EN166" i="1"/>
  <c r="EN171" i="1"/>
  <c r="EO175" i="1"/>
  <c r="J28" i="2"/>
  <c r="X28" i="2"/>
  <c r="L28" i="2"/>
  <c r="C28" i="2"/>
  <c r="G28" i="2"/>
  <c r="S28" i="2"/>
  <c r="W28" i="2"/>
  <c r="K28" i="2"/>
  <c r="E28" i="2"/>
  <c r="H28" i="2"/>
  <c r="P28" i="2"/>
  <c r="U28" i="2"/>
  <c r="V28" i="2"/>
  <c r="D28" i="2"/>
  <c r="F28" i="2"/>
  <c r="R28" i="2"/>
  <c r="M28" i="2"/>
  <c r="I28" i="2"/>
  <c r="T28" i="2"/>
  <c r="B28" i="2"/>
  <c r="Q28" i="2"/>
  <c r="N28" i="2"/>
  <c r="O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BF128" i="1"/>
  <c r="CE168" i="1"/>
  <c r="BF126" i="1"/>
  <c r="AV174" i="1"/>
  <c r="BD106" i="1"/>
  <c r="AU156" i="1"/>
  <c r="BF105" i="1"/>
  <c r="BD120" i="1"/>
  <c r="BE117" i="1"/>
  <c r="BF101" i="1"/>
  <c r="AU148" i="1"/>
  <c r="AU173" i="1"/>
  <c r="AU142" i="1"/>
  <c r="BE113" i="1"/>
  <c r="BE101" i="1"/>
  <c r="CG161" i="1"/>
  <c r="EO183" i="1"/>
  <c r="BD107" i="1"/>
  <c r="BD130" i="1"/>
  <c r="BF120" i="1"/>
  <c r="AV163" i="1"/>
  <c r="AV183" i="1"/>
  <c r="AV169" i="1"/>
  <c r="EN149" i="1"/>
  <c r="BC90" i="1"/>
  <c r="BE86" i="1"/>
  <c r="BE100" i="1"/>
  <c r="EN143" i="1"/>
  <c r="AU153" i="1"/>
  <c r="AU151" i="1"/>
  <c r="AU174" i="1"/>
  <c r="BF98" i="1"/>
  <c r="BD128" i="1"/>
  <c r="AU157" i="1"/>
  <c r="BF119" i="1"/>
  <c r="AU159" i="1"/>
  <c r="AV182" i="1"/>
  <c r="BF100" i="1"/>
  <c r="BF87" i="1"/>
  <c r="BD102" i="1"/>
  <c r="BE115" i="1"/>
  <c r="BE129" i="1"/>
  <c r="BE105" i="1"/>
  <c r="EN151" i="1"/>
  <c r="AU150" i="1"/>
  <c r="BF86" i="1"/>
  <c r="AU146" i="1"/>
  <c r="BD105" i="1"/>
  <c r="BD115" i="1"/>
  <c r="AU161" i="1"/>
  <c r="AU158" i="1"/>
  <c r="BA91" i="1"/>
  <c r="CG163" i="1"/>
  <c r="EO138" i="1"/>
  <c r="AV176" i="1"/>
  <c r="BE87" i="1"/>
  <c r="BE93" i="1"/>
  <c r="BE112" i="1"/>
  <c r="BE94" i="1"/>
  <c r="BE99" i="1"/>
  <c r="BE92" i="1"/>
  <c r="AU144" i="1"/>
  <c r="AU145" i="1"/>
  <c r="DE79" i="1"/>
  <c r="DE49" i="1"/>
  <c r="DC60" i="1"/>
  <c r="AW184" i="1"/>
  <c r="AX143" i="1"/>
  <c r="EO79" i="1"/>
  <c r="AW177" i="1"/>
  <c r="DC57" i="1"/>
  <c r="DC73" i="1"/>
  <c r="DC47" i="1"/>
  <c r="DC52" i="1"/>
  <c r="AW180" i="1"/>
  <c r="AX155" i="1"/>
  <c r="DC63" i="1"/>
  <c r="EL50" i="1"/>
  <c r="EO51" i="1"/>
  <c r="EO47" i="1"/>
  <c r="DE57" i="1"/>
  <c r="EO49" i="1"/>
  <c r="AS49" i="1"/>
  <c r="DE74" i="1"/>
  <c r="EP59" i="1"/>
  <c r="AX53" i="1"/>
  <c r="AX154" i="1"/>
  <c r="DC50" i="1"/>
  <c r="DE75" i="1"/>
  <c r="EO64" i="1"/>
  <c r="AV52" i="1"/>
  <c r="CE163" i="1"/>
  <c r="EN76" i="1"/>
  <c r="AX180" i="1"/>
  <c r="EN73" i="1"/>
  <c r="AW182" i="1"/>
  <c r="EO50" i="1"/>
  <c r="DE71" i="1"/>
  <c r="AW185" i="1"/>
  <c r="EO75" i="1"/>
  <c r="DC61" i="1"/>
  <c r="EQ64" i="1"/>
  <c r="EQ58" i="1"/>
  <c r="AT49" i="1"/>
  <c r="EQ49" i="1"/>
  <c r="AX153" i="1"/>
  <c r="DE76" i="1"/>
  <c r="BF106" i="1"/>
  <c r="BD95" i="1"/>
  <c r="BF112" i="1"/>
  <c r="BD168" i="1"/>
  <c r="BD163" i="1"/>
  <c r="BF125" i="1"/>
  <c r="BD103" i="1"/>
  <c r="BF124" i="1"/>
  <c r="EN142" i="1"/>
  <c r="EO186" i="1"/>
  <c r="BE120" i="1"/>
  <c r="BE104" i="1"/>
  <c r="BF89" i="1"/>
  <c r="BE85" i="1"/>
  <c r="BE127" i="1"/>
  <c r="BE98" i="1"/>
  <c r="EO182" i="1"/>
  <c r="BD129" i="1"/>
  <c r="AU155" i="1"/>
  <c r="BD126" i="1"/>
  <c r="BF129" i="1"/>
  <c r="BD100" i="1"/>
  <c r="AV140" i="1"/>
  <c r="BD119" i="1"/>
  <c r="EO187" i="1"/>
  <c r="BE118" i="1"/>
  <c r="BE124" i="1"/>
  <c r="BF96" i="1"/>
  <c r="AU175" i="1"/>
  <c r="EN141" i="1"/>
  <c r="BE96" i="1"/>
  <c r="BF118" i="1"/>
  <c r="BF114" i="1"/>
  <c r="BA92" i="1"/>
  <c r="BD111" i="1"/>
  <c r="EO185" i="1"/>
  <c r="BF127" i="1"/>
  <c r="AV180" i="1"/>
  <c r="BD109" i="1"/>
  <c r="BF94" i="1"/>
  <c r="BE130" i="1"/>
  <c r="BD113" i="1"/>
  <c r="AV158" i="1"/>
  <c r="AU165" i="1"/>
  <c r="EN145" i="1"/>
  <c r="AU143" i="1"/>
  <c r="AU147" i="1"/>
  <c r="BF92" i="1"/>
  <c r="BD117" i="1"/>
  <c r="AU160" i="1"/>
  <c r="EO137" i="1"/>
  <c r="BF111" i="1"/>
  <c r="BF122" i="1"/>
  <c r="BD121" i="1"/>
  <c r="BD101" i="1"/>
  <c r="EO189" i="1"/>
  <c r="EN153" i="1"/>
  <c r="BF108" i="1"/>
  <c r="CG162" i="1"/>
  <c r="BE116" i="1"/>
  <c r="BC163" i="1"/>
  <c r="BF88" i="1"/>
  <c r="AU168" i="1"/>
  <c r="BC89" i="1"/>
  <c r="AW181" i="1"/>
  <c r="AX148" i="1"/>
  <c r="DE63" i="1"/>
  <c r="AW160" i="1"/>
  <c r="EO74" i="1"/>
  <c r="DC79" i="1"/>
  <c r="AV63" i="1"/>
  <c r="DE60" i="1"/>
  <c r="AW161" i="1"/>
  <c r="AW168" i="1"/>
  <c r="AW174" i="1"/>
  <c r="EO56" i="1"/>
  <c r="AW138" i="1"/>
  <c r="AS56" i="1"/>
  <c r="AX184" i="1"/>
  <c r="AW169" i="1"/>
  <c r="DC56" i="1"/>
  <c r="AW139" i="1"/>
  <c r="AX142" i="1"/>
  <c r="AW172" i="1"/>
  <c r="DC77" i="1"/>
  <c r="DC75" i="1"/>
  <c r="AS52" i="1"/>
  <c r="DC58" i="1"/>
  <c r="CE161" i="1"/>
  <c r="DE52" i="1"/>
  <c r="DE78" i="1"/>
  <c r="EO71" i="1"/>
  <c r="EO78" i="1"/>
  <c r="DE73" i="1"/>
  <c r="AX181" i="1"/>
  <c r="EO58" i="1"/>
  <c r="DE53" i="1"/>
  <c r="AT64" i="1"/>
  <c r="AW49" i="1"/>
  <c r="AX150" i="1"/>
  <c r="DE46" i="1"/>
  <c r="AW56" i="1"/>
  <c r="CF164" i="1"/>
  <c r="EP74" i="1"/>
  <c r="EM49" i="1"/>
  <c r="EP63" i="1"/>
  <c r="CE162" i="1"/>
  <c r="AW176" i="1"/>
  <c r="AW53" i="1"/>
  <c r="AU50" i="1"/>
  <c r="AU52" i="1"/>
  <c r="AW143" i="1"/>
  <c r="AW179" i="1"/>
  <c r="AW170" i="1"/>
  <c r="EL52" i="1"/>
  <c r="EP71" i="1"/>
  <c r="AX185" i="1"/>
  <c r="EN79" i="1"/>
  <c r="EP51" i="1"/>
  <c r="DC48" i="1"/>
  <c r="AX161" i="1"/>
  <c r="EN72" i="1"/>
  <c r="AW150" i="1"/>
  <c r="AW154" i="1"/>
  <c r="AV170" i="1"/>
  <c r="AV181" i="1"/>
  <c r="EO177" i="1"/>
  <c r="EO140" i="1"/>
  <c r="EO179" i="1"/>
  <c r="BD97" i="1"/>
  <c r="EO180" i="1"/>
  <c r="AV178" i="1"/>
  <c r="BF117" i="1"/>
  <c r="AV165" i="1"/>
  <c r="EN152" i="1"/>
  <c r="AU170" i="1"/>
  <c r="BE111" i="1"/>
  <c r="BF90" i="1"/>
  <c r="BF91" i="1"/>
  <c r="AU152" i="1"/>
  <c r="BF107" i="1"/>
  <c r="EO139" i="1"/>
  <c r="BD112" i="1"/>
  <c r="BF102" i="1"/>
  <c r="BD114" i="1"/>
  <c r="EO184" i="1"/>
  <c r="BD124" i="1"/>
  <c r="BD96" i="1"/>
  <c r="BE108" i="1"/>
  <c r="BD123" i="1"/>
  <c r="BE91" i="1"/>
  <c r="EN147" i="1"/>
  <c r="BE103" i="1"/>
  <c r="AU171" i="1"/>
  <c r="AV162" i="1"/>
  <c r="BD110" i="1"/>
  <c r="AV177" i="1"/>
  <c r="CE164" i="1"/>
  <c r="BA87" i="1"/>
  <c r="BD118" i="1"/>
  <c r="BD116" i="1"/>
  <c r="AV186" i="1"/>
  <c r="BD127" i="1"/>
  <c r="AV187" i="1"/>
  <c r="BF85" i="1"/>
  <c r="EN146" i="1"/>
  <c r="BE88" i="1"/>
  <c r="BC85" i="1"/>
  <c r="BF95" i="1"/>
  <c r="BE122" i="1"/>
  <c r="AU169" i="1"/>
  <c r="BB168" i="1"/>
  <c r="EO188" i="1"/>
  <c r="BD94" i="1"/>
  <c r="EN156" i="1"/>
  <c r="AV164" i="1"/>
  <c r="CF161" i="1"/>
  <c r="AV184" i="1"/>
  <c r="BF109" i="1"/>
  <c r="BE114" i="1"/>
  <c r="BE125" i="1"/>
  <c r="AU166" i="1"/>
  <c r="EN150" i="1"/>
  <c r="BE102" i="1"/>
  <c r="BE107" i="1"/>
  <c r="AU141" i="1"/>
  <c r="AU176" i="1"/>
  <c r="AU149" i="1"/>
  <c r="DE56" i="1"/>
  <c r="AW186" i="1"/>
  <c r="EO60" i="1"/>
  <c r="EO77" i="1"/>
  <c r="AV53" i="1"/>
  <c r="DC46" i="1"/>
  <c r="AX156" i="1"/>
  <c r="AW164" i="1"/>
  <c r="DC59" i="1"/>
  <c r="DC72" i="1"/>
  <c r="AX149" i="1"/>
  <c r="AX157" i="1"/>
  <c r="AW187" i="1"/>
  <c r="DE47" i="1"/>
  <c r="EP79" i="1"/>
  <c r="AU51" i="1"/>
  <c r="AW162" i="1"/>
  <c r="AW163" i="1"/>
  <c r="AW183" i="1"/>
  <c r="DC71" i="1"/>
  <c r="AS64" i="1"/>
  <c r="EQ57" i="1"/>
  <c r="AV70" i="1"/>
  <c r="DC78" i="1"/>
  <c r="AV49" i="1"/>
  <c r="AV64" i="1"/>
  <c r="DE62" i="1"/>
  <c r="AV51" i="1"/>
  <c r="DC53" i="1"/>
  <c r="EQ74" i="1"/>
  <c r="EP49" i="1"/>
  <c r="CF165" i="1"/>
  <c r="EQ63" i="1"/>
  <c r="DE51" i="1"/>
  <c r="AX70" i="1"/>
  <c r="AS51" i="1"/>
  <c r="AW165" i="1"/>
  <c r="EP62" i="1"/>
  <c r="AX189" i="1"/>
  <c r="EQ51" i="1"/>
  <c r="EN74" i="1"/>
  <c r="DE58" i="1"/>
  <c r="AV56" i="1"/>
  <c r="AW178" i="1"/>
  <c r="EN155" i="1"/>
  <c r="BF115" i="1"/>
  <c r="AV179" i="1"/>
  <c r="BA90" i="1"/>
  <c r="AV171" i="1"/>
  <c r="BF110" i="1"/>
  <c r="BF123" i="1"/>
  <c r="AV166" i="1"/>
  <c r="BC88" i="1"/>
  <c r="BE119" i="1"/>
  <c r="BD108" i="1"/>
  <c r="AV160" i="1"/>
  <c r="AU164" i="1"/>
  <c r="EN154" i="1"/>
  <c r="AU154" i="1"/>
  <c r="BE128" i="1"/>
  <c r="BD125" i="1"/>
  <c r="EO178" i="1"/>
  <c r="CE165" i="1"/>
  <c r="BD99" i="1"/>
  <c r="BF116" i="1"/>
  <c r="BD122" i="1"/>
  <c r="BF121" i="1"/>
  <c r="AV175" i="1"/>
  <c r="BA86" i="1"/>
  <c r="BE110" i="1"/>
  <c r="EN157" i="1"/>
  <c r="BE90" i="1"/>
  <c r="BE97" i="1"/>
  <c r="AU163" i="1"/>
  <c r="BF93" i="1"/>
  <c r="BF113" i="1"/>
  <c r="BF97" i="1"/>
  <c r="AU162" i="1"/>
  <c r="BD98" i="1"/>
  <c r="EO181" i="1"/>
  <c r="CF162" i="1"/>
  <c r="BD104" i="1"/>
  <c r="AV168" i="1"/>
  <c r="BE106" i="1"/>
  <c r="BC86" i="1"/>
  <c r="EN144" i="1"/>
  <c r="BE123" i="1"/>
  <c r="EN148" i="1"/>
  <c r="BE95" i="1"/>
  <c r="AU167" i="1"/>
  <c r="BE89" i="1"/>
  <c r="BF99" i="1"/>
  <c r="BF130" i="1"/>
  <c r="AV185" i="1"/>
  <c r="BA88" i="1"/>
  <c r="BA89" i="1"/>
  <c r="BD93" i="1"/>
  <c r="BF103" i="1"/>
  <c r="AV167" i="1"/>
  <c r="BE126" i="1"/>
  <c r="BF104" i="1"/>
  <c r="BE109" i="1"/>
  <c r="CF163" i="1"/>
  <c r="BC87" i="1"/>
  <c r="BE121" i="1"/>
  <c r="AV159" i="1"/>
  <c r="AV161" i="1"/>
  <c r="AU172" i="1"/>
  <c r="EO59" i="1"/>
  <c r="AX144" i="1"/>
  <c r="EO53" i="1"/>
  <c r="AX140" i="1"/>
  <c r="DE59" i="1"/>
  <c r="EO73" i="1"/>
  <c r="DC49" i="1"/>
  <c r="DC64" i="1"/>
  <c r="AW167" i="1"/>
  <c r="AS53" i="1"/>
  <c r="CG164" i="1"/>
  <c r="DE64" i="1"/>
  <c r="EO52" i="1"/>
  <c r="DE72" i="1"/>
  <c r="EN50" i="1"/>
  <c r="AX158" i="1"/>
  <c r="AX159" i="1"/>
  <c r="EL53" i="1"/>
  <c r="EO48" i="1"/>
  <c r="CG168" i="1"/>
  <c r="AT70" i="1"/>
  <c r="EL49" i="1"/>
  <c r="AX145" i="1"/>
  <c r="DE70" i="1"/>
  <c r="AW188" i="1"/>
  <c r="DC62" i="1"/>
  <c r="EO76" i="1"/>
  <c r="AS63" i="1"/>
  <c r="EO62" i="1"/>
  <c r="AX182" i="1"/>
  <c r="DE48" i="1"/>
  <c r="AT56" i="1"/>
  <c r="EN77" i="1"/>
  <c r="EQ72" i="1"/>
  <c r="EP56" i="1"/>
  <c r="DE45" i="1"/>
  <c r="EO72" i="1"/>
  <c r="DC76" i="1"/>
  <c r="AT53" i="1"/>
  <c r="EN78" i="1"/>
  <c r="AX51" i="1"/>
  <c r="AX146" i="1"/>
  <c r="DC51" i="1"/>
  <c r="CG165" i="1"/>
  <c r="AU64" i="1"/>
  <c r="EM50" i="1"/>
  <c r="AX179" i="1"/>
  <c r="EO45" i="1"/>
  <c r="AW175" i="1"/>
  <c r="DE50" i="1"/>
  <c r="DC70" i="1"/>
  <c r="AX49" i="1"/>
  <c r="AW166" i="1"/>
  <c r="EN75" i="1"/>
  <c r="AX187" i="1"/>
  <c r="AW173" i="1"/>
  <c r="EP77" i="1"/>
  <c r="EN45" i="1"/>
  <c r="AX167" i="1"/>
  <c r="AX186" i="1"/>
  <c r="AU56" i="1"/>
  <c r="AW155" i="1"/>
  <c r="AW152" i="1"/>
  <c r="AT52" i="1"/>
  <c r="DE61" i="1"/>
  <c r="AW171" i="1"/>
  <c r="AX151" i="1"/>
  <c r="EQ78" i="1"/>
  <c r="AX50" i="1"/>
  <c r="DC45" i="1"/>
  <c r="AX178" i="1"/>
  <c r="EN57" i="1"/>
  <c r="EP58" i="1"/>
  <c r="BC168" i="1"/>
  <c r="AW148" i="1"/>
  <c r="EP45" i="1"/>
  <c r="EN70" i="1"/>
  <c r="EP53" i="1"/>
  <c r="AW140" i="1"/>
  <c r="EN61" i="1"/>
  <c r="EQ56" i="1"/>
  <c r="AX138" i="1"/>
  <c r="EQ60" i="1"/>
  <c r="EO57" i="1"/>
  <c r="EQ75" i="1"/>
  <c r="EO61" i="1"/>
  <c r="EP60" i="1"/>
  <c r="EN62" i="1"/>
  <c r="AW151" i="1"/>
  <c r="DF6" i="1"/>
  <c r="AX188" i="1"/>
  <c r="EQ71" i="1"/>
  <c r="EQ79" i="1"/>
  <c r="AW153" i="1"/>
  <c r="EP64" i="1"/>
  <c r="EN49" i="1"/>
  <c r="EP78" i="1"/>
  <c r="AX162" i="1"/>
  <c r="AX56" i="1"/>
  <c r="EL56" i="1"/>
  <c r="AW159" i="1"/>
  <c r="EQ53" i="1"/>
  <c r="AX168" i="1"/>
  <c r="AX139" i="1"/>
  <c r="EN64" i="1"/>
  <c r="AW156" i="1"/>
  <c r="EP72" i="1"/>
  <c r="EQ70" i="1"/>
  <c r="AV50" i="1"/>
  <c r="AW51" i="1"/>
  <c r="EQ73" i="1"/>
  <c r="AX63" i="1"/>
  <c r="EQ76" i="1"/>
  <c r="AX164" i="1"/>
  <c r="EN58" i="1"/>
  <c r="AX166" i="1"/>
  <c r="AW189" i="1"/>
  <c r="AX52" i="1"/>
  <c r="EN53" i="1"/>
  <c r="AW149" i="1"/>
  <c r="EP52" i="1"/>
  <c r="AW144" i="1"/>
  <c r="AX152" i="1"/>
  <c r="EN71" i="1"/>
  <c r="AU49" i="1"/>
  <c r="EP70" i="1"/>
  <c r="DE77" i="1"/>
  <c r="AT51" i="1"/>
  <c r="EP50" i="1"/>
  <c r="AW158" i="1"/>
  <c r="AW142" i="1"/>
  <c r="EM51" i="1"/>
  <c r="EN51" i="1"/>
  <c r="EP46" i="1"/>
  <c r="AW141" i="1"/>
  <c r="CF168" i="1"/>
  <c r="DD5" i="1"/>
  <c r="EP57" i="1"/>
  <c r="AX147" i="1"/>
  <c r="AU53" i="1"/>
  <c r="EP48" i="1"/>
  <c r="AW64" i="1"/>
  <c r="EO46" i="1"/>
  <c r="AW52" i="1"/>
  <c r="AX163" i="1"/>
  <c r="AX183" i="1"/>
  <c r="EP76" i="1"/>
  <c r="EN56" i="1"/>
  <c r="AS50" i="1"/>
  <c r="EL51" i="1"/>
  <c r="BB163" i="1"/>
  <c r="DC74" i="1"/>
  <c r="EQ47" i="1"/>
  <c r="EO70" i="1"/>
  <c r="AX177" i="1"/>
  <c r="DD6" i="1"/>
  <c r="AX165" i="1"/>
  <c r="AW147" i="1"/>
  <c r="AX141" i="1"/>
  <c r="EM52" i="1"/>
  <c r="AW157" i="1"/>
  <c r="EQ50" i="1"/>
  <c r="EQ52" i="1"/>
  <c r="AX160" i="1"/>
  <c r="DF5" i="1"/>
  <c r="EN48" i="1"/>
  <c r="EQ46" i="1"/>
  <c r="EQ62" i="1"/>
  <c r="EN63" i="1"/>
  <c r="EP73" i="1"/>
  <c r="EN52" i="1"/>
  <c r="EN47" i="1"/>
  <c r="EQ61" i="1"/>
  <c r="AW146" i="1"/>
  <c r="AU70" i="1"/>
  <c r="AW50" i="1"/>
  <c r="EP75" i="1"/>
  <c r="AT50" i="1"/>
  <c r="EN60" i="1"/>
  <c r="EO63" i="1"/>
  <c r="EQ48" i="1"/>
  <c r="EQ77" i="1"/>
  <c r="AX64" i="1"/>
  <c r="EQ45" i="1"/>
  <c r="EN59" i="1"/>
  <c r="EP47" i="1"/>
  <c r="EM53" i="1"/>
  <c r="EQ59" i="1"/>
  <c r="EP61" i="1"/>
  <c r="EN46" i="1"/>
  <c r="EM56" i="1"/>
  <c r="AW145" i="1"/>
  <c r="AU63" i="1"/>
  <c r="AT95" i="1"/>
  <c r="AV124" i="1"/>
  <c r="AV119" i="1"/>
  <c r="EQ151" i="1"/>
  <c r="AV110" i="1"/>
  <c r="AX126" i="1"/>
  <c r="AT129" i="1"/>
  <c r="EP183" i="1"/>
  <c r="EP139" i="1"/>
  <c r="CG86" i="1"/>
  <c r="AV95" i="1"/>
  <c r="AV108" i="1"/>
  <c r="AS110" i="1"/>
  <c r="AV125" i="1"/>
  <c r="AT117" i="1"/>
  <c r="AU116" i="1"/>
  <c r="AU128" i="1"/>
  <c r="EQ150" i="1"/>
  <c r="EP168" i="1"/>
  <c r="CE89" i="1"/>
  <c r="EP186" i="1"/>
  <c r="AT102" i="1"/>
  <c r="AU124" i="1"/>
  <c r="EP177" i="1"/>
  <c r="AS92" i="1"/>
  <c r="AV127" i="1"/>
  <c r="AX121" i="1"/>
  <c r="DF103" i="1"/>
  <c r="DC168" i="1"/>
  <c r="CF121" i="1"/>
  <c r="CH105" i="1"/>
  <c r="EQ166" i="1"/>
  <c r="DE114" i="1"/>
  <c r="CG116" i="1"/>
  <c r="AU106" i="1"/>
  <c r="AU122" i="1"/>
  <c r="AX108" i="1"/>
  <c r="AX107" i="1"/>
  <c r="AX111" i="1"/>
  <c r="EP163" i="1"/>
  <c r="AX124" i="1"/>
  <c r="AS121" i="1"/>
  <c r="AT97" i="1"/>
  <c r="EP187" i="1"/>
  <c r="AV123" i="1"/>
  <c r="DA71" i="1"/>
  <c r="DF109" i="1"/>
  <c r="DF159" i="1"/>
  <c r="DC161" i="1"/>
  <c r="DA46" i="1"/>
  <c r="DD164" i="1"/>
  <c r="DC109" i="1"/>
  <c r="DE105" i="1"/>
  <c r="CF101" i="1"/>
  <c r="DF173" i="1"/>
  <c r="CG130" i="1"/>
  <c r="DD172" i="1"/>
  <c r="DF177" i="1"/>
  <c r="DB122" i="1"/>
  <c r="DA115" i="1"/>
  <c r="DA85" i="1"/>
  <c r="BE51" i="1"/>
  <c r="AV111" i="1"/>
  <c r="AV120" i="1"/>
  <c r="AV99" i="1"/>
  <c r="AT108" i="1"/>
  <c r="AV113" i="1"/>
  <c r="AV92" i="1"/>
  <c r="AT98" i="1"/>
  <c r="DC157" i="1"/>
  <c r="DA100" i="1"/>
  <c r="CH53" i="1"/>
  <c r="EQ180" i="1"/>
  <c r="AW119" i="1"/>
  <c r="CG118" i="1"/>
  <c r="DE124" i="1"/>
  <c r="DD115" i="1"/>
  <c r="DE97" i="1"/>
  <c r="AW120" i="1"/>
  <c r="DD105" i="1"/>
  <c r="DF99" i="1"/>
  <c r="EQ182" i="1"/>
  <c r="DF94" i="1"/>
  <c r="DD185" i="1"/>
  <c r="BE53" i="1"/>
  <c r="DE147" i="1"/>
  <c r="AW104" i="1"/>
  <c r="CD116" i="1"/>
  <c r="DC188" i="1"/>
  <c r="CF128" i="1"/>
  <c r="DB115" i="1"/>
  <c r="DA129" i="1"/>
  <c r="DC89" i="1"/>
  <c r="DF129" i="1"/>
  <c r="DA58" i="1"/>
  <c r="DB182" i="1"/>
  <c r="AV100" i="1"/>
  <c r="AU99" i="1"/>
  <c r="EP181" i="1"/>
  <c r="AU93" i="1"/>
  <c r="CH99" i="1"/>
  <c r="DD181" i="1"/>
  <c r="DA127" i="1"/>
  <c r="AW86" i="1"/>
  <c r="AS102" i="1"/>
  <c r="AW109" i="1"/>
  <c r="DD173" i="1"/>
  <c r="EQ175" i="1"/>
  <c r="EP155" i="1"/>
  <c r="DA106" i="1"/>
  <c r="DA86" i="1"/>
  <c r="CD50" i="1"/>
  <c r="DF162" i="1"/>
  <c r="CF49" i="1"/>
  <c r="EQ172" i="1"/>
  <c r="DC151" i="1"/>
  <c r="DA102" i="1"/>
  <c r="DB162" i="1"/>
  <c r="DE148" i="1"/>
  <c r="DE115" i="1"/>
  <c r="DF130" i="1"/>
  <c r="DE156" i="1"/>
  <c r="CI99" i="1"/>
  <c r="DF137" i="1"/>
  <c r="DF107" i="1"/>
  <c r="CG115" i="1"/>
  <c r="DC101" i="1"/>
  <c r="EP178" i="1"/>
  <c r="AV117" i="1"/>
  <c r="AS126" i="1"/>
  <c r="AU107" i="1"/>
  <c r="AX100" i="1"/>
  <c r="EP161" i="1"/>
  <c r="AX122" i="1"/>
  <c r="AU104" i="1"/>
  <c r="EP174" i="1"/>
  <c r="AU96" i="1"/>
  <c r="AS128" i="1"/>
  <c r="CD86" i="1"/>
  <c r="EQ141" i="1"/>
  <c r="AS104" i="1"/>
  <c r="AS129" i="1"/>
  <c r="EP164" i="1"/>
  <c r="AV89" i="1"/>
  <c r="AT119" i="1"/>
  <c r="AU121" i="1"/>
  <c r="AX116" i="1"/>
  <c r="AX112" i="1"/>
  <c r="CE88" i="1"/>
  <c r="AV102" i="1"/>
  <c r="AX99" i="1"/>
  <c r="EP137" i="1"/>
  <c r="EP160" i="1"/>
  <c r="AT99" i="1"/>
  <c r="BD50" i="1"/>
  <c r="CD71" i="1"/>
  <c r="CH98" i="1"/>
  <c r="CH106" i="1"/>
  <c r="CE103" i="1"/>
  <c r="AU95" i="1"/>
  <c r="EQ159" i="1"/>
  <c r="AX114" i="1"/>
  <c r="AS114" i="1"/>
  <c r="CE91" i="1"/>
  <c r="AX125" i="1"/>
  <c r="AX127" i="1"/>
  <c r="AU103" i="1"/>
  <c r="CD56" i="1"/>
  <c r="AS98" i="1"/>
  <c r="CF114" i="1"/>
  <c r="DB156" i="1"/>
  <c r="DA75" i="1"/>
  <c r="DD93" i="1"/>
  <c r="CH118" i="1"/>
  <c r="EQ187" i="1"/>
  <c r="AT123" i="1"/>
  <c r="DB118" i="1"/>
  <c r="DD96" i="1"/>
  <c r="CI49" i="1"/>
  <c r="CH161" i="1"/>
  <c r="DF144" i="1"/>
  <c r="CI71" i="1"/>
  <c r="DE91" i="1"/>
  <c r="AW116" i="1"/>
  <c r="DC186" i="1"/>
  <c r="EQ142" i="1"/>
  <c r="AT114" i="1"/>
  <c r="AV118" i="1"/>
  <c r="AT94" i="1"/>
  <c r="AS112" i="1"/>
  <c r="AS103" i="1"/>
  <c r="AU123" i="1"/>
  <c r="AT87" i="1"/>
  <c r="DC165" i="1"/>
  <c r="DB138" i="1"/>
  <c r="CD119" i="1"/>
  <c r="DD182" i="1"/>
  <c r="CF119" i="1"/>
  <c r="CG124" i="1"/>
  <c r="DE145" i="1"/>
  <c r="AT89" i="1"/>
  <c r="DA124" i="1"/>
  <c r="DE111" i="1"/>
  <c r="EP142" i="1"/>
  <c r="DF170" i="1"/>
  <c r="AV93" i="1"/>
  <c r="CI93" i="1"/>
  <c r="AV129" i="1"/>
  <c r="DB141" i="1"/>
  <c r="AV130" i="1"/>
  <c r="DC91" i="1"/>
  <c r="DB168" i="1"/>
  <c r="DA103" i="1"/>
  <c r="DD178" i="1"/>
  <c r="DF127" i="1"/>
  <c r="DC129" i="1"/>
  <c r="DA172" i="1"/>
  <c r="DD147" i="1"/>
  <c r="CD101" i="1"/>
  <c r="AV121" i="1"/>
  <c r="EQ152" i="1"/>
  <c r="AU129" i="1"/>
  <c r="AV94" i="1"/>
  <c r="BF52" i="1"/>
  <c r="CE62" i="1"/>
  <c r="DE110" i="1"/>
  <c r="CE117" i="1"/>
  <c r="DD159" i="1"/>
  <c r="AV101" i="1"/>
  <c r="AV128" i="1"/>
  <c r="AX101" i="1"/>
  <c r="CI120" i="1"/>
  <c r="AS111" i="1"/>
  <c r="CD85" i="1"/>
  <c r="CF125" i="1"/>
  <c r="CH127" i="1"/>
  <c r="BB50" i="1"/>
  <c r="DC88" i="1"/>
  <c r="CH90" i="1"/>
  <c r="CG100" i="1"/>
  <c r="AT122" i="1"/>
  <c r="EP189" i="1"/>
  <c r="AT91" i="1"/>
  <c r="AT92" i="1"/>
  <c r="CD89" i="1"/>
  <c r="AX104" i="1"/>
  <c r="CD92" i="1"/>
  <c r="AT130" i="1"/>
  <c r="AV114" i="1"/>
  <c r="AX120" i="1"/>
  <c r="AS86" i="1"/>
  <c r="AT126" i="1"/>
  <c r="AX105" i="1"/>
  <c r="EP180" i="1"/>
  <c r="AX130" i="1"/>
  <c r="AS130" i="1"/>
  <c r="AV104" i="1"/>
  <c r="AU113" i="1"/>
  <c r="AS123" i="1"/>
  <c r="AS119" i="1"/>
  <c r="AV90" i="1"/>
  <c r="AV105" i="1"/>
  <c r="AV107" i="1"/>
  <c r="EQ144" i="1"/>
  <c r="AU98" i="1"/>
  <c r="AV97" i="1"/>
  <c r="EQ155" i="1"/>
  <c r="AS93" i="1"/>
  <c r="AT100" i="1"/>
  <c r="AX129" i="1"/>
  <c r="DD149" i="1"/>
  <c r="DC154" i="1"/>
  <c r="EQ156" i="1"/>
  <c r="DB116" i="1"/>
  <c r="DB95" i="1"/>
  <c r="DE180" i="1"/>
  <c r="AS124" i="1"/>
  <c r="EQ143" i="1"/>
  <c r="EP182" i="1"/>
  <c r="AS87" i="1"/>
  <c r="AU111" i="1"/>
  <c r="EP167" i="1"/>
  <c r="CE87" i="1"/>
  <c r="EP169" i="1"/>
  <c r="DD121" i="1"/>
  <c r="DF155" i="1"/>
  <c r="AT105" i="1"/>
  <c r="DD127" i="1"/>
  <c r="CF86" i="1"/>
  <c r="CI112" i="1"/>
  <c r="CE92" i="1"/>
  <c r="DB169" i="1"/>
  <c r="CD96" i="1"/>
  <c r="BA53" i="1"/>
  <c r="CI111" i="1"/>
  <c r="DF91" i="1"/>
  <c r="EP171" i="1"/>
  <c r="CE113" i="1"/>
  <c r="AT109" i="1"/>
  <c r="CE94" i="1"/>
  <c r="AU117" i="1"/>
  <c r="DA107" i="1"/>
  <c r="AS125" i="1"/>
  <c r="AV115" i="1"/>
  <c r="AS94" i="1"/>
  <c r="AX97" i="1"/>
  <c r="EQ147" i="1"/>
  <c r="AS113" i="1"/>
  <c r="DD113" i="1"/>
  <c r="DC164" i="1"/>
  <c r="DE172" i="1"/>
  <c r="DC187" i="1"/>
  <c r="DA49" i="1"/>
  <c r="DE98" i="1"/>
  <c r="EP144" i="1"/>
  <c r="AS100" i="1"/>
  <c r="EQ185" i="1"/>
  <c r="DD179" i="1"/>
  <c r="CE86" i="1"/>
  <c r="DF92" i="1"/>
  <c r="AX128" i="1"/>
  <c r="CF124" i="1"/>
  <c r="DC183" i="1"/>
  <c r="DB117" i="1"/>
  <c r="CF100" i="1"/>
  <c r="DF183" i="1"/>
  <c r="AW111" i="1"/>
  <c r="CI162" i="1"/>
  <c r="DC160" i="1"/>
  <c r="CI102" i="1"/>
  <c r="EQ153" i="1"/>
  <c r="AT112" i="1"/>
  <c r="AS127" i="1"/>
  <c r="DC152" i="1"/>
  <c r="DF148" i="1"/>
  <c r="AT90" i="1"/>
  <c r="CI117" i="1"/>
  <c r="CI128" i="1"/>
  <c r="DA123" i="1"/>
  <c r="BF64" i="1"/>
  <c r="CD64" i="1"/>
  <c r="CD103" i="1"/>
  <c r="DB112" i="1"/>
  <c r="CH50" i="1"/>
  <c r="DA78" i="1"/>
  <c r="CD109" i="1"/>
  <c r="CD115" i="1"/>
  <c r="DA189" i="1"/>
  <c r="CI114" i="1"/>
  <c r="CD100" i="1"/>
  <c r="DE181" i="1"/>
  <c r="CG112" i="1"/>
  <c r="CI105" i="1"/>
  <c r="DC182" i="1"/>
  <c r="CD125" i="1"/>
  <c r="DE174" i="1"/>
  <c r="CD127" i="1"/>
  <c r="AV112" i="1"/>
  <c r="AU126" i="1"/>
  <c r="AS117" i="1"/>
  <c r="CG85" i="1"/>
  <c r="AX118" i="1"/>
  <c r="AV126" i="1"/>
  <c r="AX109" i="1"/>
  <c r="AT101" i="1"/>
  <c r="AS95" i="1"/>
  <c r="AT88" i="1"/>
  <c r="AV87" i="1"/>
  <c r="AU100" i="1"/>
  <c r="AT125" i="1"/>
  <c r="AT111" i="1"/>
  <c r="AS97" i="1"/>
  <c r="AT128" i="1"/>
  <c r="AV98" i="1"/>
  <c r="CG87" i="1"/>
  <c r="AT110" i="1"/>
  <c r="EQ145" i="1"/>
  <c r="AS109" i="1"/>
  <c r="AT116" i="1"/>
  <c r="AT107" i="1"/>
  <c r="CG92" i="1"/>
  <c r="AU114" i="1"/>
  <c r="EP185" i="1"/>
  <c r="AT106" i="1"/>
  <c r="AU115" i="1"/>
  <c r="AU110" i="1"/>
  <c r="AU94" i="1"/>
  <c r="DE155" i="1"/>
  <c r="DE103" i="1"/>
  <c r="DD167" i="1"/>
  <c r="EP176" i="1"/>
  <c r="AU92" i="1"/>
  <c r="AV96" i="1"/>
  <c r="DE125" i="1"/>
  <c r="EP166" i="1"/>
  <c r="EQ154" i="1"/>
  <c r="EP179" i="1"/>
  <c r="AS107" i="1"/>
  <c r="DC153" i="1"/>
  <c r="DE85" i="1"/>
  <c r="EQ188" i="1"/>
  <c r="EP188" i="1"/>
  <c r="AW125" i="1"/>
  <c r="DC171" i="1"/>
  <c r="CD129" i="1"/>
  <c r="AS105" i="1"/>
  <c r="EQ146" i="1"/>
  <c r="DF124" i="1"/>
  <c r="DD161" i="1"/>
  <c r="CE95" i="1"/>
  <c r="CI52" i="1"/>
  <c r="AU90" i="1"/>
  <c r="EQ177" i="1"/>
  <c r="EP157" i="1"/>
  <c r="EQ140" i="1"/>
  <c r="AX106" i="1"/>
  <c r="AS90" i="1"/>
  <c r="AT104" i="1"/>
  <c r="AS116" i="1"/>
  <c r="EQ158" i="1"/>
  <c r="AS108" i="1"/>
  <c r="DD139" i="1"/>
  <c r="DB148" i="1"/>
  <c r="AU91" i="1"/>
  <c r="AU105" i="1"/>
  <c r="CE52" i="1"/>
  <c r="DE173" i="1"/>
  <c r="DA57" i="1"/>
  <c r="CH112" i="1"/>
  <c r="CG104" i="1"/>
  <c r="AW93" i="1"/>
  <c r="EP159" i="1"/>
  <c r="DD114" i="1"/>
  <c r="DD124" i="1"/>
  <c r="DB103" i="1"/>
  <c r="DE108" i="1"/>
  <c r="CI129" i="1"/>
  <c r="EP165" i="1"/>
  <c r="CG56" i="1"/>
  <c r="DF101" i="1"/>
  <c r="DB152" i="1"/>
  <c r="DB96" i="1"/>
  <c r="CE118" i="1"/>
  <c r="DD165" i="1"/>
  <c r="DF120" i="1"/>
  <c r="AS96" i="1"/>
  <c r="AS91" i="1"/>
  <c r="CE90" i="1"/>
  <c r="AT103" i="1"/>
  <c r="DC159" i="1"/>
  <c r="CE56" i="1"/>
  <c r="DA178" i="1"/>
  <c r="DA52" i="1"/>
  <c r="CI168" i="1"/>
  <c r="DD138" i="1"/>
  <c r="DF154" i="1"/>
  <c r="CH52" i="1"/>
  <c r="DC144" i="1"/>
  <c r="DB177" i="1"/>
  <c r="DE101" i="1"/>
  <c r="AX123" i="1"/>
  <c r="DE92" i="1"/>
  <c r="BA56" i="1"/>
  <c r="DD168" i="1"/>
  <c r="DD97" i="1"/>
  <c r="CD93" i="1"/>
  <c r="DC163" i="1"/>
  <c r="DF146" i="1"/>
  <c r="DA50" i="1"/>
  <c r="DA62" i="1"/>
  <c r="EP146" i="1"/>
  <c r="CH88" i="1"/>
  <c r="DB163" i="1"/>
  <c r="CE110" i="1"/>
  <c r="DF182" i="1"/>
  <c r="DC117" i="1"/>
  <c r="DC140" i="1"/>
  <c r="DA91" i="1"/>
  <c r="BD49" i="1"/>
  <c r="DE116" i="1"/>
  <c r="CF64" i="1"/>
  <c r="BF53" i="1"/>
  <c r="DA97" i="1"/>
  <c r="CE114" i="1"/>
  <c r="DD150" i="1"/>
  <c r="DB183" i="1"/>
  <c r="AT118" i="1"/>
  <c r="AT96" i="1"/>
  <c r="AV85" i="1"/>
  <c r="CD110" i="1"/>
  <c r="CD62" i="1"/>
  <c r="EQ148" i="1"/>
  <c r="CH93" i="1"/>
  <c r="CI109" i="1"/>
  <c r="DA93" i="1"/>
  <c r="DD156" i="1"/>
  <c r="DB176" i="1"/>
  <c r="EQ189" i="1"/>
  <c r="DA151" i="1"/>
  <c r="EQ164" i="1"/>
  <c r="AS122" i="1"/>
  <c r="AW87" i="1"/>
  <c r="DF118" i="1"/>
  <c r="DC106" i="1"/>
  <c r="DC114" i="1"/>
  <c r="CE53" i="1"/>
  <c r="EP173" i="1"/>
  <c r="AT86" i="1"/>
  <c r="AS118" i="1"/>
  <c r="DA117" i="1"/>
  <c r="DE88" i="1"/>
  <c r="CE120" i="1"/>
  <c r="EP184" i="1"/>
  <c r="EQ173" i="1"/>
  <c r="DA61" i="1"/>
  <c r="AW110" i="1"/>
  <c r="DB181" i="1"/>
  <c r="BB64" i="1"/>
  <c r="DF110" i="1"/>
  <c r="EQ181" i="1"/>
  <c r="EQ169" i="1"/>
  <c r="DB120" i="1"/>
  <c r="DB124" i="1"/>
  <c r="DC98" i="1"/>
  <c r="BF50" i="1"/>
  <c r="DB179" i="1"/>
  <c r="CD88" i="1"/>
  <c r="CG49" i="1"/>
  <c r="CI88" i="1"/>
  <c r="DC90" i="1"/>
  <c r="DC180" i="1"/>
  <c r="DE166" i="1"/>
  <c r="AU88" i="1"/>
  <c r="CG71" i="1"/>
  <c r="CI92" i="1"/>
  <c r="DB174" i="1"/>
  <c r="DC177" i="1"/>
  <c r="DF140" i="1"/>
  <c r="DF139" i="1"/>
  <c r="CE100" i="1"/>
  <c r="DC162" i="1"/>
  <c r="DE169" i="1"/>
  <c r="AW130" i="1"/>
  <c r="EP153" i="1"/>
  <c r="CI63" i="1"/>
  <c r="CE124" i="1"/>
  <c r="AW88" i="1"/>
  <c r="DA138" i="1"/>
  <c r="DD101" i="1"/>
  <c r="EQ171" i="1"/>
  <c r="CE106" i="1"/>
  <c r="DE120" i="1"/>
  <c r="CI90" i="1"/>
  <c r="BB51" i="1"/>
  <c r="DA167" i="1"/>
  <c r="DA181" i="1"/>
  <c r="DA101" i="1"/>
  <c r="DA169" i="1"/>
  <c r="AW128" i="1"/>
  <c r="CI97" i="1"/>
  <c r="BA64" i="1"/>
  <c r="DF186" i="1"/>
  <c r="DC126" i="1"/>
  <c r="CF85" i="1"/>
  <c r="CG63" i="1"/>
  <c r="DC158" i="1"/>
  <c r="DF166" i="1"/>
  <c r="CH121" i="1"/>
  <c r="CI104" i="1"/>
  <c r="CH87" i="1"/>
  <c r="DF167" i="1"/>
  <c r="DB137" i="1"/>
  <c r="DB109" i="1"/>
  <c r="DE93" i="1"/>
  <c r="AW107" i="1"/>
  <c r="DA47" i="1"/>
  <c r="DE161" i="1"/>
  <c r="DE187" i="1"/>
  <c r="DC166" i="1"/>
  <c r="DA165" i="1"/>
  <c r="AS115" i="1"/>
  <c r="CI96" i="1"/>
  <c r="DE150" i="1"/>
  <c r="BC52" i="1"/>
  <c r="EQ168" i="1"/>
  <c r="DC146" i="1"/>
  <c r="DA95" i="1"/>
  <c r="CD104" i="1"/>
  <c r="CI161" i="1"/>
  <c r="CI106" i="1"/>
  <c r="BA49" i="1"/>
  <c r="BB52" i="1"/>
  <c r="DE189" i="1"/>
  <c r="DF165" i="1"/>
  <c r="DF188" i="1"/>
  <c r="DB150" i="1"/>
  <c r="DE177" i="1"/>
  <c r="CF108" i="1"/>
  <c r="DB104" i="1"/>
  <c r="DF93" i="1"/>
  <c r="EQ161" i="1"/>
  <c r="DE149" i="1"/>
  <c r="CD105" i="1"/>
  <c r="AX96" i="1"/>
  <c r="DE113" i="1"/>
  <c r="DA145" i="1"/>
  <c r="DD111" i="1"/>
  <c r="DD157" i="1"/>
  <c r="DA74" i="1"/>
  <c r="CE50" i="1"/>
  <c r="DF157" i="1"/>
  <c r="AX110" i="1"/>
  <c r="AV103" i="1"/>
  <c r="AU101" i="1"/>
  <c r="EP170" i="1"/>
  <c r="AU118" i="1"/>
  <c r="EP138" i="1"/>
  <c r="AX117" i="1"/>
  <c r="DE171" i="1"/>
  <c r="DD123" i="1"/>
  <c r="AW99" i="1"/>
  <c r="CG103" i="1"/>
  <c r="CH124" i="1"/>
  <c r="CH64" i="1"/>
  <c r="DD130" i="1"/>
  <c r="EQ138" i="1"/>
  <c r="DF156" i="1"/>
  <c r="CF126" i="1"/>
  <c r="AT127" i="1"/>
  <c r="CH108" i="1"/>
  <c r="CH116" i="1"/>
  <c r="BE52" i="1"/>
  <c r="AV116" i="1"/>
  <c r="AU130" i="1"/>
  <c r="AS106" i="1"/>
  <c r="AU97" i="1"/>
  <c r="DC116" i="1"/>
  <c r="DF122" i="1"/>
  <c r="DC179" i="1"/>
  <c r="BE64" i="1"/>
  <c r="DC178" i="1"/>
  <c r="AW103" i="1"/>
  <c r="DB119" i="1"/>
  <c r="CI123" i="1"/>
  <c r="AW85" i="1"/>
  <c r="DB185" i="1"/>
  <c r="CE85" i="1"/>
  <c r="EQ186" i="1"/>
  <c r="DF125" i="1"/>
  <c r="DE122" i="1"/>
  <c r="AW100" i="1"/>
  <c r="DB123" i="1"/>
  <c r="DE118" i="1"/>
  <c r="DA70" i="1"/>
  <c r="CI107" i="1"/>
  <c r="DC122" i="1"/>
  <c r="EP172" i="1"/>
  <c r="DD90" i="1"/>
  <c r="DF86" i="1"/>
  <c r="CG97" i="1"/>
  <c r="DA159" i="1"/>
  <c r="CH96" i="1"/>
  <c r="DC173" i="1"/>
  <c r="DB149" i="1"/>
  <c r="CG105" i="1"/>
  <c r="DA154" i="1"/>
  <c r="DD137" i="1"/>
  <c r="CF111" i="1"/>
  <c r="CH109" i="1"/>
  <c r="CE129" i="1"/>
  <c r="DF114" i="1"/>
  <c r="DE107" i="1"/>
  <c r="CG62" i="1"/>
  <c r="DE126" i="1"/>
  <c r="DB91" i="1"/>
  <c r="CG125" i="1"/>
  <c r="DE175" i="1"/>
  <c r="DB144" i="1"/>
  <c r="DD153" i="1"/>
  <c r="EP158" i="1"/>
  <c r="CD108" i="1"/>
  <c r="AX92" i="1"/>
  <c r="BC56" i="1"/>
  <c r="DE162" i="1"/>
  <c r="CE127" i="1"/>
  <c r="DD146" i="1"/>
  <c r="CI87" i="1"/>
  <c r="DB146" i="1"/>
  <c r="EQ174" i="1"/>
  <c r="DC149" i="1"/>
  <c r="DE151" i="1"/>
  <c r="DA140" i="1"/>
  <c r="DA64" i="1"/>
  <c r="CF116" i="1"/>
  <c r="CG107" i="1"/>
  <c r="DF88" i="1"/>
  <c r="DF117" i="1"/>
  <c r="DF113" i="1"/>
  <c r="AW122" i="1"/>
  <c r="DB159" i="1"/>
  <c r="EQ137" i="1"/>
  <c r="CH89" i="1"/>
  <c r="DB171" i="1"/>
  <c r="CD113" i="1"/>
  <c r="CH71" i="1"/>
  <c r="DA180" i="1"/>
  <c r="DA147" i="1"/>
  <c r="DF123" i="1"/>
  <c r="DA90" i="1"/>
  <c r="CD117" i="1"/>
  <c r="DA116" i="1"/>
  <c r="DA176" i="1"/>
  <c r="DE167" i="1"/>
  <c r="DE142" i="1"/>
  <c r="CE119" i="1"/>
  <c r="DA161" i="1"/>
  <c r="DE183" i="1"/>
  <c r="AW91" i="1"/>
  <c r="DC147" i="1"/>
  <c r="DE127" i="1"/>
  <c r="CE111" i="1"/>
  <c r="CF95" i="1"/>
  <c r="DA175" i="1"/>
  <c r="BC51" i="1"/>
  <c r="BC49" i="1"/>
  <c r="CF70" i="1"/>
  <c r="DC156" i="1"/>
  <c r="AW112" i="1"/>
  <c r="CE107" i="1"/>
  <c r="CD97" i="1"/>
  <c r="DF160" i="1"/>
  <c r="CE71" i="1"/>
  <c r="DF171" i="1"/>
  <c r="DA173" i="1"/>
  <c r="DD112" i="1"/>
  <c r="CH120" i="1"/>
  <c r="AW96" i="1"/>
  <c r="AT115" i="1"/>
  <c r="AS120" i="1"/>
  <c r="CD90" i="1"/>
  <c r="CG90" i="1"/>
  <c r="DD142" i="1"/>
  <c r="CI127" i="1"/>
  <c r="DD86" i="1"/>
  <c r="AU119" i="1"/>
  <c r="CD87" i="1"/>
  <c r="DF185" i="1"/>
  <c r="DB155" i="1"/>
  <c r="CG113" i="1"/>
  <c r="DA150" i="1"/>
  <c r="CH51" i="1"/>
  <c r="AW117" i="1"/>
  <c r="DC102" i="1"/>
  <c r="DF145" i="1"/>
  <c r="CI124" i="1"/>
  <c r="DA146" i="1"/>
  <c r="AV88" i="1"/>
  <c r="EP162" i="1"/>
  <c r="CD91" i="1"/>
  <c r="CG88" i="1"/>
  <c r="AS99" i="1"/>
  <c r="CI94" i="1"/>
  <c r="DD188" i="1"/>
  <c r="DB127" i="1"/>
  <c r="AX89" i="1"/>
  <c r="DF174" i="1"/>
  <c r="DA73" i="1"/>
  <c r="AW106" i="1"/>
  <c r="AX90" i="1"/>
  <c r="DB99" i="1"/>
  <c r="DD102" i="1"/>
  <c r="AX85" i="1"/>
  <c r="AW102" i="1"/>
  <c r="DE146" i="1"/>
  <c r="CH115" i="1"/>
  <c r="EQ139" i="1"/>
  <c r="DA53" i="1"/>
  <c r="DC107" i="1"/>
  <c r="DF111" i="1"/>
  <c r="DD163" i="1"/>
  <c r="AX98" i="1"/>
  <c r="CG89" i="1"/>
  <c r="DA110" i="1"/>
  <c r="CG96" i="1"/>
  <c r="DA105" i="1"/>
  <c r="DC99" i="1"/>
  <c r="CF105" i="1"/>
  <c r="DD107" i="1"/>
  <c r="DE154" i="1"/>
  <c r="CI85" i="1"/>
  <c r="DD180" i="1"/>
  <c r="DD186" i="1"/>
  <c r="DE86" i="1"/>
  <c r="DF141" i="1"/>
  <c r="CF91" i="1"/>
  <c r="CI70" i="1"/>
  <c r="DB114" i="1"/>
  <c r="AW126" i="1"/>
  <c r="DD122" i="1"/>
  <c r="CH103" i="1"/>
  <c r="DF175" i="1"/>
  <c r="DF87" i="1"/>
  <c r="CG101" i="1"/>
  <c r="DD92" i="1"/>
  <c r="CI121" i="1"/>
  <c r="DF176" i="1"/>
  <c r="DD117" i="1"/>
  <c r="DE87" i="1"/>
  <c r="DF181" i="1"/>
  <c r="DF153" i="1"/>
  <c r="DE106" i="1"/>
  <c r="EP156" i="1"/>
  <c r="AW123" i="1"/>
  <c r="CG70" i="1"/>
  <c r="CE108" i="1"/>
  <c r="DB142" i="1"/>
  <c r="CD124" i="1"/>
  <c r="CE125" i="1"/>
  <c r="DB178" i="1"/>
  <c r="DE96" i="1"/>
  <c r="DA183" i="1"/>
  <c r="DB110" i="1"/>
  <c r="DF164" i="1"/>
  <c r="CG111" i="1"/>
  <c r="DC176" i="1"/>
  <c r="DA60" i="1"/>
  <c r="DA79" i="1"/>
  <c r="DA143" i="1"/>
  <c r="EP149" i="1"/>
  <c r="DC120" i="1"/>
  <c r="DB164" i="1"/>
  <c r="DF128" i="1"/>
  <c r="EQ179" i="1"/>
  <c r="DC170" i="1"/>
  <c r="CE102" i="1"/>
  <c r="DF189" i="1"/>
  <c r="CD99" i="1"/>
  <c r="AT93" i="1"/>
  <c r="CE49" i="1"/>
  <c r="DD177" i="1"/>
  <c r="BB49" i="1"/>
  <c r="DE159" i="1"/>
  <c r="CE97" i="1"/>
  <c r="DF180" i="1"/>
  <c r="DF138" i="1"/>
  <c r="CI91" i="1"/>
  <c r="DF187" i="1"/>
  <c r="DE112" i="1"/>
  <c r="DA128" i="1"/>
  <c r="BB56" i="1"/>
  <c r="CF97" i="1"/>
  <c r="CH129" i="1"/>
  <c r="DD170" i="1"/>
  <c r="DA160" i="1"/>
  <c r="BC64" i="1"/>
  <c r="DB87" i="1"/>
  <c r="DF108" i="1"/>
  <c r="AW113" i="1"/>
  <c r="AU125" i="1"/>
  <c r="AX103" i="1"/>
  <c r="EP175" i="1"/>
  <c r="AV122" i="1"/>
  <c r="AU102" i="1"/>
  <c r="AS101" i="1"/>
  <c r="AX113" i="1"/>
  <c r="CD52" i="1"/>
  <c r="DC95" i="1"/>
  <c r="CF118" i="1"/>
  <c r="DD103" i="1"/>
  <c r="DC145" i="1"/>
  <c r="CG99" i="1"/>
  <c r="DA45" i="1"/>
  <c r="DF119" i="1"/>
  <c r="CH163" i="1"/>
  <c r="AU120" i="1"/>
  <c r="DB101" i="1"/>
  <c r="DA108" i="1"/>
  <c r="EP141" i="1"/>
  <c r="DD171" i="1"/>
  <c r="DA144" i="1"/>
  <c r="CI115" i="1"/>
  <c r="EP145" i="1"/>
  <c r="AS89" i="1"/>
  <c r="AU112" i="1"/>
  <c r="AV86" i="1"/>
  <c r="AS88" i="1"/>
  <c r="AT113" i="1"/>
  <c r="DB153" i="1"/>
  <c r="CH119" i="1"/>
  <c r="DC141" i="1"/>
  <c r="BB53" i="1"/>
  <c r="DB157" i="1"/>
  <c r="DC108" i="1"/>
  <c r="DE160" i="1"/>
  <c r="DB145" i="1"/>
  <c r="CG121" i="1"/>
  <c r="DC85" i="1"/>
  <c r="AU108" i="1"/>
  <c r="DD118" i="1"/>
  <c r="DB100" i="1"/>
  <c r="CH125" i="1"/>
  <c r="CI108" i="1"/>
  <c r="DB180" i="1"/>
  <c r="CF88" i="1"/>
  <c r="CE126" i="1"/>
  <c r="DA51" i="1"/>
  <c r="DF104" i="1"/>
  <c r="DE100" i="1"/>
  <c r="DC150" i="1"/>
  <c r="CE93" i="1"/>
  <c r="EQ157" i="1"/>
  <c r="AT124" i="1"/>
  <c r="CI64" i="1"/>
  <c r="CG51" i="1"/>
  <c r="CG94" i="1"/>
  <c r="CD111" i="1"/>
  <c r="CD112" i="1"/>
  <c r="DE90" i="1"/>
  <c r="AW97" i="1"/>
  <c r="DB125" i="1"/>
  <c r="DA185" i="1"/>
  <c r="DA98" i="1"/>
  <c r="DC181" i="1"/>
  <c r="AU86" i="1"/>
  <c r="CI100" i="1"/>
  <c r="DF97" i="1"/>
  <c r="DD183" i="1"/>
  <c r="DC155" i="1"/>
  <c r="CF98" i="1"/>
  <c r="CD63" i="1"/>
  <c r="DD143" i="1"/>
  <c r="DB170" i="1"/>
  <c r="CI122" i="1"/>
  <c r="BA50" i="1"/>
  <c r="CE63" i="1"/>
  <c r="DF116" i="1"/>
  <c r="DF115" i="1"/>
  <c r="DA149" i="1"/>
  <c r="CE70" i="1"/>
  <c r="DE176" i="1"/>
  <c r="AW115" i="1"/>
  <c r="BF51" i="1"/>
  <c r="CI103" i="1"/>
  <c r="DA77" i="1"/>
  <c r="DB94" i="1"/>
  <c r="CI116" i="1"/>
  <c r="CH85" i="1"/>
  <c r="EP148" i="1"/>
  <c r="DA174" i="1"/>
  <c r="AW127" i="1"/>
  <c r="CF113" i="1"/>
  <c r="DD99" i="1"/>
  <c r="CG93" i="1"/>
  <c r="DB160" i="1"/>
  <c r="DD158" i="1"/>
  <c r="DC115" i="1"/>
  <c r="AW105" i="1"/>
  <c r="EP140" i="1"/>
  <c r="DF112" i="1"/>
  <c r="EQ183" i="1"/>
  <c r="DF121" i="1"/>
  <c r="DA104" i="1"/>
  <c r="DE184" i="1"/>
  <c r="CI163" i="1"/>
  <c r="DB158" i="1"/>
  <c r="AX88" i="1"/>
  <c r="DE138" i="1"/>
  <c r="DA179" i="1"/>
  <c r="EQ149" i="1"/>
  <c r="AU127" i="1"/>
  <c r="DF147" i="1"/>
  <c r="AX94" i="1"/>
  <c r="CF122" i="1"/>
  <c r="CG50" i="1"/>
  <c r="DA158" i="1"/>
  <c r="DE140" i="1"/>
  <c r="CF127" i="1"/>
  <c r="DE130" i="1"/>
  <c r="DB89" i="1"/>
  <c r="AX93" i="1"/>
  <c r="AW114" i="1"/>
  <c r="AW98" i="1"/>
  <c r="DF172" i="1"/>
  <c r="CF103" i="1"/>
  <c r="CH86" i="1"/>
  <c r="CH101" i="1"/>
  <c r="CH117" i="1"/>
  <c r="AU89" i="1"/>
  <c r="CF117" i="1"/>
  <c r="CH130" i="1"/>
  <c r="EQ167" i="1"/>
  <c r="DD152" i="1"/>
  <c r="CH95" i="1"/>
  <c r="CE116" i="1"/>
  <c r="DE121" i="1"/>
  <c r="CF110" i="1"/>
  <c r="DA130" i="1"/>
  <c r="AW92" i="1"/>
  <c r="DE170" i="1"/>
  <c r="DC128" i="1"/>
  <c r="CI53" i="1"/>
  <c r="AV109" i="1"/>
  <c r="DA119" i="1"/>
  <c r="DD129" i="1"/>
  <c r="CE98" i="1"/>
  <c r="CH100" i="1"/>
  <c r="DF151" i="1"/>
  <c r="DD140" i="1"/>
  <c r="CF129" i="1"/>
  <c r="DD106" i="1"/>
  <c r="CI113" i="1"/>
  <c r="BC50" i="1"/>
  <c r="DE102" i="1"/>
  <c r="CH94" i="1"/>
  <c r="DF95" i="1"/>
  <c r="CE101" i="1"/>
  <c r="CD51" i="1"/>
  <c r="AW118" i="1"/>
  <c r="DA88" i="1"/>
  <c r="CG108" i="1"/>
  <c r="DD169" i="1"/>
  <c r="DB166" i="1"/>
  <c r="DF152" i="1"/>
  <c r="DE94" i="1"/>
  <c r="CI89" i="1"/>
  <c r="DE165" i="1"/>
  <c r="DE95" i="1"/>
  <c r="DB108" i="1"/>
  <c r="DD155" i="1"/>
  <c r="DE164" i="1"/>
  <c r="DA163" i="1"/>
  <c r="EQ170" i="1"/>
  <c r="DD88" i="1"/>
  <c r="DA72" i="1"/>
  <c r="DE168" i="1"/>
  <c r="DC174" i="1"/>
  <c r="CI56" i="1"/>
  <c r="BF49" i="1"/>
  <c r="DE186" i="1"/>
  <c r="DA164" i="1"/>
  <c r="DA168" i="1"/>
  <c r="CF96" i="1"/>
  <c r="DE141" i="1"/>
  <c r="CI118" i="1"/>
  <c r="DB92" i="1"/>
  <c r="DA99" i="1"/>
  <c r="CH62" i="1"/>
  <c r="DC96" i="1"/>
  <c r="DD94" i="1"/>
  <c r="CI110" i="1"/>
  <c r="BA52" i="1"/>
  <c r="BE50" i="1"/>
  <c r="CH110" i="1"/>
  <c r="CI165" i="1"/>
  <c r="CH56" i="1"/>
  <c r="CD107" i="1"/>
  <c r="DE104" i="1"/>
  <c r="DF178" i="1"/>
  <c r="CF62" i="1"/>
  <c r="CH122" i="1"/>
  <c r="CE130" i="1"/>
  <c r="CH102" i="1"/>
  <c r="DB121" i="1"/>
  <c r="DD184" i="1"/>
  <c r="DF100" i="1"/>
  <c r="DF89" i="1"/>
  <c r="DF179" i="1"/>
  <c r="DC138" i="1"/>
  <c r="CH128" i="1"/>
  <c r="DA114" i="1"/>
  <c r="DA113" i="1"/>
  <c r="CD49" i="1"/>
  <c r="CG64" i="1"/>
  <c r="DD100" i="1"/>
  <c r="DC175" i="1"/>
  <c r="CE105" i="1"/>
  <c r="AW108" i="1"/>
  <c r="DA137" i="1"/>
  <c r="DB165" i="1"/>
  <c r="DC119" i="1"/>
  <c r="CF90" i="1"/>
  <c r="DF102" i="1"/>
  <c r="BC53" i="1"/>
  <c r="CF123" i="1"/>
  <c r="CD120" i="1"/>
  <c r="DD176" i="1"/>
  <c r="CI98" i="1"/>
  <c r="DE158" i="1"/>
  <c r="DA56" i="1"/>
  <c r="EQ184" i="1"/>
  <c r="DB5" i="1"/>
  <c r="DE163" i="1"/>
  <c r="DE123" i="1"/>
  <c r="CH92" i="1"/>
  <c r="DD91" i="1"/>
  <c r="DB105" i="1"/>
  <c r="DD116" i="1"/>
  <c r="DB140" i="1"/>
  <c r="DE152" i="1"/>
  <c r="EQ165" i="1"/>
  <c r="DD119" i="1"/>
  <c r="AX119" i="1"/>
  <c r="DA118" i="1"/>
  <c r="DC139" i="1"/>
  <c r="AX115" i="1"/>
  <c r="DE144" i="1"/>
  <c r="CE96" i="1"/>
  <c r="CD102" i="1"/>
  <c r="DB172" i="1"/>
  <c r="CE123" i="1"/>
  <c r="CI101" i="1"/>
  <c r="DB93" i="1"/>
  <c r="CD118" i="1"/>
  <c r="CG126" i="1"/>
  <c r="CG128" i="1"/>
  <c r="DB106" i="1"/>
  <c r="DE143" i="1"/>
  <c r="DC130" i="1"/>
  <c r="CG109" i="1"/>
  <c r="DD174" i="1"/>
  <c r="DC103" i="1"/>
  <c r="CF93" i="1"/>
  <c r="CD95" i="1"/>
  <c r="DD109" i="1"/>
  <c r="DD110" i="1"/>
  <c r="CF52" i="1"/>
  <c r="DA76" i="1"/>
  <c r="DD128" i="1"/>
  <c r="DB139" i="1"/>
  <c r="CH162" i="1"/>
  <c r="DF150" i="1"/>
  <c r="CH107" i="1"/>
  <c r="DB98" i="1"/>
  <c r="DE182" i="1"/>
  <c r="BD51" i="1"/>
  <c r="DB111" i="1"/>
  <c r="CH165" i="1"/>
  <c r="AX87" i="1"/>
  <c r="DD154" i="1"/>
  <c r="DA96" i="1"/>
  <c r="CE64" i="1"/>
  <c r="AW129" i="1"/>
  <c r="CF56" i="1"/>
  <c r="DA171" i="1"/>
  <c r="DA157" i="1"/>
  <c r="CF120" i="1"/>
  <c r="DB113" i="1"/>
  <c r="CD128" i="1"/>
  <c r="DC127" i="1"/>
  <c r="DA188" i="1"/>
  <c r="DA182" i="1"/>
  <c r="BE56" i="1"/>
  <c r="CH49" i="1"/>
  <c r="DD104" i="1"/>
  <c r="CG120" i="1"/>
  <c r="DF149" i="1"/>
  <c r="DD144" i="1"/>
  <c r="DC110" i="1"/>
  <c r="DE128" i="1"/>
  <c r="DC142" i="1"/>
  <c r="DB128" i="1"/>
  <c r="DE137" i="1"/>
  <c r="AX102" i="1"/>
  <c r="CD106" i="1"/>
  <c r="CE104" i="1"/>
  <c r="DA148" i="1"/>
  <c r="DE129" i="1"/>
  <c r="DC97" i="1"/>
  <c r="CI62" i="1"/>
  <c r="AV91" i="1"/>
  <c r="DE153" i="1"/>
  <c r="DC172" i="1"/>
  <c r="DB175" i="1"/>
  <c r="CF50" i="1"/>
  <c r="EQ160" i="1"/>
  <c r="AW94" i="1"/>
  <c r="DB90" i="1"/>
  <c r="CG114" i="1"/>
  <c r="AU85" i="1"/>
  <c r="CH123" i="1"/>
  <c r="DD89" i="1"/>
  <c r="DA139" i="1"/>
  <c r="DB126" i="1"/>
  <c r="DB167" i="1"/>
  <c r="CI86" i="1"/>
  <c r="DC123" i="1"/>
  <c r="DA141" i="1"/>
  <c r="DA162" i="1"/>
  <c r="AW95" i="1"/>
  <c r="DD87" i="1"/>
  <c r="DE109" i="1"/>
  <c r="DA184" i="1"/>
  <c r="EQ162" i="1"/>
  <c r="CI130" i="1"/>
  <c r="DA155" i="1"/>
  <c r="DA170" i="1"/>
  <c r="CD94" i="1"/>
  <c r="CI126" i="1"/>
  <c r="CD122" i="1"/>
  <c r="EQ178" i="1"/>
  <c r="DA156" i="1"/>
  <c r="DF142" i="1"/>
  <c r="DA120" i="1"/>
  <c r="CF115" i="1"/>
  <c r="CE112" i="1"/>
  <c r="CD126" i="1"/>
  <c r="CD70" i="1"/>
  <c r="CG91" i="1"/>
  <c r="AV106" i="1"/>
  <c r="DB85" i="1"/>
  <c r="CF106" i="1"/>
  <c r="BA51" i="1"/>
  <c r="CF87" i="1"/>
  <c r="DC113" i="1"/>
  <c r="CG106" i="1"/>
  <c r="CH104" i="1"/>
  <c r="CD123" i="1"/>
  <c r="CG95" i="1"/>
  <c r="DD108" i="1"/>
  <c r="AX91" i="1"/>
  <c r="CE99" i="1"/>
  <c r="DF161" i="1"/>
  <c r="DD141" i="1"/>
  <c r="DE188" i="1"/>
  <c r="CI51" i="1"/>
  <c r="DC100" i="1"/>
  <c r="CF112" i="1"/>
  <c r="DB161" i="1"/>
  <c r="DD98" i="1"/>
  <c r="CH114" i="1"/>
  <c r="DA89" i="1"/>
  <c r="DF143" i="1"/>
  <c r="DB187" i="1"/>
  <c r="CD130" i="1"/>
  <c r="CF130" i="1"/>
  <c r="DD120" i="1"/>
  <c r="DF106" i="1"/>
  <c r="DE119" i="1"/>
  <c r="BD53" i="1"/>
  <c r="DC92" i="1"/>
  <c r="EP154" i="1"/>
  <c r="DF96" i="1"/>
  <c r="DC93" i="1"/>
  <c r="DC125" i="1"/>
  <c r="CH63" i="1"/>
  <c r="CH164" i="1"/>
  <c r="DD151" i="1"/>
  <c r="DA92" i="1"/>
  <c r="CG52" i="1"/>
  <c r="CI164" i="1"/>
  <c r="DB97" i="1"/>
  <c r="AX95" i="1"/>
  <c r="CH113" i="1"/>
  <c r="CF99" i="1"/>
  <c r="DE139" i="1"/>
  <c r="DE117" i="1"/>
  <c r="DF126" i="1"/>
  <c r="CG110" i="1"/>
  <c r="DB189" i="1"/>
  <c r="DC143" i="1"/>
  <c r="DF169" i="1"/>
  <c r="AX86" i="1"/>
  <c r="CH168" i="1"/>
  <c r="CG102" i="1"/>
  <c r="DA48" i="1"/>
  <c r="DE179" i="1"/>
  <c r="BF56" i="1"/>
  <c r="CH111" i="1"/>
  <c r="CG98" i="1"/>
  <c r="DC118" i="1"/>
  <c r="CF53" i="1"/>
  <c r="EP143" i="1"/>
  <c r="DF158" i="1"/>
  <c r="DC105" i="1"/>
  <c r="DC94" i="1"/>
  <c r="AU109" i="1"/>
  <c r="CD53" i="1"/>
  <c r="DA87" i="1"/>
  <c r="DD162" i="1"/>
  <c r="CF102" i="1"/>
  <c r="EQ176" i="1"/>
  <c r="CE51" i="1"/>
  <c r="DC86" i="1"/>
  <c r="BD64" i="1"/>
  <c r="DF163" i="1"/>
  <c r="CF94" i="1"/>
  <c r="CF89" i="1"/>
  <c r="DE178" i="1"/>
  <c r="DA126" i="1"/>
  <c r="DA142" i="1"/>
  <c r="DD148" i="1"/>
  <c r="DD145" i="1"/>
  <c r="DD187" i="1"/>
  <c r="CF104" i="1"/>
  <c r="DB147" i="1"/>
  <c r="CG127" i="1"/>
  <c r="CF63" i="1"/>
  <c r="CE128" i="1"/>
  <c r="DA153" i="1"/>
  <c r="DB86" i="1"/>
  <c r="DA111" i="1"/>
  <c r="AW89" i="1"/>
  <c r="CD114" i="1"/>
  <c r="DC137" i="1"/>
  <c r="DD126" i="1"/>
  <c r="CH91" i="1"/>
  <c r="EP147" i="1"/>
  <c r="DB173" i="1"/>
  <c r="DA122" i="1"/>
  <c r="DD166" i="1"/>
  <c r="DF85" i="1"/>
  <c r="DA94" i="1"/>
  <c r="DA152" i="1"/>
  <c r="AT120" i="1"/>
  <c r="CH97" i="1"/>
  <c r="DC121" i="1"/>
  <c r="DB186" i="1"/>
  <c r="CD98" i="1"/>
  <c r="CF107" i="1"/>
  <c r="DC169" i="1"/>
  <c r="DC112" i="1"/>
  <c r="AW101" i="1"/>
  <c r="EP152" i="1"/>
  <c r="DB129" i="1"/>
  <c r="DE185" i="1"/>
  <c r="DA112" i="1"/>
  <c r="DB188" i="1"/>
  <c r="DA109" i="1"/>
  <c r="DF168" i="1"/>
  <c r="CD121" i="1"/>
  <c r="CF92" i="1"/>
  <c r="DE89" i="1"/>
  <c r="DC167" i="1"/>
  <c r="DE99" i="1"/>
  <c r="DF98" i="1"/>
  <c r="AW124" i="1"/>
  <c r="CI50" i="1"/>
  <c r="CI95" i="1"/>
  <c r="DC185" i="1"/>
  <c r="DA177" i="1"/>
  <c r="CI125" i="1"/>
  <c r="CE122" i="1"/>
  <c r="DD160" i="1"/>
  <c r="DB143" i="1"/>
  <c r="BD52" i="1"/>
  <c r="DA187" i="1"/>
  <c r="DC87" i="1"/>
  <c r="DB88" i="1"/>
  <c r="DB154" i="1"/>
  <c r="CE109" i="1"/>
  <c r="DF184" i="1"/>
  <c r="DD125" i="1"/>
  <c r="DA186" i="1"/>
  <c r="CF109" i="1"/>
  <c r="CG129" i="1"/>
  <c r="CG117" i="1"/>
  <c r="DD85" i="1"/>
  <c r="DE157" i="1"/>
  <c r="DB107" i="1"/>
  <c r="CI119" i="1"/>
  <c r="DC184" i="1"/>
  <c r="DB184" i="1"/>
  <c r="CH70" i="1"/>
  <c r="DA63" i="1"/>
  <c r="DC124" i="1"/>
  <c r="CG53" i="1"/>
  <c r="AW121" i="1"/>
  <c r="DB151" i="1"/>
  <c r="DB102" i="1"/>
  <c r="DC104" i="1"/>
  <c r="DB130" i="1"/>
  <c r="CE121" i="1"/>
  <c r="DD175" i="1"/>
  <c r="AU87" i="1"/>
  <c r="DF90" i="1"/>
  <c r="DA121" i="1"/>
  <c r="CF51" i="1"/>
  <c r="EP150" i="1"/>
  <c r="AT121" i="1"/>
  <c r="DA166" i="1"/>
  <c r="DA125" i="1"/>
  <c r="AW90" i="1"/>
  <c r="DC111" i="1"/>
  <c r="DA59" i="1"/>
  <c r="DD95" i="1"/>
  <c r="CG123" i="1"/>
  <c r="DC148" i="1"/>
  <c r="CG119" i="1"/>
  <c r="EP151" i="1"/>
  <c r="BD56" i="1"/>
  <c r="CF71" i="1"/>
  <c r="CG122" i="1"/>
  <c r="BE49" i="1"/>
  <c r="DB6" i="1"/>
  <c r="DF105" i="1"/>
  <c r="CH126" i="1"/>
  <c r="CE115" i="1"/>
  <c r="T31" i="2"/>
  <c r="J31" i="2"/>
  <c r="F32" i="2"/>
  <c r="L32" i="2"/>
  <c r="T32" i="2"/>
  <c r="X30" i="2"/>
  <c r="K29" i="2"/>
  <c r="F30" i="2"/>
  <c r="S29" i="2"/>
  <c r="M31" i="2"/>
  <c r="N31" i="2"/>
  <c r="P29" i="2"/>
  <c r="C32" i="2"/>
  <c r="S31" i="2"/>
  <c r="V30" i="2"/>
  <c r="U32" i="2"/>
  <c r="K32" i="2"/>
  <c r="H32" i="2"/>
  <c r="M30" i="2"/>
  <c r="R30" i="2"/>
  <c r="D29" i="2"/>
  <c r="G31" i="2"/>
  <c r="E31" i="2"/>
  <c r="V29" i="2"/>
  <c r="I29" i="2"/>
  <c r="G32" i="2"/>
  <c r="O31" i="2"/>
  <c r="V31" i="2"/>
  <c r="W32" i="2"/>
  <c r="O32" i="2"/>
  <c r="G29" i="2"/>
  <c r="U30" i="2"/>
  <c r="R29" i="2"/>
  <c r="R31" i="2"/>
  <c r="Q30" i="2"/>
  <c r="M32" i="2"/>
  <c r="N30" i="2"/>
  <c r="D32" i="2"/>
  <c r="V32" i="2"/>
  <c r="J30" i="2"/>
  <c r="S32" i="2"/>
  <c r="X29" i="2"/>
  <c r="R32" i="2"/>
  <c r="I30" i="2"/>
  <c r="X32" i="2"/>
  <c r="J32" i="2"/>
  <c r="W30" i="2"/>
  <c r="B31" i="2"/>
  <c r="L31" i="2"/>
  <c r="C30" i="2"/>
  <c r="M29" i="2"/>
  <c r="I31" i="2"/>
  <c r="D30" i="2"/>
  <c r="T29" i="2"/>
  <c r="H30" i="2"/>
  <c r="E30" i="2"/>
  <c r="X31" i="2"/>
  <c r="Q32" i="2"/>
  <c r="U29" i="2"/>
  <c r="O29" i="2"/>
  <c r="Q31" i="2"/>
  <c r="N29" i="2"/>
  <c r="Q29" i="2"/>
  <c r="E29" i="2"/>
  <c r="H31" i="2"/>
  <c r="I32" i="2"/>
  <c r="L30" i="2"/>
  <c r="B30" i="2"/>
  <c r="H29" i="2"/>
  <c r="F29" i="2"/>
  <c r="W29" i="2"/>
  <c r="K30" i="2"/>
  <c r="U31" i="2"/>
  <c r="E32" i="2"/>
  <c r="N32" i="2"/>
  <c r="D31" i="2"/>
  <c r="F31" i="2"/>
  <c r="L29" i="2"/>
  <c r="P31" i="2"/>
  <c r="B29" i="2"/>
  <c r="W31" i="2"/>
  <c r="B32" i="2"/>
  <c r="P32" i="2"/>
  <c r="K31" i="2"/>
  <c r="G30" i="2"/>
  <c r="C31" i="2"/>
  <c r="S30" i="2"/>
  <c r="O30" i="2"/>
  <c r="J29" i="2"/>
  <c r="T30" i="2"/>
  <c r="P30" i="2"/>
  <c r="C29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BJ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BJ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BT173" i="1" s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BJ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BJ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BJ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BJ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Q33" i="2"/>
  <c r="H33" i="2"/>
  <c r="G33" i="2"/>
  <c r="O33" i="2"/>
  <c r="L33" i="2"/>
  <c r="U33" i="2"/>
  <c r="T33" i="2"/>
  <c r="B33" i="2"/>
  <c r="W33" i="2"/>
  <c r="F33" i="2"/>
  <c r="E33" i="2"/>
  <c r="S33" i="2"/>
  <c r="K33" i="2"/>
  <c r="D33" i="2"/>
  <c r="J33" i="2"/>
  <c r="X33" i="2"/>
  <c r="N33" i="2"/>
  <c r="R33" i="2"/>
  <c r="I33" i="2"/>
  <c r="C33" i="2"/>
  <c r="P33" i="2"/>
  <c r="V33" i="2"/>
  <c r="M33" i="2"/>
  <c r="DQ114" i="1" l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BQ53" i="1"/>
  <c r="DQ117" i="1"/>
  <c r="DQ163" i="1"/>
  <c r="DP90" i="1"/>
  <c r="DP130" i="1"/>
  <c r="CP86" i="1"/>
  <c r="CP50" i="1"/>
  <c r="DP106" i="1"/>
  <c r="BU187" i="1"/>
  <c r="DV86" i="1"/>
  <c r="ES86" i="1" s="1"/>
  <c r="C84" i="1"/>
  <c r="DV88" i="1"/>
  <c r="ES88" i="1" s="1"/>
  <c r="BU52" i="1"/>
  <c r="DH131" i="1"/>
  <c r="DI84" i="1"/>
  <c r="BU176" i="1"/>
  <c r="DV89" i="1"/>
  <c r="ES89" i="1" s="1"/>
  <c r="BU170" i="1"/>
  <c r="DI131" i="1"/>
  <c r="BU177" i="1"/>
  <c r="CP51" i="1"/>
  <c r="DI132" i="1"/>
  <c r="DM114" i="1"/>
  <c r="DQ110" i="1"/>
  <c r="DP105" i="1"/>
  <c r="DM107" i="1"/>
  <c r="BX53" i="1"/>
  <c r="BY54" i="1" s="1"/>
  <c r="DQ53" i="1"/>
  <c r="DL96" i="1"/>
  <c r="DL121" i="1"/>
  <c r="DL126" i="1"/>
  <c r="DP86" i="1"/>
  <c r="DP122" i="1"/>
  <c r="DM87" i="1"/>
  <c r="DL89" i="1"/>
  <c r="BQ52" i="1"/>
  <c r="BI125" i="1"/>
  <c r="BU156" i="1"/>
  <c r="CP113" i="1"/>
  <c r="CP90" i="1"/>
  <c r="DV87" i="1"/>
  <c r="ES87" i="1" s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ES91" i="1" s="1"/>
  <c r="DP125" i="1"/>
  <c r="DS127" i="1"/>
  <c r="CP53" i="1"/>
  <c r="DM127" i="1"/>
  <c r="E51" i="1"/>
  <c r="CP163" i="1"/>
  <c r="DV90" i="1"/>
  <c r="ES90" i="1" s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ES92" i="1" s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BX50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R49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DR53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BX49" i="1"/>
  <c r="EG44" i="1"/>
  <c r="BX56" i="1"/>
  <c r="BY56" i="1" s="1"/>
  <c r="DL64" i="1"/>
  <c r="DR56" i="1"/>
  <c r="BU185" i="1"/>
  <c r="BV185" i="1" s="1"/>
  <c r="BS50" i="1"/>
  <c r="BU154" i="1"/>
  <c r="CB64" i="1"/>
  <c r="CC65" i="1" s="1"/>
  <c r="BU143" i="1"/>
  <c r="BZ52" i="1"/>
  <c r="BZ64" i="1"/>
  <c r="CA65" i="1" s="1"/>
  <c r="BX52" i="1"/>
  <c r="DQ64" i="1"/>
  <c r="EI44" i="1"/>
  <c r="BL44" i="1"/>
  <c r="BX51" i="1"/>
  <c r="BO136" i="1"/>
  <c r="BZ53" i="1"/>
  <c r="CA54" i="1" s="1"/>
  <c r="BU186" i="1"/>
  <c r="BN136" i="1"/>
  <c r="BU174" i="1"/>
  <c r="BU189" i="1"/>
  <c r="BU64" i="1"/>
  <c r="BQ49" i="1"/>
  <c r="BQ56" i="1"/>
  <c r="BR56" i="1" s="1"/>
  <c r="BU159" i="1"/>
  <c r="BU169" i="1"/>
  <c r="CB53" i="1"/>
  <c r="CC54" i="1" s="1"/>
  <c r="BU150" i="1"/>
  <c r="BZ50" i="1"/>
  <c r="DS64" i="1"/>
  <c r="DM128" i="1"/>
  <c r="BM44" i="1"/>
  <c r="BQ51" i="1"/>
  <c r="DR50" i="1"/>
  <c r="BU173" i="1"/>
  <c r="BU151" i="1"/>
  <c r="BU56" i="1"/>
  <c r="BS53" i="1"/>
  <c r="BQ50" i="1"/>
  <c r="BN44" i="1"/>
  <c r="BU53" i="1"/>
  <c r="BS56" i="1"/>
  <c r="BT56" i="1" s="1"/>
  <c r="DR51" i="1"/>
  <c r="CB163" i="1"/>
  <c r="DR52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R34" i="2"/>
  <c r="V34" i="2"/>
  <c r="B34" i="2"/>
  <c r="F34" i="2"/>
  <c r="X34" i="2"/>
  <c r="J34" i="2"/>
  <c r="E34" i="2"/>
  <c r="P34" i="2"/>
  <c r="H34" i="2"/>
  <c r="D34" i="2"/>
  <c r="W34" i="2"/>
  <c r="Q34" i="2"/>
  <c r="T34" i="2"/>
  <c r="L34" i="2"/>
  <c r="N34" i="2"/>
  <c r="U34" i="2"/>
  <c r="G34" i="2"/>
  <c r="I34" i="2"/>
  <c r="M34" i="2"/>
  <c r="O34" i="2"/>
  <c r="K34" i="2"/>
  <c r="S34" i="2"/>
  <c r="C34" i="2"/>
  <c r="BV157" i="1" l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R50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1" i="1"/>
  <c r="BR53" i="1"/>
  <c r="BR54" i="1"/>
  <c r="BR52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CW52" i="1"/>
  <c r="DN132" i="1"/>
  <c r="DP132" i="1"/>
  <c r="CW49" i="1"/>
  <c r="CO131" i="1"/>
  <c r="CC50" i="1"/>
  <c r="ET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ET51" i="1"/>
  <c r="CY50" i="1"/>
  <c r="DS84" i="1"/>
  <c r="DS131" i="1"/>
  <c r="DM84" i="1"/>
  <c r="CY52" i="1"/>
  <c r="ET49" i="1"/>
  <c r="BY51" i="1"/>
  <c r="BY53" i="1"/>
  <c r="CY51" i="1"/>
  <c r="BY52" i="1"/>
  <c r="BY50" i="1"/>
  <c r="CC53" i="1"/>
  <c r="CY49" i="1"/>
  <c r="CW53" i="1"/>
  <c r="CW56" i="1"/>
  <c r="ET56" i="1"/>
  <c r="CA50" i="1"/>
  <c r="CA51" i="1"/>
  <c r="CA53" i="1"/>
  <c r="ET53" i="1"/>
  <c r="CY53" i="1"/>
  <c r="CZ54" i="1" s="1"/>
  <c r="CY56" i="1"/>
  <c r="CZ56" i="1" s="1"/>
  <c r="ET52" i="1"/>
  <c r="CW50" i="1"/>
  <c r="BU136" i="1"/>
  <c r="BU191" i="1" s="1"/>
  <c r="Y34" i="2"/>
  <c r="BG33" i="1" s="1"/>
  <c r="AZ34" i="1"/>
  <c r="A35" i="2"/>
  <c r="DG34" i="1"/>
  <c r="F34" i="1"/>
  <c r="A35" i="1"/>
  <c r="M35" i="2"/>
  <c r="F35" i="2"/>
  <c r="X35" i="2"/>
  <c r="E35" i="2"/>
  <c r="P35" i="2"/>
  <c r="W35" i="2"/>
  <c r="H35" i="2"/>
  <c r="G35" i="2"/>
  <c r="D35" i="2"/>
  <c r="L35" i="2"/>
  <c r="O35" i="2"/>
  <c r="U35" i="2"/>
  <c r="N35" i="2"/>
  <c r="K35" i="2"/>
  <c r="C35" i="2"/>
  <c r="J35" i="2"/>
  <c r="S35" i="2"/>
  <c r="B35" i="2"/>
  <c r="Q35" i="2"/>
  <c r="R35" i="2"/>
  <c r="V35" i="2"/>
  <c r="T35" i="2"/>
  <c r="I35" i="2"/>
  <c r="CZ50" i="1" l="1"/>
  <c r="CZ52" i="1"/>
  <c r="CZ53" i="1"/>
  <c r="CZ51" i="1"/>
  <c r="BU190" i="1"/>
  <c r="Y35" i="2"/>
  <c r="BG34" i="1" s="1"/>
  <c r="AZ35" i="1"/>
  <c r="A36" i="2"/>
  <c r="DG35" i="1"/>
  <c r="F35" i="1"/>
  <c r="A36" i="1"/>
  <c r="B36" i="2"/>
  <c r="T36" i="2"/>
  <c r="V36" i="2"/>
  <c r="J36" i="2"/>
  <c r="K36" i="2"/>
  <c r="O36" i="2"/>
  <c r="N36" i="2"/>
  <c r="H36" i="2"/>
  <c r="D36" i="2"/>
  <c r="X36" i="2"/>
  <c r="C36" i="2"/>
  <c r="P36" i="2"/>
  <c r="L36" i="2"/>
  <c r="U36" i="2"/>
  <c r="S36" i="2"/>
  <c r="I36" i="2"/>
  <c r="Q36" i="2"/>
  <c r="G36" i="2"/>
  <c r="R36" i="2"/>
  <c r="M36" i="2"/>
  <c r="F36" i="2"/>
  <c r="W36" i="2"/>
  <c r="E36" i="2"/>
  <c r="Y36" i="2" l="1"/>
  <c r="BG35" i="1" s="1"/>
  <c r="AZ36" i="1"/>
  <c r="A37" i="2"/>
  <c r="DG36" i="1"/>
  <c r="F36" i="1"/>
  <c r="A37" i="1"/>
  <c r="I37" i="2"/>
  <c r="S37" i="2"/>
  <c r="W37" i="2"/>
  <c r="P37" i="2"/>
  <c r="C37" i="2"/>
  <c r="B37" i="2"/>
  <c r="Q37" i="2"/>
  <c r="V37" i="2"/>
  <c r="J37" i="2"/>
  <c r="E37" i="2"/>
  <c r="G37" i="2"/>
  <c r="K37" i="2"/>
  <c r="R37" i="2"/>
  <c r="D37" i="2"/>
  <c r="M37" i="2"/>
  <c r="N37" i="2"/>
  <c r="U37" i="2"/>
  <c r="L37" i="2"/>
  <c r="F37" i="2"/>
  <c r="T37" i="2"/>
  <c r="X37" i="2"/>
  <c r="H37" i="2"/>
  <c r="O37" i="2"/>
  <c r="Y37" i="2" l="1"/>
  <c r="BG36" i="1" s="1"/>
  <c r="AZ37" i="1"/>
  <c r="A38" i="2"/>
  <c r="DG37" i="1"/>
  <c r="F37" i="1"/>
  <c r="A38" i="1"/>
  <c r="P38" i="2"/>
  <c r="S38" i="2"/>
  <c r="Q38" i="2"/>
  <c r="U38" i="2"/>
  <c r="D38" i="2"/>
  <c r="N38" i="2"/>
  <c r="X38" i="2"/>
  <c r="E38" i="2"/>
  <c r="M38" i="2"/>
  <c r="V38" i="2"/>
  <c r="G38" i="2"/>
  <c r="J38" i="2"/>
  <c r="B38" i="2"/>
  <c r="C38" i="2"/>
  <c r="R38" i="2"/>
  <c r="O38" i="2"/>
  <c r="W38" i="2"/>
  <c r="L38" i="2"/>
  <c r="I38" i="2"/>
  <c r="T38" i="2"/>
  <c r="H38" i="2"/>
  <c r="K38" i="2"/>
  <c r="F38" i="2"/>
  <c r="Y38" i="2" l="1"/>
  <c r="BG37" i="1" s="1"/>
  <c r="AZ38" i="1"/>
  <c r="A39" i="2"/>
  <c r="DG38" i="1"/>
  <c r="F38" i="1"/>
  <c r="J39" i="2"/>
  <c r="L39" i="2"/>
  <c r="N39" i="2"/>
  <c r="G39" i="2"/>
  <c r="F39" i="2"/>
  <c r="K39" i="2"/>
  <c r="T39" i="2"/>
  <c r="P39" i="2"/>
  <c r="D39" i="2"/>
  <c r="R39" i="2"/>
  <c r="O39" i="2"/>
  <c r="H39" i="2"/>
  <c r="E39" i="2"/>
  <c r="X39" i="2"/>
  <c r="V39" i="2"/>
  <c r="U39" i="2"/>
  <c r="W39" i="2"/>
  <c r="C39" i="2"/>
  <c r="B39" i="2"/>
  <c r="Q39" i="2"/>
  <c r="S39" i="2"/>
  <c r="I39" i="2"/>
  <c r="M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CG149" i="1"/>
  <c r="BA167" i="1"/>
  <c r="BA166" i="1"/>
  <c r="BA165" i="1"/>
  <c r="CG156" i="1"/>
  <c r="BD156" i="1"/>
  <c r="BD150" i="1"/>
  <c r="BF170" i="1"/>
  <c r="BE158" i="1"/>
  <c r="CG155" i="1"/>
  <c r="BE159" i="1"/>
  <c r="BD152" i="1"/>
  <c r="BD153" i="1"/>
  <c r="BC179" i="1"/>
  <c r="EL166" i="1"/>
  <c r="BD149" i="1"/>
  <c r="EL164" i="1"/>
  <c r="BD155" i="1"/>
  <c r="BD154" i="1"/>
  <c r="EL168" i="1"/>
  <c r="BC180" i="1"/>
  <c r="BA161" i="1"/>
  <c r="EL167" i="1"/>
  <c r="BE154" i="1"/>
  <c r="BE153" i="1"/>
  <c r="CF182" i="1"/>
  <c r="BF176" i="1"/>
  <c r="CF180" i="1"/>
  <c r="BF169" i="1"/>
  <c r="CF181" i="1"/>
  <c r="BF173" i="1"/>
  <c r="BD157" i="1"/>
  <c r="CG152" i="1"/>
  <c r="EL160" i="1"/>
  <c r="BF171" i="1"/>
  <c r="EL159" i="1"/>
  <c r="BE155" i="1"/>
  <c r="CG151" i="1"/>
  <c r="BF174" i="1"/>
  <c r="BE157" i="1"/>
  <c r="CG150" i="1"/>
  <c r="CG153" i="1"/>
  <c r="CF179" i="1"/>
  <c r="CF183" i="1"/>
  <c r="BE156" i="1"/>
  <c r="CG157" i="1"/>
  <c r="EL163" i="1"/>
  <c r="EL165" i="1"/>
  <c r="BA164" i="1"/>
  <c r="CG154" i="1"/>
  <c r="EL161" i="1"/>
  <c r="CF184" i="1"/>
  <c r="BE160" i="1"/>
  <c r="BF175" i="1"/>
  <c r="EL162" i="1"/>
  <c r="BD151" i="1"/>
  <c r="BA162" i="1"/>
  <c r="EE165" i="1" l="1"/>
  <c r="DX165" i="1" s="1"/>
  <c r="BJ165" i="1" s="1"/>
  <c r="EE168" i="1"/>
  <c r="DX168" i="1" s="1"/>
  <c r="BJ168" i="1" s="1"/>
  <c r="EE167" i="1"/>
  <c r="DX167" i="1" s="1"/>
  <c r="BJ167" i="1" s="1"/>
  <c r="DJ166" i="1"/>
  <c r="DH166" i="1"/>
  <c r="DT166" i="1"/>
  <c r="DN166" i="1"/>
  <c r="DN165" i="1"/>
  <c r="DJ165" i="1"/>
  <c r="DH165" i="1"/>
  <c r="DT165" i="1"/>
  <c r="EE163" i="1"/>
  <c r="DX163" i="1" s="1"/>
  <c r="BJ163" i="1" s="1"/>
  <c r="DN167" i="1"/>
  <c r="DH167" i="1"/>
  <c r="DT167" i="1"/>
  <c r="DJ167" i="1"/>
  <c r="EE159" i="1"/>
  <c r="DX159" i="1" s="1"/>
  <c r="BJ159" i="1" s="1"/>
  <c r="DH162" i="1"/>
  <c r="DJ162" i="1"/>
  <c r="DN162" i="1"/>
  <c r="DT162" i="1"/>
  <c r="DJ161" i="1"/>
  <c r="DT161" i="1"/>
  <c r="DN161" i="1"/>
  <c r="DH161" i="1"/>
  <c r="EE166" i="1"/>
  <c r="DX166" i="1" s="1"/>
  <c r="BJ166" i="1" s="1"/>
  <c r="EE164" i="1"/>
  <c r="DX164" i="1" s="1"/>
  <c r="BJ164" i="1" s="1"/>
  <c r="DJ164" i="1"/>
  <c r="DT164" i="1"/>
  <c r="DN164" i="1"/>
  <c r="DH164" i="1"/>
  <c r="EE160" i="1"/>
  <c r="DX160" i="1" s="1"/>
  <c r="BJ160" i="1" s="1"/>
  <c r="EE161" i="1"/>
  <c r="DX161" i="1" s="1"/>
  <c r="BJ161" i="1" s="1"/>
  <c r="EE162" i="1"/>
  <c r="DX162" i="1" s="1"/>
  <c r="BJ162" i="1" s="1"/>
  <c r="BF164" i="1"/>
  <c r="EL140" i="1"/>
  <c r="BF151" i="1"/>
  <c r="BE165" i="1"/>
  <c r="EM137" i="1"/>
  <c r="EL139" i="1"/>
  <c r="EM139" i="1"/>
  <c r="EM141" i="1"/>
  <c r="EL178" i="1"/>
  <c r="BE164" i="1"/>
  <c r="EM144" i="1"/>
  <c r="BF165" i="1"/>
  <c r="BF150" i="1"/>
  <c r="BE175" i="1"/>
  <c r="BE171" i="1"/>
  <c r="BE172" i="1"/>
  <c r="BF149" i="1"/>
  <c r="BE189" i="1"/>
  <c r="EM178" i="1"/>
  <c r="BE173" i="1"/>
  <c r="EL181" i="1"/>
  <c r="EL142" i="1"/>
  <c r="BE150" i="1"/>
  <c r="EL182" i="1"/>
  <c r="EM179" i="1"/>
  <c r="EM183" i="1"/>
  <c r="BF166" i="1"/>
  <c r="EL138" i="1"/>
  <c r="BE176" i="1"/>
  <c r="EM182" i="1"/>
  <c r="EM140" i="1"/>
  <c r="BE166" i="1"/>
  <c r="EM142" i="1"/>
  <c r="BE152" i="1"/>
  <c r="BE149" i="1"/>
  <c r="EL184" i="1"/>
  <c r="BE169" i="1"/>
  <c r="BE174" i="1"/>
  <c r="EL183" i="1"/>
  <c r="EL137" i="1"/>
  <c r="BF172" i="1"/>
  <c r="EL143" i="1"/>
  <c r="BE162" i="1"/>
  <c r="BE170" i="1"/>
  <c r="EM177" i="1"/>
  <c r="BF167" i="1"/>
  <c r="EM180" i="1"/>
  <c r="EM184" i="1"/>
  <c r="EL179" i="1"/>
  <c r="BF152" i="1"/>
  <c r="EM181" i="1"/>
  <c r="BF161" i="1"/>
  <c r="BF162" i="1"/>
  <c r="BE151" i="1"/>
  <c r="EL180" i="1"/>
  <c r="EM138" i="1"/>
  <c r="EM143" i="1"/>
  <c r="EL141" i="1"/>
  <c r="EL177" i="1"/>
  <c r="EL144" i="1"/>
  <c r="BF189" i="1"/>
  <c r="BE167" i="1"/>
  <c r="BE161" i="1"/>
  <c r="EE138" i="1" l="1"/>
  <c r="DX138" i="1" s="1"/>
  <c r="BJ138" i="1" s="1"/>
  <c r="CU165" i="1"/>
  <c r="CB165" i="1"/>
  <c r="CB162" i="1"/>
  <c r="CC163" i="1" s="1"/>
  <c r="CU162" i="1"/>
  <c r="EE144" i="1"/>
  <c r="DX144" i="1" s="1"/>
  <c r="BJ144" i="1" s="1"/>
  <c r="EE137" i="1"/>
  <c r="DX137" i="1" s="1"/>
  <c r="BJ137" i="1" s="1"/>
  <c r="EE181" i="1"/>
  <c r="DX181" i="1" s="1"/>
  <c r="BJ181" i="1" s="1"/>
  <c r="CB170" i="1"/>
  <c r="CU170" i="1"/>
  <c r="CU161" i="1"/>
  <c r="CB161" i="1"/>
  <c r="EE182" i="1"/>
  <c r="DX182" i="1" s="1"/>
  <c r="BJ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BJ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BJ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BJ180" i="1" s="1"/>
  <c r="EE179" i="1"/>
  <c r="DX179" i="1" s="1"/>
  <c r="BJ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BJ142" i="1" s="1"/>
  <c r="EE183" i="1"/>
  <c r="DX183" i="1" s="1"/>
  <c r="BJ183" i="1" s="1"/>
  <c r="EE139" i="1"/>
  <c r="DX139" i="1" s="1"/>
  <c r="BJ139" i="1" s="1"/>
  <c r="EE141" i="1"/>
  <c r="DX141" i="1" s="1"/>
  <c r="BJ141" i="1" s="1"/>
  <c r="EE140" i="1"/>
  <c r="DX140" i="1" s="1"/>
  <c r="BJ140" i="1" s="1"/>
  <c r="CU175" i="1"/>
  <c r="CB175" i="1"/>
  <c r="CU173" i="1"/>
  <c r="CB173" i="1"/>
  <c r="CU167" i="1"/>
  <c r="CB167" i="1"/>
  <c r="CC168" i="1" s="1"/>
  <c r="EE178" i="1"/>
  <c r="DX178" i="1" s="1"/>
  <c r="BJ178" i="1" s="1"/>
  <c r="EE177" i="1"/>
  <c r="DX177" i="1" s="1"/>
  <c r="BJ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Q140" i="1" l="1"/>
  <c r="CC175" i="1"/>
  <c r="CC171" i="1"/>
  <c r="BQ177" i="1"/>
  <c r="BQ138" i="1"/>
  <c r="CC166" i="1"/>
  <c r="CC152" i="1"/>
  <c r="CC150" i="1"/>
  <c r="CC170" i="1"/>
  <c r="BQ139" i="1"/>
  <c r="BQ141" i="1"/>
  <c r="BQ184" i="1"/>
  <c r="CC162" i="1"/>
  <c r="BQ179" i="1"/>
  <c r="CC172" i="1"/>
  <c r="BQ144" i="1"/>
  <c r="DY137" i="1"/>
  <c r="BK137" i="1" s="1"/>
  <c r="CC174" i="1"/>
  <c r="BQ182" i="1"/>
  <c r="CC176" i="1"/>
  <c r="BQ181" i="1"/>
  <c r="BQ142" i="1"/>
  <c r="CC151" i="1"/>
  <c r="BQ143" i="1"/>
  <c r="CC164" i="1"/>
  <c r="CC165" i="1"/>
  <c r="CC167" i="1"/>
  <c r="CC173" i="1"/>
  <c r="BQ183" i="1"/>
  <c r="BQ180" i="1"/>
  <c r="BQ178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s="1"/>
  <c r="BB184" i="1"/>
  <c r="CD153" i="1"/>
  <c r="CE176" i="1"/>
  <c r="BE181" i="1"/>
  <c r="CG189" i="1"/>
  <c r="CD142" i="1"/>
  <c r="EM170" i="1"/>
  <c r="BD169" i="1"/>
  <c r="BB180" i="1"/>
  <c r="BF156" i="1"/>
  <c r="EM151" i="1"/>
  <c r="BD186" i="1"/>
  <c r="CF189" i="1"/>
  <c r="CE139" i="1"/>
  <c r="CE149" i="1"/>
  <c r="CG158" i="1"/>
  <c r="CF185" i="1"/>
  <c r="BF145" i="1"/>
  <c r="BB147" i="1"/>
  <c r="EL174" i="1"/>
  <c r="BC149" i="1"/>
  <c r="BD180" i="1"/>
  <c r="CE183" i="1"/>
  <c r="BF143" i="1"/>
  <c r="BD171" i="1"/>
  <c r="CG182" i="1"/>
  <c r="BE187" i="1"/>
  <c r="BF146" i="1"/>
  <c r="BD170" i="1"/>
  <c r="BA145" i="1"/>
  <c r="EM157" i="1"/>
  <c r="BB169" i="1"/>
  <c r="BD148" i="1"/>
  <c r="EL171" i="1"/>
  <c r="CF186" i="1"/>
  <c r="BC187" i="1"/>
  <c r="CE153" i="1"/>
  <c r="BA139" i="1"/>
  <c r="CF156" i="1"/>
  <c r="BE140" i="1"/>
  <c r="BC189" i="1"/>
  <c r="CD169" i="1"/>
  <c r="BC140" i="1"/>
  <c r="BC145" i="1"/>
  <c r="CE148" i="1"/>
  <c r="BF139" i="1"/>
  <c r="EL150" i="1"/>
  <c r="BE183" i="1"/>
  <c r="BF155" i="1"/>
  <c r="BF157" i="1"/>
  <c r="CD170" i="1"/>
  <c r="EL173" i="1"/>
  <c r="EL152" i="1"/>
  <c r="CE173" i="1"/>
  <c r="CG187" i="1"/>
  <c r="BF153" i="1"/>
  <c r="BB138" i="1"/>
  <c r="BE186" i="1"/>
  <c r="EM172" i="1"/>
  <c r="BF144" i="1"/>
  <c r="BB185" i="1"/>
  <c r="CE177" i="1"/>
  <c r="EM185" i="1"/>
  <c r="CF144" i="1"/>
  <c r="EM166" i="1"/>
  <c r="BB142" i="1"/>
  <c r="CE189" i="1"/>
  <c r="EL157" i="1"/>
  <c r="AV189" i="1"/>
  <c r="EM171" i="1"/>
  <c r="CF187" i="1"/>
  <c r="EM148" i="1"/>
  <c r="BE146" i="1"/>
  <c r="BA185" i="1"/>
  <c r="CD179" i="1"/>
  <c r="BA178" i="1"/>
  <c r="BC151" i="1"/>
  <c r="BC142" i="1"/>
  <c r="EL158" i="1"/>
  <c r="CG181" i="1"/>
  <c r="EM176" i="1"/>
  <c r="CE181" i="1"/>
  <c r="EM187" i="1"/>
  <c r="AV138" i="1"/>
  <c r="BD188" i="1"/>
  <c r="BC184" i="1"/>
  <c r="BC181" i="1"/>
  <c r="BA184" i="1"/>
  <c r="EL187" i="1"/>
  <c r="CF143" i="1"/>
  <c r="BA172" i="1"/>
  <c r="BC144" i="1"/>
  <c r="BD182" i="1"/>
  <c r="BC154" i="1"/>
  <c r="CF152" i="1"/>
  <c r="BC143" i="1"/>
  <c r="CD177" i="1"/>
  <c r="BD159" i="1"/>
  <c r="BB141" i="1"/>
  <c r="CF149" i="1"/>
  <c r="BB149" i="1"/>
  <c r="CG178" i="1"/>
  <c r="CD156" i="1"/>
  <c r="EN98" i="1"/>
  <c r="AV19" i="1"/>
  <c r="BA153" i="1"/>
  <c r="CG144" i="1"/>
  <c r="EL154" i="1"/>
  <c r="BF141" i="1"/>
  <c r="BE182" i="1"/>
  <c r="BA152" i="1"/>
  <c r="CG180" i="1"/>
  <c r="CD146" i="1"/>
  <c r="CG183" i="1"/>
  <c r="BB176" i="1"/>
  <c r="BF178" i="1"/>
  <c r="CE142" i="1"/>
  <c r="CG184" i="1"/>
  <c r="CE166" i="1"/>
  <c r="BA180" i="1"/>
  <c r="CD176" i="1"/>
  <c r="CF142" i="1"/>
  <c r="BF182" i="1"/>
  <c r="CD167" i="1"/>
  <c r="BC183" i="1"/>
  <c r="CF159" i="1"/>
  <c r="BD143" i="1"/>
  <c r="EL146" i="1"/>
  <c r="BE139" i="1"/>
  <c r="BB183" i="1"/>
  <c r="BC160" i="1"/>
  <c r="BC156" i="1"/>
  <c r="BD181" i="1"/>
  <c r="CG186" i="1"/>
  <c r="BF186" i="1"/>
  <c r="BA140" i="1"/>
  <c r="CE150" i="1"/>
  <c r="CE167" i="1"/>
  <c r="CE140" i="1"/>
  <c r="CE169" i="1"/>
  <c r="CE137" i="1"/>
  <c r="CG145" i="1"/>
  <c r="BA138" i="1"/>
  <c r="AU188" i="1"/>
  <c r="BE148" i="1"/>
  <c r="BB143" i="1"/>
  <c r="EL170" i="1"/>
  <c r="EM189" i="1"/>
  <c r="CE141" i="1"/>
  <c r="BB140" i="1"/>
  <c r="CD188" i="1"/>
  <c r="BF142" i="1"/>
  <c r="CD150" i="1"/>
  <c r="BB164" i="1"/>
  <c r="BD184" i="1"/>
  <c r="CE144" i="1"/>
  <c r="CE175" i="1"/>
  <c r="CE186" i="1"/>
  <c r="CG143" i="1"/>
  <c r="CD140" i="1"/>
  <c r="CG188" i="1"/>
  <c r="EL153" i="1"/>
  <c r="BE188" i="1"/>
  <c r="BA141" i="1"/>
  <c r="CD155" i="1"/>
  <c r="BA151" i="1"/>
  <c r="BC161" i="1"/>
  <c r="BF181" i="1"/>
  <c r="CG141" i="1"/>
  <c r="CF151" i="1"/>
  <c r="BC155" i="1"/>
  <c r="BD145" i="1"/>
  <c r="BA183" i="1"/>
  <c r="BC170" i="1"/>
  <c r="BE177" i="1"/>
  <c r="BB148" i="1"/>
  <c r="BC186" i="1"/>
  <c r="BC141" i="1"/>
  <c r="BA175" i="1"/>
  <c r="CE154" i="1"/>
  <c r="CD187" i="1"/>
  <c r="BF137" i="1"/>
  <c r="BA142" i="1"/>
  <c r="BB174" i="1"/>
  <c r="CF160" i="1"/>
  <c r="CE171" i="1"/>
  <c r="CG148" i="1"/>
  <c r="BB165" i="1"/>
  <c r="CG185" i="1"/>
  <c r="CF150" i="1"/>
  <c r="CD178" i="1"/>
  <c r="EM149" i="1"/>
  <c r="CD182" i="1"/>
  <c r="CD137" i="1"/>
  <c r="BA169" i="1"/>
  <c r="AU138" i="1"/>
  <c r="BB144" i="1"/>
  <c r="BD146" i="1"/>
  <c r="BF180" i="1"/>
  <c r="EM167" i="1"/>
  <c r="BB137" i="1"/>
  <c r="BF160" i="1"/>
  <c r="AU137" i="1"/>
  <c r="BE142" i="1"/>
  <c r="CF147" i="1"/>
  <c r="BB150" i="1"/>
  <c r="EL127" i="1"/>
  <c r="EN125" i="1"/>
  <c r="DC35" i="1"/>
  <c r="CD144" i="1"/>
  <c r="CD147" i="1"/>
  <c r="EL148" i="1"/>
  <c r="BD183" i="1"/>
  <c r="EL156" i="1"/>
  <c r="EL155" i="1"/>
  <c r="AV139" i="1"/>
  <c r="EM164" i="1"/>
  <c r="EM186" i="1"/>
  <c r="CD166" i="1"/>
  <c r="CE185" i="1"/>
  <c r="CE172" i="1"/>
  <c r="EL186" i="1"/>
  <c r="BA188" i="1"/>
  <c r="EL185" i="1"/>
  <c r="BF187" i="1"/>
  <c r="BF154" i="1"/>
  <c r="CG146" i="1"/>
  <c r="BF185" i="1"/>
  <c r="BC171" i="1"/>
  <c r="CF157" i="1"/>
  <c r="BC157" i="1"/>
  <c r="BE138" i="1"/>
  <c r="BA150" i="1"/>
  <c r="EM161" i="1"/>
  <c r="BA148" i="1"/>
  <c r="CE184" i="1"/>
  <c r="EL147" i="1"/>
  <c r="BA149" i="1"/>
  <c r="CE138" i="1"/>
  <c r="CD185" i="1"/>
  <c r="BB172" i="1"/>
  <c r="CD180" i="1"/>
  <c r="CG147" i="1"/>
  <c r="BD144" i="1"/>
  <c r="BA179" i="1"/>
  <c r="EM150" i="1"/>
  <c r="BB166" i="1"/>
  <c r="EM155" i="1"/>
  <c r="BD162" i="1"/>
  <c r="CD175" i="1"/>
  <c r="BE145" i="1"/>
  <c r="EM152" i="1"/>
  <c r="EL175" i="1"/>
  <c r="CF141" i="1"/>
  <c r="EL145" i="1"/>
  <c r="BB139" i="1"/>
  <c r="BB171" i="1"/>
  <c r="BB179" i="1"/>
  <c r="CD143" i="1"/>
  <c r="EM147" i="1"/>
  <c r="CF188" i="1"/>
  <c r="CE187" i="1"/>
  <c r="CD154" i="1"/>
  <c r="BD187" i="1"/>
  <c r="BD147" i="1"/>
  <c r="BA189" i="1"/>
  <c r="EM174" i="1"/>
  <c r="CE170" i="1"/>
  <c r="BB178" i="1"/>
  <c r="BB167" i="1"/>
  <c r="CF146" i="1"/>
  <c r="EM163" i="1"/>
  <c r="CE151" i="1"/>
  <c r="BD185" i="1"/>
  <c r="BB189" i="1"/>
  <c r="EM162" i="1"/>
  <c r="CD174" i="1"/>
  <c r="BA171" i="1"/>
  <c r="CD138" i="1"/>
  <c r="BA173" i="1"/>
  <c r="BC146" i="1"/>
  <c r="CE146" i="1"/>
  <c r="BA176" i="1"/>
  <c r="CF154" i="1"/>
  <c r="BD160" i="1"/>
  <c r="EM156" i="1"/>
  <c r="CD139" i="1"/>
  <c r="BE184" i="1"/>
  <c r="CD145" i="1"/>
  <c r="CD148" i="1"/>
  <c r="BA146" i="1"/>
  <c r="CD141" i="1"/>
  <c r="BB187" i="1"/>
  <c r="EM175" i="1"/>
  <c r="BE144" i="1"/>
  <c r="EM146" i="1"/>
  <c r="BE143" i="1"/>
  <c r="AV137" i="1"/>
  <c r="BF138" i="1"/>
  <c r="BC150" i="1"/>
  <c r="BE147" i="1"/>
  <c r="CE147" i="1"/>
  <c r="BC182" i="1"/>
  <c r="CE179" i="1"/>
  <c r="CE155" i="1"/>
  <c r="BB153" i="1"/>
  <c r="EM153" i="1"/>
  <c r="AU189" i="1"/>
  <c r="BC188" i="1"/>
  <c r="CF153" i="1"/>
  <c r="EM117" i="1"/>
  <c r="AV26" i="1"/>
  <c r="EO107" i="1"/>
  <c r="EL109" i="1"/>
  <c r="EO13" i="1"/>
  <c r="EL104" i="1"/>
  <c r="EO30" i="1"/>
  <c r="EN108" i="1"/>
  <c r="EN117" i="1"/>
  <c r="EO99" i="1"/>
  <c r="EM91" i="1"/>
  <c r="EL93" i="1"/>
  <c r="EO32" i="1"/>
  <c r="AV60" i="1"/>
  <c r="EO112" i="1"/>
  <c r="AS32" i="1"/>
  <c r="EM102" i="1"/>
  <c r="EN111" i="1"/>
  <c r="EM118" i="1"/>
  <c r="EO98" i="1"/>
  <c r="AS75" i="1"/>
  <c r="EM87" i="1"/>
  <c r="EM105" i="1"/>
  <c r="EL62" i="1"/>
  <c r="DE17" i="1"/>
  <c r="EQ9" i="1"/>
  <c r="BC159" i="1"/>
  <c r="CE178" i="1"/>
  <c r="BB186" i="1"/>
  <c r="BA154" i="1"/>
  <c r="EL189" i="1"/>
  <c r="BA143" i="1"/>
  <c r="BE179" i="1"/>
  <c r="BA155" i="1"/>
  <c r="BC158" i="1"/>
  <c r="CD171" i="1"/>
  <c r="BE178" i="1"/>
  <c r="EL172" i="1"/>
  <c r="BD189" i="1"/>
  <c r="EM159" i="1"/>
  <c r="CF155" i="1"/>
  <c r="BB155" i="1"/>
  <c r="CD151" i="1"/>
  <c r="CD184" i="1"/>
  <c r="BA187" i="1"/>
  <c r="BC147" i="1"/>
  <c r="BB154" i="1"/>
  <c r="EL151" i="1"/>
  <c r="CG140" i="1"/>
  <c r="CD189" i="1"/>
  <c r="CG142" i="1"/>
  <c r="BF148" i="1"/>
  <c r="CE182" i="1"/>
  <c r="BD140" i="1"/>
  <c r="BB170" i="1"/>
  <c r="BF140" i="1"/>
  <c r="BB177" i="1"/>
  <c r="EM173" i="1"/>
  <c r="CD183" i="1"/>
  <c r="CE180" i="1"/>
  <c r="AV188" i="1"/>
  <c r="BC185" i="1"/>
  <c r="EL169" i="1"/>
  <c r="BA186" i="1"/>
  <c r="BF177" i="1"/>
  <c r="BC169" i="1"/>
  <c r="BC152" i="1"/>
  <c r="BB151" i="1"/>
  <c r="BD158" i="1"/>
  <c r="BF179" i="1"/>
  <c r="BC153" i="1"/>
  <c r="CD172" i="1"/>
  <c r="BF158" i="1"/>
  <c r="EL149" i="1"/>
  <c r="BB181" i="1"/>
  <c r="BC162" i="1"/>
  <c r="CD152" i="1"/>
  <c r="BB146" i="1"/>
  <c r="EM168" i="1"/>
  <c r="BB182" i="1"/>
  <c r="BE185" i="1"/>
  <c r="EM160" i="1"/>
  <c r="BF159" i="1"/>
  <c r="BD142" i="1"/>
  <c r="BD141" i="1"/>
  <c r="BE180" i="1"/>
  <c r="BA144" i="1"/>
  <c r="EM158" i="1"/>
  <c r="CF145" i="1"/>
  <c r="BF184" i="1"/>
  <c r="CF158" i="1"/>
  <c r="CG159" i="1"/>
  <c r="BF188" i="1"/>
  <c r="BA181" i="1"/>
  <c r="CE188" i="1"/>
  <c r="BB173" i="1"/>
  <c r="BB188" i="1"/>
  <c r="BD161" i="1"/>
  <c r="CD186" i="1"/>
  <c r="BA174" i="1"/>
  <c r="BC148" i="1"/>
  <c r="BF183" i="1"/>
  <c r="CE145" i="1"/>
  <c r="BB145" i="1"/>
  <c r="CD149" i="1"/>
  <c r="BA147" i="1"/>
  <c r="BF147" i="1"/>
  <c r="EM165" i="1"/>
  <c r="CE174" i="1"/>
  <c r="EM188" i="1"/>
  <c r="BB152" i="1"/>
  <c r="EL188" i="1"/>
  <c r="BE141" i="1"/>
  <c r="EM154" i="1"/>
  <c r="EM169" i="1"/>
  <c r="BB175" i="1"/>
  <c r="BA177" i="1"/>
  <c r="CD181" i="1"/>
  <c r="EL176" i="1"/>
  <c r="CF148" i="1"/>
  <c r="CF140" i="1"/>
  <c r="EM145" i="1"/>
  <c r="CE152" i="1"/>
  <c r="CG160" i="1"/>
  <c r="CE143" i="1"/>
  <c r="BA182" i="1"/>
  <c r="BA170" i="1"/>
  <c r="CD173" i="1"/>
  <c r="EL22" i="1"/>
  <c r="AV22" i="1"/>
  <c r="AV73" i="1"/>
  <c r="BB160" i="1"/>
  <c r="AV18" i="1"/>
  <c r="EQ125" i="1"/>
  <c r="EO11" i="1"/>
  <c r="AV15" i="1"/>
  <c r="EM116" i="1"/>
  <c r="AS60" i="1"/>
  <c r="AV38" i="1"/>
  <c r="EO17" i="1"/>
  <c r="EL91" i="1"/>
  <c r="EL128" i="1"/>
  <c r="DC32" i="1"/>
  <c r="EL7" i="1"/>
  <c r="AS21" i="1"/>
  <c r="EL113" i="1"/>
  <c r="AV61" i="1"/>
  <c r="EQ108" i="1"/>
  <c r="DC16" i="1"/>
  <c r="EL85" i="1"/>
  <c r="AV28" i="1"/>
  <c r="AV72" i="1"/>
  <c r="AV57" i="1"/>
  <c r="EP31" i="1"/>
  <c r="EM101" i="1"/>
  <c r="BD176" i="1"/>
  <c r="EL95" i="1"/>
  <c r="EQ124" i="1"/>
  <c r="EO36" i="1"/>
  <c r="EM109" i="1"/>
  <c r="EM88" i="1"/>
  <c r="DE7" i="1"/>
  <c r="BD179" i="1"/>
  <c r="EO95" i="1"/>
  <c r="EQ103" i="1"/>
  <c r="AU8" i="1"/>
  <c r="EQ122" i="1"/>
  <c r="EQ91" i="1"/>
  <c r="EL98" i="1"/>
  <c r="EN23" i="1"/>
  <c r="DF21" i="1"/>
  <c r="AX21" i="1"/>
  <c r="DF35" i="1"/>
  <c r="AU77" i="1"/>
  <c r="EL99" i="1"/>
  <c r="EN19" i="1"/>
  <c r="DE13" i="1"/>
  <c r="EL20" i="1"/>
  <c r="AX4" i="1"/>
  <c r="AS78" i="1"/>
  <c r="BB158" i="1"/>
  <c r="AS29" i="1"/>
  <c r="EP129" i="1"/>
  <c r="EO8" i="1"/>
  <c r="EM36" i="1"/>
  <c r="BD139" i="1"/>
  <c r="EQ23" i="1"/>
  <c r="EL25" i="1"/>
  <c r="EQ127" i="1"/>
  <c r="AV6" i="1"/>
  <c r="AV24" i="1"/>
  <c r="EO14" i="1"/>
  <c r="EQ97" i="1"/>
  <c r="EO94" i="1"/>
  <c r="EN127" i="1"/>
  <c r="EL76" i="1"/>
  <c r="CD158" i="1"/>
  <c r="AV14" i="1"/>
  <c r="EN106" i="1"/>
  <c r="EO21" i="1"/>
  <c r="BD167" i="1"/>
  <c r="AS4" i="1"/>
  <c r="EO23" i="1"/>
  <c r="AV20" i="1"/>
  <c r="EL47" i="1"/>
  <c r="EO96" i="1"/>
  <c r="CG166" i="1"/>
  <c r="DE22" i="1"/>
  <c r="BD164" i="1"/>
  <c r="EN93" i="1"/>
  <c r="EL100" i="1"/>
  <c r="AX8" i="1"/>
  <c r="EP113" i="1"/>
  <c r="AW48" i="1"/>
  <c r="DC13" i="1"/>
  <c r="EL70" i="1"/>
  <c r="AW71" i="1"/>
  <c r="AX15" i="1"/>
  <c r="AX11" i="1"/>
  <c r="EM20" i="1"/>
  <c r="EN17" i="1"/>
  <c r="AT72" i="1"/>
  <c r="AW27" i="1"/>
  <c r="AU73" i="1"/>
  <c r="EM45" i="1"/>
  <c r="AT16" i="1"/>
  <c r="AX76" i="1"/>
  <c r="AW59" i="1"/>
  <c r="EN10" i="1"/>
  <c r="AT26" i="1"/>
  <c r="EL37" i="1"/>
  <c r="EP109" i="1"/>
  <c r="EL60" i="1"/>
  <c r="DC28" i="1"/>
  <c r="EN6" i="1"/>
  <c r="EM99" i="1"/>
  <c r="EQ98" i="1"/>
  <c r="EN122" i="1"/>
  <c r="AV10" i="1"/>
  <c r="EM119" i="1"/>
  <c r="EL9" i="1"/>
  <c r="EL27" i="1"/>
  <c r="AV46" i="1"/>
  <c r="EN103" i="1"/>
  <c r="EQ126" i="1"/>
  <c r="EN100" i="1"/>
  <c r="EQ128" i="1"/>
  <c r="DE14" i="1"/>
  <c r="DC26" i="1"/>
  <c r="EO20" i="1"/>
  <c r="EP118" i="1"/>
  <c r="EN87" i="1"/>
  <c r="AU36" i="1"/>
  <c r="EQ16" i="1"/>
  <c r="AS79" i="1"/>
  <c r="AS6" i="1"/>
  <c r="EL88" i="1"/>
  <c r="EL15" i="1"/>
  <c r="EM122" i="1"/>
  <c r="AU16" i="1"/>
  <c r="AW75" i="1"/>
  <c r="AX12" i="1"/>
  <c r="AW13" i="1"/>
  <c r="BC174" i="1"/>
  <c r="AW61" i="1"/>
  <c r="AW72" i="1"/>
  <c r="BC164" i="1"/>
  <c r="EM7" i="1"/>
  <c r="AT7" i="1"/>
  <c r="AU34" i="1"/>
  <c r="AX5" i="1"/>
  <c r="BC178" i="1"/>
  <c r="DF30" i="1"/>
  <c r="AT61" i="1"/>
  <c r="EQ7" i="1"/>
  <c r="BC139" i="1"/>
  <c r="EQ106" i="1"/>
  <c r="BA159" i="1"/>
  <c r="EL35" i="1"/>
  <c r="DE15" i="1"/>
  <c r="EN99" i="1"/>
  <c r="EL121" i="1"/>
  <c r="EM96" i="1"/>
  <c r="BD177" i="1"/>
  <c r="EN128" i="1"/>
  <c r="EL63" i="1"/>
  <c r="AV75" i="1"/>
  <c r="EQ120" i="1"/>
  <c r="EN101" i="1"/>
  <c r="EL21" i="1"/>
  <c r="EL87" i="1"/>
  <c r="EO120" i="1"/>
  <c r="AU37" i="1"/>
  <c r="AS30" i="1"/>
  <c r="CF173" i="1"/>
  <c r="AW37" i="1"/>
  <c r="EM58" i="1"/>
  <c r="DD34" i="1"/>
  <c r="AU31" i="1"/>
  <c r="EQ129" i="1"/>
  <c r="EL24" i="1"/>
  <c r="EP12" i="1"/>
  <c r="EP130" i="1"/>
  <c r="EM8" i="1"/>
  <c r="EQ116" i="1"/>
  <c r="DD37" i="1"/>
  <c r="EL86" i="1"/>
  <c r="AT29" i="1"/>
  <c r="EO113" i="1"/>
  <c r="EQ32" i="1"/>
  <c r="DC37" i="1"/>
  <c r="EP18" i="1"/>
  <c r="AV77" i="1"/>
  <c r="AU15" i="1"/>
  <c r="EQ29" i="1"/>
  <c r="BB162" i="1"/>
  <c r="EM85" i="1"/>
  <c r="AS76" i="1"/>
  <c r="CG170" i="1"/>
  <c r="EL119" i="1"/>
  <c r="EL117" i="1"/>
  <c r="AV21" i="1"/>
  <c r="EL130" i="1"/>
  <c r="EL48" i="1"/>
  <c r="AS27" i="1"/>
  <c r="EN107" i="1"/>
  <c r="AV34" i="1"/>
  <c r="EO86" i="1"/>
  <c r="EL59" i="1"/>
  <c r="AS58" i="1"/>
  <c r="EO88" i="1"/>
  <c r="EM97" i="1"/>
  <c r="AS13" i="1"/>
  <c r="EL118" i="1"/>
  <c r="EO97" i="1"/>
  <c r="EL108" i="1"/>
  <c r="EN105" i="1"/>
  <c r="DE26" i="1"/>
  <c r="EP119" i="1"/>
  <c r="AW32" i="1"/>
  <c r="AW15" i="1"/>
  <c r="EP38" i="1"/>
  <c r="EP23" i="1"/>
  <c r="AU17" i="1"/>
  <c r="EM16" i="1"/>
  <c r="DD25" i="1"/>
  <c r="EQ8" i="1"/>
  <c r="CE159" i="1"/>
  <c r="BD175" i="1"/>
  <c r="DD33" i="1"/>
  <c r="EM108" i="1"/>
  <c r="DD12" i="1"/>
  <c r="EP7" i="1"/>
  <c r="EQ95" i="1"/>
  <c r="EM104" i="1"/>
  <c r="EQ36" i="1"/>
  <c r="AS74" i="1"/>
  <c r="AU29" i="1"/>
  <c r="EN26" i="1"/>
  <c r="EL32" i="1"/>
  <c r="AS28" i="1"/>
  <c r="EP116" i="1"/>
  <c r="DE20" i="1"/>
  <c r="EL14" i="1"/>
  <c r="CG179" i="1"/>
  <c r="DC38" i="1"/>
  <c r="EM125" i="1"/>
  <c r="AS77" i="1"/>
  <c r="EN113" i="1"/>
  <c r="DE32" i="1"/>
  <c r="EL46" i="1"/>
  <c r="DC25" i="1"/>
  <c r="EM90" i="1"/>
  <c r="BB159" i="1"/>
  <c r="EN18" i="1"/>
  <c r="EL31" i="1"/>
  <c r="DE27" i="1"/>
  <c r="EM47" i="1"/>
  <c r="AW74" i="1"/>
  <c r="AT22" i="1"/>
  <c r="AT71" i="1"/>
  <c r="EN85" i="1"/>
  <c r="DD32" i="1"/>
  <c r="AS22" i="1"/>
  <c r="EM70" i="1"/>
  <c r="EQ115" i="1"/>
  <c r="EN7" i="1"/>
  <c r="AU13" i="1"/>
  <c r="AW8" i="1"/>
  <c r="EP99" i="1"/>
  <c r="CD160" i="1"/>
  <c r="EP93" i="1"/>
  <c r="EN14" i="1"/>
  <c r="AT37" i="1"/>
  <c r="AW23" i="1"/>
  <c r="EP125" i="1"/>
  <c r="EQ13" i="1"/>
  <c r="DD22" i="1"/>
  <c r="DD7" i="1"/>
  <c r="EQ92" i="1"/>
  <c r="EP22" i="1"/>
  <c r="AT13" i="1"/>
  <c r="EQ22" i="1"/>
  <c r="AV37" i="1"/>
  <c r="BD137" i="1"/>
  <c r="AS11" i="1"/>
  <c r="CG174" i="1"/>
  <c r="EQ100" i="1"/>
  <c r="DE18" i="1"/>
  <c r="EL73" i="1"/>
  <c r="EO35" i="1"/>
  <c r="AV76" i="1"/>
  <c r="AV11" i="1"/>
  <c r="AS36" i="1"/>
  <c r="CE160" i="1"/>
  <c r="DC12" i="1"/>
  <c r="EL30" i="1"/>
  <c r="AS38" i="1"/>
  <c r="EL92" i="1"/>
  <c r="EP5" i="1"/>
  <c r="EL34" i="1"/>
  <c r="EM113" i="1"/>
  <c r="EQ11" i="1"/>
  <c r="AT17" i="1"/>
  <c r="AS24" i="1"/>
  <c r="EQ4" i="1"/>
  <c r="DD14" i="1"/>
  <c r="EQ121" i="1"/>
  <c r="DD27" i="1"/>
  <c r="AX34" i="1"/>
  <c r="DF12" i="1"/>
  <c r="EP19" i="1"/>
  <c r="AX26" i="1"/>
  <c r="EO108" i="1"/>
  <c r="EQ26" i="1"/>
  <c r="DC7" i="1"/>
  <c r="EL78" i="1"/>
  <c r="EQ30" i="1"/>
  <c r="DC5" i="1"/>
  <c r="EP106" i="1"/>
  <c r="DE28" i="1"/>
  <c r="AX18" i="1"/>
  <c r="EO22" i="1"/>
  <c r="EM93" i="1"/>
  <c r="EL107" i="1"/>
  <c r="EL10" i="1"/>
  <c r="EN118" i="1"/>
  <c r="DC30" i="1"/>
  <c r="AV13" i="1"/>
  <c r="EM89" i="1"/>
  <c r="EO89" i="1"/>
  <c r="DE37" i="1"/>
  <c r="EL64" i="1"/>
  <c r="EQ99" i="1"/>
  <c r="EL112" i="1"/>
  <c r="AV4" i="1"/>
  <c r="EO103" i="1"/>
  <c r="AV29" i="1"/>
  <c r="EO34" i="1"/>
  <c r="DE19" i="1"/>
  <c r="EO18" i="1"/>
  <c r="EN114" i="1"/>
  <c r="EO105" i="1"/>
  <c r="EO19" i="1"/>
  <c r="EL126" i="1"/>
  <c r="EQ18" i="1"/>
  <c r="DF13" i="1"/>
  <c r="EO115" i="1"/>
  <c r="EL75" i="1"/>
  <c r="EP10" i="1"/>
  <c r="EN109" i="1"/>
  <c r="EP124" i="1"/>
  <c r="EO111" i="1"/>
  <c r="EQ109" i="1"/>
  <c r="EQ88" i="1"/>
  <c r="AU74" i="1"/>
  <c r="EN20" i="1"/>
  <c r="AV30" i="1"/>
  <c r="EL89" i="1"/>
  <c r="EP122" i="1"/>
  <c r="AU62" i="1"/>
  <c r="EL26" i="1"/>
  <c r="AT20" i="1"/>
  <c r="CD157" i="1"/>
  <c r="AU4" i="1"/>
  <c r="AW38" i="1"/>
  <c r="EM78" i="1"/>
  <c r="CF172" i="1"/>
  <c r="CG137" i="1"/>
  <c r="EN123" i="1"/>
  <c r="EO25" i="1"/>
  <c r="DE8" i="1"/>
  <c r="EN116" i="1"/>
  <c r="EM100" i="1"/>
  <c r="AV16" i="1"/>
  <c r="EL106" i="1"/>
  <c r="EO109" i="1"/>
  <c r="EO119" i="1"/>
  <c r="DC14" i="1"/>
  <c r="EO16" i="1"/>
  <c r="EM5" i="1"/>
  <c r="EP27" i="1"/>
  <c r="EN27" i="1"/>
  <c r="AS57" i="1"/>
  <c r="DF16" i="1"/>
  <c r="EP85" i="1"/>
  <c r="DD20" i="1"/>
  <c r="EN21" i="1"/>
  <c r="AT23" i="1"/>
  <c r="EP98" i="1"/>
  <c r="EP105" i="1"/>
  <c r="AX45" i="1"/>
  <c r="EP91" i="1"/>
  <c r="AW35" i="1"/>
  <c r="AU71" i="1"/>
  <c r="EN12" i="1"/>
  <c r="BC167" i="1"/>
  <c r="EN88" i="1"/>
  <c r="AT30" i="1"/>
  <c r="AX61" i="1"/>
  <c r="AX10" i="1"/>
  <c r="AX73" i="1"/>
  <c r="AU35" i="1"/>
  <c r="EM46" i="1"/>
  <c r="AX78" i="1"/>
  <c r="AU22" i="1"/>
  <c r="AT10" i="1"/>
  <c r="EQ12" i="1"/>
  <c r="EM25" i="1"/>
  <c r="EP120" i="1"/>
  <c r="DC31" i="1"/>
  <c r="EQ114" i="1"/>
  <c r="EO7" i="1"/>
  <c r="AV9" i="1"/>
  <c r="EM123" i="1"/>
  <c r="EL17" i="1"/>
  <c r="EM33" i="1"/>
  <c r="EM64" i="1"/>
  <c r="EM72" i="1"/>
  <c r="EM13" i="1"/>
  <c r="AU32" i="1"/>
  <c r="EP126" i="1"/>
  <c r="AX57" i="1"/>
  <c r="EN29" i="1"/>
  <c r="CF174" i="1"/>
  <c r="AT4" i="1"/>
  <c r="EQ34" i="1"/>
  <c r="AU23" i="1"/>
  <c r="EP123" i="1"/>
  <c r="EP87" i="1"/>
  <c r="DD17" i="1"/>
  <c r="AV58" i="1"/>
  <c r="AV62" i="1"/>
  <c r="DC27" i="1"/>
  <c r="EO117" i="1"/>
  <c r="DC19" i="1"/>
  <c r="DE29" i="1"/>
  <c r="EN129" i="1"/>
  <c r="CG167" i="1"/>
  <c r="EO29" i="1"/>
  <c r="EL36" i="1"/>
  <c r="EL16" i="1"/>
  <c r="EM98" i="1"/>
  <c r="EL110" i="1"/>
  <c r="EO92" i="1"/>
  <c r="EO93" i="1"/>
  <c r="EL74" i="1"/>
  <c r="EO10" i="1"/>
  <c r="DE33" i="1"/>
  <c r="EL5" i="1"/>
  <c r="EO128" i="1"/>
  <c r="EL115" i="1"/>
  <c r="EP97" i="1"/>
  <c r="AT58" i="1"/>
  <c r="EP33" i="1"/>
  <c r="AV59" i="1"/>
  <c r="AU20" i="1"/>
  <c r="BC177" i="1"/>
  <c r="AU48" i="1"/>
  <c r="EM17" i="1"/>
  <c r="AX19" i="1"/>
  <c r="AV5" i="1"/>
  <c r="AT78" i="1"/>
  <c r="BD173" i="1"/>
  <c r="EL19" i="1"/>
  <c r="AX74" i="1"/>
  <c r="EM127" i="1"/>
  <c r="EM6" i="1"/>
  <c r="EL23" i="1"/>
  <c r="AT48" i="1"/>
  <c r="EL105" i="1"/>
  <c r="AT46" i="1"/>
  <c r="BD166" i="1"/>
  <c r="EP28" i="1"/>
  <c r="EM107" i="1"/>
  <c r="AW4" i="1"/>
  <c r="AS23" i="1"/>
  <c r="AV32" i="1"/>
  <c r="EQ104" i="1"/>
  <c r="EQ101" i="1"/>
  <c r="EM92" i="1"/>
  <c r="EN120" i="1"/>
  <c r="EL125" i="1"/>
  <c r="AV36" i="1"/>
  <c r="AV23" i="1"/>
  <c r="EL120" i="1"/>
  <c r="EQ111" i="1"/>
  <c r="DC8" i="1"/>
  <c r="AV33" i="1"/>
  <c r="EO26" i="1"/>
  <c r="DC18" i="1"/>
  <c r="DC11" i="1"/>
  <c r="EO15" i="1"/>
  <c r="EO91" i="1"/>
  <c r="AS70" i="1"/>
  <c r="EO87" i="1"/>
  <c r="EM111" i="1"/>
  <c r="DC23" i="1"/>
  <c r="BA156" i="1"/>
  <c r="EP21" i="1"/>
  <c r="EO106" i="1"/>
  <c r="EL72" i="1"/>
  <c r="DC36" i="1"/>
  <c r="EQ94" i="1"/>
  <c r="AS17" i="1"/>
  <c r="AT8" i="1"/>
  <c r="AW28" i="1"/>
  <c r="AS9" i="1"/>
  <c r="EP17" i="1"/>
  <c r="EM12" i="1"/>
  <c r="AX48" i="1"/>
  <c r="EO33" i="1"/>
  <c r="AS18" i="1"/>
  <c r="EN89" i="1"/>
  <c r="CF171" i="1"/>
  <c r="EM120" i="1"/>
  <c r="EN24" i="1"/>
  <c r="EO6" i="1"/>
  <c r="EQ96" i="1"/>
  <c r="DE4" i="1"/>
  <c r="AX24" i="1"/>
  <c r="EP101" i="1"/>
  <c r="EL28" i="1"/>
  <c r="DE9" i="1"/>
  <c r="AS45" i="1"/>
  <c r="AS7" i="1"/>
  <c r="EO85" i="1"/>
  <c r="EL103" i="1"/>
  <c r="EN119" i="1"/>
  <c r="BD174" i="1"/>
  <c r="BD178" i="1"/>
  <c r="EL111" i="1"/>
  <c r="EL61" i="1"/>
  <c r="EN110" i="1"/>
  <c r="EL4" i="1"/>
  <c r="DE38" i="1"/>
  <c r="DE21" i="1"/>
  <c r="EN16" i="1"/>
  <c r="AU60" i="1"/>
  <c r="DC17" i="1"/>
  <c r="EO38" i="1"/>
  <c r="DC15" i="1"/>
  <c r="CF139" i="1"/>
  <c r="DE35" i="1"/>
  <c r="BD138" i="1"/>
  <c r="DE25" i="1"/>
  <c r="EM9" i="1"/>
  <c r="EP34" i="1"/>
  <c r="DD19" i="1"/>
  <c r="EQ31" i="1"/>
  <c r="AT6" i="1"/>
  <c r="AU57" i="1"/>
  <c r="AW34" i="1"/>
  <c r="AT28" i="1"/>
  <c r="DF17" i="1"/>
  <c r="BB157" i="1"/>
  <c r="EP90" i="1"/>
  <c r="AU59" i="1"/>
  <c r="AU18" i="1"/>
  <c r="AX29" i="1"/>
  <c r="DD10" i="1"/>
  <c r="AT27" i="1"/>
  <c r="DD31" i="1"/>
  <c r="EQ113" i="1"/>
  <c r="AS47" i="1"/>
  <c r="AS25" i="1"/>
  <c r="EO125" i="1"/>
  <c r="EL116" i="1"/>
  <c r="EM103" i="1"/>
  <c r="EQ37" i="1"/>
  <c r="EQ119" i="1"/>
  <c r="AU5" i="1"/>
  <c r="AX7" i="1"/>
  <c r="DC29" i="1"/>
  <c r="AT38" i="1"/>
  <c r="AT9" i="1"/>
  <c r="DF22" i="1"/>
  <c r="EM35" i="1"/>
  <c r="DF19" i="1"/>
  <c r="EM77" i="1"/>
  <c r="EM62" i="1"/>
  <c r="AX62" i="1"/>
  <c r="AW6" i="1"/>
  <c r="EP89" i="1"/>
  <c r="BC173" i="1"/>
  <c r="AV48" i="1"/>
  <c r="CG169" i="1"/>
  <c r="EM130" i="1"/>
  <c r="DE36" i="1"/>
  <c r="EQ105" i="1"/>
  <c r="AV71" i="1"/>
  <c r="CG171" i="1"/>
  <c r="DC22" i="1"/>
  <c r="EN102" i="1"/>
  <c r="EO126" i="1"/>
  <c r="CE157" i="1"/>
  <c r="EP96" i="1"/>
  <c r="CF166" i="1"/>
  <c r="EM22" i="1"/>
  <c r="AT45" i="1"/>
  <c r="AW25" i="1"/>
  <c r="CG138" i="1"/>
  <c r="EN36" i="1"/>
  <c r="AX13" i="1"/>
  <c r="EQ28" i="1"/>
  <c r="EP86" i="1"/>
  <c r="EM75" i="1"/>
  <c r="DF8" i="1"/>
  <c r="EO4" i="1"/>
  <c r="EN94" i="1"/>
  <c r="EN97" i="1"/>
  <c r="AV7" i="1"/>
  <c r="DE10" i="1"/>
  <c r="DD16" i="1"/>
  <c r="EL11" i="1"/>
  <c r="DE16" i="1"/>
  <c r="EQ118" i="1"/>
  <c r="AS35" i="1"/>
  <c r="EO104" i="1"/>
  <c r="EM15" i="1"/>
  <c r="EM121" i="1"/>
  <c r="EN15" i="1"/>
  <c r="AW58" i="1"/>
  <c r="EM57" i="1"/>
  <c r="EP112" i="1"/>
  <c r="AX46" i="1"/>
  <c r="AU11" i="1"/>
  <c r="EM34" i="1"/>
  <c r="CF138" i="1"/>
  <c r="EM59" i="1"/>
  <c r="EP16" i="1"/>
  <c r="AU75" i="1"/>
  <c r="EN34" i="1"/>
  <c r="EM4" i="1"/>
  <c r="DD26" i="1"/>
  <c r="AX36" i="1"/>
  <c r="EM73" i="1"/>
  <c r="DF32" i="1"/>
  <c r="AW62" i="1"/>
  <c r="EQ19" i="1"/>
  <c r="EM19" i="1"/>
  <c r="DF38" i="1"/>
  <c r="EM48" i="1"/>
  <c r="EQ93" i="1"/>
  <c r="EO31" i="1"/>
  <c r="AV12" i="1"/>
  <c r="AV45" i="1"/>
  <c r="EQ110" i="1"/>
  <c r="EM110" i="1"/>
  <c r="EL18" i="1"/>
  <c r="DD9" i="1"/>
  <c r="EO90" i="1"/>
  <c r="AW36" i="1"/>
  <c r="EL96" i="1"/>
  <c r="BA157" i="1"/>
  <c r="AW63" i="1"/>
  <c r="DE30" i="1"/>
  <c r="EQ90" i="1"/>
  <c r="AW12" i="1"/>
  <c r="EP111" i="1"/>
  <c r="DF28" i="1"/>
  <c r="AU76" i="1"/>
  <c r="EO100" i="1"/>
  <c r="CE158" i="1"/>
  <c r="AW14" i="1"/>
  <c r="DF29" i="1"/>
  <c r="DD11" i="1"/>
  <c r="EP108" i="1"/>
  <c r="EO12" i="1"/>
  <c r="DC33" i="1"/>
  <c r="AT73" i="1"/>
  <c r="EM21" i="1"/>
  <c r="EL123" i="1"/>
  <c r="EM95" i="1"/>
  <c r="EL12" i="1"/>
  <c r="DF11" i="1"/>
  <c r="AW18" i="1"/>
  <c r="EP15" i="1"/>
  <c r="AX33" i="1"/>
  <c r="EN31" i="1"/>
  <c r="DD8" i="1"/>
  <c r="AT59" i="1"/>
  <c r="AW17" i="1"/>
  <c r="EQ112" i="1"/>
  <c r="EM129" i="1"/>
  <c r="DE5" i="1"/>
  <c r="EM30" i="1"/>
  <c r="CF177" i="1"/>
  <c r="AW47" i="1"/>
  <c r="AW30" i="1"/>
  <c r="EL97" i="1"/>
  <c r="EL77" i="1"/>
  <c r="EO27" i="1"/>
  <c r="EM94" i="1"/>
  <c r="EL122" i="1"/>
  <c r="EO114" i="1"/>
  <c r="AT77" i="1"/>
  <c r="EQ27" i="1"/>
  <c r="AS72" i="1"/>
  <c r="CG176" i="1"/>
  <c r="AU25" i="1"/>
  <c r="EM76" i="1"/>
  <c r="AW76" i="1"/>
  <c r="EP128" i="1"/>
  <c r="BC165" i="1"/>
  <c r="AS26" i="1"/>
  <c r="DE34" i="1"/>
  <c r="CG139" i="1"/>
  <c r="EP20" i="1"/>
  <c r="EQ25" i="1"/>
  <c r="EN8" i="1"/>
  <c r="AU6" i="1"/>
  <c r="AU28" i="1"/>
  <c r="EP9" i="1"/>
  <c r="AX72" i="1"/>
  <c r="AU61" i="1"/>
  <c r="AW45" i="1"/>
  <c r="EN9" i="1"/>
  <c r="EP37" i="1"/>
  <c r="AX25" i="1"/>
  <c r="AT75" i="1"/>
  <c r="EN33" i="1"/>
  <c r="DD36" i="1"/>
  <c r="AT31" i="1"/>
  <c r="AX60" i="1"/>
  <c r="EM71" i="1"/>
  <c r="AT74" i="1"/>
  <c r="EO118" i="1"/>
  <c r="CG177" i="1"/>
  <c r="EO129" i="1"/>
  <c r="EL71" i="1"/>
  <c r="EL8" i="1"/>
  <c r="EM106" i="1"/>
  <c r="EL45" i="1"/>
  <c r="EM29" i="1"/>
  <c r="DE12" i="1"/>
  <c r="AU24" i="1"/>
  <c r="DF25" i="1"/>
  <c r="EN4" i="1"/>
  <c r="AW7" i="1"/>
  <c r="EN35" i="1"/>
  <c r="EN22" i="1"/>
  <c r="AU79" i="1"/>
  <c r="EP14" i="1"/>
  <c r="AT32" i="1"/>
  <c r="DF9" i="1"/>
  <c r="EP100" i="1"/>
  <c r="AW46" i="1"/>
  <c r="EP107" i="1"/>
  <c r="EL6" i="1"/>
  <c r="EO9" i="1"/>
  <c r="EO127" i="1"/>
  <c r="DF24" i="1"/>
  <c r="CD159" i="1"/>
  <c r="AX71" i="1"/>
  <c r="AX59" i="1"/>
  <c r="EN92" i="1"/>
  <c r="EN90" i="1"/>
  <c r="EM10" i="1"/>
  <c r="AU14" i="1"/>
  <c r="AW29" i="1"/>
  <c r="AW33" i="1"/>
  <c r="AS19" i="1"/>
  <c r="EO37" i="1"/>
  <c r="EL79" i="1"/>
  <c r="EQ38" i="1"/>
  <c r="EQ24" i="1"/>
  <c r="EL90" i="1"/>
  <c r="EP26" i="1"/>
  <c r="AU38" i="1"/>
  <c r="EQ89" i="1"/>
  <c r="DD23" i="1"/>
  <c r="AS12" i="1"/>
  <c r="EL58" i="1"/>
  <c r="EM112" i="1"/>
  <c r="EP117" i="1"/>
  <c r="EQ15" i="1"/>
  <c r="EQ21" i="1"/>
  <c r="AU10" i="1"/>
  <c r="AU9" i="1"/>
  <c r="BC175" i="1"/>
  <c r="DD13" i="1"/>
  <c r="BC138" i="1"/>
  <c r="AT12" i="1"/>
  <c r="DE31" i="1"/>
  <c r="AV35" i="1"/>
  <c r="EO122" i="1"/>
  <c r="EL94" i="1"/>
  <c r="DD29" i="1"/>
  <c r="AT33" i="1"/>
  <c r="EQ85" i="1"/>
  <c r="AT11" i="1"/>
  <c r="EM26" i="1"/>
  <c r="DF31" i="1"/>
  <c r="AV79" i="1"/>
  <c r="AT18" i="1"/>
  <c r="AU12" i="1"/>
  <c r="AU45" i="1"/>
  <c r="EM61" i="1"/>
  <c r="AV31" i="1"/>
  <c r="EL124" i="1"/>
  <c r="AW20" i="1"/>
  <c r="EP94" i="1"/>
  <c r="EN86" i="1"/>
  <c r="AS61" i="1"/>
  <c r="AS33" i="1"/>
  <c r="DD35" i="1"/>
  <c r="AV74" i="1"/>
  <c r="AX17" i="1"/>
  <c r="AS10" i="1"/>
  <c r="EO24" i="1"/>
  <c r="EL29" i="1"/>
  <c r="EM27" i="1"/>
  <c r="AX6" i="1"/>
  <c r="AX37" i="1"/>
  <c r="EM63" i="1"/>
  <c r="AU47" i="1"/>
  <c r="DC6" i="1"/>
  <c r="AS5" i="1"/>
  <c r="EN124" i="1"/>
  <c r="AS48" i="1"/>
  <c r="EO110" i="1"/>
  <c r="EQ14" i="1"/>
  <c r="AW10" i="1"/>
  <c r="DF33" i="1"/>
  <c r="DC9" i="1"/>
  <c r="EM32" i="1"/>
  <c r="DF37" i="1"/>
  <c r="AX30" i="1"/>
  <c r="EQ117" i="1"/>
  <c r="CF167" i="1"/>
  <c r="BC176" i="1"/>
  <c r="EM115" i="1"/>
  <c r="EM23" i="1"/>
  <c r="AV17" i="1"/>
  <c r="AX79" i="1"/>
  <c r="DF27" i="1"/>
  <c r="AW79" i="1"/>
  <c r="EQ86" i="1"/>
  <c r="AX75" i="1"/>
  <c r="DD38" i="1"/>
  <c r="CF176" i="1"/>
  <c r="AX31" i="1"/>
  <c r="AX27" i="1"/>
  <c r="EQ10" i="1"/>
  <c r="EP36" i="1"/>
  <c r="EQ35" i="1"/>
  <c r="EM28" i="1"/>
  <c r="EN32" i="1"/>
  <c r="EM38" i="1"/>
  <c r="AW57" i="1"/>
  <c r="EP95" i="1"/>
  <c r="AX47" i="1"/>
  <c r="EN38" i="1"/>
  <c r="BD165" i="1"/>
  <c r="EO101" i="1"/>
  <c r="CG175" i="1"/>
  <c r="EL33" i="1"/>
  <c r="EN126" i="1"/>
  <c r="EQ102" i="1"/>
  <c r="DC4" i="1"/>
  <c r="EP35" i="1"/>
  <c r="EP115" i="1"/>
  <c r="EL38" i="1"/>
  <c r="AU19" i="1"/>
  <c r="EQ130" i="1"/>
  <c r="AS62" i="1"/>
  <c r="AU78" i="1"/>
  <c r="EN37" i="1"/>
  <c r="EQ87" i="1"/>
  <c r="AX14" i="1"/>
  <c r="AW78" i="1"/>
  <c r="BC172" i="1"/>
  <c r="AX58" i="1"/>
  <c r="EP30" i="1"/>
  <c r="CG172" i="1"/>
  <c r="EN130" i="1"/>
  <c r="EM86" i="1"/>
  <c r="CF137" i="1"/>
  <c r="EL101" i="1"/>
  <c r="AT5" i="1"/>
  <c r="AW70" i="1"/>
  <c r="AT36" i="1"/>
  <c r="EO28" i="1"/>
  <c r="EP110" i="1"/>
  <c r="EO116" i="1"/>
  <c r="AW21" i="1"/>
  <c r="EN5" i="1"/>
  <c r="DF34" i="1"/>
  <c r="AS15" i="1"/>
  <c r="EP8" i="1"/>
  <c r="EP103" i="1"/>
  <c r="AX22" i="1"/>
  <c r="EM79" i="1"/>
  <c r="AS14" i="1"/>
  <c r="AW5" i="1"/>
  <c r="AU27" i="1"/>
  <c r="AW11" i="1"/>
  <c r="AU30" i="1"/>
  <c r="AW19" i="1"/>
  <c r="EQ33" i="1"/>
  <c r="EN28" i="1"/>
  <c r="CG173" i="1"/>
  <c r="AV25" i="1"/>
  <c r="EO5" i="1"/>
  <c r="EL129" i="1"/>
  <c r="AV8" i="1"/>
  <c r="EO123" i="1"/>
  <c r="EN25" i="1"/>
  <c r="EP4" i="1"/>
  <c r="EP121" i="1"/>
  <c r="CF169" i="1"/>
  <c r="AT14" i="1"/>
  <c r="EQ123" i="1"/>
  <c r="DE24" i="1"/>
  <c r="AS20" i="1"/>
  <c r="DC34" i="1"/>
  <c r="DD24" i="1"/>
  <c r="EM31" i="1"/>
  <c r="AT24" i="1"/>
  <c r="EN91" i="1"/>
  <c r="EP127" i="1"/>
  <c r="AT79" i="1"/>
  <c r="DF10" i="1"/>
  <c r="EQ17" i="1"/>
  <c r="EP114" i="1"/>
  <c r="AX20" i="1"/>
  <c r="DF36" i="1"/>
  <c r="EP24" i="1"/>
  <c r="DD30" i="1"/>
  <c r="AT19" i="1"/>
  <c r="AT25" i="1"/>
  <c r="AW26" i="1"/>
  <c r="DD18" i="1"/>
  <c r="EM11" i="1"/>
  <c r="EQ20" i="1"/>
  <c r="EP88" i="1"/>
  <c r="EP6" i="1"/>
  <c r="AT34" i="1"/>
  <c r="AS34" i="1"/>
  <c r="DC24" i="1"/>
  <c r="EL114" i="1"/>
  <c r="EN112" i="1"/>
  <c r="AS46" i="1"/>
  <c r="EP25" i="1"/>
  <c r="AW22" i="1"/>
  <c r="EN104" i="1"/>
  <c r="EN30" i="1"/>
  <c r="AS31" i="1"/>
  <c r="EP32" i="1"/>
  <c r="AT63" i="1"/>
  <c r="EM114" i="1"/>
  <c r="EM74" i="1"/>
  <c r="AW77" i="1"/>
  <c r="DD28" i="1"/>
  <c r="DF15" i="1"/>
  <c r="AW31" i="1"/>
  <c r="EL102" i="1"/>
  <c r="EP92" i="1"/>
  <c r="AT57" i="1"/>
  <c r="AS8" i="1"/>
  <c r="DE23" i="1"/>
  <c r="AV27" i="1"/>
  <c r="AU21" i="1"/>
  <c r="AU72" i="1"/>
  <c r="DD15" i="1"/>
  <c r="CF175" i="1"/>
  <c r="DD21" i="1"/>
  <c r="AX9" i="1"/>
  <c r="AU26" i="1"/>
  <c r="EP11" i="1"/>
  <c r="BC166" i="1"/>
  <c r="EM60" i="1"/>
  <c r="EN121" i="1"/>
  <c r="EL57" i="1"/>
  <c r="AS71" i="1"/>
  <c r="DE6" i="1"/>
  <c r="EM128" i="1"/>
  <c r="EP104" i="1"/>
  <c r="EN11" i="1"/>
  <c r="AU33" i="1"/>
  <c r="AX28" i="1"/>
  <c r="EP13" i="1"/>
  <c r="AX16" i="1"/>
  <c r="EO121" i="1"/>
  <c r="EM126" i="1"/>
  <c r="AT21" i="1"/>
  <c r="BA158" i="1"/>
  <c r="AV78" i="1"/>
  <c r="EQ6" i="1"/>
  <c r="AX38" i="1"/>
  <c r="DF7" i="1"/>
  <c r="DF14" i="1"/>
  <c r="DF26" i="1"/>
  <c r="BB156" i="1"/>
  <c r="EM124" i="1"/>
  <c r="BB161" i="1"/>
  <c r="AS37" i="1"/>
  <c r="AU7" i="1"/>
  <c r="CE156" i="1"/>
  <c r="DF20" i="1"/>
  <c r="EM24" i="1"/>
  <c r="EP29" i="1"/>
  <c r="BC137" i="1"/>
  <c r="DF18" i="1"/>
  <c r="EM14" i="1"/>
  <c r="EM37" i="1"/>
  <c r="EM18" i="1"/>
  <c r="BA160" i="1"/>
  <c r="AT35" i="1"/>
  <c r="EN95" i="1"/>
  <c r="EN115" i="1"/>
  <c r="AS73" i="1"/>
  <c r="AX23" i="1"/>
  <c r="AT60" i="1"/>
  <c r="AX77" i="1"/>
  <c r="CF178" i="1"/>
  <c r="DE11" i="1"/>
  <c r="DC10" i="1"/>
  <c r="AS59" i="1"/>
  <c r="AT62" i="1"/>
  <c r="AW60" i="1"/>
  <c r="AU46" i="1"/>
  <c r="BD172" i="1"/>
  <c r="DC20" i="1"/>
  <c r="EO102" i="1"/>
  <c r="AW16" i="1"/>
  <c r="EP102" i="1"/>
  <c r="AX32" i="1"/>
  <c r="AS16" i="1"/>
  <c r="AV47" i="1"/>
  <c r="EN13" i="1"/>
  <c r="AX35" i="1"/>
  <c r="AW9" i="1"/>
  <c r="AT15" i="1"/>
  <c r="EL13" i="1"/>
  <c r="EQ107" i="1"/>
  <c r="AT47" i="1"/>
  <c r="EO130" i="1"/>
  <c r="EO124" i="1"/>
  <c r="AW73" i="1"/>
  <c r="EN96" i="1"/>
  <c r="CF170" i="1"/>
  <c r="AT76" i="1"/>
  <c r="DF23" i="1"/>
  <c r="DC21" i="1"/>
  <c r="AW24" i="1"/>
  <c r="EQ5" i="1"/>
  <c r="BA15" i="1"/>
  <c r="CF33" i="1"/>
  <c r="BF35" i="1"/>
  <c r="CD18" i="1"/>
  <c r="CD61" i="1"/>
  <c r="BB45" i="1"/>
  <c r="BE61" i="1"/>
  <c r="BF34" i="1"/>
  <c r="CF12" i="1"/>
  <c r="BB37" i="1"/>
  <c r="BC32" i="1"/>
  <c r="CF76" i="1"/>
  <c r="BA26" i="1"/>
  <c r="CD45" i="1"/>
  <c r="BF78" i="1"/>
  <c r="BB11" i="1"/>
  <c r="BB73" i="1"/>
  <c r="BC58" i="1"/>
  <c r="CD35" i="1"/>
  <c r="CI30" i="1"/>
  <c r="BF36" i="1"/>
  <c r="BE11" i="1"/>
  <c r="BF37" i="1"/>
  <c r="CH175" i="1"/>
  <c r="BF29" i="1"/>
  <c r="BA78" i="1"/>
  <c r="BD22" i="1"/>
  <c r="BE15" i="1"/>
  <c r="BD24" i="1"/>
  <c r="BF10" i="1"/>
  <c r="CD25" i="1"/>
  <c r="CG29" i="1"/>
  <c r="CI35" i="1"/>
  <c r="CH57" i="1"/>
  <c r="BC37" i="1"/>
  <c r="BA34" i="1"/>
  <c r="CI138" i="1"/>
  <c r="BF79" i="1"/>
  <c r="BA61" i="1"/>
  <c r="CE48" i="1"/>
  <c r="CG6" i="1"/>
  <c r="BB6" i="1"/>
  <c r="BD9" i="1"/>
  <c r="CE12" i="1"/>
  <c r="BD78" i="1"/>
  <c r="BA76" i="1"/>
  <c r="BD29" i="1"/>
  <c r="CE36" i="1"/>
  <c r="BE77" i="1"/>
  <c r="CI21" i="1"/>
  <c r="CF27" i="1"/>
  <c r="CI137" i="1"/>
  <c r="CI7" i="1"/>
  <c r="BA20" i="1"/>
  <c r="BB28" i="1"/>
  <c r="CG15" i="1"/>
  <c r="CG74" i="1"/>
  <c r="CD29" i="1"/>
  <c r="BC36" i="1"/>
  <c r="CI167" i="1"/>
  <c r="CD13" i="1"/>
  <c r="CI186" i="1"/>
  <c r="DB37" i="1"/>
  <c r="CH21" i="1"/>
  <c r="CF59" i="1"/>
  <c r="DB29" i="1"/>
  <c r="CI183" i="1"/>
  <c r="CE25" i="1"/>
  <c r="CI6" i="1"/>
  <c r="BB27" i="1"/>
  <c r="BA59" i="1"/>
  <c r="BF22" i="1"/>
  <c r="BB5" i="1"/>
  <c r="DB30" i="1"/>
  <c r="CI182" i="1"/>
  <c r="CE79" i="1"/>
  <c r="CH35" i="1"/>
  <c r="CI173" i="1"/>
  <c r="CE7" i="1"/>
  <c r="CI33" i="1"/>
  <c r="BF14" i="1"/>
  <c r="BF18" i="1"/>
  <c r="CE21" i="1"/>
  <c r="DA34" i="1"/>
  <c r="CE35" i="1"/>
  <c r="CI18" i="1"/>
  <c r="BF38" i="1"/>
  <c r="CH186" i="1"/>
  <c r="CE4" i="1"/>
  <c r="CI24" i="1"/>
  <c r="CI153" i="1"/>
  <c r="CD30" i="1"/>
  <c r="CH177" i="1"/>
  <c r="CE34" i="1"/>
  <c r="CH28" i="1"/>
  <c r="BC60" i="1"/>
  <c r="BD19" i="1"/>
  <c r="BC74" i="1"/>
  <c r="BA18" i="1"/>
  <c r="BC34" i="1"/>
  <c r="BD30" i="1"/>
  <c r="BB7" i="1"/>
  <c r="CI175" i="1"/>
  <c r="CH185" i="1"/>
  <c r="BD7" i="1"/>
  <c r="BC4" i="1"/>
  <c r="CI147" i="1"/>
  <c r="CI17" i="1"/>
  <c r="BF77" i="1"/>
  <c r="CF29" i="1"/>
  <c r="DA37" i="1"/>
  <c r="BD74" i="1"/>
  <c r="CE47" i="1"/>
  <c r="CI37" i="1"/>
  <c r="BE35" i="1"/>
  <c r="BB22" i="1"/>
  <c r="CG60" i="1"/>
  <c r="CD76" i="1"/>
  <c r="BF24" i="1"/>
  <c r="AS85" i="1"/>
  <c r="BD46" i="1"/>
  <c r="CG46" i="1"/>
  <c r="CH166" i="1"/>
  <c r="CH154" i="1"/>
  <c r="BD60" i="1"/>
  <c r="CF35" i="1"/>
  <c r="CH32" i="1"/>
  <c r="BC71" i="1"/>
  <c r="CI156" i="1"/>
  <c r="CI176" i="1"/>
  <c r="CI151" i="1"/>
  <c r="CH140" i="1"/>
  <c r="BE59" i="1"/>
  <c r="CF74" i="1"/>
  <c r="CH72" i="1"/>
  <c r="BD8" i="1"/>
  <c r="BD38" i="1"/>
  <c r="CI184" i="1"/>
  <c r="CI185" i="1"/>
  <c r="BE45" i="1"/>
  <c r="BC33" i="1"/>
  <c r="BC22" i="1"/>
  <c r="BC76" i="1"/>
  <c r="BD10" i="1"/>
  <c r="CH155" i="1"/>
  <c r="CD31" i="1"/>
  <c r="CI179" i="1"/>
  <c r="CH48" i="1"/>
  <c r="BD15" i="1"/>
  <c r="BF16" i="1"/>
  <c r="BF23" i="1"/>
  <c r="CH183" i="1"/>
  <c r="CH150" i="1"/>
  <c r="CH59" i="1"/>
  <c r="BF32" i="1"/>
  <c r="CD60" i="1"/>
  <c r="CH17" i="1"/>
  <c r="BA58" i="1"/>
  <c r="BB60" i="1"/>
  <c r="CG16" i="1"/>
  <c r="BA71" i="1"/>
  <c r="CH45" i="1"/>
  <c r="BF47" i="1"/>
  <c r="CG57" i="1"/>
  <c r="CH18" i="1"/>
  <c r="CH156" i="1"/>
  <c r="CH30" i="1"/>
  <c r="BC79" i="1"/>
  <c r="BE26" i="1"/>
  <c r="BF25" i="1"/>
  <c r="CI19" i="1"/>
  <c r="BC46" i="1"/>
  <c r="BF76" i="1"/>
  <c r="CH11" i="1"/>
  <c r="CG17" i="1"/>
  <c r="BA46" i="1"/>
  <c r="CI172" i="1"/>
  <c r="BC11" i="1"/>
  <c r="DA25" i="1"/>
  <c r="BE8" i="1"/>
  <c r="CE74" i="1"/>
  <c r="CH182" i="1"/>
  <c r="DB24" i="1"/>
  <c r="CD33" i="1"/>
  <c r="BA12" i="1"/>
  <c r="CF31" i="1"/>
  <c r="BD58" i="1"/>
  <c r="DB9" i="1"/>
  <c r="BE70" i="1"/>
  <c r="BF27" i="1"/>
  <c r="DA20" i="1"/>
  <c r="BF8" i="1"/>
  <c r="CG47" i="1"/>
  <c r="CH75" i="1"/>
  <c r="DB13" i="1"/>
  <c r="BA21" i="1"/>
  <c r="BC38" i="1"/>
  <c r="BD48" i="1"/>
  <c r="CF78" i="1"/>
  <c r="BC48" i="1"/>
  <c r="CE24" i="1"/>
  <c r="BC5" i="1"/>
  <c r="CE5" i="1"/>
  <c r="CI154" i="1"/>
  <c r="BE12" i="1"/>
  <c r="DB33" i="1"/>
  <c r="CG13" i="1"/>
  <c r="DA9" i="1"/>
  <c r="BE36" i="1"/>
  <c r="CD77" i="1"/>
  <c r="CF61" i="1"/>
  <c r="BF26" i="1"/>
  <c r="CD8" i="1"/>
  <c r="BC57" i="1"/>
  <c r="BB23" i="1"/>
  <c r="BD35" i="1"/>
  <c r="CI58" i="1"/>
  <c r="CH24" i="1"/>
  <c r="CF79" i="1"/>
  <c r="BC16" i="1"/>
  <c r="BA47" i="1"/>
  <c r="DA8" i="1"/>
  <c r="CI155" i="1"/>
  <c r="CI9" i="1"/>
  <c r="CG26" i="1"/>
  <c r="DB22" i="1"/>
  <c r="CG9" i="1"/>
  <c r="CI157" i="1"/>
  <c r="BB47" i="1"/>
  <c r="CI73" i="1"/>
  <c r="CH148" i="1"/>
  <c r="CD75" i="1"/>
  <c r="CG38" i="1"/>
  <c r="BD47" i="1"/>
  <c r="BB77" i="1"/>
  <c r="BF70" i="1"/>
  <c r="BA77" i="1"/>
  <c r="BA4" i="1"/>
  <c r="BF28" i="1"/>
  <c r="BE19" i="1"/>
  <c r="BD75" i="1"/>
  <c r="BE32" i="1"/>
  <c r="BF58" i="1"/>
  <c r="CH73" i="1"/>
  <c r="BE48" i="1"/>
  <c r="CH25" i="1"/>
  <c r="CG59" i="1"/>
  <c r="BD17" i="1"/>
  <c r="BE47" i="1"/>
  <c r="BF11" i="1"/>
  <c r="BA37" i="1"/>
  <c r="BD16" i="1"/>
  <c r="BF17" i="1"/>
  <c r="CD16" i="1"/>
  <c r="BE60" i="1"/>
  <c r="CF38" i="1"/>
  <c r="CH145" i="1"/>
  <c r="BE24" i="1"/>
  <c r="BE31" i="1"/>
  <c r="CD21" i="1"/>
  <c r="CF75" i="1"/>
  <c r="BE17" i="1"/>
  <c r="CD38" i="1"/>
  <c r="CF25" i="1"/>
  <c r="CD37" i="1"/>
  <c r="BD25" i="1"/>
  <c r="BF9" i="1"/>
  <c r="CI34" i="1"/>
  <c r="BC18" i="1"/>
  <c r="BE33" i="1"/>
  <c r="CI145" i="1"/>
  <c r="CI26" i="1"/>
  <c r="BF12" i="1"/>
  <c r="CH47" i="1"/>
  <c r="BA62" i="1"/>
  <c r="CH14" i="1"/>
  <c r="CH58" i="1"/>
  <c r="CG20" i="1"/>
  <c r="BD4" i="1"/>
  <c r="CE27" i="1"/>
  <c r="BB32" i="1"/>
  <c r="BF13" i="1"/>
  <c r="CG5" i="1"/>
  <c r="BA70" i="1"/>
  <c r="BD70" i="1"/>
  <c r="BD34" i="1"/>
  <c r="CF58" i="1"/>
  <c r="CI22" i="1"/>
  <c r="CH31" i="1"/>
  <c r="CH37" i="1"/>
  <c r="CH146" i="1"/>
  <c r="CD58" i="1"/>
  <c r="BD31" i="1"/>
  <c r="CE18" i="1"/>
  <c r="CF22" i="1"/>
  <c r="CF21" i="1"/>
  <c r="CD74" i="1"/>
  <c r="CI149" i="1"/>
  <c r="BC20" i="1"/>
  <c r="BC61" i="1"/>
  <c r="BA30" i="1"/>
  <c r="BF62" i="1"/>
  <c r="CH180" i="1"/>
  <c r="CG78" i="1"/>
  <c r="CH33" i="1"/>
  <c r="BE34" i="1"/>
  <c r="BF71" i="1"/>
  <c r="CH176" i="1"/>
  <c r="CH152" i="1"/>
  <c r="BD6" i="1"/>
  <c r="CG30" i="1"/>
  <c r="CG77" i="1"/>
  <c r="BB46" i="1"/>
  <c r="DA7" i="1"/>
  <c r="BA25" i="1"/>
  <c r="CH12" i="1"/>
  <c r="BE75" i="1"/>
  <c r="BD37" i="1"/>
  <c r="DB16" i="1"/>
  <c r="CG35" i="1"/>
  <c r="CH74" i="1"/>
  <c r="CI60" i="1"/>
  <c r="CH16" i="1"/>
  <c r="DB12" i="1"/>
  <c r="BB9" i="1"/>
  <c r="CI75" i="1"/>
  <c r="CD22" i="1"/>
  <c r="CF73" i="1"/>
  <c r="CH76" i="1"/>
  <c r="CE16" i="1"/>
  <c r="CI38" i="1"/>
  <c r="CG28" i="1"/>
  <c r="CE59" i="1"/>
  <c r="CH151" i="1"/>
  <c r="BB16" i="1"/>
  <c r="CH184" i="1"/>
  <c r="DA18" i="1"/>
  <c r="CH38" i="1"/>
  <c r="DA32" i="1"/>
  <c r="BF5" i="1"/>
  <c r="CI12" i="1"/>
  <c r="DA33" i="1"/>
  <c r="BD57" i="1"/>
  <c r="CF10" i="1"/>
  <c r="CI79" i="1"/>
  <c r="CH19" i="1"/>
  <c r="BE14" i="1"/>
  <c r="BD73" i="1"/>
  <c r="CG19" i="1"/>
  <c r="BB14" i="1"/>
  <c r="CI8" i="1"/>
  <c r="BC73" i="1"/>
  <c r="CG76" i="1"/>
  <c r="CI20" i="1"/>
  <c r="CF6" i="1"/>
  <c r="BF57" i="1"/>
  <c r="BE29" i="1"/>
  <c r="BA35" i="1"/>
  <c r="CD48" i="1"/>
  <c r="CG73" i="1"/>
  <c r="CE28" i="1"/>
  <c r="CF9" i="1"/>
  <c r="BA16" i="1"/>
  <c r="CE14" i="1"/>
  <c r="BD21" i="1"/>
  <c r="DB20" i="1"/>
  <c r="CG24" i="1"/>
  <c r="CH6" i="1"/>
  <c r="CF20" i="1"/>
  <c r="BD18" i="1"/>
  <c r="DA21" i="1"/>
  <c r="BE16" i="1"/>
  <c r="CD72" i="1"/>
  <c r="BF48" i="1"/>
  <c r="BB36" i="1"/>
  <c r="BC28" i="1"/>
  <c r="BA72" i="1"/>
  <c r="BB78" i="1"/>
  <c r="CI31" i="1"/>
  <c r="CD11" i="1"/>
  <c r="CF16" i="1"/>
  <c r="CE46" i="1"/>
  <c r="CH167" i="1"/>
  <c r="CG8" i="1"/>
  <c r="CI59" i="1"/>
  <c r="CE6" i="1"/>
  <c r="BB34" i="1"/>
  <c r="CE19" i="1"/>
  <c r="CI180" i="1"/>
  <c r="BD36" i="1"/>
  <c r="BD77" i="1"/>
  <c r="BA73" i="1"/>
  <c r="BD76" i="1"/>
  <c r="CH187" i="1"/>
  <c r="BF59" i="1"/>
  <c r="BD28" i="1"/>
  <c r="CF7" i="1"/>
  <c r="BE4" i="1"/>
  <c r="BE62" i="1"/>
  <c r="BA10" i="1"/>
  <c r="CI32" i="1"/>
  <c r="BE38" i="1"/>
  <c r="BB29" i="1"/>
  <c r="CH171" i="1"/>
  <c r="BC70" i="1"/>
  <c r="CI171" i="1"/>
  <c r="BA28" i="1"/>
  <c r="CG4" i="1"/>
  <c r="CI159" i="1"/>
  <c r="CE20" i="1"/>
  <c r="CI177" i="1"/>
  <c r="CH160" i="1"/>
  <c r="CH149" i="1"/>
  <c r="BC9" i="1"/>
  <c r="BB76" i="1"/>
  <c r="CD15" i="1"/>
  <c r="BB61" i="1"/>
  <c r="BB8" i="1"/>
  <c r="CD47" i="1"/>
  <c r="BA27" i="1"/>
  <c r="CH26" i="1"/>
  <c r="BC19" i="1"/>
  <c r="DB21" i="1"/>
  <c r="BF60" i="1"/>
  <c r="CE22" i="1"/>
  <c r="CE31" i="1"/>
  <c r="BB21" i="1"/>
  <c r="BE25" i="1"/>
  <c r="BE28" i="1"/>
  <c r="BE58" i="1"/>
  <c r="CI142" i="1"/>
  <c r="CE37" i="1"/>
  <c r="CI170" i="1"/>
  <c r="DA23" i="1"/>
  <c r="CH158" i="1"/>
  <c r="BC14" i="1"/>
  <c r="CI15" i="1"/>
  <c r="CE58" i="1"/>
  <c r="CE60" i="1"/>
  <c r="BB59" i="1"/>
  <c r="DA35" i="1"/>
  <c r="BB33" i="1"/>
  <c r="CH78" i="1"/>
  <c r="CI5" i="1"/>
  <c r="DA12" i="1"/>
  <c r="CH10" i="1"/>
  <c r="CI11" i="1"/>
  <c r="BC47" i="1"/>
  <c r="CH157" i="1"/>
  <c r="BA63" i="1"/>
  <c r="CE9" i="1"/>
  <c r="BF30" i="1"/>
  <c r="BD27" i="1"/>
  <c r="BF72" i="1"/>
  <c r="DB36" i="1"/>
  <c r="DA6" i="1"/>
  <c r="CI29" i="1"/>
  <c r="DA22" i="1"/>
  <c r="BD61" i="1"/>
  <c r="CD34" i="1"/>
  <c r="CI25" i="1"/>
  <c r="DB17" i="1"/>
  <c r="DA11" i="1"/>
  <c r="CI76" i="1"/>
  <c r="BA33" i="1"/>
  <c r="CD79" i="1"/>
  <c r="BE71" i="1"/>
  <c r="BC45" i="1"/>
  <c r="CF8" i="1"/>
  <c r="BD71" i="1"/>
  <c r="BA75" i="1"/>
  <c r="BA38" i="1"/>
  <c r="CH36" i="1"/>
  <c r="CI28" i="1"/>
  <c r="CH181" i="1"/>
  <c r="CF57" i="1"/>
  <c r="CG7" i="1"/>
  <c r="BD62" i="1"/>
  <c r="CH4" i="1"/>
  <c r="BD13" i="1"/>
  <c r="CD6" i="1"/>
  <c r="CE76" i="1"/>
  <c r="CG33" i="1"/>
  <c r="BD12" i="1"/>
  <c r="BD11" i="1"/>
  <c r="CH170" i="1"/>
  <c r="CH20" i="1"/>
  <c r="CG36" i="1"/>
  <c r="BA32" i="1"/>
  <c r="CH29" i="1"/>
  <c r="DA27" i="1"/>
  <c r="BB10" i="1"/>
  <c r="CH27" i="1"/>
  <c r="CI143" i="1"/>
  <c r="CI188" i="1"/>
  <c r="BB13" i="1"/>
  <c r="CF11" i="1"/>
  <c r="DA36" i="1"/>
  <c r="CI27" i="1"/>
  <c r="CH142" i="1"/>
  <c r="BA45" i="1"/>
  <c r="DB7" i="1"/>
  <c r="BC21" i="1"/>
  <c r="BF20" i="1"/>
  <c r="BE72" i="1"/>
  <c r="CI13" i="1"/>
  <c r="BC24" i="1"/>
  <c r="CG61" i="1"/>
  <c r="DB28" i="1"/>
  <c r="CG79" i="1"/>
  <c r="CF28" i="1"/>
  <c r="CF37" i="1"/>
  <c r="CE11" i="1"/>
  <c r="CH5" i="1"/>
  <c r="CE45" i="1"/>
  <c r="BB17" i="1"/>
  <c r="BB71" i="1"/>
  <c r="BF7" i="1"/>
  <c r="CI141" i="1"/>
  <c r="BD26" i="1"/>
  <c r="CH23" i="1"/>
  <c r="CD12" i="1"/>
  <c r="CD9" i="1"/>
  <c r="CD17" i="1"/>
  <c r="BF33" i="1"/>
  <c r="BF4" i="1"/>
  <c r="CI187" i="1"/>
  <c r="CI77" i="1"/>
  <c r="BC30" i="1"/>
  <c r="BD45" i="1"/>
  <c r="CE57" i="1"/>
  <c r="CG12" i="1"/>
  <c r="CE72" i="1"/>
  <c r="CH153" i="1"/>
  <c r="DB11" i="1"/>
  <c r="CI36" i="1"/>
  <c r="CE73" i="1"/>
  <c r="CD46" i="1"/>
  <c r="BD63" i="1"/>
  <c r="BA14" i="1"/>
  <c r="CG72" i="1"/>
  <c r="CD78" i="1"/>
  <c r="CE33" i="1"/>
  <c r="BE10" i="1"/>
  <c r="BC15" i="1"/>
  <c r="CF17" i="1"/>
  <c r="BA9" i="1"/>
  <c r="BB58" i="1"/>
  <c r="BD79" i="1"/>
  <c r="CD5" i="1"/>
  <c r="BB30" i="1"/>
  <c r="CI169" i="1"/>
  <c r="BE23" i="1"/>
  <c r="BC17" i="1"/>
  <c r="CI140" i="1"/>
  <c r="BD32" i="1"/>
  <c r="BC7" i="1"/>
  <c r="BB20" i="1"/>
  <c r="CG75" i="1"/>
  <c r="CE26" i="1"/>
  <c r="CF32" i="1"/>
  <c r="BA74" i="1"/>
  <c r="BC25" i="1"/>
  <c r="CE30" i="1"/>
  <c r="CF72" i="1"/>
  <c r="BE13" i="1"/>
  <c r="BA57" i="1"/>
  <c r="CI74" i="1"/>
  <c r="DA17" i="1"/>
  <c r="CF30" i="1"/>
  <c r="BA24" i="1"/>
  <c r="DA4" i="1"/>
  <c r="CI16" i="1"/>
  <c r="BC6" i="1"/>
  <c r="CE32" i="1"/>
  <c r="DB31" i="1"/>
  <c r="BB63" i="1"/>
  <c r="BF63" i="1"/>
  <c r="CD28" i="1"/>
  <c r="CH144" i="1"/>
  <c r="CF77" i="1"/>
  <c r="CF15" i="1"/>
  <c r="BA5" i="1"/>
  <c r="BC75" i="1"/>
  <c r="DB18" i="1"/>
  <c r="CD26" i="1"/>
  <c r="BA23" i="1"/>
  <c r="BB35" i="1"/>
  <c r="CG37" i="1"/>
  <c r="CH173" i="1"/>
  <c r="CD10" i="1"/>
  <c r="BB15" i="1"/>
  <c r="DA29" i="1"/>
  <c r="BF21" i="1"/>
  <c r="BD33" i="1"/>
  <c r="CG23" i="1"/>
  <c r="CE15" i="1"/>
  <c r="BE76" i="1"/>
  <c r="CI178" i="1"/>
  <c r="CF26" i="1"/>
  <c r="BE46" i="1"/>
  <c r="CH159" i="1"/>
  <c r="CG32" i="1"/>
  <c r="BB19" i="1"/>
  <c r="CE10" i="1"/>
  <c r="BC78" i="1"/>
  <c r="CF45" i="1"/>
  <c r="BC31" i="1"/>
  <c r="CF24" i="1"/>
  <c r="DB14" i="1"/>
  <c r="CE78" i="1"/>
  <c r="CH139" i="1"/>
  <c r="BC62" i="1"/>
  <c r="BC35" i="1"/>
  <c r="CH174" i="1"/>
  <c r="CH141" i="1"/>
  <c r="DB10" i="1"/>
  <c r="CH13" i="1"/>
  <c r="CF13" i="1"/>
  <c r="CI46" i="1"/>
  <c r="CH61" i="1"/>
  <c r="CD20" i="1"/>
  <c r="CI144" i="1"/>
  <c r="DA24" i="1"/>
  <c r="CI189" i="1"/>
  <c r="CI72" i="1"/>
  <c r="CE61" i="1"/>
  <c r="BB18" i="1"/>
  <c r="CI174" i="1"/>
  <c r="CH178" i="1"/>
  <c r="BB57" i="1"/>
  <c r="DB19" i="1"/>
  <c r="DA5" i="1"/>
  <c r="BA31" i="1"/>
  <c r="DA14" i="1"/>
  <c r="DA15" i="1"/>
  <c r="BE21" i="1"/>
  <c r="BF6" i="1"/>
  <c r="BE18" i="1"/>
  <c r="BB48" i="1"/>
  <c r="CF5" i="1"/>
  <c r="CH143" i="1"/>
  <c r="BF31" i="1"/>
  <c r="BF15" i="1"/>
  <c r="BC27" i="1"/>
  <c r="CH60" i="1"/>
  <c r="CI181" i="1"/>
  <c r="CE13" i="1"/>
  <c r="DB27" i="1"/>
  <c r="BA6" i="1"/>
  <c r="CI48" i="1"/>
  <c r="CH147" i="1"/>
  <c r="BE6" i="1"/>
  <c r="BC77" i="1"/>
  <c r="BA13" i="1"/>
  <c r="BE22" i="1"/>
  <c r="CG34" i="1"/>
  <c r="CD57" i="1"/>
  <c r="BD14" i="1"/>
  <c r="DB26" i="1"/>
  <c r="BA60" i="1"/>
  <c r="DA10" i="1"/>
  <c r="CI146" i="1"/>
  <c r="CG10" i="1"/>
  <c r="CI23" i="1"/>
  <c r="CH79" i="1"/>
  <c r="CH34" i="1"/>
  <c r="BE74" i="1"/>
  <c r="CI78" i="1"/>
  <c r="BB26" i="1"/>
  <c r="CD32" i="1"/>
  <c r="CI14" i="1"/>
  <c r="BC10" i="1"/>
  <c r="CE75" i="1"/>
  <c r="BB72" i="1"/>
  <c r="DB15" i="1"/>
  <c r="BE7" i="1"/>
  <c r="BB25" i="1"/>
  <c r="CI150" i="1"/>
  <c r="CI152" i="1"/>
  <c r="BA36" i="1"/>
  <c r="CF34" i="1"/>
  <c r="BE79" i="1"/>
  <c r="BE30" i="1"/>
  <c r="BD59" i="1"/>
  <c r="CF36" i="1"/>
  <c r="CG25" i="1"/>
  <c r="BB74" i="1"/>
  <c r="BB75" i="1"/>
  <c r="CG48" i="1"/>
  <c r="CD59" i="1"/>
  <c r="DA16" i="1"/>
  <c r="CE8" i="1"/>
  <c r="CE23" i="1"/>
  <c r="CE77" i="1"/>
  <c r="BB62" i="1"/>
  <c r="DA28" i="1"/>
  <c r="CH138" i="1"/>
  <c r="BE63" i="1"/>
  <c r="CF14" i="1"/>
  <c r="BC12" i="1"/>
  <c r="CI148" i="1"/>
  <c r="CG14" i="1"/>
  <c r="BA29" i="1"/>
  <c r="CH189" i="1"/>
  <c r="BA17" i="1"/>
  <c r="BB38" i="1"/>
  <c r="BF75" i="1"/>
  <c r="CH7" i="1"/>
  <c r="DA38" i="1"/>
  <c r="BA7" i="1"/>
  <c r="BA8" i="1"/>
  <c r="BC72" i="1"/>
  <c r="CD4" i="1"/>
  <c r="BF19" i="1"/>
  <c r="CF60" i="1"/>
  <c r="CH188" i="1"/>
  <c r="DA31" i="1"/>
  <c r="DB32" i="1"/>
  <c r="DA30" i="1"/>
  <c r="DA13" i="1"/>
  <c r="BC13" i="1"/>
  <c r="CH9" i="1"/>
  <c r="BB24" i="1"/>
  <c r="CI47" i="1"/>
  <c r="CE38" i="1"/>
  <c r="CD27" i="1"/>
  <c r="CH46" i="1"/>
  <c r="BC23" i="1"/>
  <c r="CD73" i="1"/>
  <c r="CH22" i="1"/>
  <c r="CG21" i="1"/>
  <c r="BD72" i="1"/>
  <c r="BA48" i="1"/>
  <c r="CD24" i="1"/>
  <c r="CF19" i="1"/>
  <c r="CH15" i="1"/>
  <c r="DA19" i="1"/>
  <c r="CI4" i="1"/>
  <c r="BB31" i="1"/>
  <c r="BE73" i="1"/>
  <c r="DB25" i="1"/>
  <c r="CI57" i="1"/>
  <c r="CD14" i="1"/>
  <c r="BB70" i="1"/>
  <c r="CF48" i="1"/>
  <c r="CG31" i="1"/>
  <c r="CG27" i="1"/>
  <c r="DB23" i="1"/>
  <c r="BF45" i="1"/>
  <c r="BE5" i="1"/>
  <c r="CH179" i="1"/>
  <c r="CH77" i="1"/>
  <c r="DB38" i="1"/>
  <c r="BD5" i="1"/>
  <c r="BC63" i="1"/>
  <c r="CF47" i="1"/>
  <c r="BE37" i="1"/>
  <c r="DB34" i="1"/>
  <c r="CD23" i="1"/>
  <c r="BD23" i="1"/>
  <c r="BE27" i="1"/>
  <c r="CI166" i="1"/>
  <c r="CG22" i="1"/>
  <c r="CF4" i="1"/>
  <c r="BC59" i="1"/>
  <c r="BB4" i="1"/>
  <c r="CH169" i="1"/>
  <c r="BE20" i="1"/>
  <c r="BF46" i="1"/>
  <c r="CI139" i="1"/>
  <c r="AT85" i="1"/>
  <c r="CF46" i="1"/>
  <c r="BF73" i="1"/>
  <c r="BF74" i="1"/>
  <c r="BC26" i="1"/>
  <c r="BE78" i="1"/>
  <c r="BE9" i="1"/>
  <c r="CD19" i="1"/>
  <c r="CH172" i="1"/>
  <c r="BA19" i="1"/>
  <c r="BE57" i="1"/>
  <c r="CG45" i="1"/>
  <c r="CH137" i="1"/>
  <c r="BA11" i="1"/>
  <c r="CI61" i="1"/>
  <c r="BC29" i="1"/>
  <c r="CI45" i="1"/>
  <c r="CG58" i="1"/>
  <c r="CI10" i="1"/>
  <c r="CF23" i="1"/>
  <c r="BF61" i="1"/>
  <c r="BA22" i="1"/>
  <c r="CI160" i="1"/>
  <c r="DA26" i="1"/>
  <c r="BA79" i="1"/>
  <c r="BB12" i="1"/>
  <c r="CF18" i="1"/>
  <c r="CE17" i="1"/>
  <c r="CE29" i="1"/>
  <c r="CG18" i="1"/>
  <c r="CG11" i="1"/>
  <c r="CI158" i="1"/>
  <c r="BC8" i="1"/>
  <c r="BD20" i="1"/>
  <c r="DB8" i="1"/>
  <c r="CD7" i="1"/>
  <c r="BB79" i="1"/>
  <c r="CD36" i="1"/>
  <c r="CH8" i="1"/>
  <c r="DB35" i="1"/>
  <c r="DJ139" i="1" l="1"/>
  <c r="DK171" i="1"/>
  <c r="DK6" i="1"/>
  <c r="DK59" i="1"/>
  <c r="DJ160" i="1"/>
  <c r="DJ62" i="1"/>
  <c r="DJ146" i="1"/>
  <c r="CK173" i="1"/>
  <c r="CS8" i="1"/>
  <c r="EI120" i="1"/>
  <c r="EB120" i="1" s="1"/>
  <c r="BN120" i="1" s="1"/>
  <c r="CQ11" i="1"/>
  <c r="DT11" i="1"/>
  <c r="BH11" i="1"/>
  <c r="BZ142" i="1"/>
  <c r="CS142" i="1"/>
  <c r="CE44" i="1"/>
  <c r="DN13" i="1"/>
  <c r="DH13" i="1"/>
  <c r="DJ13" i="1"/>
  <c r="DJ9" i="1"/>
  <c r="DH9" i="1"/>
  <c r="DN9" i="1"/>
  <c r="CO189" i="1"/>
  <c r="DI15" i="1"/>
  <c r="DO15" i="1"/>
  <c r="DK15" i="1"/>
  <c r="CO186" i="1"/>
  <c r="CU21" i="1"/>
  <c r="CO138" i="1"/>
  <c r="CK188" i="1"/>
  <c r="CM153" i="1"/>
  <c r="EG38" i="1"/>
  <c r="DZ38" i="1" s="1"/>
  <c r="BL38" i="1" s="1"/>
  <c r="CI3" i="1"/>
  <c r="EI107" i="1"/>
  <c r="EB107" i="1" s="1"/>
  <c r="BN107" i="1" s="1"/>
  <c r="DO72" i="1"/>
  <c r="DK72" i="1"/>
  <c r="DI72" i="1"/>
  <c r="DU72" i="1"/>
  <c r="CU142" i="1"/>
  <c r="CB142" i="1"/>
  <c r="DU145" i="1"/>
  <c r="DO145" i="1"/>
  <c r="DW145" i="1" s="1"/>
  <c r="DK145" i="1"/>
  <c r="DI145" i="1"/>
  <c r="CU14" i="1"/>
  <c r="DT14" i="1"/>
  <c r="CQ14" i="1"/>
  <c r="BH14" i="1"/>
  <c r="EJ93" i="1"/>
  <c r="EC93" i="1" s="1"/>
  <c r="BO93" i="1" s="1"/>
  <c r="EJ22" i="1"/>
  <c r="EC22" i="1" s="1"/>
  <c r="BO22" i="1" s="1"/>
  <c r="EE176" i="1"/>
  <c r="DX176" i="1" s="1"/>
  <c r="BJ176" i="1" s="1"/>
  <c r="BS76" i="1"/>
  <c r="C76" i="1"/>
  <c r="CM76" i="1"/>
  <c r="EI6" i="1"/>
  <c r="EB6" i="1" s="1"/>
  <c r="BN6" i="1" s="1"/>
  <c r="CS139" i="1"/>
  <c r="BZ139" i="1"/>
  <c r="EJ5" i="1"/>
  <c r="EC5" i="1" s="1"/>
  <c r="BO5" i="1" s="1"/>
  <c r="BZ173" i="1"/>
  <c r="CS173" i="1"/>
  <c r="DN30" i="1"/>
  <c r="DH30" i="1"/>
  <c r="DJ30" i="1"/>
  <c r="CB143" i="1"/>
  <c r="CU143" i="1"/>
  <c r="CO33" i="1"/>
  <c r="D33" i="1"/>
  <c r="DJ28" i="1"/>
  <c r="DH28" i="1"/>
  <c r="DN28" i="1"/>
  <c r="EF25" i="1"/>
  <c r="DY25" i="1" s="1"/>
  <c r="BK25" i="1" s="1"/>
  <c r="BZ45" i="1"/>
  <c r="CS45" i="1"/>
  <c r="BC44" i="1"/>
  <c r="EF71" i="1"/>
  <c r="DY71" i="1" s="1"/>
  <c r="BK71" i="1" s="1"/>
  <c r="DN15" i="1"/>
  <c r="DH15" i="1"/>
  <c r="DJ15" i="1"/>
  <c r="DI14" i="1"/>
  <c r="DK14" i="1"/>
  <c r="DO14" i="1"/>
  <c r="DJ29" i="1"/>
  <c r="DH29" i="1"/>
  <c r="DN29" i="1"/>
  <c r="DI33" i="1"/>
  <c r="DK33" i="1"/>
  <c r="DO33" i="1"/>
  <c r="EF156" i="1"/>
  <c r="DY156" i="1" s="1"/>
  <c r="BK156" i="1" s="1"/>
  <c r="CK172" i="1"/>
  <c r="EJ7" i="1"/>
  <c r="EC7" i="1" s="1"/>
  <c r="BO7" i="1" s="1"/>
  <c r="CM140" i="1"/>
  <c r="CD3" i="1"/>
  <c r="DU9" i="1"/>
  <c r="CO137" i="1"/>
  <c r="EF48" i="1"/>
  <c r="DY48" i="1" s="1"/>
  <c r="BK48" i="1" s="1"/>
  <c r="CU12" i="1"/>
  <c r="DK47" i="1"/>
  <c r="DO47" i="1"/>
  <c r="DU47" i="1"/>
  <c r="DI47" i="1"/>
  <c r="EI88" i="1"/>
  <c r="EB88" i="1" s="1"/>
  <c r="BN88" i="1" s="1"/>
  <c r="DK62" i="1"/>
  <c r="DU62" i="1"/>
  <c r="DO62" i="1"/>
  <c r="DI62" i="1"/>
  <c r="EJ12" i="1"/>
  <c r="EC12" i="1" s="1"/>
  <c r="BO12" i="1" s="1"/>
  <c r="EI95" i="1"/>
  <c r="EB95" i="1" s="1"/>
  <c r="BN95" i="1" s="1"/>
  <c r="DK141" i="1"/>
  <c r="DO141" i="1"/>
  <c r="DU141" i="1"/>
  <c r="DI141" i="1"/>
  <c r="CB137" i="1"/>
  <c r="CU137" i="1"/>
  <c r="BF136" i="1"/>
  <c r="EI22" i="1"/>
  <c r="EB22" i="1" s="1"/>
  <c r="BN22" i="1" s="1"/>
  <c r="CM141" i="1"/>
  <c r="EI30" i="1"/>
  <c r="EB30" i="1" s="1"/>
  <c r="BN30" i="1" s="1"/>
  <c r="DU15" i="1"/>
  <c r="CI136" i="1"/>
  <c r="EI108" i="1"/>
  <c r="EB108" i="1" s="1"/>
  <c r="BN108" i="1" s="1"/>
  <c r="EG28" i="1"/>
  <c r="DZ28" i="1" s="1"/>
  <c r="BL28" i="1" s="1"/>
  <c r="EF26" i="1"/>
  <c r="DY26" i="1" s="1"/>
  <c r="BK26" i="1" s="1"/>
  <c r="CU147" i="1"/>
  <c r="CB147" i="1"/>
  <c r="BS47" i="1"/>
  <c r="C47" i="1"/>
  <c r="CM47" i="1"/>
  <c r="DJ12" i="1"/>
  <c r="DN12" i="1"/>
  <c r="DH12" i="1"/>
  <c r="CM152" i="1"/>
  <c r="DK12" i="1"/>
  <c r="DI12" i="1"/>
  <c r="DO12" i="1"/>
  <c r="DK8" i="1"/>
  <c r="DI8" i="1"/>
  <c r="DO8" i="1"/>
  <c r="EI89" i="1"/>
  <c r="EB89" i="1" s="1"/>
  <c r="BN89" i="1" s="1"/>
  <c r="BZ151" i="1"/>
  <c r="CS151" i="1"/>
  <c r="DK140" i="1"/>
  <c r="DI140" i="1"/>
  <c r="DO140" i="1"/>
  <c r="DW140" i="1" s="1"/>
  <c r="DU140" i="1"/>
  <c r="D46" i="1"/>
  <c r="BU46" i="1"/>
  <c r="CO46" i="1"/>
  <c r="DK28" i="1"/>
  <c r="DI28" i="1"/>
  <c r="DO28" i="1"/>
  <c r="DH34" i="1"/>
  <c r="DJ34" i="1"/>
  <c r="DN34" i="1"/>
  <c r="DO10" i="1"/>
  <c r="DI10" i="1"/>
  <c r="DK10" i="1"/>
  <c r="DN37" i="1"/>
  <c r="DJ37" i="1"/>
  <c r="DH37" i="1"/>
  <c r="DO34" i="1"/>
  <c r="DI34" i="1"/>
  <c r="DK34" i="1"/>
  <c r="CS10" i="1"/>
  <c r="DI150" i="1"/>
  <c r="DO150" i="1"/>
  <c r="DW150" i="1" s="1"/>
  <c r="DK150" i="1"/>
  <c r="DU150" i="1"/>
  <c r="CB71" i="1"/>
  <c r="CU71" i="1"/>
  <c r="CO173" i="1"/>
  <c r="DU58" i="1"/>
  <c r="DI58" i="1"/>
  <c r="DO58" i="1"/>
  <c r="DK58" i="1"/>
  <c r="EI92" i="1"/>
  <c r="EB92" i="1" s="1"/>
  <c r="BN92" i="1" s="1"/>
  <c r="EJ20" i="1"/>
  <c r="EC20" i="1" s="1"/>
  <c r="BO20" i="1" s="1"/>
  <c r="CS5" i="1"/>
  <c r="CG44" i="1"/>
  <c r="EI87" i="1"/>
  <c r="EB87" i="1" s="1"/>
  <c r="BN87" i="1" s="1"/>
  <c r="D57" i="1"/>
  <c r="BU57" i="1"/>
  <c r="CO57" i="1"/>
  <c r="DT29" i="1"/>
  <c r="BH29" i="1"/>
  <c r="CQ29" i="1"/>
  <c r="CO30" i="1"/>
  <c r="D30" i="1"/>
  <c r="CS24" i="1"/>
  <c r="CU37" i="1"/>
  <c r="EJ92" i="1"/>
  <c r="EC92" i="1" s="1"/>
  <c r="BO92" i="1" s="1"/>
  <c r="EI15" i="1"/>
  <c r="EB15" i="1" s="1"/>
  <c r="BN15" i="1" s="1"/>
  <c r="CS72" i="1"/>
  <c r="BZ72" i="1"/>
  <c r="EI100" i="1"/>
  <c r="EB100" i="1" s="1"/>
  <c r="BN100" i="1" s="1"/>
  <c r="EF19" i="1"/>
  <c r="DY19" i="1" s="1"/>
  <c r="BK19" i="1" s="1"/>
  <c r="EF60" i="1"/>
  <c r="DY60" i="1" s="1"/>
  <c r="BK60" i="1" s="1"/>
  <c r="DU144" i="1"/>
  <c r="DK144" i="1"/>
  <c r="DO144" i="1"/>
  <c r="DI144" i="1"/>
  <c r="DI79" i="1"/>
  <c r="DK79" i="1"/>
  <c r="DU79" i="1"/>
  <c r="DO79" i="1"/>
  <c r="CM46" i="1"/>
  <c r="BS46" i="1"/>
  <c r="C46" i="1"/>
  <c r="CK182" i="1"/>
  <c r="DU33" i="1"/>
  <c r="DU48" i="1"/>
  <c r="DO48" i="1"/>
  <c r="DI48" i="1"/>
  <c r="DK48" i="1"/>
  <c r="C22" i="1"/>
  <c r="CM22" i="1"/>
  <c r="CS153" i="1"/>
  <c r="BZ153" i="1"/>
  <c r="DK156" i="1"/>
  <c r="DI156" i="1"/>
  <c r="DU156" i="1"/>
  <c r="DO156" i="1"/>
  <c r="EF75" i="1"/>
  <c r="DY75" i="1" s="1"/>
  <c r="BK75" i="1" s="1"/>
  <c r="BZ182" i="1"/>
  <c r="CS182" i="1"/>
  <c r="DD3" i="1"/>
  <c r="EF153" i="1"/>
  <c r="DY153" i="1" s="1"/>
  <c r="BK153" i="1" s="1"/>
  <c r="CB72" i="1"/>
  <c r="CU72" i="1"/>
  <c r="CK187" i="1"/>
  <c r="CQ33" i="1"/>
  <c r="BH33" i="1"/>
  <c r="DT33" i="1"/>
  <c r="EF11" i="1"/>
  <c r="DY11" i="1" s="1"/>
  <c r="BK11" i="1" s="1"/>
  <c r="CS178" i="1"/>
  <c r="BZ178" i="1"/>
  <c r="DN26" i="1"/>
  <c r="DH26" i="1"/>
  <c r="DJ26" i="1"/>
  <c r="DU26" i="1"/>
  <c r="BZ48" i="1"/>
  <c r="CA49" i="1" s="1"/>
  <c r="CS48" i="1"/>
  <c r="DT9" i="1"/>
  <c r="BH9" i="1"/>
  <c r="CQ9" i="1"/>
  <c r="EE175" i="1"/>
  <c r="DX175" i="1" s="1"/>
  <c r="BJ175" i="1" s="1"/>
  <c r="DU35" i="1"/>
  <c r="C18" i="1"/>
  <c r="CM18" i="1"/>
  <c r="DH19" i="1"/>
  <c r="DN19" i="1"/>
  <c r="DJ19" i="1"/>
  <c r="BZ144" i="1"/>
  <c r="CS144" i="1"/>
  <c r="DH35" i="1"/>
  <c r="DN35" i="1"/>
  <c r="DJ35" i="1"/>
  <c r="D6" i="1"/>
  <c r="CO6" i="1"/>
  <c r="CS23" i="1"/>
  <c r="BH184" i="1"/>
  <c r="DH184" i="1"/>
  <c r="BX184" i="1"/>
  <c r="DN184" i="1"/>
  <c r="DV184" i="1" s="1"/>
  <c r="CQ184" i="1"/>
  <c r="DJ184" i="1"/>
  <c r="DT184" i="1"/>
  <c r="BZ63" i="1"/>
  <c r="CA64" i="1" s="1"/>
  <c r="CS63" i="1"/>
  <c r="EI13" i="1"/>
  <c r="EB13" i="1" s="1"/>
  <c r="BN13" i="1" s="1"/>
  <c r="EE102" i="1"/>
  <c r="DX102" i="1" s="1"/>
  <c r="BJ102" i="1" s="1"/>
  <c r="BH23" i="1"/>
  <c r="CQ23" i="1"/>
  <c r="DT23" i="1"/>
  <c r="DJ178" i="1"/>
  <c r="DH178" i="1"/>
  <c r="BH178" i="1"/>
  <c r="BX178" i="1"/>
  <c r="DT178" i="1"/>
  <c r="DN178" i="1"/>
  <c r="DV178" i="1" s="1"/>
  <c r="CQ178" i="1"/>
  <c r="EF38" i="1"/>
  <c r="DY38" i="1" s="1"/>
  <c r="BK38" i="1" s="1"/>
  <c r="EG86" i="1"/>
  <c r="DZ86" i="1" s="1"/>
  <c r="BL86" i="1" s="1"/>
  <c r="EI123" i="1"/>
  <c r="EB123" i="1" s="1"/>
  <c r="BN123" i="1" s="1"/>
  <c r="D29" i="1"/>
  <c r="CO29" i="1"/>
  <c r="BS59" i="1"/>
  <c r="C59" i="1"/>
  <c r="CM59" i="1"/>
  <c r="CS21" i="1"/>
  <c r="DK32" i="1"/>
  <c r="DI32" i="1"/>
  <c r="DO32" i="1"/>
  <c r="DK11" i="1"/>
  <c r="DI11" i="1"/>
  <c r="DO11" i="1"/>
  <c r="CM178" i="1"/>
  <c r="DK22" i="1"/>
  <c r="DI22" i="1"/>
  <c r="DO22" i="1"/>
  <c r="DI38" i="1"/>
  <c r="DK38" i="1"/>
  <c r="DO38" i="1"/>
  <c r="DU149" i="1"/>
  <c r="DO149" i="1"/>
  <c r="DK149" i="1"/>
  <c r="DI149" i="1"/>
  <c r="CU20" i="1"/>
  <c r="CB74" i="1"/>
  <c r="CU74" i="1"/>
  <c r="EF46" i="1"/>
  <c r="DY46" i="1" s="1"/>
  <c r="BK46" i="1" s="1"/>
  <c r="DN14" i="1"/>
  <c r="DH14" i="1"/>
  <c r="DJ14" i="1"/>
  <c r="DN16" i="1"/>
  <c r="DH16" i="1"/>
  <c r="DJ16" i="1"/>
  <c r="DO18" i="1"/>
  <c r="DI18" i="1"/>
  <c r="DK18" i="1"/>
  <c r="DK16" i="1"/>
  <c r="DI16" i="1"/>
  <c r="DO16" i="1"/>
  <c r="EJ89" i="1"/>
  <c r="EC89" i="1" s="1"/>
  <c r="BO89" i="1" s="1"/>
  <c r="EJ19" i="1"/>
  <c r="EC19" i="1" s="1"/>
  <c r="BO19" i="1" s="1"/>
  <c r="CS38" i="1"/>
  <c r="CB57" i="1"/>
  <c r="CU57" i="1"/>
  <c r="CS31" i="1"/>
  <c r="AU136" i="1"/>
  <c r="C137" i="1"/>
  <c r="E137" i="1" s="1"/>
  <c r="CM137" i="1"/>
  <c r="AY137" i="1"/>
  <c r="BS137" i="1"/>
  <c r="EJ13" i="1"/>
  <c r="EC13" i="1" s="1"/>
  <c r="BO13" i="1" s="1"/>
  <c r="CO147" i="1"/>
  <c r="DI59" i="1"/>
  <c r="DU59" i="1"/>
  <c r="DO59" i="1"/>
  <c r="BZ145" i="1"/>
  <c r="CS145" i="1"/>
  <c r="CK181" i="1"/>
  <c r="BZ172" i="1"/>
  <c r="CS172" i="1"/>
  <c r="CS75" i="1"/>
  <c r="BZ75" i="1"/>
  <c r="C34" i="1"/>
  <c r="CM34" i="1"/>
  <c r="CS27" i="1"/>
  <c r="EJ33" i="1"/>
  <c r="EC33" i="1" s="1"/>
  <c r="BO33" i="1" s="1"/>
  <c r="EI90" i="1"/>
  <c r="EB90" i="1" s="1"/>
  <c r="BN90" i="1" s="1"/>
  <c r="EG32" i="1"/>
  <c r="DZ32" i="1" s="1"/>
  <c r="BL32" i="1" s="1"/>
  <c r="BZ166" i="1"/>
  <c r="CS166" i="1"/>
  <c r="EF63" i="1"/>
  <c r="DY63" i="1" s="1"/>
  <c r="BK63" i="1" s="1"/>
  <c r="CU75" i="1"/>
  <c r="CB75" i="1"/>
  <c r="BC136" i="1"/>
  <c r="CS137" i="1"/>
  <c r="BZ137" i="1"/>
  <c r="EF154" i="1"/>
  <c r="DY154" i="1" s="1"/>
  <c r="BK154" i="1" s="1"/>
  <c r="CM154" i="1"/>
  <c r="CF136" i="1"/>
  <c r="CQ21" i="1"/>
  <c r="BH21" i="1"/>
  <c r="DT21" i="1"/>
  <c r="CO141" i="1"/>
  <c r="DT5" i="1"/>
  <c r="CQ5" i="1"/>
  <c r="BH5" i="1"/>
  <c r="EG33" i="1"/>
  <c r="DZ33" i="1" s="1"/>
  <c r="BL33" i="1" s="1"/>
  <c r="EF61" i="1"/>
  <c r="DY61" i="1" s="1"/>
  <c r="BK61" i="1" s="1"/>
  <c r="CO179" i="1"/>
  <c r="CM35" i="1"/>
  <c r="C35" i="1"/>
  <c r="DK35" i="1"/>
  <c r="DO35" i="1"/>
  <c r="DI35" i="1"/>
  <c r="CF44" i="1"/>
  <c r="EI125" i="1"/>
  <c r="EB125" i="1" s="1"/>
  <c r="BN125" i="1" s="1"/>
  <c r="DN31" i="1"/>
  <c r="DJ31" i="1"/>
  <c r="DH31" i="1"/>
  <c r="DJ11" i="1"/>
  <c r="DN11" i="1"/>
  <c r="DH11" i="1"/>
  <c r="BU62" i="1"/>
  <c r="D62" i="1"/>
  <c r="CO62" i="1"/>
  <c r="CE136" i="1"/>
  <c r="CM14" i="1"/>
  <c r="C14" i="1"/>
  <c r="CO153" i="1"/>
  <c r="D26" i="1"/>
  <c r="CO26" i="1"/>
  <c r="DI13" i="1"/>
  <c r="DK13" i="1"/>
  <c r="DO13" i="1"/>
  <c r="DO27" i="1"/>
  <c r="DI27" i="1"/>
  <c r="DK27" i="1"/>
  <c r="DH33" i="1"/>
  <c r="DN33" i="1"/>
  <c r="DJ33" i="1"/>
  <c r="DO7" i="1"/>
  <c r="DW7" i="1" s="1"/>
  <c r="DK7" i="1"/>
  <c r="DI7" i="1"/>
  <c r="DB3" i="1"/>
  <c r="CQ31" i="1"/>
  <c r="BH31" i="1"/>
  <c r="DT31" i="1"/>
  <c r="EF152" i="1"/>
  <c r="DY152" i="1" s="1"/>
  <c r="BK152" i="1" s="1"/>
  <c r="BZ150" i="1"/>
  <c r="CS150" i="1"/>
  <c r="CO169" i="1"/>
  <c r="CU5" i="1"/>
  <c r="CS138" i="1"/>
  <c r="BZ138" i="1"/>
  <c r="EF28" i="1"/>
  <c r="DY28" i="1" s="1"/>
  <c r="BK28" i="1" s="1"/>
  <c r="EF146" i="1"/>
  <c r="DY146" i="1" s="1"/>
  <c r="BK146" i="1" s="1"/>
  <c r="DK157" i="1"/>
  <c r="DI157" i="1"/>
  <c r="DU157" i="1"/>
  <c r="DO157" i="1"/>
  <c r="CK179" i="1"/>
  <c r="EF189" i="1"/>
  <c r="DY189" i="1" s="1"/>
  <c r="BK189" i="1" s="1"/>
  <c r="CS78" i="1"/>
  <c r="BZ78" i="1"/>
  <c r="DJ170" i="1"/>
  <c r="DH170" i="1"/>
  <c r="DT170" i="1"/>
  <c r="CQ170" i="1"/>
  <c r="DN170" i="1"/>
  <c r="DV170" i="1" s="1"/>
  <c r="BH170" i="1"/>
  <c r="CS148" i="1"/>
  <c r="BZ148" i="1"/>
  <c r="C23" i="1"/>
  <c r="CM23" i="1"/>
  <c r="CU16" i="1"/>
  <c r="BU47" i="1"/>
  <c r="D47" i="1"/>
  <c r="CO47" i="1"/>
  <c r="DT45" i="1"/>
  <c r="BA44" i="1"/>
  <c r="DH45" i="1"/>
  <c r="CQ45" i="1"/>
  <c r="BH45" i="1"/>
  <c r="DJ45" i="1"/>
  <c r="DN45" i="1"/>
  <c r="BZ140" i="1"/>
  <c r="CS140" i="1"/>
  <c r="DT160" i="1"/>
  <c r="CQ160" i="1"/>
  <c r="BH160" i="1"/>
  <c r="DH160" i="1"/>
  <c r="DN160" i="1"/>
  <c r="DV160" i="1" s="1"/>
  <c r="EJ35" i="1"/>
  <c r="EC35" i="1" s="1"/>
  <c r="BO35" i="1" s="1"/>
  <c r="DT8" i="1"/>
  <c r="BH8" i="1"/>
  <c r="CQ8" i="1"/>
  <c r="CO31" i="1"/>
  <c r="D31" i="1"/>
  <c r="CM138" i="1"/>
  <c r="BS138" i="1"/>
  <c r="CW138" i="1" s="1"/>
  <c r="AY138" i="1"/>
  <c r="C138" i="1"/>
  <c r="E138" i="1" s="1"/>
  <c r="EF14" i="1"/>
  <c r="DY14" i="1" s="1"/>
  <c r="BK14" i="1" s="1"/>
  <c r="EF73" i="1"/>
  <c r="DY73" i="1" s="1"/>
  <c r="BK73" i="1" s="1"/>
  <c r="BC3" i="1"/>
  <c r="CS4" i="1"/>
  <c r="EF21" i="1"/>
  <c r="DY21" i="1" s="1"/>
  <c r="BK21" i="1" s="1"/>
  <c r="BU78" i="1"/>
  <c r="D78" i="1"/>
  <c r="CO78" i="1"/>
  <c r="EI36" i="1"/>
  <c r="EB36" i="1" s="1"/>
  <c r="BN36" i="1" s="1"/>
  <c r="CO23" i="1"/>
  <c r="D23" i="1"/>
  <c r="EI11" i="1"/>
  <c r="EB11" i="1" s="1"/>
  <c r="BN11" i="1" s="1"/>
  <c r="EI86" i="1"/>
  <c r="EB86" i="1" s="1"/>
  <c r="BN86" i="1" s="1"/>
  <c r="D9" i="1"/>
  <c r="CO9" i="1"/>
  <c r="EF149" i="1"/>
  <c r="DY149" i="1" s="1"/>
  <c r="BK149" i="1" s="1"/>
  <c r="EI37" i="1"/>
  <c r="EB37" i="1" s="1"/>
  <c r="BN37" i="1" s="1"/>
  <c r="DU20" i="1"/>
  <c r="EF62" i="1"/>
  <c r="DY62" i="1" s="1"/>
  <c r="BK62" i="1" s="1"/>
  <c r="CO142" i="1"/>
  <c r="CS14" i="1"/>
  <c r="BU70" i="1"/>
  <c r="D70" i="1"/>
  <c r="CO70" i="1"/>
  <c r="BF44" i="1"/>
  <c r="DT25" i="1"/>
  <c r="BH25" i="1"/>
  <c r="CQ25" i="1"/>
  <c r="EF7" i="1"/>
  <c r="DY7" i="1" s="1"/>
  <c r="BK7" i="1" s="1"/>
  <c r="CO188" i="1"/>
  <c r="DI17" i="1"/>
  <c r="DK17" i="1"/>
  <c r="DO17" i="1"/>
  <c r="DN176" i="1"/>
  <c r="DH176" i="1"/>
  <c r="DJ176" i="1"/>
  <c r="DT176" i="1"/>
  <c r="CQ176" i="1"/>
  <c r="BH176" i="1"/>
  <c r="EF10" i="1"/>
  <c r="DY10" i="1" s="1"/>
  <c r="BK10" i="1" s="1"/>
  <c r="EJ34" i="1"/>
  <c r="EC34" i="1" s="1"/>
  <c r="BO34" i="1" s="1"/>
  <c r="CO158" i="1"/>
  <c r="CO185" i="1"/>
  <c r="DK23" i="1"/>
  <c r="DI23" i="1"/>
  <c r="DO23" i="1"/>
  <c r="DN20" i="1"/>
  <c r="DJ20" i="1"/>
  <c r="DH20" i="1"/>
  <c r="CS154" i="1"/>
  <c r="BZ154" i="1"/>
  <c r="DO30" i="1"/>
  <c r="DI30" i="1"/>
  <c r="DK30" i="1"/>
  <c r="DJ17" i="1"/>
  <c r="DN17" i="1"/>
  <c r="DH17" i="1"/>
  <c r="DU153" i="1"/>
  <c r="DI153" i="1"/>
  <c r="DO153" i="1"/>
  <c r="DK153" i="1"/>
  <c r="BH175" i="1"/>
  <c r="DJ175" i="1"/>
  <c r="DT175" i="1"/>
  <c r="DN175" i="1"/>
  <c r="DH175" i="1"/>
  <c r="CQ175" i="1"/>
  <c r="DH10" i="1"/>
  <c r="DJ10" i="1"/>
  <c r="DN10" i="1"/>
  <c r="DN7" i="1"/>
  <c r="DH7" i="1"/>
  <c r="DJ7" i="1"/>
  <c r="DK25" i="1"/>
  <c r="DI25" i="1"/>
  <c r="DO25" i="1"/>
  <c r="DJ8" i="1"/>
  <c r="DH8" i="1"/>
  <c r="DN8" i="1"/>
  <c r="EJ10" i="1"/>
  <c r="EC10" i="1" s="1"/>
  <c r="BO10" i="1" s="1"/>
  <c r="BZ164" i="1"/>
  <c r="CS164" i="1"/>
  <c r="EG9" i="1"/>
  <c r="DZ9" i="1" s="1"/>
  <c r="BL9" i="1" s="1"/>
  <c r="CB145" i="1"/>
  <c r="CU145" i="1"/>
  <c r="CS15" i="1"/>
  <c r="DO5" i="1"/>
  <c r="DW5" i="1" s="1"/>
  <c r="DK5" i="1"/>
  <c r="DI5" i="1"/>
  <c r="DU5" i="1"/>
  <c r="DJ172" i="1"/>
  <c r="DN172" i="1"/>
  <c r="DV172" i="1" s="1"/>
  <c r="DT172" i="1"/>
  <c r="CQ172" i="1"/>
  <c r="BH172" i="1"/>
  <c r="DH172" i="1"/>
  <c r="DH60" i="1"/>
  <c r="BH60" i="1"/>
  <c r="DJ60" i="1"/>
  <c r="CQ60" i="1"/>
  <c r="DN60" i="1"/>
  <c r="DT60" i="1"/>
  <c r="CS181" i="1"/>
  <c r="BZ181" i="1"/>
  <c r="CO19" i="1"/>
  <c r="D19" i="1"/>
  <c r="CQ185" i="1"/>
  <c r="DN185" i="1"/>
  <c r="DT185" i="1"/>
  <c r="BH185" i="1"/>
  <c r="DH185" i="1"/>
  <c r="DJ185" i="1"/>
  <c r="DI46" i="1"/>
  <c r="DK46" i="1"/>
  <c r="DU46" i="1"/>
  <c r="DO46" i="1"/>
  <c r="DW46" i="1" s="1"/>
  <c r="BH19" i="1"/>
  <c r="CQ19" i="1"/>
  <c r="DT19" i="1"/>
  <c r="EI24" i="1"/>
  <c r="EB24" i="1" s="1"/>
  <c r="BN24" i="1" s="1"/>
  <c r="EI29" i="1"/>
  <c r="EB29" i="1" s="1"/>
  <c r="BN29" i="1" s="1"/>
  <c r="EF77" i="1"/>
  <c r="DY77" i="1" s="1"/>
  <c r="BK77" i="1" s="1"/>
  <c r="EE170" i="1"/>
  <c r="DX170" i="1" s="1"/>
  <c r="BJ170" i="1" s="1"/>
  <c r="AT3" i="1"/>
  <c r="AW44" i="1"/>
  <c r="BU45" i="1"/>
  <c r="D45" i="1"/>
  <c r="CO45" i="1"/>
  <c r="EG5" i="1"/>
  <c r="DZ5" i="1" s="1"/>
  <c r="BL5" i="1" s="1"/>
  <c r="CM177" i="1"/>
  <c r="EF4" i="1"/>
  <c r="DY4" i="1" s="1"/>
  <c r="BK4" i="1" s="1"/>
  <c r="EM3" i="1"/>
  <c r="CS188" i="1"/>
  <c r="BZ188" i="1"/>
  <c r="CU70" i="1"/>
  <c r="CB70" i="1"/>
  <c r="CC70" i="1" s="1"/>
  <c r="EF79" i="1"/>
  <c r="DY79" i="1" s="1"/>
  <c r="BK79" i="1" s="1"/>
  <c r="EJ28" i="1"/>
  <c r="EC28" i="1" s="1"/>
  <c r="BO28" i="1" s="1"/>
  <c r="CB160" i="1"/>
  <c r="CC161" i="1" s="1"/>
  <c r="CU160" i="1"/>
  <c r="CQ174" i="1"/>
  <c r="DT174" i="1"/>
  <c r="BH174" i="1"/>
  <c r="DN174" i="1"/>
  <c r="DH174" i="1"/>
  <c r="DJ174" i="1"/>
  <c r="EG14" i="1"/>
  <c r="DZ14" i="1" s="1"/>
  <c r="BL14" i="1" s="1"/>
  <c r="DN32" i="1"/>
  <c r="DJ32" i="1"/>
  <c r="DH32" i="1"/>
  <c r="DK26" i="1"/>
  <c r="DI26" i="1"/>
  <c r="DO26" i="1"/>
  <c r="CK169" i="1"/>
  <c r="DH177" i="1"/>
  <c r="DJ177" i="1"/>
  <c r="DN177" i="1"/>
  <c r="BH177" i="1"/>
  <c r="BX177" i="1"/>
  <c r="CQ177" i="1"/>
  <c r="DT177" i="1"/>
  <c r="DJ47" i="1"/>
  <c r="CQ47" i="1"/>
  <c r="BH47" i="1"/>
  <c r="DN47" i="1"/>
  <c r="DT47" i="1"/>
  <c r="DH47" i="1"/>
  <c r="DH21" i="1"/>
  <c r="DJ21" i="1"/>
  <c r="DN21" i="1"/>
  <c r="DJ23" i="1"/>
  <c r="DH23" i="1"/>
  <c r="DN23" i="1"/>
  <c r="C26" i="1"/>
  <c r="CM26" i="1"/>
  <c r="DU7" i="1"/>
  <c r="CU18" i="1"/>
  <c r="DN22" i="1"/>
  <c r="DH22" i="1"/>
  <c r="DJ22" i="1"/>
  <c r="DH36" i="1"/>
  <c r="DJ36" i="1"/>
  <c r="DN36" i="1"/>
  <c r="DO9" i="1"/>
  <c r="DW9" i="1" s="1"/>
  <c r="DK9" i="1"/>
  <c r="DI9" i="1"/>
  <c r="DJ5" i="1"/>
  <c r="DH5" i="1"/>
  <c r="DN5" i="1"/>
  <c r="CB141" i="1"/>
  <c r="CU141" i="1"/>
  <c r="DT59" i="1"/>
  <c r="DJ59" i="1"/>
  <c r="DN59" i="1"/>
  <c r="CQ59" i="1"/>
  <c r="DH59" i="1"/>
  <c r="BH59" i="1"/>
  <c r="BS45" i="1"/>
  <c r="CM45" i="1"/>
  <c r="AU44" i="1"/>
  <c r="C45" i="1"/>
  <c r="D72" i="1"/>
  <c r="CO72" i="1"/>
  <c r="BU72" i="1"/>
  <c r="DK151" i="1"/>
  <c r="DO151" i="1"/>
  <c r="DU151" i="1"/>
  <c r="DI151" i="1"/>
  <c r="CM148" i="1"/>
  <c r="CS16" i="1"/>
  <c r="CO144" i="1"/>
  <c r="C61" i="1"/>
  <c r="BS61" i="1"/>
  <c r="CM61" i="1"/>
  <c r="D34" i="1"/>
  <c r="CO34" i="1"/>
  <c r="EG90" i="1"/>
  <c r="DZ90" i="1" s="1"/>
  <c r="BL90" i="1" s="1"/>
  <c r="CK177" i="1"/>
  <c r="EG34" i="1"/>
  <c r="DZ34" i="1" s="1"/>
  <c r="BL34" i="1" s="1"/>
  <c r="BZ141" i="1"/>
  <c r="CA141" i="1" s="1"/>
  <c r="CS141" i="1"/>
  <c r="CS7" i="1"/>
  <c r="CK175" i="1"/>
  <c r="CO24" i="1"/>
  <c r="D24" i="1"/>
  <c r="CO152" i="1"/>
  <c r="DO4" i="1"/>
  <c r="DW4" i="1" s="1"/>
  <c r="DI4" i="1"/>
  <c r="DU4" i="1"/>
  <c r="DK4" i="1"/>
  <c r="BB3" i="1"/>
  <c r="CM176" i="1"/>
  <c r="DT22" i="1"/>
  <c r="BH22" i="1"/>
  <c r="CQ22" i="1"/>
  <c r="DI75" i="1"/>
  <c r="DU75" i="1"/>
  <c r="DO75" i="1"/>
  <c r="DK75" i="1"/>
  <c r="BZ149" i="1"/>
  <c r="CS149" i="1"/>
  <c r="CO143" i="1"/>
  <c r="DU27" i="1"/>
  <c r="CB146" i="1"/>
  <c r="CC146" i="1" s="1"/>
  <c r="CU146" i="1"/>
  <c r="BS75" i="1"/>
  <c r="CM75" i="1"/>
  <c r="C75" i="1"/>
  <c r="EI114" i="1"/>
  <c r="EB114" i="1" s="1"/>
  <c r="BN114" i="1" s="1"/>
  <c r="CO176" i="1"/>
  <c r="EJ85" i="1"/>
  <c r="EC85" i="1" s="1"/>
  <c r="BO85" i="1" s="1"/>
  <c r="EQ84" i="1"/>
  <c r="EF18" i="1"/>
  <c r="DY18" i="1" s="1"/>
  <c r="BK18" i="1" s="1"/>
  <c r="EI93" i="1"/>
  <c r="EB93" i="1" s="1"/>
  <c r="BN93" i="1" s="1"/>
  <c r="D18" i="1"/>
  <c r="CO18" i="1"/>
  <c r="DK74" i="1"/>
  <c r="DO74" i="1"/>
  <c r="DI74" i="1"/>
  <c r="DU74" i="1"/>
  <c r="C38" i="1"/>
  <c r="CM38" i="1"/>
  <c r="CM174" i="1"/>
  <c r="DI63" i="1"/>
  <c r="DU63" i="1"/>
  <c r="DO63" i="1"/>
  <c r="DK63" i="1"/>
  <c r="DI143" i="1"/>
  <c r="DU143" i="1"/>
  <c r="DK143" i="1"/>
  <c r="DO143" i="1"/>
  <c r="DW143" i="1" s="1"/>
  <c r="DU13" i="1"/>
  <c r="CO61" i="1"/>
  <c r="D61" i="1"/>
  <c r="BU61" i="1"/>
  <c r="DT13" i="1"/>
  <c r="CQ13" i="1"/>
  <c r="BH13" i="1"/>
  <c r="DK154" i="1"/>
  <c r="DO154" i="1"/>
  <c r="DI154" i="1"/>
  <c r="DU154" i="1"/>
  <c r="BU60" i="1"/>
  <c r="CO60" i="1"/>
  <c r="D60" i="1"/>
  <c r="CB144" i="1"/>
  <c r="CU144" i="1"/>
  <c r="CM57" i="1"/>
  <c r="BS57" i="1"/>
  <c r="BT57" i="1" s="1"/>
  <c r="C57" i="1"/>
  <c r="BD44" i="1"/>
  <c r="EI9" i="1"/>
  <c r="EB9" i="1" s="1"/>
  <c r="BN9" i="1" s="1"/>
  <c r="CU58" i="1"/>
  <c r="CB58" i="1"/>
  <c r="CS34" i="1"/>
  <c r="EI16" i="1"/>
  <c r="EB16" i="1" s="1"/>
  <c r="BN16" i="1" s="1"/>
  <c r="CS59" i="1"/>
  <c r="BZ59" i="1"/>
  <c r="BH12" i="1"/>
  <c r="DT12" i="1"/>
  <c r="CQ12" i="1"/>
  <c r="CM30" i="1"/>
  <c r="C30" i="1"/>
  <c r="CU28" i="1"/>
  <c r="EG88" i="1"/>
  <c r="DZ88" i="1" s="1"/>
  <c r="BL88" i="1" s="1"/>
  <c r="DU19" i="1"/>
  <c r="EJ17" i="1"/>
  <c r="EC17" i="1" s="1"/>
  <c r="BO17" i="1" s="1"/>
  <c r="CK186" i="1"/>
  <c r="BZ189" i="1"/>
  <c r="CS189" i="1"/>
  <c r="BZ175" i="1"/>
  <c r="CS175" i="1"/>
  <c r="BZ171" i="1"/>
  <c r="CS171" i="1"/>
  <c r="CU25" i="1"/>
  <c r="DI70" i="1"/>
  <c r="DK70" i="1"/>
  <c r="DU70" i="1"/>
  <c r="DO70" i="1"/>
  <c r="CK160" i="1"/>
  <c r="EF24" i="1"/>
  <c r="DY24" i="1" s="1"/>
  <c r="BK24" i="1" s="1"/>
  <c r="CS30" i="1"/>
  <c r="CM147" i="1"/>
  <c r="BH7" i="1"/>
  <c r="CQ7" i="1"/>
  <c r="DT7" i="1"/>
  <c r="BZ146" i="1"/>
  <c r="CS146" i="1"/>
  <c r="C28" i="1"/>
  <c r="CM28" i="1"/>
  <c r="CS174" i="1"/>
  <c r="BZ174" i="1"/>
  <c r="EF35" i="1"/>
  <c r="DY35" i="1" s="1"/>
  <c r="BK35" i="1" s="1"/>
  <c r="EF59" i="1"/>
  <c r="DY59" i="1" s="1"/>
  <c r="BK59" i="1" s="1"/>
  <c r="DO29" i="1"/>
  <c r="DK29" i="1"/>
  <c r="DI29" i="1"/>
  <c r="DK19" i="1"/>
  <c r="DI19" i="1"/>
  <c r="DO19" i="1"/>
  <c r="CF3" i="1"/>
  <c r="DU21" i="1"/>
  <c r="DJ24" i="1"/>
  <c r="DN24" i="1"/>
  <c r="DH24" i="1"/>
  <c r="DH6" i="1"/>
  <c r="DJ6" i="1"/>
  <c r="DN6" i="1"/>
  <c r="CU34" i="1"/>
  <c r="CO172" i="1"/>
  <c r="DK24" i="1"/>
  <c r="DO24" i="1"/>
  <c r="DI24" i="1"/>
  <c r="DJ4" i="1"/>
  <c r="DN4" i="1"/>
  <c r="DA3" i="1"/>
  <c r="DH4" i="1"/>
  <c r="DH18" i="1"/>
  <c r="DN18" i="1"/>
  <c r="DJ18" i="1"/>
  <c r="DI31" i="1"/>
  <c r="DK31" i="1"/>
  <c r="DO31" i="1"/>
  <c r="DJ57" i="1"/>
  <c r="CQ57" i="1"/>
  <c r="BH57" i="1"/>
  <c r="BI57" i="1" s="1"/>
  <c r="DN57" i="1"/>
  <c r="DT57" i="1"/>
  <c r="DH57" i="1"/>
  <c r="CS152" i="1"/>
  <c r="BZ152" i="1"/>
  <c r="EG92" i="1"/>
  <c r="DZ92" i="1" s="1"/>
  <c r="BL92" i="1" s="1"/>
  <c r="EJ86" i="1"/>
  <c r="EC86" i="1" s="1"/>
  <c r="BO86" i="1" s="1"/>
  <c r="C6" i="1"/>
  <c r="CM6" i="1"/>
  <c r="CO182" i="1"/>
  <c r="BZ167" i="1"/>
  <c r="CS167" i="1"/>
  <c r="EG29" i="1"/>
  <c r="DZ29" i="1" s="1"/>
  <c r="BL29" i="1" s="1"/>
  <c r="CO174" i="1"/>
  <c r="EI14" i="1"/>
  <c r="EB14" i="1" s="1"/>
  <c r="BN14" i="1" s="1"/>
  <c r="CM170" i="1"/>
  <c r="EF30" i="1"/>
  <c r="DY30" i="1" s="1"/>
  <c r="BK30" i="1" s="1"/>
  <c r="CS183" i="1"/>
  <c r="BZ183" i="1"/>
  <c r="CS6" i="1"/>
  <c r="CO184" i="1"/>
  <c r="BZ186" i="1"/>
  <c r="CS186" i="1"/>
  <c r="EI99" i="1"/>
  <c r="EB99" i="1" s="1"/>
  <c r="BN99" i="1" s="1"/>
  <c r="EI111" i="1"/>
  <c r="EB111" i="1" s="1"/>
  <c r="BN111" i="1" s="1"/>
  <c r="DU10" i="1"/>
  <c r="CU8" i="1"/>
  <c r="DO20" i="1"/>
  <c r="DK20" i="1"/>
  <c r="DI20" i="1"/>
  <c r="DK37" i="1"/>
  <c r="DO37" i="1"/>
  <c r="DI37" i="1"/>
  <c r="DO21" i="1"/>
  <c r="DK21" i="1"/>
  <c r="DI21" i="1"/>
  <c r="DT18" i="1"/>
  <c r="BH18" i="1"/>
  <c r="CQ18" i="1"/>
  <c r="DU57" i="1"/>
  <c r="DO57" i="1"/>
  <c r="DK57" i="1"/>
  <c r="DI57" i="1"/>
  <c r="EJ87" i="1"/>
  <c r="EC87" i="1" s="1"/>
  <c r="BO87" i="1" s="1"/>
  <c r="DJ27" i="1"/>
  <c r="DH27" i="1"/>
  <c r="DN27" i="1"/>
  <c r="DN25" i="1"/>
  <c r="DH25" i="1"/>
  <c r="DJ25" i="1"/>
  <c r="DJ38" i="1"/>
  <c r="DN38" i="1"/>
  <c r="DH38" i="1"/>
  <c r="DK36" i="1"/>
  <c r="DO36" i="1"/>
  <c r="DI36" i="1"/>
  <c r="D79" i="1"/>
  <c r="CO79" i="1"/>
  <c r="BU79" i="1"/>
  <c r="CM79" i="1"/>
  <c r="C79" i="1"/>
  <c r="BS79" i="1"/>
  <c r="CU48" i="1"/>
  <c r="CB48" i="1"/>
  <c r="CC49" i="1" s="1"/>
  <c r="CS19" i="1"/>
  <c r="CU22" i="1"/>
  <c r="CO180" i="1"/>
  <c r="EE174" i="1"/>
  <c r="DX174" i="1" s="1"/>
  <c r="BJ174" i="1" s="1"/>
  <c r="CS11" i="1"/>
  <c r="DN169" i="1"/>
  <c r="DV169" i="1" s="1"/>
  <c r="DT169" i="1"/>
  <c r="BH169" i="1"/>
  <c r="BI169" i="1" s="1"/>
  <c r="DH169" i="1"/>
  <c r="CQ169" i="1"/>
  <c r="DJ169" i="1"/>
  <c r="CO13" i="1"/>
  <c r="D13" i="1"/>
  <c r="D12" i="1"/>
  <c r="CO12" i="1"/>
  <c r="EF148" i="1"/>
  <c r="DY148" i="1" s="1"/>
  <c r="BK148" i="1" s="1"/>
  <c r="C33" i="1"/>
  <c r="CM33" i="1"/>
  <c r="CS74" i="1"/>
  <c r="BZ74" i="1"/>
  <c r="EG8" i="1"/>
  <c r="DZ8" i="1" s="1"/>
  <c r="BL8" i="1" s="1"/>
  <c r="EJ31" i="1"/>
  <c r="EC31" i="1" s="1"/>
  <c r="BO31" i="1" s="1"/>
  <c r="CM12" i="1"/>
  <c r="C12" i="1"/>
  <c r="CB148" i="1"/>
  <c r="CC149" i="1" s="1"/>
  <c r="CU148" i="1"/>
  <c r="BZ147" i="1"/>
  <c r="CS147" i="1"/>
  <c r="EG12" i="1"/>
  <c r="DZ12" i="1" s="1"/>
  <c r="BL12" i="1" s="1"/>
  <c r="EF34" i="1"/>
  <c r="DY34" i="1" s="1"/>
  <c r="BK34" i="1" s="1"/>
  <c r="CU10" i="1"/>
  <c r="BH32" i="1"/>
  <c r="DT32" i="1"/>
  <c r="CQ32" i="1"/>
  <c r="BH6" i="1"/>
  <c r="CQ6" i="1"/>
  <c r="DT6" i="1"/>
  <c r="D77" i="1"/>
  <c r="CO77" i="1"/>
  <c r="BU77" i="1"/>
  <c r="EI127" i="1"/>
  <c r="EB127" i="1" s="1"/>
  <c r="BN127" i="1" s="1"/>
  <c r="CK178" i="1"/>
  <c r="CU140" i="1"/>
  <c r="CB140" i="1"/>
  <c r="BF3" i="1"/>
  <c r="CO8" i="1"/>
  <c r="D8" i="1"/>
  <c r="CU13" i="1"/>
  <c r="CO166" i="1"/>
  <c r="BH46" i="1"/>
  <c r="BI47" i="1" s="1"/>
  <c r="DH46" i="1"/>
  <c r="DJ46" i="1"/>
  <c r="DT46" i="1"/>
  <c r="DN46" i="1"/>
  <c r="CQ46" i="1"/>
  <c r="EG37" i="1"/>
  <c r="DZ37" i="1" s="1"/>
  <c r="BL37" i="1" s="1"/>
  <c r="EI94" i="1"/>
  <c r="EB94" i="1" s="1"/>
  <c r="BN94" i="1" s="1"/>
  <c r="DN173" i="1"/>
  <c r="DV173" i="1" s="1"/>
  <c r="BH173" i="1"/>
  <c r="CQ173" i="1"/>
  <c r="DJ173" i="1"/>
  <c r="DT173" i="1"/>
  <c r="DH173" i="1"/>
  <c r="CS169" i="1"/>
  <c r="BZ169" i="1"/>
  <c r="CA169" i="1" s="1"/>
  <c r="CQ27" i="1"/>
  <c r="BH27" i="1"/>
  <c r="DT27" i="1"/>
  <c r="EI102" i="1"/>
  <c r="EB102" i="1" s="1"/>
  <c r="BN102" i="1" s="1"/>
  <c r="CK167" i="1"/>
  <c r="DO148" i="1"/>
  <c r="DW148" i="1" s="1"/>
  <c r="DI148" i="1"/>
  <c r="DK148" i="1"/>
  <c r="DU148" i="1"/>
  <c r="CU30" i="1"/>
  <c r="EF155" i="1"/>
  <c r="DY155" i="1" s="1"/>
  <c r="BK155" i="1" s="1"/>
  <c r="D14" i="1"/>
  <c r="CO14" i="1"/>
  <c r="EJ25" i="1"/>
  <c r="EC25" i="1" s="1"/>
  <c r="BO25" i="1" s="1"/>
  <c r="CM71" i="1"/>
  <c r="C71" i="1"/>
  <c r="BS71" i="1"/>
  <c r="BT71" i="1" s="1"/>
  <c r="EG22" i="1"/>
  <c r="DZ22" i="1" s="1"/>
  <c r="BL22" i="1" s="1"/>
  <c r="DI147" i="1"/>
  <c r="DO147" i="1"/>
  <c r="DK147" i="1"/>
  <c r="DU147" i="1"/>
  <c r="CS17" i="1"/>
  <c r="CO11" i="1"/>
  <c r="D11" i="1"/>
  <c r="CM11" i="1"/>
  <c r="C11" i="1"/>
  <c r="CM13" i="1"/>
  <c r="C13" i="1"/>
  <c r="CS35" i="1"/>
  <c r="DU23" i="1"/>
  <c r="EG91" i="1"/>
  <c r="DZ91" i="1" s="1"/>
  <c r="BL91" i="1" s="1"/>
  <c r="CO75" i="1"/>
  <c r="D75" i="1"/>
  <c r="BU75" i="1"/>
  <c r="CO178" i="1"/>
  <c r="EI26" i="1"/>
  <c r="EB26" i="1" s="1"/>
  <c r="BN26" i="1" s="1"/>
  <c r="CS60" i="1"/>
  <c r="BZ60" i="1"/>
  <c r="EJ90" i="1"/>
  <c r="EC90" i="1" s="1"/>
  <c r="BO90" i="1" s="1"/>
  <c r="CO170" i="1"/>
  <c r="EI34" i="1"/>
  <c r="EB34" i="1" s="1"/>
  <c r="BN34" i="1" s="1"/>
  <c r="CO73" i="1"/>
  <c r="BU73" i="1"/>
  <c r="D73" i="1"/>
  <c r="CM143" i="1"/>
  <c r="CO35" i="1"/>
  <c r="D35" i="1"/>
  <c r="EI20" i="1"/>
  <c r="EB20" i="1" s="1"/>
  <c r="BN20" i="1" s="1"/>
  <c r="EG7" i="1"/>
  <c r="DZ7" i="1" s="1"/>
  <c r="BL7" i="1" s="1"/>
  <c r="CU9" i="1"/>
  <c r="EF74" i="1"/>
  <c r="DY74" i="1" s="1"/>
  <c r="BK74" i="1" s="1"/>
  <c r="CM16" i="1"/>
  <c r="C16" i="1"/>
  <c r="EF27" i="1"/>
  <c r="DY27" i="1" s="1"/>
  <c r="BK27" i="1" s="1"/>
  <c r="EF9" i="1"/>
  <c r="DY9" i="1" s="1"/>
  <c r="BK9" i="1" s="1"/>
  <c r="CM78" i="1"/>
  <c r="BS78" i="1"/>
  <c r="C78" i="1"/>
  <c r="CQ16" i="1"/>
  <c r="BH16" i="1"/>
  <c r="DT16" i="1"/>
  <c r="EG11" i="1"/>
  <c r="DZ11" i="1" s="1"/>
  <c r="BL11" i="1" s="1"/>
  <c r="CM187" i="1"/>
  <c r="CU32" i="1"/>
  <c r="CM188" i="1"/>
  <c r="BS188" i="1"/>
  <c r="BT188" i="1" s="1"/>
  <c r="AY188" i="1"/>
  <c r="C188" i="1"/>
  <c r="E188" i="1" s="1"/>
  <c r="DN187" i="1"/>
  <c r="DV187" i="1" s="1"/>
  <c r="DT187" i="1"/>
  <c r="BH187" i="1"/>
  <c r="DH187" i="1"/>
  <c r="CQ187" i="1"/>
  <c r="DJ187" i="1"/>
  <c r="EG35" i="1"/>
  <c r="DZ35" i="1" s="1"/>
  <c r="BL35" i="1" s="1"/>
  <c r="CS184" i="1"/>
  <c r="BZ184" i="1"/>
  <c r="CM175" i="1"/>
  <c r="CS36" i="1"/>
  <c r="EF37" i="1"/>
  <c r="DY37" i="1" s="1"/>
  <c r="BK37" i="1" s="1"/>
  <c r="EI91" i="1"/>
  <c r="EB91" i="1" s="1"/>
  <c r="BN91" i="1" s="1"/>
  <c r="EI126" i="1"/>
  <c r="EB126" i="1" s="1"/>
  <c r="BN126" i="1" s="1"/>
  <c r="DT30" i="1"/>
  <c r="BH30" i="1"/>
  <c r="CQ30" i="1"/>
  <c r="CO21" i="1"/>
  <c r="D21" i="1"/>
  <c r="EF114" i="1"/>
  <c r="DY114" i="1" s="1"/>
  <c r="BK114" i="1" s="1"/>
  <c r="EJ115" i="1"/>
  <c r="EC115" i="1" s="1"/>
  <c r="BO115" i="1" s="1"/>
  <c r="EE101" i="1"/>
  <c r="DX101" i="1" s="1"/>
  <c r="BJ101" i="1" s="1"/>
  <c r="DI188" i="1"/>
  <c r="DU188" i="1"/>
  <c r="DK188" i="1"/>
  <c r="DO188" i="1"/>
  <c r="DW188" i="1" s="1"/>
  <c r="CM156" i="1"/>
  <c r="EF122" i="1"/>
  <c r="DY122" i="1" s="1"/>
  <c r="BK122" i="1" s="1"/>
  <c r="EE90" i="1"/>
  <c r="DX90" i="1" s="1"/>
  <c r="BJ90" i="1" s="1"/>
  <c r="EH124" i="1"/>
  <c r="EA124" i="1" s="1"/>
  <c r="BM124" i="1" s="1"/>
  <c r="CK62" i="1"/>
  <c r="AY62" i="1"/>
  <c r="B62" i="1"/>
  <c r="DF3" i="1"/>
  <c r="DU16" i="1"/>
  <c r="EI112" i="1"/>
  <c r="EB112" i="1" s="1"/>
  <c r="BN112" i="1" s="1"/>
  <c r="CM149" i="1"/>
  <c r="CU19" i="1"/>
  <c r="CS61" i="1"/>
  <c r="BZ61" i="1"/>
  <c r="CS77" i="1"/>
  <c r="BZ77" i="1"/>
  <c r="EG36" i="1"/>
  <c r="DZ36" i="1" s="1"/>
  <c r="BL36" i="1" s="1"/>
  <c r="CK138" i="1"/>
  <c r="CB79" i="1"/>
  <c r="CU79" i="1"/>
  <c r="CB78" i="1"/>
  <c r="CU78" i="1"/>
  <c r="CO159" i="1"/>
  <c r="AX44" i="1"/>
  <c r="CS12" i="1"/>
  <c r="CM32" i="1"/>
  <c r="C32" i="1"/>
  <c r="CS20" i="1"/>
  <c r="CU73" i="1"/>
  <c r="CB73" i="1"/>
  <c r="D7" i="1"/>
  <c r="CO7" i="1"/>
  <c r="EF31" i="1"/>
  <c r="DY31" i="1" s="1"/>
  <c r="BK31" i="1" s="1"/>
  <c r="CS46" i="1"/>
  <c r="BZ46" i="1"/>
  <c r="CO151" i="1"/>
  <c r="EF23" i="1"/>
  <c r="DY23" i="1" s="1"/>
  <c r="BK23" i="1" s="1"/>
  <c r="CU27" i="1"/>
  <c r="DU8" i="1"/>
  <c r="CM27" i="1"/>
  <c r="C27" i="1"/>
  <c r="EF70" i="1"/>
  <c r="DY70" i="1" s="1"/>
  <c r="BK70" i="1" s="1"/>
  <c r="EE15" i="1"/>
  <c r="DX15" i="1" s="1"/>
  <c r="BJ15" i="1" s="1"/>
  <c r="DO137" i="1"/>
  <c r="DW137" i="1" s="1"/>
  <c r="ES137" i="1" s="1"/>
  <c r="CQ137" i="1"/>
  <c r="BB136" i="1"/>
  <c r="BX137" i="1"/>
  <c r="DU137" i="1"/>
  <c r="DI137" i="1"/>
  <c r="DP137" i="1" s="1"/>
  <c r="BH137" i="1"/>
  <c r="DK137" i="1"/>
  <c r="EE29" i="1"/>
  <c r="DX29" i="1" s="1"/>
  <c r="BJ29" i="1" s="1"/>
  <c r="B85" i="1"/>
  <c r="E85" i="1" s="1"/>
  <c r="AS84" i="1"/>
  <c r="CK85" i="1"/>
  <c r="AY85" i="1"/>
  <c r="AY84" i="1" s="1"/>
  <c r="CU177" i="1"/>
  <c r="CB177" i="1"/>
  <c r="CC177" i="1" s="1"/>
  <c r="DK166" i="1"/>
  <c r="DO166" i="1"/>
  <c r="CQ166" i="1"/>
  <c r="DI166" i="1"/>
  <c r="DP166" i="1" s="1"/>
  <c r="BH166" i="1"/>
  <c r="DU166" i="1"/>
  <c r="EE28" i="1"/>
  <c r="DX28" i="1" s="1"/>
  <c r="BJ28" i="1" s="1"/>
  <c r="DU175" i="1"/>
  <c r="DI175" i="1"/>
  <c r="DK175" i="1"/>
  <c r="DO175" i="1"/>
  <c r="EJ127" i="1"/>
  <c r="EC127" i="1" s="1"/>
  <c r="BO127" i="1" s="1"/>
  <c r="EF171" i="1"/>
  <c r="DY171" i="1" s="1"/>
  <c r="BK171" i="1" s="1"/>
  <c r="DU61" i="1"/>
  <c r="DO61" i="1"/>
  <c r="DK61" i="1"/>
  <c r="DI61" i="1"/>
  <c r="EI116" i="1"/>
  <c r="EB116" i="1" s="1"/>
  <c r="BN116" i="1" s="1"/>
  <c r="EF57" i="1"/>
  <c r="DY57" i="1" s="1"/>
  <c r="BK57" i="1" s="1"/>
  <c r="EG6" i="1"/>
  <c r="DZ6" i="1" s="1"/>
  <c r="BL6" i="1" s="1"/>
  <c r="AW3" i="1"/>
  <c r="CO4" i="1"/>
  <c r="D4" i="1"/>
  <c r="DU24" i="1"/>
  <c r="BH138" i="1"/>
  <c r="CQ138" i="1"/>
  <c r="BX138" i="1"/>
  <c r="BA136" i="1"/>
  <c r="DT138" i="1"/>
  <c r="DH138" i="1"/>
  <c r="DN138" i="1"/>
  <c r="DV138" i="1" s="1"/>
  <c r="DJ138" i="1"/>
  <c r="CO175" i="1"/>
  <c r="CU23" i="1"/>
  <c r="CQ28" i="1"/>
  <c r="BH28" i="1"/>
  <c r="DT28" i="1"/>
  <c r="CK184" i="1"/>
  <c r="AY63" i="1"/>
  <c r="CK63" i="1"/>
  <c r="B63" i="1"/>
  <c r="EI101" i="1"/>
  <c r="EB101" i="1" s="1"/>
  <c r="BN101" i="1" s="1"/>
  <c r="EJ29" i="1"/>
  <c r="EC29" i="1" s="1"/>
  <c r="BO29" i="1" s="1"/>
  <c r="EI105" i="1"/>
  <c r="EB105" i="1" s="1"/>
  <c r="BN105" i="1" s="1"/>
  <c r="CO155" i="1"/>
  <c r="BZ57" i="1"/>
  <c r="CA57" i="1" s="1"/>
  <c r="CS57" i="1"/>
  <c r="CM172" i="1"/>
  <c r="EE188" i="1"/>
  <c r="DX188" i="1" s="1"/>
  <c r="BJ188" i="1" s="1"/>
  <c r="EF115" i="1"/>
  <c r="DY115" i="1" s="1"/>
  <c r="BK115" i="1" s="1"/>
  <c r="CK22" i="1"/>
  <c r="B22" i="1"/>
  <c r="AY22" i="1"/>
  <c r="DI173" i="1"/>
  <c r="DU173" i="1"/>
  <c r="DO173" i="1"/>
  <c r="DK173" i="1"/>
  <c r="EE25" i="1"/>
  <c r="DX25" i="1" s="1"/>
  <c r="BJ25" i="1" s="1"/>
  <c r="EJ130" i="1"/>
  <c r="EC130" i="1" s="1"/>
  <c r="BO130" i="1" s="1"/>
  <c r="BX139" i="1"/>
  <c r="DH139" i="1"/>
  <c r="CQ139" i="1"/>
  <c r="DT139" i="1"/>
  <c r="DN139" i="1"/>
  <c r="BH139" i="1"/>
  <c r="CK28" i="1"/>
  <c r="B28" i="1"/>
  <c r="AY28" i="1"/>
  <c r="EF107" i="1"/>
  <c r="DY107" i="1" s="1"/>
  <c r="BK107" i="1" s="1"/>
  <c r="EE88" i="1"/>
  <c r="DX88" i="1" s="1"/>
  <c r="BJ88" i="1" s="1"/>
  <c r="CB154" i="1"/>
  <c r="CU154" i="1"/>
  <c r="AY26" i="1"/>
  <c r="B26" i="1"/>
  <c r="CK26" i="1"/>
  <c r="CU11" i="1"/>
  <c r="CS26" i="1"/>
  <c r="DN171" i="1"/>
  <c r="DV171" i="1" s="1"/>
  <c r="BH171" i="1"/>
  <c r="DH171" i="1"/>
  <c r="DT171" i="1"/>
  <c r="DJ171" i="1"/>
  <c r="CQ171" i="1"/>
  <c r="C9" i="1"/>
  <c r="CM9" i="1"/>
  <c r="BZ70" i="1"/>
  <c r="CA70" i="1" s="1"/>
  <c r="CS70" i="1"/>
  <c r="EN3" i="1"/>
  <c r="EG4" i="1"/>
  <c r="D58" i="1"/>
  <c r="CO58" i="1"/>
  <c r="BU58" i="1"/>
  <c r="BH186" i="1"/>
  <c r="DN186" i="1"/>
  <c r="DH186" i="1"/>
  <c r="CQ186" i="1"/>
  <c r="DT186" i="1"/>
  <c r="DJ186" i="1"/>
  <c r="C15" i="1"/>
  <c r="CM15" i="1"/>
  <c r="EF13" i="1"/>
  <c r="DY13" i="1" s="1"/>
  <c r="BK13" i="1" s="1"/>
  <c r="EJ23" i="1"/>
  <c r="EC23" i="1" s="1"/>
  <c r="BO23" i="1" s="1"/>
  <c r="DU31" i="1"/>
  <c r="CM142" i="1"/>
  <c r="EI28" i="1"/>
  <c r="EB28" i="1" s="1"/>
  <c r="BN28" i="1" s="1"/>
  <c r="DT35" i="1"/>
  <c r="CQ35" i="1"/>
  <c r="BH35" i="1"/>
  <c r="DU28" i="1"/>
  <c r="CO171" i="1"/>
  <c r="BZ76" i="1"/>
  <c r="CS76" i="1"/>
  <c r="EI104" i="1"/>
  <c r="EB104" i="1" s="1"/>
  <c r="BN104" i="1" s="1"/>
  <c r="CS143" i="1"/>
  <c r="BZ143" i="1"/>
  <c r="DU32" i="1"/>
  <c r="CS170" i="1"/>
  <c r="BZ170" i="1"/>
  <c r="EF78" i="1"/>
  <c r="DY78" i="1" s="1"/>
  <c r="BK78" i="1" s="1"/>
  <c r="EI106" i="1"/>
  <c r="EB106" i="1" s="1"/>
  <c r="BN106" i="1" s="1"/>
  <c r="D63" i="1"/>
  <c r="BU63" i="1"/>
  <c r="CO63" i="1"/>
  <c r="EF150" i="1"/>
  <c r="DY150" i="1" s="1"/>
  <c r="BK150" i="1" s="1"/>
  <c r="CM185" i="1"/>
  <c r="AV136" i="1"/>
  <c r="EE32" i="1"/>
  <c r="DX32" i="1" s="1"/>
  <c r="BJ32" i="1" s="1"/>
  <c r="CK151" i="1"/>
  <c r="EF129" i="1"/>
  <c r="DY129" i="1" s="1"/>
  <c r="BK129" i="1" s="1"/>
  <c r="EE60" i="1"/>
  <c r="DX60" i="1" s="1"/>
  <c r="BJ60" i="1" s="1"/>
  <c r="EF175" i="1"/>
  <c r="DY175" i="1" s="1"/>
  <c r="BK175" i="1" s="1"/>
  <c r="DE3" i="1"/>
  <c r="CS176" i="1"/>
  <c r="BZ176" i="1"/>
  <c r="CO38" i="1"/>
  <c r="D38" i="1"/>
  <c r="EI98" i="1"/>
  <c r="EB98" i="1" s="1"/>
  <c r="BN98" i="1" s="1"/>
  <c r="DO6" i="1"/>
  <c r="DI6" i="1"/>
  <c r="DU6" i="1"/>
  <c r="EI18" i="1"/>
  <c r="EB18" i="1" s="1"/>
  <c r="BN18" i="1" s="1"/>
  <c r="EI32" i="1"/>
  <c r="EB32" i="1" s="1"/>
  <c r="BN32" i="1" s="1"/>
  <c r="CS165" i="1"/>
  <c r="BZ165" i="1"/>
  <c r="EG26" i="1"/>
  <c r="DZ26" i="1" s="1"/>
  <c r="BL26" i="1" s="1"/>
  <c r="EI109" i="1"/>
  <c r="EB109" i="1" s="1"/>
  <c r="BN109" i="1" s="1"/>
  <c r="EF36" i="1"/>
  <c r="DY36" i="1" s="1"/>
  <c r="BK36" i="1" s="1"/>
  <c r="EG15" i="1"/>
  <c r="DZ15" i="1" s="1"/>
  <c r="BL15" i="1" s="1"/>
  <c r="CB46" i="1"/>
  <c r="CU46" i="1"/>
  <c r="CS22" i="1"/>
  <c r="CQ182" i="1"/>
  <c r="DH182" i="1"/>
  <c r="DT182" i="1"/>
  <c r="BH182" i="1"/>
  <c r="DN182" i="1"/>
  <c r="DV182" i="1" s="1"/>
  <c r="BX182" i="1"/>
  <c r="DJ182" i="1"/>
  <c r="CK174" i="1"/>
  <c r="EJ96" i="1"/>
  <c r="EC96" i="1" s="1"/>
  <c r="BO96" i="1" s="1"/>
  <c r="BH4" i="1"/>
  <c r="BA3" i="1"/>
  <c r="CQ4" i="1"/>
  <c r="DT4" i="1"/>
  <c r="AU3" i="1"/>
  <c r="CM4" i="1"/>
  <c r="C4" i="1"/>
  <c r="EE169" i="1"/>
  <c r="DX169" i="1" s="1"/>
  <c r="BJ169" i="1" s="1"/>
  <c r="CK176" i="1"/>
  <c r="DU29" i="1"/>
  <c r="EF145" i="1"/>
  <c r="DY145" i="1" s="1"/>
  <c r="BK145" i="1" s="1"/>
  <c r="EM136" i="1"/>
  <c r="CQ183" i="1"/>
  <c r="BX183" i="1"/>
  <c r="DN183" i="1"/>
  <c r="DV183" i="1" s="1"/>
  <c r="DH183" i="1"/>
  <c r="BH183" i="1"/>
  <c r="DT183" i="1"/>
  <c r="DJ183" i="1"/>
  <c r="DH179" i="1"/>
  <c r="CQ179" i="1"/>
  <c r="BH179" i="1"/>
  <c r="BX179" i="1"/>
  <c r="DT179" i="1"/>
  <c r="DJ179" i="1"/>
  <c r="DN179" i="1"/>
  <c r="DV179" i="1" s="1"/>
  <c r="CG136" i="1"/>
  <c r="C29" i="1"/>
  <c r="CM29" i="1"/>
  <c r="EJ30" i="1"/>
  <c r="EC30" i="1" s="1"/>
  <c r="BO30" i="1" s="1"/>
  <c r="DT20" i="1"/>
  <c r="CQ20" i="1"/>
  <c r="BH20" i="1"/>
  <c r="BI20" i="1" s="1"/>
  <c r="CS58" i="1"/>
  <c r="BZ58" i="1"/>
  <c r="CK137" i="1"/>
  <c r="EE37" i="1"/>
  <c r="DX37" i="1" s="1"/>
  <c r="BJ37" i="1" s="1"/>
  <c r="B20" i="1"/>
  <c r="CK20" i="1"/>
  <c r="AY20" i="1"/>
  <c r="EE157" i="1"/>
  <c r="DX157" i="1" s="1"/>
  <c r="BJ157" i="1" s="1"/>
  <c r="EH6" i="1"/>
  <c r="EA6" i="1" s="1"/>
  <c r="BM6" i="1" s="1"/>
  <c r="EH8" i="1"/>
  <c r="EA8" i="1" s="1"/>
  <c r="BM8" i="1" s="1"/>
  <c r="CK157" i="1"/>
  <c r="EE105" i="1"/>
  <c r="DX105" i="1" s="1"/>
  <c r="BJ105" i="1" s="1"/>
  <c r="DJ77" i="1"/>
  <c r="BH77" i="1"/>
  <c r="DN77" i="1"/>
  <c r="CQ77" i="1"/>
  <c r="DT77" i="1"/>
  <c r="DH77" i="1"/>
  <c r="CK6" i="1"/>
  <c r="B6" i="1"/>
  <c r="AY6" i="1"/>
  <c r="B74" i="1"/>
  <c r="AY74" i="1"/>
  <c r="CK74" i="1"/>
  <c r="EE78" i="1"/>
  <c r="DX78" i="1" s="1"/>
  <c r="BJ78" i="1" s="1"/>
  <c r="CK159" i="1"/>
  <c r="CM19" i="1"/>
  <c r="C19" i="1"/>
  <c r="CU38" i="1"/>
  <c r="DK155" i="1"/>
  <c r="DU155" i="1"/>
  <c r="DI155" i="1"/>
  <c r="DO155" i="1"/>
  <c r="C10" i="1"/>
  <c r="CM10" i="1"/>
  <c r="BD3" i="1"/>
  <c r="DU34" i="1"/>
  <c r="CU17" i="1"/>
  <c r="CM139" i="1"/>
  <c r="EG24" i="1"/>
  <c r="DZ24" i="1" s="1"/>
  <c r="BL24" i="1" s="1"/>
  <c r="CS33" i="1"/>
  <c r="CH3" i="1"/>
  <c r="DI73" i="1"/>
  <c r="DK73" i="1"/>
  <c r="DU73" i="1"/>
  <c r="DO73" i="1"/>
  <c r="CM150" i="1"/>
  <c r="EG31" i="1"/>
  <c r="DZ31" i="1" s="1"/>
  <c r="BL31" i="1" s="1"/>
  <c r="CM167" i="1"/>
  <c r="DK60" i="1"/>
  <c r="DI60" i="1"/>
  <c r="DO60" i="1"/>
  <c r="DU60" i="1"/>
  <c r="EJ32" i="1"/>
  <c r="EC32" i="1" s="1"/>
  <c r="BO32" i="1" s="1"/>
  <c r="DJ181" i="1"/>
  <c r="BH181" i="1"/>
  <c r="BX181" i="1"/>
  <c r="DN181" i="1"/>
  <c r="DV181" i="1" s="1"/>
  <c r="DT181" i="1"/>
  <c r="DH181" i="1"/>
  <c r="CQ181" i="1"/>
  <c r="BE44" i="1"/>
  <c r="CB45" i="1"/>
  <c r="CU45" i="1"/>
  <c r="EI128" i="1"/>
  <c r="EB128" i="1" s="1"/>
  <c r="BN128" i="1" s="1"/>
  <c r="EN84" i="1"/>
  <c r="EG85" i="1"/>
  <c r="DZ85" i="1" s="1"/>
  <c r="BL85" i="1" s="1"/>
  <c r="EI129" i="1"/>
  <c r="EB129" i="1" s="1"/>
  <c r="BN129" i="1" s="1"/>
  <c r="EJ36" i="1"/>
  <c r="EC36" i="1" s="1"/>
  <c r="BO36" i="1" s="1"/>
  <c r="CS187" i="1"/>
  <c r="BZ187" i="1"/>
  <c r="D16" i="1"/>
  <c r="CO16" i="1"/>
  <c r="EG10" i="1"/>
  <c r="DZ10" i="1" s="1"/>
  <c r="BL10" i="1" s="1"/>
  <c r="EE185" i="1"/>
  <c r="DX185" i="1" s="1"/>
  <c r="BJ185" i="1" s="1"/>
  <c r="B73" i="1"/>
  <c r="AY73" i="1"/>
  <c r="CK73" i="1"/>
  <c r="EF120" i="1"/>
  <c r="DY120" i="1" s="1"/>
  <c r="BK120" i="1" s="1"/>
  <c r="EH113" i="1"/>
  <c r="EA113" i="1" s="1"/>
  <c r="BM113" i="1" s="1"/>
  <c r="CK79" i="1"/>
  <c r="B79" i="1"/>
  <c r="AY79" i="1"/>
  <c r="EE26" i="1"/>
  <c r="DX26" i="1" s="1"/>
  <c r="BJ26" i="1" s="1"/>
  <c r="B29" i="1"/>
  <c r="CK29" i="1"/>
  <c r="AY29" i="1"/>
  <c r="EF162" i="1"/>
  <c r="DY162" i="1" s="1"/>
  <c r="BK162" i="1" s="1"/>
  <c r="DH157" i="1"/>
  <c r="DT157" i="1"/>
  <c r="DJ157" i="1"/>
  <c r="BH157" i="1"/>
  <c r="CQ157" i="1"/>
  <c r="DN157" i="1"/>
  <c r="DV157" i="1" s="1"/>
  <c r="EF104" i="1"/>
  <c r="DY104" i="1" s="1"/>
  <c r="BK104" i="1" s="1"/>
  <c r="EE23" i="1"/>
  <c r="DX23" i="1" s="1"/>
  <c r="BJ23" i="1" s="1"/>
  <c r="EF121" i="1"/>
  <c r="DY121" i="1" s="1"/>
  <c r="BK121" i="1" s="1"/>
  <c r="CO59" i="1"/>
  <c r="BU59" i="1"/>
  <c r="D59" i="1"/>
  <c r="EJ26" i="1"/>
  <c r="EC26" i="1" s="1"/>
  <c r="BO26" i="1" s="1"/>
  <c r="DU38" i="1"/>
  <c r="CM171" i="1"/>
  <c r="CU29" i="1"/>
  <c r="CS185" i="1"/>
  <c r="BZ185" i="1"/>
  <c r="BS62" i="1"/>
  <c r="CM62" i="1"/>
  <c r="C62" i="1"/>
  <c r="DU11" i="1"/>
  <c r="BH36" i="1"/>
  <c r="BI36" i="1" s="1"/>
  <c r="CQ36" i="1"/>
  <c r="DT36" i="1"/>
  <c r="BX180" i="1"/>
  <c r="CQ180" i="1"/>
  <c r="DJ180" i="1"/>
  <c r="DT180" i="1"/>
  <c r="BH180" i="1"/>
  <c r="DN180" i="1"/>
  <c r="DV180" i="1" s="1"/>
  <c r="DH180" i="1"/>
  <c r="DU76" i="1"/>
  <c r="DO76" i="1"/>
  <c r="DI76" i="1"/>
  <c r="DK76" i="1"/>
  <c r="CO20" i="1"/>
  <c r="D20" i="1"/>
  <c r="EF72" i="1"/>
  <c r="DY72" i="1" s="1"/>
  <c r="BK72" i="1" s="1"/>
  <c r="EJ95" i="1"/>
  <c r="EC95" i="1" s="1"/>
  <c r="BO95" i="1" s="1"/>
  <c r="EG21" i="1"/>
  <c r="DZ21" i="1" s="1"/>
  <c r="BL21" i="1" s="1"/>
  <c r="CM72" i="1"/>
  <c r="BS72" i="1"/>
  <c r="BT72" i="1" s="1"/>
  <c r="C72" i="1"/>
  <c r="DO158" i="1"/>
  <c r="DI158" i="1"/>
  <c r="DU158" i="1"/>
  <c r="DK158" i="1"/>
  <c r="DU22" i="1"/>
  <c r="EG89" i="1"/>
  <c r="DZ89" i="1" s="1"/>
  <c r="BL89" i="1" s="1"/>
  <c r="EI122" i="1"/>
  <c r="EB122" i="1" s="1"/>
  <c r="BN122" i="1" s="1"/>
  <c r="EF6" i="1"/>
  <c r="D5" i="1"/>
  <c r="CO5" i="1"/>
  <c r="EI7" i="1"/>
  <c r="EB7" i="1" s="1"/>
  <c r="BN7" i="1" s="1"/>
  <c r="EJ16" i="1"/>
  <c r="EC16" i="1" s="1"/>
  <c r="BO16" i="1" s="1"/>
  <c r="EJ6" i="1"/>
  <c r="EC6" i="1" s="1"/>
  <c r="BO6" i="1" s="1"/>
  <c r="EH108" i="1"/>
  <c r="EA108" i="1" s="1"/>
  <c r="BM108" i="1" s="1"/>
  <c r="AY31" i="1"/>
  <c r="B31" i="1"/>
  <c r="CK31" i="1"/>
  <c r="EE86" i="1"/>
  <c r="DX86" i="1" s="1"/>
  <c r="BJ86" i="1" s="1"/>
  <c r="EJ107" i="1"/>
  <c r="EC107" i="1" s="1"/>
  <c r="BO107" i="1" s="1"/>
  <c r="EH24" i="1"/>
  <c r="EA24" i="1" s="1"/>
  <c r="BM24" i="1" s="1"/>
  <c r="B18" i="1"/>
  <c r="AY18" i="1"/>
  <c r="CK18" i="1"/>
  <c r="CK78" i="1"/>
  <c r="AY78" i="1"/>
  <c r="B78" i="1"/>
  <c r="EH38" i="1"/>
  <c r="EA38" i="1" s="1"/>
  <c r="BM38" i="1" s="1"/>
  <c r="EF127" i="1"/>
  <c r="DY127" i="1" s="1"/>
  <c r="BK127" i="1" s="1"/>
  <c r="EE38" i="1"/>
  <c r="DX38" i="1" s="1"/>
  <c r="BJ38" i="1" s="1"/>
  <c r="EJ117" i="1"/>
  <c r="EC117" i="1" s="1"/>
  <c r="BO117" i="1" s="1"/>
  <c r="EE89" i="1"/>
  <c r="DX89" i="1" s="1"/>
  <c r="BJ89" i="1" s="1"/>
  <c r="EJ24" i="1"/>
  <c r="EC24" i="1" s="1"/>
  <c r="BO24" i="1" s="1"/>
  <c r="CM5" i="1"/>
  <c r="C5" i="1"/>
  <c r="D76" i="1"/>
  <c r="BU76" i="1"/>
  <c r="CO76" i="1"/>
  <c r="EE187" i="1"/>
  <c r="DX187" i="1" s="1"/>
  <c r="BJ187" i="1" s="1"/>
  <c r="DJ61" i="1"/>
  <c r="DM61" i="1" s="1"/>
  <c r="BH61" i="1"/>
  <c r="DH61" i="1"/>
  <c r="DT61" i="1"/>
  <c r="DN61" i="1"/>
  <c r="CQ61" i="1"/>
  <c r="CD44" i="1"/>
  <c r="CI44" i="1"/>
  <c r="CM24" i="1"/>
  <c r="C24" i="1"/>
  <c r="EF45" i="1"/>
  <c r="DY45" i="1" s="1"/>
  <c r="BK45" i="1" s="1"/>
  <c r="EM44" i="1"/>
  <c r="CM36" i="1"/>
  <c r="C36" i="1"/>
  <c r="AX3" i="1"/>
  <c r="DN58" i="1"/>
  <c r="DJ58" i="1"/>
  <c r="DT58" i="1"/>
  <c r="BH58" i="1"/>
  <c r="DH58" i="1"/>
  <c r="CQ58" i="1"/>
  <c r="EF15" i="1"/>
  <c r="DY15" i="1" s="1"/>
  <c r="BK15" i="1" s="1"/>
  <c r="BH26" i="1"/>
  <c r="CQ26" i="1"/>
  <c r="DT26" i="1"/>
  <c r="EI103" i="1"/>
  <c r="EB103" i="1" s="1"/>
  <c r="BN103" i="1" s="1"/>
  <c r="EF64" i="1"/>
  <c r="DY64" i="1" s="1"/>
  <c r="BK64" i="1" s="1"/>
  <c r="DT10" i="1"/>
  <c r="CQ10" i="1"/>
  <c r="BH10" i="1"/>
  <c r="DI77" i="1"/>
  <c r="DO77" i="1"/>
  <c r="DU77" i="1"/>
  <c r="DK77" i="1"/>
  <c r="CU26" i="1"/>
  <c r="BH62" i="1"/>
  <c r="DH62" i="1"/>
  <c r="DN62" i="1"/>
  <c r="DT62" i="1"/>
  <c r="CQ62" i="1"/>
  <c r="EI19" i="1"/>
  <c r="EB19" i="1" s="1"/>
  <c r="BN19" i="1" s="1"/>
  <c r="DT17" i="1"/>
  <c r="CQ17" i="1"/>
  <c r="BH17" i="1"/>
  <c r="EE96" i="1"/>
  <c r="DX96" i="1" s="1"/>
  <c r="BJ96" i="1" s="1"/>
  <c r="EJ116" i="1"/>
  <c r="EC116" i="1" s="1"/>
  <c r="BO116" i="1" s="1"/>
  <c r="EE94" i="1"/>
  <c r="DX94" i="1" s="1"/>
  <c r="BJ94" i="1" s="1"/>
  <c r="EH33" i="1"/>
  <c r="EA33" i="1" s="1"/>
  <c r="BM33" i="1" s="1"/>
  <c r="EE20" i="1"/>
  <c r="DX20" i="1" s="1"/>
  <c r="BJ20" i="1" s="1"/>
  <c r="EJ112" i="1"/>
  <c r="EC112" i="1" s="1"/>
  <c r="BO112" i="1" s="1"/>
  <c r="EJ123" i="1"/>
  <c r="EC123" i="1" s="1"/>
  <c r="BO123" i="1" s="1"/>
  <c r="CM155" i="1"/>
  <c r="AY59" i="1"/>
  <c r="CK59" i="1"/>
  <c r="B59" i="1"/>
  <c r="EF108" i="1"/>
  <c r="DY108" i="1" s="1"/>
  <c r="BK108" i="1" s="1"/>
  <c r="EE19" i="1"/>
  <c r="DX19" i="1" s="1"/>
  <c r="BJ19" i="1" s="1"/>
  <c r="CS9" i="1"/>
  <c r="CM186" i="1"/>
  <c r="CM73" i="1"/>
  <c r="BS73" i="1"/>
  <c r="C73" i="1"/>
  <c r="DU30" i="1"/>
  <c r="EG30" i="1"/>
  <c r="DZ30" i="1" s="1"/>
  <c r="BL30" i="1" s="1"/>
  <c r="DJ188" i="1"/>
  <c r="DT188" i="1"/>
  <c r="DN188" i="1"/>
  <c r="DV188" i="1" s="1"/>
  <c r="BH188" i="1"/>
  <c r="DH188" i="1"/>
  <c r="CQ188" i="1"/>
  <c r="BH24" i="1"/>
  <c r="CQ24" i="1"/>
  <c r="DT24" i="1"/>
  <c r="EG20" i="1"/>
  <c r="DZ20" i="1" s="1"/>
  <c r="BL20" i="1" s="1"/>
  <c r="EF8" i="1"/>
  <c r="DY8" i="1" s="1"/>
  <c r="BK8" i="1" s="1"/>
  <c r="CO177" i="1"/>
  <c r="CB59" i="1"/>
  <c r="CU59" i="1"/>
  <c r="CS79" i="1"/>
  <c r="BZ79" i="1"/>
  <c r="EJ21" i="1"/>
  <c r="EC21" i="1" s="1"/>
  <c r="BO21" i="1" s="1"/>
  <c r="D27" i="1"/>
  <c r="CO27" i="1"/>
  <c r="CS32" i="1"/>
  <c r="EI115" i="1"/>
  <c r="EB115" i="1" s="1"/>
  <c r="BN115" i="1" s="1"/>
  <c r="CU35" i="1"/>
  <c r="CQ34" i="1"/>
  <c r="DT34" i="1"/>
  <c r="BH34" i="1"/>
  <c r="CO167" i="1"/>
  <c r="CS29" i="1"/>
  <c r="EF12" i="1"/>
  <c r="DY12" i="1" s="1"/>
  <c r="BK12" i="1" s="1"/>
  <c r="BS189" i="1"/>
  <c r="CM189" i="1"/>
  <c r="C189" i="1"/>
  <c r="E189" i="1" s="1"/>
  <c r="AY189" i="1"/>
  <c r="CO181" i="1"/>
  <c r="CO149" i="1"/>
  <c r="DI189" i="1"/>
  <c r="DO189" i="1"/>
  <c r="DW189" i="1" s="1"/>
  <c r="DU189" i="1"/>
  <c r="DK189" i="1"/>
  <c r="CU31" i="1"/>
  <c r="D25" i="1"/>
  <c r="CO25" i="1"/>
  <c r="EF76" i="1"/>
  <c r="DY76" i="1" s="1"/>
  <c r="BK76" i="1" s="1"/>
  <c r="BS74" i="1"/>
  <c r="CM74" i="1"/>
  <c r="C74" i="1"/>
  <c r="CO140" i="1"/>
  <c r="EP84" i="1"/>
  <c r="EI85" i="1"/>
  <c r="EB85" i="1" s="1"/>
  <c r="BN85" i="1" s="1"/>
  <c r="EE12" i="1"/>
  <c r="DX12" i="1" s="1"/>
  <c r="BJ12" i="1" s="1"/>
  <c r="EF167" i="1"/>
  <c r="DY167" i="1" s="1"/>
  <c r="BK167" i="1" s="1"/>
  <c r="BX167" i="1" s="1"/>
  <c r="CY167" i="1" s="1"/>
  <c r="EH104" i="1"/>
  <c r="EA104" i="1" s="1"/>
  <c r="BM104" i="1" s="1"/>
  <c r="BZ155" i="1"/>
  <c r="CS155" i="1"/>
  <c r="EJ119" i="1"/>
  <c r="EC119" i="1" s="1"/>
  <c r="BO119" i="1" s="1"/>
  <c r="EF169" i="1"/>
  <c r="DY169" i="1" s="1"/>
  <c r="BK169" i="1" s="1"/>
  <c r="EF128" i="1"/>
  <c r="DY128" i="1" s="1"/>
  <c r="BK128" i="1" s="1"/>
  <c r="DI142" i="1"/>
  <c r="DK142" i="1"/>
  <c r="DO142" i="1"/>
  <c r="DW142" i="1" s="1"/>
  <c r="DU142" i="1"/>
  <c r="BU74" i="1"/>
  <c r="CO74" i="1"/>
  <c r="D74" i="1"/>
  <c r="CS37" i="1"/>
  <c r="EI130" i="1"/>
  <c r="EB130" i="1" s="1"/>
  <c r="BN130" i="1" s="1"/>
  <c r="DU37" i="1"/>
  <c r="EG19" i="1"/>
  <c r="DZ19" i="1" s="1"/>
  <c r="BL19" i="1" s="1"/>
  <c r="EF33" i="1"/>
  <c r="DY33" i="1" s="1"/>
  <c r="BK33" i="1" s="1"/>
  <c r="EF159" i="1"/>
  <c r="DY159" i="1" s="1"/>
  <c r="BK159" i="1" s="1"/>
  <c r="EI17" i="1"/>
  <c r="EB17" i="1" s="1"/>
  <c r="BN17" i="1" s="1"/>
  <c r="EG87" i="1"/>
  <c r="DZ87" i="1" s="1"/>
  <c r="BL87" i="1" s="1"/>
  <c r="DK152" i="1"/>
  <c r="DI152" i="1"/>
  <c r="DU152" i="1"/>
  <c r="DO152" i="1"/>
  <c r="EJ88" i="1"/>
  <c r="EC88" i="1" s="1"/>
  <c r="BO88" i="1" s="1"/>
  <c r="D36" i="1"/>
  <c r="CO36" i="1"/>
  <c r="CB62" i="1"/>
  <c r="CU62" i="1"/>
  <c r="CM60" i="1"/>
  <c r="C60" i="1"/>
  <c r="BS60" i="1"/>
  <c r="DJ48" i="1"/>
  <c r="DT48" i="1"/>
  <c r="BH48" i="1"/>
  <c r="BI49" i="1" s="1"/>
  <c r="DH48" i="1"/>
  <c r="CQ48" i="1"/>
  <c r="DN48" i="1"/>
  <c r="DV48" i="1" s="1"/>
  <c r="DT63" i="1"/>
  <c r="CQ63" i="1"/>
  <c r="BH63" i="1"/>
  <c r="BI64" i="1" s="1"/>
  <c r="DJ63" i="1"/>
  <c r="DN63" i="1"/>
  <c r="DH63" i="1"/>
  <c r="CU24" i="1"/>
  <c r="EE171" i="1"/>
  <c r="DX171" i="1" s="1"/>
  <c r="BJ171" i="1" s="1"/>
  <c r="C25" i="1"/>
  <c r="CM25" i="1"/>
  <c r="EG17" i="1"/>
  <c r="DZ17" i="1" s="1"/>
  <c r="BL17" i="1" s="1"/>
  <c r="EI12" i="1"/>
  <c r="EB12" i="1" s="1"/>
  <c r="BN12" i="1" s="1"/>
  <c r="EE186" i="1"/>
  <c r="DX186" i="1" s="1"/>
  <c r="BJ186" i="1" s="1"/>
  <c r="EE99" i="1"/>
  <c r="DX99" i="1" s="1"/>
  <c r="BJ99" i="1" s="1"/>
  <c r="EF168" i="1"/>
  <c r="DY168" i="1" s="1"/>
  <c r="BK168" i="1" s="1"/>
  <c r="BQ168" i="1" s="1"/>
  <c r="CW168" i="1" s="1"/>
  <c r="EH116" i="1"/>
  <c r="EA116" i="1" s="1"/>
  <c r="BM116" i="1" s="1"/>
  <c r="AY9" i="1"/>
  <c r="B9" i="1"/>
  <c r="CK9" i="1"/>
  <c r="EG104" i="1"/>
  <c r="DZ104" i="1" s="1"/>
  <c r="BL104" i="1" s="1"/>
  <c r="EJ121" i="1"/>
  <c r="EC121" i="1" s="1"/>
  <c r="BO121" i="1" s="1"/>
  <c r="CM184" i="1"/>
  <c r="B14" i="1"/>
  <c r="AY14" i="1"/>
  <c r="CK14" i="1"/>
  <c r="EJ109" i="1"/>
  <c r="EC109" i="1" s="1"/>
  <c r="BO109" i="1" s="1"/>
  <c r="EE24" i="1"/>
  <c r="DX24" i="1" s="1"/>
  <c r="BJ24" i="1" s="1"/>
  <c r="AY35" i="1"/>
  <c r="B35" i="1"/>
  <c r="CK35" i="1"/>
  <c r="DO187" i="1"/>
  <c r="DW187" i="1" s="1"/>
  <c r="DU187" i="1"/>
  <c r="DI187" i="1"/>
  <c r="DK187" i="1"/>
  <c r="CS62" i="1"/>
  <c r="BZ62" i="1"/>
  <c r="EJ8" i="1"/>
  <c r="EC8" i="1" s="1"/>
  <c r="BO8" i="1" s="1"/>
  <c r="BS77" i="1"/>
  <c r="CM77" i="1"/>
  <c r="C77" i="1"/>
  <c r="BE3" i="1"/>
  <c r="CU4" i="1"/>
  <c r="CM151" i="1"/>
  <c r="CK180" i="1"/>
  <c r="EJ38" i="1"/>
  <c r="EC38" i="1" s="1"/>
  <c r="BO38" i="1" s="1"/>
  <c r="EI35" i="1"/>
  <c r="EB35" i="1" s="1"/>
  <c r="BN35" i="1" s="1"/>
  <c r="CM169" i="1"/>
  <c r="EF20" i="1"/>
  <c r="DY20" i="1" s="1"/>
  <c r="BK20" i="1" s="1"/>
  <c r="CO157" i="1"/>
  <c r="CO145" i="1"/>
  <c r="CO146" i="1"/>
  <c r="CO28" i="1"/>
  <c r="D28" i="1"/>
  <c r="EJ15" i="1"/>
  <c r="EC15" i="1" s="1"/>
  <c r="BO15" i="1" s="1"/>
  <c r="EF29" i="1"/>
  <c r="DY29" i="1" s="1"/>
  <c r="BK29" i="1" s="1"/>
  <c r="EF32" i="1"/>
  <c r="DY32" i="1" s="1"/>
  <c r="BK32" i="1" s="1"/>
  <c r="EF47" i="1"/>
  <c r="EF166" i="1"/>
  <c r="DY166" i="1" s="1"/>
  <c r="BK166" i="1" s="1"/>
  <c r="BQ166" i="1" s="1"/>
  <c r="CW166" i="1" s="1"/>
  <c r="EH102" i="1"/>
  <c r="EA102" i="1" s="1"/>
  <c r="BM102" i="1" s="1"/>
  <c r="CM158" i="1"/>
  <c r="DJ158" i="1"/>
  <c r="DN158" i="1"/>
  <c r="DT158" i="1"/>
  <c r="DH158" i="1"/>
  <c r="BH158" i="1"/>
  <c r="CQ158" i="1"/>
  <c r="EH111" i="1"/>
  <c r="EA111" i="1" s="1"/>
  <c r="BM111" i="1" s="1"/>
  <c r="EJ129" i="1"/>
  <c r="EC129" i="1" s="1"/>
  <c r="BO129" i="1" s="1"/>
  <c r="EH90" i="1"/>
  <c r="EA90" i="1" s="1"/>
  <c r="BM90" i="1" s="1"/>
  <c r="B10" i="1"/>
  <c r="CK10" i="1"/>
  <c r="AY10" i="1"/>
  <c r="EJ118" i="1"/>
  <c r="EC118" i="1" s="1"/>
  <c r="BO118" i="1" s="1"/>
  <c r="EI8" i="1"/>
  <c r="EB8" i="1" s="1"/>
  <c r="BN8" i="1" s="1"/>
  <c r="EF17" i="1"/>
  <c r="DY17" i="1" s="1"/>
  <c r="BK17" i="1" s="1"/>
  <c r="EI118" i="1"/>
  <c r="EB118" i="1" s="1"/>
  <c r="BN118" i="1" s="1"/>
  <c r="CO22" i="1"/>
  <c r="D22" i="1"/>
  <c r="EQ3" i="1"/>
  <c r="EJ4" i="1"/>
  <c r="EC4" i="1" s="1"/>
  <c r="BO4" i="1" s="1"/>
  <c r="CO160" i="1"/>
  <c r="C31" i="1"/>
  <c r="CM31" i="1"/>
  <c r="EG16" i="1"/>
  <c r="DZ16" i="1" s="1"/>
  <c r="BL16" i="1" s="1"/>
  <c r="EG13" i="1"/>
  <c r="DZ13" i="1" s="1"/>
  <c r="BL13" i="1" s="1"/>
  <c r="EI124" i="1"/>
  <c r="EB124" i="1" s="1"/>
  <c r="BN124" i="1" s="1"/>
  <c r="CK183" i="1"/>
  <c r="EI121" i="1"/>
  <c r="EB121" i="1" s="1"/>
  <c r="BN121" i="1" s="1"/>
  <c r="EF16" i="1"/>
  <c r="DY16" i="1" s="1"/>
  <c r="BK16" i="1" s="1"/>
  <c r="CB63" i="1"/>
  <c r="CC64" i="1" s="1"/>
  <c r="CU63" i="1"/>
  <c r="CB60" i="1"/>
  <c r="CU60" i="1"/>
  <c r="C48" i="1"/>
  <c r="CM48" i="1"/>
  <c r="BS48" i="1"/>
  <c r="BT49" i="1" s="1"/>
  <c r="CO156" i="1"/>
  <c r="C7" i="1"/>
  <c r="CM7" i="1"/>
  <c r="CB61" i="1"/>
  <c r="CU61" i="1"/>
  <c r="CS47" i="1"/>
  <c r="BZ47" i="1"/>
  <c r="CK17" i="1"/>
  <c r="AY17" i="1"/>
  <c r="B17" i="1"/>
  <c r="DC3" i="1"/>
  <c r="EG109" i="1"/>
  <c r="DZ109" i="1" s="1"/>
  <c r="BL109" i="1" s="1"/>
  <c r="AY24" i="1"/>
  <c r="B24" i="1"/>
  <c r="CK24" i="1"/>
  <c r="B72" i="1"/>
  <c r="AY72" i="1"/>
  <c r="CK72" i="1"/>
  <c r="B57" i="1"/>
  <c r="CK57" i="1"/>
  <c r="AY57" i="1"/>
  <c r="DI172" i="1"/>
  <c r="DK172" i="1"/>
  <c r="DO172" i="1"/>
  <c r="DU172" i="1"/>
  <c r="EF188" i="1"/>
  <c r="DY188" i="1" s="1"/>
  <c r="BK188" i="1" s="1"/>
  <c r="EP3" i="1"/>
  <c r="EI4" i="1"/>
  <c r="EB4" i="1" s="1"/>
  <c r="BN4" i="1" s="1"/>
  <c r="CM17" i="1"/>
  <c r="C17" i="1"/>
  <c r="CO139" i="1"/>
  <c r="CM144" i="1"/>
  <c r="CO150" i="1"/>
  <c r="EF22" i="1"/>
  <c r="DY22" i="1" s="1"/>
  <c r="BK22" i="1" s="1"/>
  <c r="D71" i="1"/>
  <c r="CO71" i="1"/>
  <c r="BU71" i="1"/>
  <c r="DK45" i="1"/>
  <c r="DO45" i="1"/>
  <c r="DW45" i="1" s="1"/>
  <c r="DU45" i="1"/>
  <c r="BB44" i="1"/>
  <c r="DI45" i="1"/>
  <c r="DU18" i="1"/>
  <c r="DK78" i="1"/>
  <c r="DO78" i="1"/>
  <c r="DI78" i="1"/>
  <c r="DU78" i="1"/>
  <c r="CU77" i="1"/>
  <c r="CB77" i="1"/>
  <c r="EJ94" i="1"/>
  <c r="EC94" i="1" s="1"/>
  <c r="BO94" i="1" s="1"/>
  <c r="DK71" i="1"/>
  <c r="DI71" i="1"/>
  <c r="DU71" i="1"/>
  <c r="DO71" i="1"/>
  <c r="CU33" i="1"/>
  <c r="BZ71" i="1"/>
  <c r="CS71" i="1"/>
  <c r="EE172" i="1"/>
  <c r="DX172" i="1" s="1"/>
  <c r="BJ172" i="1" s="1"/>
  <c r="CS25" i="1"/>
  <c r="CO183" i="1"/>
  <c r="EJ37" i="1"/>
  <c r="EC37" i="1" s="1"/>
  <c r="BO37" i="1" s="1"/>
  <c r="BZ177" i="1"/>
  <c r="CS177" i="1"/>
  <c r="EE173" i="1"/>
  <c r="DX173" i="1" s="1"/>
  <c r="BJ173" i="1" s="1"/>
  <c r="EI10" i="1"/>
  <c r="EB10" i="1" s="1"/>
  <c r="BN10" i="1" s="1"/>
  <c r="CU6" i="1"/>
  <c r="EI23" i="1"/>
  <c r="EB23" i="1" s="1"/>
  <c r="BN23" i="1" s="1"/>
  <c r="EF58" i="1"/>
  <c r="DY58" i="1" s="1"/>
  <c r="BK58" i="1" s="1"/>
  <c r="EJ27" i="1"/>
  <c r="EC27" i="1" s="1"/>
  <c r="BO27" i="1" s="1"/>
  <c r="EE70" i="1"/>
  <c r="DX70" i="1" s="1"/>
  <c r="BJ70" i="1" s="1"/>
  <c r="DJ72" i="1"/>
  <c r="DT72" i="1"/>
  <c r="DH72" i="1"/>
  <c r="BH72" i="1"/>
  <c r="DN72" i="1"/>
  <c r="CQ72" i="1"/>
  <c r="DK169" i="1"/>
  <c r="DS169" i="1" s="1"/>
  <c r="DI169" i="1"/>
  <c r="DU169" i="1"/>
  <c r="DO169" i="1"/>
  <c r="EE45" i="1"/>
  <c r="DX45" i="1" s="1"/>
  <c r="BJ45" i="1" s="1"/>
  <c r="EL44" i="1"/>
  <c r="CK141" i="1"/>
  <c r="EE17" i="1"/>
  <c r="DX17" i="1" s="1"/>
  <c r="BJ17" i="1" s="1"/>
  <c r="EF163" i="1"/>
  <c r="DY163" i="1" s="1"/>
  <c r="BK163" i="1" s="1"/>
  <c r="EH20" i="1"/>
  <c r="EA20" i="1" s="1"/>
  <c r="BM20" i="1" s="1"/>
  <c r="EE75" i="1"/>
  <c r="DX75" i="1" s="1"/>
  <c r="BJ75" i="1" s="1"/>
  <c r="EF173" i="1"/>
  <c r="DY173" i="1" s="1"/>
  <c r="BK173" i="1" s="1"/>
  <c r="EE11" i="1"/>
  <c r="DX11" i="1" s="1"/>
  <c r="BJ11" i="1" s="1"/>
  <c r="DU25" i="1"/>
  <c r="CS73" i="1"/>
  <c r="BZ73" i="1"/>
  <c r="CA73" i="1" s="1"/>
  <c r="DO146" i="1"/>
  <c r="DU146" i="1"/>
  <c r="DI146" i="1"/>
  <c r="DK146" i="1"/>
  <c r="EG23" i="1"/>
  <c r="DZ23" i="1" s="1"/>
  <c r="BL23" i="1" s="1"/>
  <c r="EI38" i="1"/>
  <c r="EB38" i="1" s="1"/>
  <c r="BN38" i="1" s="1"/>
  <c r="C20" i="1"/>
  <c r="CM20" i="1"/>
  <c r="CM166" i="1"/>
  <c r="EJ11" i="1"/>
  <c r="EC11" i="1" s="1"/>
  <c r="BO11" i="1" s="1"/>
  <c r="CS13" i="1"/>
  <c r="CK185" i="1"/>
  <c r="BH37" i="1"/>
  <c r="DT37" i="1"/>
  <c r="CQ37" i="1"/>
  <c r="EG27" i="1"/>
  <c r="DZ27" i="1" s="1"/>
  <c r="BL27" i="1" s="1"/>
  <c r="EI110" i="1"/>
  <c r="EB110" i="1" s="1"/>
  <c r="BN110" i="1" s="1"/>
  <c r="EF151" i="1"/>
  <c r="DY151" i="1" s="1"/>
  <c r="BK151" i="1" s="1"/>
  <c r="EF147" i="1"/>
  <c r="DY147" i="1" s="1"/>
  <c r="BK147" i="1" s="1"/>
  <c r="EI117" i="1"/>
  <c r="EB117" i="1" s="1"/>
  <c r="BN117" i="1" s="1"/>
  <c r="D37" i="1"/>
  <c r="CO37" i="1"/>
  <c r="CS18" i="1"/>
  <c r="CS28" i="1"/>
  <c r="EI25" i="1"/>
  <c r="EB25" i="1" s="1"/>
  <c r="BN25" i="1" s="1"/>
  <c r="DT38" i="1"/>
  <c r="CQ38" i="1"/>
  <c r="BH38" i="1"/>
  <c r="CM58" i="1"/>
  <c r="EG25" i="1"/>
  <c r="DZ25" i="1" s="1"/>
  <c r="BL25" i="1" s="1"/>
  <c r="EE98" i="1"/>
  <c r="DX98" i="1" s="1"/>
  <c r="BJ98" i="1" s="1"/>
  <c r="EE31" i="1"/>
  <c r="DX31" i="1" s="1"/>
  <c r="BJ31" i="1" s="1"/>
  <c r="EH122" i="1"/>
  <c r="EA122" i="1" s="1"/>
  <c r="BM122" i="1" s="1"/>
  <c r="EF185" i="1"/>
  <c r="DY185" i="1" s="1"/>
  <c r="BK185" i="1" s="1"/>
  <c r="DJ140" i="1"/>
  <c r="CQ140" i="1"/>
  <c r="BH140" i="1"/>
  <c r="DT140" i="1"/>
  <c r="DN140" i="1"/>
  <c r="DH140" i="1"/>
  <c r="BX140" i="1"/>
  <c r="EE72" i="1"/>
  <c r="DX72" i="1" s="1"/>
  <c r="BJ72" i="1" s="1"/>
  <c r="CU178" i="1"/>
  <c r="CB178" i="1"/>
  <c r="EJ102" i="1"/>
  <c r="EC102" i="1" s="1"/>
  <c r="BO102" i="1" s="1"/>
  <c r="DO165" i="1"/>
  <c r="DK165" i="1"/>
  <c r="DQ165" i="1" s="1"/>
  <c r="DI165" i="1"/>
  <c r="DU165" i="1"/>
  <c r="CQ165" i="1"/>
  <c r="BH165" i="1"/>
  <c r="EF113" i="1"/>
  <c r="DY113" i="1" s="1"/>
  <c r="BK113" i="1" s="1"/>
  <c r="EH115" i="1"/>
  <c r="EA115" i="1" s="1"/>
  <c r="BM115" i="1" s="1"/>
  <c r="CM145" i="1"/>
  <c r="CO148" i="1"/>
  <c r="CO187" i="1"/>
  <c r="CM21" i="1"/>
  <c r="C21" i="1"/>
  <c r="EF157" i="1"/>
  <c r="DY157" i="1" s="1"/>
  <c r="BK157" i="1" s="1"/>
  <c r="D10" i="1"/>
  <c r="CO10" i="1"/>
  <c r="CM173" i="1"/>
  <c r="CE3" i="1"/>
  <c r="CU15" i="1"/>
  <c r="CU47" i="1"/>
  <c r="CB47" i="1"/>
  <c r="EI27" i="1"/>
  <c r="EB27" i="1" s="1"/>
  <c r="BN27" i="1" s="1"/>
  <c r="CK166" i="1"/>
  <c r="EJ91" i="1"/>
  <c r="EC91" i="1" s="1"/>
  <c r="BO91" i="1" s="1"/>
  <c r="CU7" i="1"/>
  <c r="CO15" i="1"/>
  <c r="D15" i="1"/>
  <c r="BU48" i="1"/>
  <c r="CO48" i="1"/>
  <c r="D48" i="1"/>
  <c r="DU36" i="1"/>
  <c r="CO17" i="1"/>
  <c r="D17" i="1"/>
  <c r="EI96" i="1"/>
  <c r="EB96" i="1" s="1"/>
  <c r="BN96" i="1" s="1"/>
  <c r="CU76" i="1"/>
  <c r="CB76" i="1"/>
  <c r="EI33" i="1"/>
  <c r="EB33" i="1" s="1"/>
  <c r="BN33" i="1" s="1"/>
  <c r="EG18" i="1"/>
  <c r="DZ18" i="1" s="1"/>
  <c r="BL18" i="1" s="1"/>
  <c r="CM146" i="1"/>
  <c r="DU177" i="1"/>
  <c r="DO177" i="1"/>
  <c r="DI177" i="1"/>
  <c r="DK177" i="1"/>
  <c r="DK176" i="1"/>
  <c r="DI176" i="1"/>
  <c r="DO176" i="1"/>
  <c r="DW176" i="1" s="1"/>
  <c r="DU176" i="1"/>
  <c r="EF187" i="1"/>
  <c r="DY187" i="1" s="1"/>
  <c r="BK187" i="1" s="1"/>
  <c r="EE34" i="1"/>
  <c r="DX34" i="1" s="1"/>
  <c r="BJ34" i="1" s="1"/>
  <c r="EE79" i="1"/>
  <c r="DX79" i="1" s="1"/>
  <c r="BJ79" i="1" s="1"/>
  <c r="BZ161" i="1"/>
  <c r="CS161" i="1"/>
  <c r="EH106" i="1"/>
  <c r="EA106" i="1" s="1"/>
  <c r="BM106" i="1" s="1"/>
  <c r="CB156" i="1"/>
  <c r="CU156" i="1"/>
  <c r="B30" i="1"/>
  <c r="AY30" i="1"/>
  <c r="CK30" i="1"/>
  <c r="EH123" i="1"/>
  <c r="EA123" i="1" s="1"/>
  <c r="BM123" i="1" s="1"/>
  <c r="EE4" i="1"/>
  <c r="DX4" i="1" s="1"/>
  <c r="BJ4" i="1" s="1"/>
  <c r="EL3" i="1"/>
  <c r="EJ122" i="1"/>
  <c r="EC122" i="1" s="1"/>
  <c r="BO122" i="1" s="1"/>
  <c r="AT44" i="1"/>
  <c r="DU14" i="1"/>
  <c r="EF5" i="1"/>
  <c r="DY5" i="1" s="1"/>
  <c r="BK5" i="1" s="1"/>
  <c r="CO32" i="1"/>
  <c r="D32" i="1"/>
  <c r="CU36" i="1"/>
  <c r="EI113" i="1"/>
  <c r="EB113" i="1" s="1"/>
  <c r="BN113" i="1" s="1"/>
  <c r="EI5" i="1"/>
  <c r="EB5" i="1" s="1"/>
  <c r="BN5" i="1" s="1"/>
  <c r="DI159" i="1"/>
  <c r="DU159" i="1"/>
  <c r="DO159" i="1"/>
  <c r="DK159" i="1"/>
  <c r="DU12" i="1"/>
  <c r="EI21" i="1"/>
  <c r="EB21" i="1" s="1"/>
  <c r="BN21" i="1" s="1"/>
  <c r="CM37" i="1"/>
  <c r="C37" i="1"/>
  <c r="DU17" i="1"/>
  <c r="EJ14" i="1"/>
  <c r="EC14" i="1" s="1"/>
  <c r="BO14" i="1" s="1"/>
  <c r="CB14" i="1" s="1"/>
  <c r="EI31" i="1"/>
  <c r="EB31" i="1" s="1"/>
  <c r="BN31" i="1" s="1"/>
  <c r="CH44" i="1"/>
  <c r="EJ18" i="1"/>
  <c r="EC18" i="1" s="1"/>
  <c r="BO18" i="1" s="1"/>
  <c r="EJ9" i="1"/>
  <c r="EC9" i="1" s="1"/>
  <c r="BO9" i="1" s="1"/>
  <c r="EI119" i="1"/>
  <c r="EB119" i="1" s="1"/>
  <c r="BN119" i="1" s="1"/>
  <c r="CM8" i="1"/>
  <c r="C8" i="1"/>
  <c r="EI97" i="1"/>
  <c r="EB97" i="1" s="1"/>
  <c r="BN97" i="1" s="1"/>
  <c r="CK171" i="1"/>
  <c r="CO154" i="1"/>
  <c r="CH136" i="1"/>
  <c r="CG3" i="1"/>
  <c r="DT15" i="1"/>
  <c r="BH15" i="1"/>
  <c r="CQ15" i="1"/>
  <c r="CK170" i="1"/>
  <c r="EF158" i="1"/>
  <c r="DY158" i="1" s="1"/>
  <c r="BK158" i="1" s="1"/>
  <c r="CQ156" i="1"/>
  <c r="DH156" i="1"/>
  <c r="DN156" i="1"/>
  <c r="DJ156" i="1"/>
  <c r="BH156" i="1"/>
  <c r="DT156" i="1"/>
  <c r="EJ128" i="1"/>
  <c r="EC128" i="1" s="1"/>
  <c r="BO128" i="1" s="1"/>
  <c r="B33" i="1"/>
  <c r="CK33" i="1"/>
  <c r="AY33" i="1"/>
  <c r="EE126" i="1"/>
  <c r="DX126" i="1" s="1"/>
  <c r="BJ126" i="1" s="1"/>
  <c r="CQ145" i="1"/>
  <c r="DJ145" i="1"/>
  <c r="DQ145" i="1" s="1"/>
  <c r="DT145" i="1"/>
  <c r="BH145" i="1"/>
  <c r="DH145" i="1"/>
  <c r="DN145" i="1"/>
  <c r="EE16" i="1"/>
  <c r="DX16" i="1" s="1"/>
  <c r="BJ16" i="1" s="1"/>
  <c r="DJ71" i="1"/>
  <c r="DN71" i="1"/>
  <c r="BH71" i="1"/>
  <c r="CQ71" i="1"/>
  <c r="DT71" i="1"/>
  <c r="DH71" i="1"/>
  <c r="EF186" i="1"/>
  <c r="DY186" i="1" s="1"/>
  <c r="BK186" i="1" s="1"/>
  <c r="DN146" i="1"/>
  <c r="DT146" i="1"/>
  <c r="CQ146" i="1"/>
  <c r="DH146" i="1"/>
  <c r="BH146" i="1"/>
  <c r="EH114" i="1"/>
  <c r="EA114" i="1" s="1"/>
  <c r="BM114" i="1" s="1"/>
  <c r="DI167" i="1"/>
  <c r="DP167" i="1" s="1"/>
  <c r="DK167" i="1"/>
  <c r="CQ167" i="1"/>
  <c r="DO167" i="1"/>
  <c r="DU167" i="1"/>
  <c r="BH167" i="1"/>
  <c r="BI168" i="1" s="1"/>
  <c r="EF106" i="1"/>
  <c r="DY106" i="1" s="1"/>
  <c r="BK106" i="1" s="1"/>
  <c r="EE100" i="1"/>
  <c r="DX100" i="1" s="1"/>
  <c r="BJ100" i="1" s="1"/>
  <c r="EE92" i="1"/>
  <c r="DX92" i="1" s="1"/>
  <c r="BJ92" i="1" s="1"/>
  <c r="DJ75" i="1"/>
  <c r="DT75" i="1"/>
  <c r="DH75" i="1"/>
  <c r="BH75" i="1"/>
  <c r="DN75" i="1"/>
  <c r="CQ75" i="1"/>
  <c r="EG110" i="1"/>
  <c r="DZ110" i="1" s="1"/>
  <c r="BL110" i="1" s="1"/>
  <c r="CM183" i="1"/>
  <c r="CK152" i="1"/>
  <c r="DJ151" i="1"/>
  <c r="BH151" i="1"/>
  <c r="DN151" i="1"/>
  <c r="CQ151" i="1"/>
  <c r="DT151" i="1"/>
  <c r="DH151" i="1"/>
  <c r="EH120" i="1"/>
  <c r="EA120" i="1" s="1"/>
  <c r="BM120" i="1" s="1"/>
  <c r="DJ149" i="1"/>
  <c r="DN149" i="1"/>
  <c r="DT149" i="1"/>
  <c r="BH149" i="1"/>
  <c r="DH149" i="1"/>
  <c r="CQ149" i="1"/>
  <c r="DK180" i="1"/>
  <c r="DS180" i="1" s="1"/>
  <c r="DU180" i="1"/>
  <c r="DI180" i="1"/>
  <c r="DO180" i="1"/>
  <c r="DW180" i="1" s="1"/>
  <c r="DO185" i="1"/>
  <c r="DW185" i="1" s="1"/>
  <c r="DU185" i="1"/>
  <c r="DI185" i="1"/>
  <c r="DK185" i="1"/>
  <c r="EH126" i="1"/>
  <c r="EA126" i="1" s="1"/>
  <c r="BM126" i="1" s="1"/>
  <c r="EH16" i="1"/>
  <c r="EA16" i="1" s="1"/>
  <c r="BM16" i="1" s="1"/>
  <c r="EH19" i="1"/>
  <c r="EA19" i="1" s="1"/>
  <c r="BM19" i="1" s="1"/>
  <c r="EE62" i="1"/>
  <c r="DX62" i="1" s="1"/>
  <c r="BJ62" i="1" s="1"/>
  <c r="CK37" i="1"/>
  <c r="B37" i="1"/>
  <c r="AY37" i="1"/>
  <c r="EF103" i="1"/>
  <c r="DY103" i="1" s="1"/>
  <c r="BK103" i="1" s="1"/>
  <c r="CS158" i="1"/>
  <c r="BZ158" i="1"/>
  <c r="EJ103" i="1"/>
  <c r="EC103" i="1" s="1"/>
  <c r="BO103" i="1" s="1"/>
  <c r="CK143" i="1"/>
  <c r="EF86" i="1"/>
  <c r="DY86" i="1" s="1"/>
  <c r="BK86" i="1" s="1"/>
  <c r="DJ144" i="1"/>
  <c r="CQ144" i="1"/>
  <c r="DH144" i="1"/>
  <c r="DT144" i="1"/>
  <c r="DN144" i="1"/>
  <c r="BH144" i="1"/>
  <c r="BX144" i="1"/>
  <c r="EE115" i="1"/>
  <c r="DX115" i="1" s="1"/>
  <c r="BJ115" i="1" s="1"/>
  <c r="EF90" i="1"/>
  <c r="DY90" i="1" s="1"/>
  <c r="BK90" i="1" s="1"/>
  <c r="EG105" i="1"/>
  <c r="DZ105" i="1" s="1"/>
  <c r="BL105" i="1" s="1"/>
  <c r="AY71" i="1"/>
  <c r="CK71" i="1"/>
  <c r="B71" i="1"/>
  <c r="EF164" i="1"/>
  <c r="DY164" i="1" s="1"/>
  <c r="BK164" i="1" s="1"/>
  <c r="BQ164" i="1" s="1"/>
  <c r="CW164" i="1" s="1"/>
  <c r="EG93" i="1"/>
  <c r="DZ93" i="1" s="1"/>
  <c r="BL93" i="1" s="1"/>
  <c r="EF105" i="1"/>
  <c r="DY105" i="1" s="1"/>
  <c r="BK105" i="1" s="1"/>
  <c r="EE36" i="1"/>
  <c r="DX36" i="1" s="1"/>
  <c r="BJ36" i="1" s="1"/>
  <c r="DK178" i="1"/>
  <c r="DU178" i="1"/>
  <c r="DI178" i="1"/>
  <c r="DO178" i="1"/>
  <c r="DW178" i="1" s="1"/>
  <c r="B38" i="1"/>
  <c r="CK38" i="1"/>
  <c r="AY38" i="1"/>
  <c r="EE18" i="1"/>
  <c r="DX18" i="1" s="1"/>
  <c r="BJ18" i="1" s="1"/>
  <c r="EF111" i="1"/>
  <c r="DY111" i="1" s="1"/>
  <c r="BK111" i="1" s="1"/>
  <c r="DU170" i="1"/>
  <c r="DK170" i="1"/>
  <c r="DI170" i="1"/>
  <c r="DO170" i="1"/>
  <c r="EH127" i="1"/>
  <c r="EA127" i="1" s="1"/>
  <c r="BM127" i="1" s="1"/>
  <c r="EF123" i="1"/>
  <c r="DY123" i="1" s="1"/>
  <c r="BK123" i="1" s="1"/>
  <c r="EH105" i="1"/>
  <c r="EA105" i="1" s="1"/>
  <c r="BM105" i="1" s="1"/>
  <c r="EE87" i="1"/>
  <c r="DX87" i="1" s="1"/>
  <c r="BJ87" i="1" s="1"/>
  <c r="EH110" i="1"/>
  <c r="EA110" i="1" s="1"/>
  <c r="BM110" i="1" s="1"/>
  <c r="CK146" i="1"/>
  <c r="EE108" i="1"/>
  <c r="DX108" i="1" s="1"/>
  <c r="BJ108" i="1" s="1"/>
  <c r="EE85" i="1"/>
  <c r="DX85" i="1" s="1"/>
  <c r="BJ85" i="1" s="1"/>
  <c r="EL84" i="1"/>
  <c r="B46" i="1"/>
  <c r="CK46" i="1"/>
  <c r="AY46" i="1"/>
  <c r="CK155" i="1"/>
  <c r="EG100" i="1"/>
  <c r="DZ100" i="1" s="1"/>
  <c r="BL100" i="1" s="1"/>
  <c r="EG115" i="1"/>
  <c r="DZ115" i="1" s="1"/>
  <c r="BL115" i="1" s="1"/>
  <c r="EH87" i="1"/>
  <c r="EA87" i="1" s="1"/>
  <c r="BM87" i="1" s="1"/>
  <c r="EF87" i="1"/>
  <c r="DY87" i="1" s="1"/>
  <c r="BK87" i="1" s="1"/>
  <c r="EG126" i="1"/>
  <c r="DZ126" i="1" s="1"/>
  <c r="BL126" i="1" s="1"/>
  <c r="EE147" i="1"/>
  <c r="DX147" i="1" s="1"/>
  <c r="BJ147" i="1" s="1"/>
  <c r="EG114" i="1"/>
  <c r="DZ114" i="1" s="1"/>
  <c r="BL114" i="1" s="1"/>
  <c r="EH95" i="1"/>
  <c r="EA95" i="1" s="1"/>
  <c r="BM95" i="1" s="1"/>
  <c r="EE124" i="1"/>
  <c r="DX124" i="1" s="1"/>
  <c r="BJ124" i="1" s="1"/>
  <c r="EH97" i="1"/>
  <c r="EA97" i="1" s="1"/>
  <c r="BM97" i="1" s="1"/>
  <c r="EH128" i="1"/>
  <c r="EA128" i="1" s="1"/>
  <c r="BM128" i="1" s="1"/>
  <c r="EJ100" i="1"/>
  <c r="EC100" i="1" s="1"/>
  <c r="BO100" i="1" s="1"/>
  <c r="EG102" i="1"/>
  <c r="DZ102" i="1" s="1"/>
  <c r="BL102" i="1" s="1"/>
  <c r="EE61" i="1"/>
  <c r="DX61" i="1" s="1"/>
  <c r="BJ61" i="1" s="1"/>
  <c r="DJ73" i="1"/>
  <c r="BH73" i="1"/>
  <c r="DT73" i="1"/>
  <c r="DH73" i="1"/>
  <c r="CQ73" i="1"/>
  <c r="DN73" i="1"/>
  <c r="AY75" i="1"/>
  <c r="B75" i="1"/>
  <c r="CK75" i="1"/>
  <c r="EE8" i="1"/>
  <c r="DX8" i="1" s="1"/>
  <c r="BJ8" i="1" s="1"/>
  <c r="EF165" i="1"/>
  <c r="DY165" i="1" s="1"/>
  <c r="BK165" i="1" s="1"/>
  <c r="BQ165" i="1" s="1"/>
  <c r="B70" i="1"/>
  <c r="AY70" i="1"/>
  <c r="CK70" i="1"/>
  <c r="CP70" i="1" s="1"/>
  <c r="EE30" i="1"/>
  <c r="DX30" i="1" s="1"/>
  <c r="BJ30" i="1" s="1"/>
  <c r="EH37" i="1"/>
  <c r="EA37" i="1" s="1"/>
  <c r="BM37" i="1" s="1"/>
  <c r="EE21" i="1"/>
  <c r="DX21" i="1" s="1"/>
  <c r="BJ21" i="1" s="1"/>
  <c r="EH18" i="1"/>
  <c r="EA18" i="1" s="1"/>
  <c r="BM18" i="1" s="1"/>
  <c r="EJ108" i="1"/>
  <c r="EC108" i="1" s="1"/>
  <c r="BO108" i="1" s="1"/>
  <c r="DN155" i="1"/>
  <c r="BH155" i="1"/>
  <c r="CQ155" i="1"/>
  <c r="DT155" i="1"/>
  <c r="DJ155" i="1"/>
  <c r="DH155" i="1"/>
  <c r="EG99" i="1"/>
  <c r="DZ99" i="1" s="1"/>
  <c r="BL99" i="1" s="1"/>
  <c r="EE118" i="1"/>
  <c r="DX118" i="1" s="1"/>
  <c r="BJ118" i="1" s="1"/>
  <c r="EH98" i="1"/>
  <c r="EA98" i="1" s="1"/>
  <c r="BM98" i="1" s="1"/>
  <c r="EH29" i="1"/>
  <c r="EA29" i="1" s="1"/>
  <c r="BM29" i="1" s="1"/>
  <c r="CU157" i="1"/>
  <c r="CB157" i="1"/>
  <c r="BZ179" i="1"/>
  <c r="CS179" i="1"/>
  <c r="EH12" i="1"/>
  <c r="EA12" i="1" s="1"/>
  <c r="BM12" i="1" s="1"/>
  <c r="CU180" i="1"/>
  <c r="CB180" i="1"/>
  <c r="EH91" i="1"/>
  <c r="EA91" i="1" s="1"/>
  <c r="BM91" i="1" s="1"/>
  <c r="EE5" i="1"/>
  <c r="DX5" i="1" s="1"/>
  <c r="BJ5" i="1" s="1"/>
  <c r="EE122" i="1"/>
  <c r="DX122" i="1" s="1"/>
  <c r="BJ122" i="1" s="1"/>
  <c r="EG96" i="1"/>
  <c r="DZ96" i="1" s="1"/>
  <c r="BL96" i="1" s="1"/>
  <c r="AY139" i="1"/>
  <c r="BS139" i="1"/>
  <c r="BT140" i="1" s="1"/>
  <c r="C139" i="1"/>
  <c r="E139" i="1" s="1"/>
  <c r="EF118" i="1"/>
  <c r="DY118" i="1" s="1"/>
  <c r="BK118" i="1" s="1"/>
  <c r="EJ126" i="1"/>
  <c r="EC126" i="1" s="1"/>
  <c r="BO126" i="1" s="1"/>
  <c r="B13" i="1"/>
  <c r="CK13" i="1"/>
  <c r="AY13" i="1"/>
  <c r="EE116" i="1"/>
  <c r="DX116" i="1" s="1"/>
  <c r="BJ116" i="1" s="1"/>
  <c r="CK148" i="1"/>
  <c r="EH96" i="1"/>
  <c r="EA96" i="1" s="1"/>
  <c r="BM96" i="1" s="1"/>
  <c r="EE57" i="1"/>
  <c r="DX57" i="1" s="1"/>
  <c r="BJ57" i="1" s="1"/>
  <c r="EF110" i="1"/>
  <c r="DY110" i="1" s="1"/>
  <c r="BK110" i="1" s="1"/>
  <c r="EH15" i="1"/>
  <c r="EA15" i="1" s="1"/>
  <c r="BM15" i="1" s="1"/>
  <c r="EG101" i="1"/>
  <c r="DZ101" i="1" s="1"/>
  <c r="BL101" i="1" s="1"/>
  <c r="EE111" i="1"/>
  <c r="DX111" i="1" s="1"/>
  <c r="BJ111" i="1" s="1"/>
  <c r="EH34" i="1"/>
  <c r="EA34" i="1" s="1"/>
  <c r="BM34" i="1" s="1"/>
  <c r="EE113" i="1"/>
  <c r="DX113" i="1" s="1"/>
  <c r="BJ113" i="1" s="1"/>
  <c r="CM180" i="1"/>
  <c r="EG111" i="1"/>
  <c r="DZ111" i="1" s="1"/>
  <c r="BL111" i="1" s="1"/>
  <c r="EH119" i="1"/>
  <c r="EA119" i="1" s="1"/>
  <c r="BM119" i="1" s="1"/>
  <c r="EH28" i="1"/>
  <c r="EA28" i="1" s="1"/>
  <c r="BM28" i="1" s="1"/>
  <c r="EF97" i="1"/>
  <c r="DY97" i="1" s="1"/>
  <c r="BK97" i="1" s="1"/>
  <c r="BZ162" i="1"/>
  <c r="CA163" i="1" s="1"/>
  <c r="CS162" i="1"/>
  <c r="BX141" i="1"/>
  <c r="CQ141" i="1"/>
  <c r="DH141" i="1"/>
  <c r="BH141" i="1"/>
  <c r="DT141" i="1"/>
  <c r="DN141" i="1"/>
  <c r="DJ141" i="1"/>
  <c r="EG112" i="1"/>
  <c r="DZ112" i="1" s="1"/>
  <c r="BL112" i="1" s="1"/>
  <c r="EE47" i="1"/>
  <c r="DX47" i="1" s="1"/>
  <c r="BJ47" i="1" s="1"/>
  <c r="EF170" i="1"/>
  <c r="DY170" i="1" s="1"/>
  <c r="BK170" i="1" s="1"/>
  <c r="EE46" i="1"/>
  <c r="DX46" i="1" s="1"/>
  <c r="BJ46" i="1" s="1"/>
  <c r="DO179" i="1"/>
  <c r="DK179" i="1"/>
  <c r="DU179" i="1"/>
  <c r="DI179" i="1"/>
  <c r="EF172" i="1"/>
  <c r="DY172" i="1" s="1"/>
  <c r="BK172" i="1" s="1"/>
  <c r="BZ156" i="1"/>
  <c r="CS156" i="1"/>
  <c r="CB179" i="1"/>
  <c r="CU179" i="1"/>
  <c r="CK21" i="1"/>
  <c r="B21" i="1"/>
  <c r="AY21" i="1"/>
  <c r="EE33" i="1"/>
  <c r="DX33" i="1" s="1"/>
  <c r="BJ33" i="1" s="1"/>
  <c r="EH9" i="1"/>
  <c r="EA9" i="1" s="1"/>
  <c r="BM9" i="1" s="1"/>
  <c r="CB187" i="1"/>
  <c r="CU187" i="1"/>
  <c r="EH88" i="1"/>
  <c r="EA88" i="1" s="1"/>
  <c r="BM88" i="1" s="1"/>
  <c r="EF102" i="1"/>
  <c r="DY102" i="1" s="1"/>
  <c r="BK102" i="1" s="1"/>
  <c r="EG103" i="1"/>
  <c r="DZ103" i="1" s="1"/>
  <c r="BL103" i="1" s="1"/>
  <c r="EF112" i="1"/>
  <c r="DY112" i="1" s="1"/>
  <c r="BK112" i="1" s="1"/>
  <c r="EE155" i="1"/>
  <c r="DX155" i="1" s="1"/>
  <c r="BJ155" i="1" s="1"/>
  <c r="EJ120" i="1"/>
  <c r="EC120" i="1" s="1"/>
  <c r="BO120" i="1" s="1"/>
  <c r="DU164" i="1"/>
  <c r="DI164" i="1"/>
  <c r="DP164" i="1" s="1"/>
  <c r="DK164" i="1"/>
  <c r="DS164" i="1" s="1"/>
  <c r="DO164" i="1"/>
  <c r="BH164" i="1"/>
  <c r="CQ164" i="1"/>
  <c r="EF174" i="1"/>
  <c r="DY174" i="1" s="1"/>
  <c r="BK174" i="1" s="1"/>
  <c r="DN152" i="1"/>
  <c r="CQ152" i="1"/>
  <c r="DT152" i="1"/>
  <c r="DH152" i="1"/>
  <c r="BH152" i="1"/>
  <c r="DJ152" i="1"/>
  <c r="EH103" i="1"/>
  <c r="EA103" i="1" s="1"/>
  <c r="BM103" i="1" s="1"/>
  <c r="EF176" i="1"/>
  <c r="DY176" i="1" s="1"/>
  <c r="BK176" i="1" s="1"/>
  <c r="EE71" i="1"/>
  <c r="DX71" i="1" s="1"/>
  <c r="BJ71" i="1" s="1"/>
  <c r="CK58" i="1"/>
  <c r="AY58" i="1"/>
  <c r="B58" i="1"/>
  <c r="EE7" i="1"/>
  <c r="DX7" i="1" s="1"/>
  <c r="BJ7" i="1" s="1"/>
  <c r="EH109" i="1"/>
  <c r="EA109" i="1" s="1"/>
  <c r="BM109" i="1" s="1"/>
  <c r="CU188" i="1"/>
  <c r="CB188" i="1"/>
  <c r="CC189" i="1" s="1"/>
  <c r="AY32" i="1"/>
  <c r="CK32" i="1"/>
  <c r="B32" i="1"/>
  <c r="EH23" i="1"/>
  <c r="EA23" i="1" s="1"/>
  <c r="BM23" i="1" s="1"/>
  <c r="DH148" i="1"/>
  <c r="DJ148" i="1"/>
  <c r="DN148" i="1"/>
  <c r="DT148" i="1"/>
  <c r="BH148" i="1"/>
  <c r="CQ148" i="1"/>
  <c r="CK142" i="1"/>
  <c r="EH26" i="1"/>
  <c r="EA26" i="1" s="1"/>
  <c r="BM26" i="1" s="1"/>
  <c r="EF88" i="1"/>
  <c r="DY88" i="1" s="1"/>
  <c r="BK88" i="1" s="1"/>
  <c r="CB155" i="1"/>
  <c r="CU155" i="1"/>
  <c r="EF95" i="1"/>
  <c r="DY95" i="1" s="1"/>
  <c r="BK95" i="1" s="1"/>
  <c r="CU186" i="1"/>
  <c r="CB186" i="1"/>
  <c r="EH10" i="1"/>
  <c r="EA10" i="1" s="1"/>
  <c r="BM10" i="1" s="1"/>
  <c r="BZ160" i="1"/>
  <c r="CS160" i="1"/>
  <c r="AV3" i="1"/>
  <c r="C3" i="1" s="1"/>
  <c r="DJ143" i="1"/>
  <c r="CQ143" i="1"/>
  <c r="DT143" i="1"/>
  <c r="BX143" i="1"/>
  <c r="DN143" i="1"/>
  <c r="BH143" i="1"/>
  <c r="DH143" i="1"/>
  <c r="EE59" i="1"/>
  <c r="DX59" i="1" s="1"/>
  <c r="BJ59" i="1" s="1"/>
  <c r="EH112" i="1"/>
  <c r="EA112" i="1" s="1"/>
  <c r="BM112" i="1" s="1"/>
  <c r="EE129" i="1"/>
  <c r="DX129" i="1" s="1"/>
  <c r="BJ129" i="1" s="1"/>
  <c r="EH125" i="1"/>
  <c r="EA125" i="1" s="1"/>
  <c r="BM125" i="1" s="1"/>
  <c r="AY48" i="1"/>
  <c r="CK48" i="1"/>
  <c r="B48" i="1"/>
  <c r="B4" i="1"/>
  <c r="CK4" i="1"/>
  <c r="AY4" i="1"/>
  <c r="AS3" i="1"/>
  <c r="B36" i="1"/>
  <c r="AY36" i="1"/>
  <c r="CK36" i="1"/>
  <c r="CM182" i="1"/>
  <c r="EE156" i="1"/>
  <c r="DX156" i="1" s="1"/>
  <c r="BJ156" i="1" s="1"/>
  <c r="DO181" i="1"/>
  <c r="DW181" i="1" s="1"/>
  <c r="DK181" i="1"/>
  <c r="DU181" i="1"/>
  <c r="DI181" i="1"/>
  <c r="EE112" i="1"/>
  <c r="DX112" i="1" s="1"/>
  <c r="BJ112" i="1" s="1"/>
  <c r="EE128" i="1"/>
  <c r="DX128" i="1" s="1"/>
  <c r="BJ128" i="1" s="1"/>
  <c r="DT189" i="1"/>
  <c r="BH189" i="1"/>
  <c r="DJ189" i="1"/>
  <c r="CQ189" i="1"/>
  <c r="DN189" i="1"/>
  <c r="DV189" i="1" s="1"/>
  <c r="DH189" i="1"/>
  <c r="EH86" i="1"/>
  <c r="EA86" i="1" s="1"/>
  <c r="BM86" i="1" s="1"/>
  <c r="CU182" i="1"/>
  <c r="CB182" i="1"/>
  <c r="EE106" i="1"/>
  <c r="DX106" i="1" s="1"/>
  <c r="BJ106" i="1" s="1"/>
  <c r="CK145" i="1"/>
  <c r="EE153" i="1"/>
  <c r="DX153" i="1" s="1"/>
  <c r="BJ153" i="1" s="1"/>
  <c r="EG129" i="1"/>
  <c r="DZ129" i="1" s="1"/>
  <c r="BL129" i="1" s="1"/>
  <c r="EF161" i="1"/>
  <c r="DY161" i="1" s="1"/>
  <c r="BK161" i="1" s="1"/>
  <c r="BQ161" i="1" s="1"/>
  <c r="CW161" i="1" s="1"/>
  <c r="DU161" i="1"/>
  <c r="BH161" i="1"/>
  <c r="DI161" i="1"/>
  <c r="DP161" i="1" s="1"/>
  <c r="DK161" i="1"/>
  <c r="CQ161" i="1"/>
  <c r="DO161" i="1"/>
  <c r="EJ110" i="1"/>
  <c r="EC110" i="1" s="1"/>
  <c r="BO110" i="1" s="1"/>
  <c r="EF109" i="1"/>
  <c r="DY109" i="1" s="1"/>
  <c r="BK109" i="1" s="1"/>
  <c r="EG113" i="1"/>
  <c r="DZ113" i="1" s="1"/>
  <c r="BL113" i="1" s="1"/>
  <c r="CK19" i="1"/>
  <c r="AY19" i="1"/>
  <c r="B19" i="1"/>
  <c r="DO171" i="1"/>
  <c r="DI171" i="1"/>
  <c r="DU171" i="1"/>
  <c r="DO138" i="1"/>
  <c r="DW138" i="1" s="1"/>
  <c r="DI138" i="1"/>
  <c r="DU138" i="1"/>
  <c r="DK138" i="1"/>
  <c r="EE27" i="1"/>
  <c r="DX27" i="1" s="1"/>
  <c r="BJ27" i="1" s="1"/>
  <c r="EF126" i="1"/>
  <c r="DY126" i="1" s="1"/>
  <c r="BK126" i="1" s="1"/>
  <c r="EE74" i="1"/>
  <c r="DX74" i="1" s="1"/>
  <c r="BJ74" i="1" s="1"/>
  <c r="EH7" i="1"/>
  <c r="EA7" i="1" s="1"/>
  <c r="BM7" i="1" s="1"/>
  <c r="EF94" i="1"/>
  <c r="DY94" i="1" s="1"/>
  <c r="BK94" i="1" s="1"/>
  <c r="EJ99" i="1"/>
  <c r="EC99" i="1" s="1"/>
  <c r="BO99" i="1" s="1"/>
  <c r="EE91" i="1"/>
  <c r="DX91" i="1" s="1"/>
  <c r="BJ91" i="1" s="1"/>
  <c r="DO183" i="1"/>
  <c r="DW183" i="1" s="1"/>
  <c r="DU183" i="1"/>
  <c r="DI183" i="1"/>
  <c r="DK183" i="1"/>
  <c r="EH100" i="1"/>
  <c r="EA100" i="1" s="1"/>
  <c r="BM100" i="1" s="1"/>
  <c r="EE189" i="1"/>
  <c r="DX189" i="1" s="1"/>
  <c r="BJ189" i="1" s="1"/>
  <c r="BX189" i="1" s="1"/>
  <c r="EH32" i="1"/>
  <c r="EA32" i="1" s="1"/>
  <c r="BM32" i="1" s="1"/>
  <c r="CM160" i="1"/>
  <c r="EG119" i="1"/>
  <c r="DZ119" i="1" s="1"/>
  <c r="BL119" i="1" s="1"/>
  <c r="CB159" i="1"/>
  <c r="CU159" i="1"/>
  <c r="EG97" i="1"/>
  <c r="DZ97" i="1" s="1"/>
  <c r="BL97" i="1" s="1"/>
  <c r="EE114" i="1"/>
  <c r="DX114" i="1" s="1"/>
  <c r="BJ114" i="1" s="1"/>
  <c r="EH21" i="1"/>
  <c r="EA21" i="1" s="1"/>
  <c r="BM21" i="1" s="1"/>
  <c r="AY77" i="1"/>
  <c r="B77" i="1"/>
  <c r="CK77" i="1"/>
  <c r="AY15" i="1"/>
  <c r="B15" i="1"/>
  <c r="CK15" i="1"/>
  <c r="EJ111" i="1"/>
  <c r="EC111" i="1" s="1"/>
  <c r="BO111" i="1" s="1"/>
  <c r="CK150" i="1"/>
  <c r="EE9" i="1"/>
  <c r="DX9" i="1" s="1"/>
  <c r="BJ9" i="1" s="1"/>
  <c r="EE63" i="1"/>
  <c r="DX63" i="1" s="1"/>
  <c r="BJ63" i="1" s="1"/>
  <c r="CK11" i="1"/>
  <c r="AY11" i="1"/>
  <c r="B11" i="1"/>
  <c r="EH17" i="1"/>
  <c r="EA17" i="1" s="1"/>
  <c r="BM17" i="1" s="1"/>
  <c r="CM181" i="1"/>
  <c r="EE64" i="1"/>
  <c r="DX64" i="1" s="1"/>
  <c r="BJ64" i="1" s="1"/>
  <c r="EE93" i="1"/>
  <c r="DX93" i="1" s="1"/>
  <c r="BJ93" i="1" s="1"/>
  <c r="EH5" i="1"/>
  <c r="EA5" i="1" s="1"/>
  <c r="BM5" i="1" s="1"/>
  <c r="EE103" i="1"/>
  <c r="DX103" i="1" s="1"/>
  <c r="BJ103" i="1" s="1"/>
  <c r="DN150" i="1"/>
  <c r="DJ150" i="1"/>
  <c r="DT150" i="1"/>
  <c r="CQ150" i="1"/>
  <c r="DH150" i="1"/>
  <c r="BH150" i="1"/>
  <c r="EH36" i="1"/>
  <c r="EA36" i="1" s="1"/>
  <c r="BM36" i="1" s="1"/>
  <c r="EG124" i="1"/>
  <c r="DZ124" i="1" s="1"/>
  <c r="BL124" i="1" s="1"/>
  <c r="EG107" i="1"/>
  <c r="DZ107" i="1" s="1"/>
  <c r="BL107" i="1" s="1"/>
  <c r="EH93" i="1"/>
  <c r="EA93" i="1" s="1"/>
  <c r="BM93" i="1" s="1"/>
  <c r="EF100" i="1"/>
  <c r="DY100" i="1" s="1"/>
  <c r="BK100" i="1" s="1"/>
  <c r="CU181" i="1"/>
  <c r="CB181" i="1"/>
  <c r="EG106" i="1"/>
  <c r="DZ106" i="1" s="1"/>
  <c r="BL106" i="1" s="1"/>
  <c r="CB183" i="1"/>
  <c r="CU183" i="1"/>
  <c r="EJ105" i="1"/>
  <c r="EC105" i="1" s="1"/>
  <c r="BO105" i="1" s="1"/>
  <c r="EF125" i="1"/>
  <c r="DY125" i="1" s="1"/>
  <c r="BK125" i="1" s="1"/>
  <c r="EE120" i="1"/>
  <c r="DX120" i="1" s="1"/>
  <c r="BJ120" i="1" s="1"/>
  <c r="EE35" i="1"/>
  <c r="DX35" i="1" s="1"/>
  <c r="BJ35" i="1" s="1"/>
  <c r="CU153" i="1"/>
  <c r="CB153" i="1"/>
  <c r="EF91" i="1"/>
  <c r="DY91" i="1" s="1"/>
  <c r="BK91" i="1" s="1"/>
  <c r="EF119" i="1"/>
  <c r="DY119" i="1" s="1"/>
  <c r="BK119" i="1" s="1"/>
  <c r="EE58" i="1"/>
  <c r="DX58" i="1" s="1"/>
  <c r="BJ58" i="1" s="1"/>
  <c r="EH129" i="1"/>
  <c r="EA129" i="1" s="1"/>
  <c r="BM129" i="1" s="1"/>
  <c r="CB139" i="1"/>
  <c r="CU139" i="1"/>
  <c r="EG128" i="1"/>
  <c r="DZ128" i="1" s="1"/>
  <c r="BL128" i="1" s="1"/>
  <c r="EG130" i="1"/>
  <c r="DZ130" i="1" s="1"/>
  <c r="BL130" i="1" s="1"/>
  <c r="AY25" i="1"/>
  <c r="CK25" i="1"/>
  <c r="B25" i="1"/>
  <c r="AY27" i="1"/>
  <c r="B27" i="1"/>
  <c r="CK27" i="1"/>
  <c r="AY60" i="1"/>
  <c r="B60" i="1"/>
  <c r="CK60" i="1"/>
  <c r="EH27" i="1"/>
  <c r="EA27" i="1" s="1"/>
  <c r="BM27" i="1" s="1"/>
  <c r="EO84" i="1"/>
  <c r="EH85" i="1"/>
  <c r="EA85" i="1" s="1"/>
  <c r="BM85" i="1" s="1"/>
  <c r="CQ154" i="1"/>
  <c r="DN154" i="1"/>
  <c r="BH154" i="1"/>
  <c r="DT154" i="1"/>
  <c r="DJ154" i="1"/>
  <c r="DH154" i="1"/>
  <c r="DT147" i="1"/>
  <c r="CQ147" i="1"/>
  <c r="DJ147" i="1"/>
  <c r="DN147" i="1"/>
  <c r="BH147" i="1"/>
  <c r="BI147" i="1" s="1"/>
  <c r="DH147" i="1"/>
  <c r="EF160" i="1"/>
  <c r="DY160" i="1" s="1"/>
  <c r="BK160" i="1" s="1"/>
  <c r="BX160" i="1" s="1"/>
  <c r="EG116" i="1"/>
  <c r="DZ116" i="1" s="1"/>
  <c r="BL116" i="1" s="1"/>
  <c r="AV44" i="1"/>
  <c r="EG94" i="1"/>
  <c r="EH99" i="1"/>
  <c r="EA99" i="1" s="1"/>
  <c r="BM99" i="1" s="1"/>
  <c r="EE148" i="1"/>
  <c r="DX148" i="1" s="1"/>
  <c r="BJ148" i="1" s="1"/>
  <c r="DJ74" i="1"/>
  <c r="DN74" i="1"/>
  <c r="DH74" i="1"/>
  <c r="BH74" i="1"/>
  <c r="DT74" i="1"/>
  <c r="CQ74" i="1"/>
  <c r="EE149" i="1"/>
  <c r="DX149" i="1" s="1"/>
  <c r="BJ149" i="1" s="1"/>
  <c r="EJ124" i="1"/>
  <c r="EC124" i="1" s="1"/>
  <c r="BO124" i="1" s="1"/>
  <c r="EH89" i="1"/>
  <c r="EA89" i="1" s="1"/>
  <c r="BM89" i="1" s="1"/>
  <c r="EH92" i="1"/>
  <c r="EA92" i="1" s="1"/>
  <c r="BM92" i="1" s="1"/>
  <c r="EH130" i="1"/>
  <c r="EA130" i="1" s="1"/>
  <c r="BM130" i="1" s="1"/>
  <c r="EJ114" i="1"/>
  <c r="EC114" i="1" s="1"/>
  <c r="BO114" i="1" s="1"/>
  <c r="EE48" i="1"/>
  <c r="DX48" i="1" s="1"/>
  <c r="BJ48" i="1" s="1"/>
  <c r="EF116" i="1"/>
  <c r="DY116" i="1" s="1"/>
  <c r="BK116" i="1" s="1"/>
  <c r="CK189" i="1"/>
  <c r="EG117" i="1"/>
  <c r="DZ117" i="1" s="1"/>
  <c r="BL117" i="1" s="1"/>
  <c r="EE154" i="1"/>
  <c r="DX154" i="1" s="1"/>
  <c r="BJ154" i="1" s="1"/>
  <c r="EH117" i="1"/>
  <c r="EA117" i="1" s="1"/>
  <c r="BM117" i="1" s="1"/>
  <c r="CK158" i="1"/>
  <c r="EH35" i="1"/>
  <c r="EA35" i="1" s="1"/>
  <c r="BM35" i="1" s="1"/>
  <c r="AT84" i="1"/>
  <c r="CB184" i="1"/>
  <c r="CU184" i="1"/>
  <c r="CK140" i="1"/>
  <c r="BE136" i="1"/>
  <c r="CU138" i="1"/>
  <c r="CB138" i="1"/>
  <c r="EF89" i="1"/>
  <c r="DY89" i="1" s="1"/>
  <c r="BK89" i="1" s="1"/>
  <c r="EG108" i="1"/>
  <c r="DZ108" i="1" s="1"/>
  <c r="BL108" i="1" s="1"/>
  <c r="CK7" i="1"/>
  <c r="B7" i="1"/>
  <c r="AY7" i="1"/>
  <c r="EE130" i="1"/>
  <c r="DX130" i="1" s="1"/>
  <c r="BJ130" i="1" s="1"/>
  <c r="DU139" i="1"/>
  <c r="DK139" i="1"/>
  <c r="DS139" i="1" s="1"/>
  <c r="DI139" i="1"/>
  <c r="DO139" i="1"/>
  <c r="B5" i="1"/>
  <c r="CK5" i="1"/>
  <c r="AY5" i="1"/>
  <c r="EE146" i="1"/>
  <c r="DX146" i="1" s="1"/>
  <c r="BJ146" i="1" s="1"/>
  <c r="DO186" i="1"/>
  <c r="DW186" i="1" s="1"/>
  <c r="DU186" i="1"/>
  <c r="DI186" i="1"/>
  <c r="DK186" i="1"/>
  <c r="BD136" i="1"/>
  <c r="DI174" i="1"/>
  <c r="DU174" i="1"/>
  <c r="DO174" i="1"/>
  <c r="DK174" i="1"/>
  <c r="EE76" i="1"/>
  <c r="DX76" i="1" s="1"/>
  <c r="BJ76" i="1" s="1"/>
  <c r="EE95" i="1"/>
  <c r="DX95" i="1" s="1"/>
  <c r="BJ95" i="1" s="1"/>
  <c r="DJ70" i="1"/>
  <c r="CQ70" i="1"/>
  <c r="DT70" i="1"/>
  <c r="DN70" i="1"/>
  <c r="BH70" i="1"/>
  <c r="BI70" i="1" s="1"/>
  <c r="DH70" i="1"/>
  <c r="DJ79" i="1"/>
  <c r="DT79" i="1"/>
  <c r="CQ79" i="1"/>
  <c r="BH79" i="1"/>
  <c r="DN79" i="1"/>
  <c r="DH79" i="1"/>
  <c r="EE125" i="1"/>
  <c r="DX125" i="1" s="1"/>
  <c r="BJ125" i="1" s="1"/>
  <c r="CU185" i="1"/>
  <c r="CB185" i="1"/>
  <c r="EF130" i="1"/>
  <c r="DY130" i="1" s="1"/>
  <c r="BK130" i="1" s="1"/>
  <c r="EE110" i="1"/>
  <c r="DX110" i="1" s="1"/>
  <c r="BJ110" i="1" s="1"/>
  <c r="EH101" i="1"/>
  <c r="EA101" i="1" s="1"/>
  <c r="BM101" i="1" s="1"/>
  <c r="CK147" i="1"/>
  <c r="EH11" i="1"/>
  <c r="EA11" i="1" s="1"/>
  <c r="BM11" i="1" s="1"/>
  <c r="CM179" i="1"/>
  <c r="CK154" i="1"/>
  <c r="CD136" i="1"/>
  <c r="EG122" i="1"/>
  <c r="DZ122" i="1" s="1"/>
  <c r="BL122" i="1" s="1"/>
  <c r="EH30" i="1"/>
  <c r="EA30" i="1" s="1"/>
  <c r="BM30" i="1" s="1"/>
  <c r="EG127" i="1"/>
  <c r="DZ127" i="1" s="1"/>
  <c r="BL127" i="1" s="1"/>
  <c r="EE73" i="1"/>
  <c r="DX73" i="1" s="1"/>
  <c r="BJ73" i="1" s="1"/>
  <c r="AS44" i="1"/>
  <c r="AY45" i="1"/>
  <c r="CK45" i="1"/>
  <c r="B45" i="1"/>
  <c r="EG120" i="1"/>
  <c r="DZ120" i="1" s="1"/>
  <c r="BL120" i="1" s="1"/>
  <c r="EF96" i="1"/>
  <c r="DY96" i="1" s="1"/>
  <c r="BK96" i="1" s="1"/>
  <c r="DN159" i="1"/>
  <c r="DJ159" i="1"/>
  <c r="BH159" i="1"/>
  <c r="DH159" i="1"/>
  <c r="DT159" i="1"/>
  <c r="CQ159" i="1"/>
  <c r="EJ125" i="1"/>
  <c r="EC125" i="1" s="1"/>
  <c r="BO125" i="1" s="1"/>
  <c r="EE158" i="1"/>
  <c r="DX158" i="1" s="1"/>
  <c r="BJ158" i="1" s="1"/>
  <c r="EH121" i="1"/>
  <c r="EA121" i="1" s="1"/>
  <c r="BM121" i="1" s="1"/>
  <c r="EE117" i="1"/>
  <c r="DX117" i="1" s="1"/>
  <c r="BJ117" i="1" s="1"/>
  <c r="EE104" i="1"/>
  <c r="DX104" i="1" s="1"/>
  <c r="BJ104" i="1" s="1"/>
  <c r="EE77" i="1"/>
  <c r="DX77" i="1" s="1"/>
  <c r="BJ77" i="1" s="1"/>
  <c r="BZ157" i="1"/>
  <c r="CS157" i="1"/>
  <c r="CK153" i="1"/>
  <c r="EO3" i="1"/>
  <c r="EH4" i="1"/>
  <c r="EA4" i="1" s="1"/>
  <c r="BM4" i="1" s="1"/>
  <c r="EH94" i="1"/>
  <c r="EA94" i="1" s="1"/>
  <c r="BM94" i="1" s="1"/>
  <c r="CK149" i="1"/>
  <c r="EG121" i="1"/>
  <c r="DZ121" i="1" s="1"/>
  <c r="BL121" i="1" s="1"/>
  <c r="EF92" i="1"/>
  <c r="DY92" i="1" s="1"/>
  <c r="BK92" i="1" s="1"/>
  <c r="EF98" i="1"/>
  <c r="DY98" i="1" s="1"/>
  <c r="BK98" i="1" s="1"/>
  <c r="EG118" i="1"/>
  <c r="DZ118" i="1" s="1"/>
  <c r="BL118" i="1" s="1"/>
  <c r="EH25" i="1"/>
  <c r="EA25" i="1" s="1"/>
  <c r="BM25" i="1" s="1"/>
  <c r="EE6" i="1"/>
  <c r="DX6" i="1" s="1"/>
  <c r="BJ6" i="1" s="1"/>
  <c r="EE119" i="1"/>
  <c r="DX119" i="1" s="1"/>
  <c r="BJ119" i="1" s="1"/>
  <c r="DN76" i="1"/>
  <c r="DT76" i="1"/>
  <c r="BH76" i="1"/>
  <c r="CQ76" i="1"/>
  <c r="DJ76" i="1"/>
  <c r="DH76" i="1"/>
  <c r="DL76" i="1" s="1"/>
  <c r="EJ97" i="1"/>
  <c r="EC97" i="1" s="1"/>
  <c r="BO97" i="1" s="1"/>
  <c r="EH13" i="1"/>
  <c r="EA13" i="1" s="1"/>
  <c r="BM13" i="1" s="1"/>
  <c r="B61" i="1"/>
  <c r="AY61" i="1"/>
  <c r="CK61" i="1"/>
  <c r="EE14" i="1"/>
  <c r="DX14" i="1" s="1"/>
  <c r="BJ14" i="1" s="1"/>
  <c r="CK16" i="1"/>
  <c r="B16" i="1"/>
  <c r="AY16" i="1"/>
  <c r="EJ101" i="1"/>
  <c r="EC101" i="1" s="1"/>
  <c r="BO101" i="1" s="1"/>
  <c r="CB101" i="1" s="1"/>
  <c r="EE121" i="1"/>
  <c r="DX121" i="1" s="1"/>
  <c r="BJ121" i="1" s="1"/>
  <c r="EE150" i="1"/>
  <c r="DX150" i="1" s="1"/>
  <c r="BJ150" i="1" s="1"/>
  <c r="BX150" i="1" s="1"/>
  <c r="DO182" i="1"/>
  <c r="DK182" i="1"/>
  <c r="DU182" i="1"/>
  <c r="DI182" i="1"/>
  <c r="EE10" i="1"/>
  <c r="DX10" i="1" s="1"/>
  <c r="BJ10" i="1" s="1"/>
  <c r="DU160" i="1"/>
  <c r="DI160" i="1"/>
  <c r="DK160" i="1"/>
  <c r="DO160" i="1"/>
  <c r="EJ98" i="1"/>
  <c r="EC98" i="1" s="1"/>
  <c r="BO98" i="1" s="1"/>
  <c r="EG95" i="1"/>
  <c r="DZ95" i="1" s="1"/>
  <c r="BL95" i="1" s="1"/>
  <c r="BZ180" i="1"/>
  <c r="CS180" i="1"/>
  <c r="EE109" i="1"/>
  <c r="DX109" i="1" s="1"/>
  <c r="BJ109" i="1" s="1"/>
  <c r="CK144" i="1"/>
  <c r="EF101" i="1"/>
  <c r="DY101" i="1" s="1"/>
  <c r="BK101" i="1" s="1"/>
  <c r="AY47" i="1"/>
  <c r="B47" i="1"/>
  <c r="CK47" i="1"/>
  <c r="CK139" i="1"/>
  <c r="EF124" i="1"/>
  <c r="DY124" i="1" s="1"/>
  <c r="BK124" i="1" s="1"/>
  <c r="EH14" i="1"/>
  <c r="EA14" i="1" s="1"/>
  <c r="BM14" i="1" s="1"/>
  <c r="CK34" i="1"/>
  <c r="B34" i="1"/>
  <c r="AY34" i="1"/>
  <c r="EJ104" i="1"/>
  <c r="EC104" i="1" s="1"/>
  <c r="BO104" i="1" s="1"/>
  <c r="EH107" i="1"/>
  <c r="EA107" i="1" s="1"/>
  <c r="BM107" i="1" s="1"/>
  <c r="CK12" i="1"/>
  <c r="B12" i="1"/>
  <c r="AY12" i="1"/>
  <c r="DJ78" i="1"/>
  <c r="DT78" i="1"/>
  <c r="DH78" i="1"/>
  <c r="CQ78" i="1"/>
  <c r="BH78" i="1"/>
  <c r="DN78" i="1"/>
  <c r="DV78" i="1" s="1"/>
  <c r="EE107" i="1"/>
  <c r="DX107" i="1" s="1"/>
  <c r="BJ107" i="1" s="1"/>
  <c r="EG98" i="1"/>
  <c r="DZ98" i="1" s="1"/>
  <c r="BL98" i="1" s="1"/>
  <c r="AY8" i="1"/>
  <c r="B8" i="1"/>
  <c r="CK8" i="1"/>
  <c r="B76" i="1"/>
  <c r="AY76" i="1"/>
  <c r="CK76" i="1"/>
  <c r="EE151" i="1"/>
  <c r="EG123" i="1"/>
  <c r="DZ123" i="1" s="1"/>
  <c r="BL123" i="1" s="1"/>
  <c r="EE123" i="1"/>
  <c r="DX123" i="1" s="1"/>
  <c r="BJ123" i="1" s="1"/>
  <c r="EG125" i="1"/>
  <c r="DZ125" i="1" s="1"/>
  <c r="BL125" i="1" s="1"/>
  <c r="BZ125" i="1" s="1"/>
  <c r="BH153" i="1"/>
  <c r="CQ153" i="1"/>
  <c r="DN153" i="1"/>
  <c r="DJ153" i="1"/>
  <c r="DT153" i="1"/>
  <c r="DH153" i="1"/>
  <c r="EF93" i="1"/>
  <c r="DY93" i="1" s="1"/>
  <c r="BK93" i="1" s="1"/>
  <c r="CU158" i="1"/>
  <c r="CB158" i="1"/>
  <c r="EE13" i="1"/>
  <c r="DX13" i="1" s="1"/>
  <c r="BJ13" i="1" s="1"/>
  <c r="EJ106" i="1"/>
  <c r="EC106" i="1" s="1"/>
  <c r="BO106" i="1" s="1"/>
  <c r="EF85" i="1"/>
  <c r="DY85" i="1" s="1"/>
  <c r="BK85" i="1" s="1"/>
  <c r="EM84" i="1"/>
  <c r="CK156" i="1"/>
  <c r="EE22" i="1"/>
  <c r="DX22" i="1" s="1"/>
  <c r="BJ22" i="1" s="1"/>
  <c r="EH118" i="1"/>
  <c r="EA118" i="1" s="1"/>
  <c r="BM118" i="1" s="1"/>
  <c r="B23" i="1"/>
  <c r="AY23" i="1"/>
  <c r="CK23" i="1"/>
  <c r="EF117" i="1"/>
  <c r="DY117" i="1" s="1"/>
  <c r="BK117" i="1" s="1"/>
  <c r="BS58" i="1"/>
  <c r="BT58" i="1" s="1"/>
  <c r="C58" i="1"/>
  <c r="EF99" i="1"/>
  <c r="DY99" i="1" s="1"/>
  <c r="BK99" i="1" s="1"/>
  <c r="EH22" i="1"/>
  <c r="EA22" i="1" s="1"/>
  <c r="BM22" i="1" s="1"/>
  <c r="CM157" i="1"/>
  <c r="EJ113" i="1"/>
  <c r="EC113" i="1" s="1"/>
  <c r="BO113" i="1" s="1"/>
  <c r="EE97" i="1"/>
  <c r="DX97" i="1" s="1"/>
  <c r="BJ97" i="1" s="1"/>
  <c r="DO184" i="1"/>
  <c r="DW184" i="1" s="1"/>
  <c r="DU184" i="1"/>
  <c r="DI184" i="1"/>
  <c r="DK184" i="1"/>
  <c r="EE127" i="1"/>
  <c r="DX127" i="1" s="1"/>
  <c r="BJ127" i="1" s="1"/>
  <c r="DJ142" i="1"/>
  <c r="CQ142" i="1"/>
  <c r="DN142" i="1"/>
  <c r="DT142" i="1"/>
  <c r="BX142" i="1"/>
  <c r="DH142" i="1"/>
  <c r="BH142" i="1"/>
  <c r="EH31" i="1"/>
  <c r="EA31" i="1" s="1"/>
  <c r="BM31" i="1" s="1"/>
  <c r="EE152" i="1"/>
  <c r="DX152" i="1" s="1"/>
  <c r="BJ152" i="1" s="1"/>
  <c r="CM159" i="1"/>
  <c r="DU162" i="1"/>
  <c r="DK162" i="1"/>
  <c r="DO162" i="1"/>
  <c r="DI162" i="1"/>
  <c r="DL162" i="1" s="1"/>
  <c r="CQ162" i="1"/>
  <c r="BH162" i="1"/>
  <c r="BI163" i="1" s="1"/>
  <c r="CS159" i="1"/>
  <c r="BZ159" i="1"/>
  <c r="EE145" i="1"/>
  <c r="DX145" i="1" s="1"/>
  <c r="BJ145" i="1" s="1"/>
  <c r="EL136" i="1"/>
  <c r="CA159" i="1" l="1"/>
  <c r="DL31" i="1"/>
  <c r="ES178" i="1"/>
  <c r="DW48" i="1"/>
  <c r="ES48" i="1" s="1"/>
  <c r="BS86" i="1"/>
  <c r="BT75" i="1"/>
  <c r="BS113" i="1"/>
  <c r="DV79" i="1"/>
  <c r="DM171" i="1"/>
  <c r="DV174" i="1"/>
  <c r="DW147" i="1"/>
  <c r="DV158" i="1"/>
  <c r="DW172" i="1"/>
  <c r="ES172" i="1" s="1"/>
  <c r="CA179" i="1"/>
  <c r="DL186" i="1"/>
  <c r="DV4" i="1"/>
  <c r="ES4" i="1" s="1"/>
  <c r="DV76" i="1"/>
  <c r="DW174" i="1"/>
  <c r="CC48" i="1"/>
  <c r="DV186" i="1"/>
  <c r="ES186" i="1" s="1"/>
  <c r="DV185" i="1"/>
  <c r="ES185" i="1" s="1"/>
  <c r="DW177" i="1"/>
  <c r="BQ124" i="1"/>
  <c r="DV25" i="1"/>
  <c r="DL32" i="1"/>
  <c r="CP153" i="1"/>
  <c r="BX61" i="1"/>
  <c r="CY61" i="1" s="1"/>
  <c r="DW141" i="1"/>
  <c r="DV5" i="1"/>
  <c r="ES5" i="1" s="1"/>
  <c r="DW151" i="1"/>
  <c r="DQ45" i="1"/>
  <c r="CA144" i="1"/>
  <c r="BS101" i="1"/>
  <c r="BU25" i="1"/>
  <c r="DV175" i="1"/>
  <c r="DS4" i="1"/>
  <c r="CA155" i="1"/>
  <c r="DQ46" i="1"/>
  <c r="DV156" i="1"/>
  <c r="CA60" i="1"/>
  <c r="DW149" i="1"/>
  <c r="DW139" i="1"/>
  <c r="BI139" i="1"/>
  <c r="BI58" i="1"/>
  <c r="DW20" i="1"/>
  <c r="DW6" i="1"/>
  <c r="DW144" i="1"/>
  <c r="BX73" i="1"/>
  <c r="ET73" i="1" s="1"/>
  <c r="CV6" i="1"/>
  <c r="DM182" i="1"/>
  <c r="DR105" i="1"/>
  <c r="CB123" i="1"/>
  <c r="DV71" i="1"/>
  <c r="CB37" i="1"/>
  <c r="BI24" i="1"/>
  <c r="BI23" i="1"/>
  <c r="DV144" i="1"/>
  <c r="BI188" i="1"/>
  <c r="BZ37" i="1"/>
  <c r="DV176" i="1"/>
  <c r="ES176" i="1" s="1"/>
  <c r="DW146" i="1"/>
  <c r="DW182" i="1"/>
  <c r="ES182" i="1" s="1"/>
  <c r="BS91" i="1"/>
  <c r="DS143" i="1"/>
  <c r="BU15" i="1"/>
  <c r="BU113" i="1"/>
  <c r="DS37" i="1"/>
  <c r="BX33" i="1"/>
  <c r="DV177" i="1"/>
  <c r="BI78" i="1"/>
  <c r="DW173" i="1"/>
  <c r="ES173" i="1" s="1"/>
  <c r="DP25" i="1"/>
  <c r="DV70" i="1"/>
  <c r="BU85" i="1"/>
  <c r="DL141" i="1"/>
  <c r="DW8" i="1"/>
  <c r="DQ189" i="1"/>
  <c r="BQ25" i="1"/>
  <c r="BX126" i="1"/>
  <c r="DV73" i="1"/>
  <c r="BS35" i="1"/>
  <c r="DV159" i="1"/>
  <c r="BY180" i="1"/>
  <c r="DV6" i="1"/>
  <c r="BZ98" i="1"/>
  <c r="DW179" i="1"/>
  <c r="ES179" i="1" s="1"/>
  <c r="DV35" i="1"/>
  <c r="DV77" i="1"/>
  <c r="DV37" i="1"/>
  <c r="AY136" i="1"/>
  <c r="DV32" i="1"/>
  <c r="DV33" i="1"/>
  <c r="CB125" i="1"/>
  <c r="DR145" i="1"/>
  <c r="BZ34" i="1"/>
  <c r="ES188" i="1"/>
  <c r="DL47" i="1"/>
  <c r="DW167" i="1"/>
  <c r="ES167" i="1" s="1"/>
  <c r="DV38" i="1"/>
  <c r="DV34" i="1"/>
  <c r="BQ176" i="1"/>
  <c r="CW176" i="1" s="1"/>
  <c r="DV75" i="1"/>
  <c r="DV145" i="1"/>
  <c r="ES145" i="1" s="1"/>
  <c r="DV148" i="1"/>
  <c r="ES148" i="1" s="1"/>
  <c r="DV36" i="1"/>
  <c r="DL185" i="1"/>
  <c r="DV63" i="1"/>
  <c r="E60" i="1"/>
  <c r="DW47" i="1"/>
  <c r="DW11" i="1"/>
  <c r="DM6" i="1"/>
  <c r="DW154" i="1"/>
  <c r="E79" i="1"/>
  <c r="E17" i="1"/>
  <c r="DL38" i="1"/>
  <c r="DS187" i="1"/>
  <c r="DW166" i="1"/>
  <c r="ES166" i="1" s="1"/>
  <c r="CB109" i="1"/>
  <c r="CC139" i="1"/>
  <c r="DQ27" i="1"/>
  <c r="BI15" i="1"/>
  <c r="CC75" i="1"/>
  <c r="DP58" i="1"/>
  <c r="DV140" i="1"/>
  <c r="ES140" i="1" s="1"/>
  <c r="DV139" i="1"/>
  <c r="CA177" i="1"/>
  <c r="DW170" i="1"/>
  <c r="ES170" i="1" s="1"/>
  <c r="DV74" i="1"/>
  <c r="DM72" i="1"/>
  <c r="CC143" i="1"/>
  <c r="BS97" i="1"/>
  <c r="BI142" i="1"/>
  <c r="BU6" i="1"/>
  <c r="DR101" i="1"/>
  <c r="CY150" i="1"/>
  <c r="BZ25" i="1"/>
  <c r="BX77" i="1"/>
  <c r="CY77" i="1" s="1"/>
  <c r="BX158" i="1"/>
  <c r="CY158" i="1" s="1"/>
  <c r="CP179" i="1"/>
  <c r="DM186" i="1"/>
  <c r="BQ154" i="1"/>
  <c r="CW154" i="1" s="1"/>
  <c r="BX64" i="1"/>
  <c r="BY65" i="1" s="1"/>
  <c r="BS21" i="1"/>
  <c r="CC160" i="1"/>
  <c r="BX27" i="1"/>
  <c r="DL189" i="1"/>
  <c r="BX156" i="1"/>
  <c r="ET156" i="1" s="1"/>
  <c r="BX88" i="1"/>
  <c r="BX71" i="1"/>
  <c r="CY71" i="1" s="1"/>
  <c r="ET141" i="1"/>
  <c r="E13" i="1"/>
  <c r="ET144" i="1"/>
  <c r="CA71" i="1"/>
  <c r="CP28" i="1"/>
  <c r="CA63" i="1"/>
  <c r="BI34" i="1"/>
  <c r="CC59" i="1"/>
  <c r="BX19" i="1"/>
  <c r="CA188" i="1"/>
  <c r="CV20" i="1"/>
  <c r="CC73" i="1"/>
  <c r="DM25" i="1"/>
  <c r="DP27" i="1"/>
  <c r="DQ18" i="1"/>
  <c r="CA174" i="1"/>
  <c r="DW164" i="1"/>
  <c r="ES164" i="1" s="1"/>
  <c r="DV28" i="1"/>
  <c r="DP33" i="1"/>
  <c r="DW158" i="1"/>
  <c r="DS19" i="1"/>
  <c r="CB87" i="1"/>
  <c r="DQ30" i="1"/>
  <c r="DW72" i="1"/>
  <c r="CA140" i="1"/>
  <c r="DV150" i="1"/>
  <c r="ES150" i="1" s="1"/>
  <c r="DL146" i="1"/>
  <c r="DQ172" i="1"/>
  <c r="BX91" i="1"/>
  <c r="DV142" i="1"/>
  <c r="ES142" i="1" s="1"/>
  <c r="DW76" i="1"/>
  <c r="BZ119" i="1"/>
  <c r="BU87" i="1"/>
  <c r="DV146" i="1"/>
  <c r="DW13" i="1"/>
  <c r="DM19" i="1"/>
  <c r="DM4" i="1"/>
  <c r="DW77" i="1"/>
  <c r="DV47" i="1"/>
  <c r="DW75" i="1"/>
  <c r="DV147" i="1"/>
  <c r="DW165" i="1"/>
  <c r="ES165" i="1" s="1"/>
  <c r="DW14" i="1"/>
  <c r="E4" i="1"/>
  <c r="BZ38" i="1"/>
  <c r="CP18" i="1"/>
  <c r="BI29" i="1"/>
  <c r="BI30" i="1"/>
  <c r="CB20" i="1"/>
  <c r="DQ14" i="1"/>
  <c r="DV10" i="1"/>
  <c r="CC60" i="1"/>
  <c r="DS30" i="1"/>
  <c r="CP139" i="1"/>
  <c r="CP38" i="1"/>
  <c r="CP187" i="1"/>
  <c r="CV28" i="1"/>
  <c r="CA166" i="1"/>
  <c r="DP59" i="1"/>
  <c r="DS171" i="1"/>
  <c r="DM36" i="1"/>
  <c r="DW33" i="1"/>
  <c r="DW160" i="1"/>
  <c r="ES160" i="1" s="1"/>
  <c r="CA178" i="1"/>
  <c r="DP32" i="1"/>
  <c r="DS46" i="1"/>
  <c r="DM46" i="1"/>
  <c r="DV72" i="1"/>
  <c r="DV14" i="1"/>
  <c r="DM187" i="1"/>
  <c r="DW152" i="1"/>
  <c r="BZ97" i="1"/>
  <c r="BX99" i="1"/>
  <c r="BX22" i="1"/>
  <c r="DR121" i="1"/>
  <c r="BS120" i="1"/>
  <c r="BZ11" i="1"/>
  <c r="CB124" i="1"/>
  <c r="BX148" i="1"/>
  <c r="CY148" i="1" s="1"/>
  <c r="CP27" i="1"/>
  <c r="BZ124" i="1"/>
  <c r="CA125" i="1" s="1"/>
  <c r="E48" i="1"/>
  <c r="BQ174" i="1"/>
  <c r="CW174" i="1" s="1"/>
  <c r="BX155" i="1"/>
  <c r="ET155" i="1" s="1"/>
  <c r="BU126" i="1"/>
  <c r="BZ87" i="1"/>
  <c r="BZ19" i="1"/>
  <c r="CP152" i="1"/>
  <c r="CB23" i="1"/>
  <c r="E57" i="1"/>
  <c r="BQ29" i="1"/>
  <c r="E14" i="1"/>
  <c r="CA79" i="1"/>
  <c r="BU109" i="1"/>
  <c r="DW157" i="1"/>
  <c r="ES157" i="1" s="1"/>
  <c r="DP141" i="1"/>
  <c r="DW171" i="1"/>
  <c r="ES171" i="1" s="1"/>
  <c r="CC63" i="1"/>
  <c r="BI149" i="1"/>
  <c r="BI73" i="1"/>
  <c r="DW153" i="1"/>
  <c r="DV31" i="1"/>
  <c r="DV141" i="1"/>
  <c r="CV15" i="1"/>
  <c r="DW37" i="1"/>
  <c r="BX113" i="1"/>
  <c r="BS37" i="1"/>
  <c r="DW78" i="1"/>
  <c r="ES78" i="1" s="1"/>
  <c r="DR95" i="1"/>
  <c r="DW159" i="1"/>
  <c r="CC141" i="1"/>
  <c r="CA78" i="1"/>
  <c r="BX166" i="1"/>
  <c r="ET166" i="1" s="1"/>
  <c r="BX25" i="1"/>
  <c r="DQ171" i="1"/>
  <c r="DV143" i="1"/>
  <c r="ES143" i="1" s="1"/>
  <c r="DS60" i="1"/>
  <c r="DS182" i="1"/>
  <c r="DM143" i="1"/>
  <c r="DW169" i="1"/>
  <c r="ES169" i="1" s="1"/>
  <c r="DM35" i="1"/>
  <c r="DP145" i="1"/>
  <c r="BQ61" i="1"/>
  <c r="CW61" i="1" s="1"/>
  <c r="DQ143" i="1"/>
  <c r="DL164" i="1"/>
  <c r="DV45" i="1"/>
  <c r="ES45" i="1" s="1"/>
  <c r="E78" i="1"/>
  <c r="DP6" i="1"/>
  <c r="DW175" i="1"/>
  <c r="CA146" i="1"/>
  <c r="DQ13" i="1"/>
  <c r="BQ73" i="1"/>
  <c r="CW73" i="1" s="1"/>
  <c r="CC181" i="1"/>
  <c r="DV20" i="1"/>
  <c r="DS16" i="1"/>
  <c r="DL14" i="1"/>
  <c r="BX5" i="1"/>
  <c r="DW31" i="1"/>
  <c r="DV18" i="1"/>
  <c r="DQ24" i="1"/>
  <c r="DQ175" i="1"/>
  <c r="DQ16" i="1"/>
  <c r="DW79" i="1"/>
  <c r="BX60" i="1"/>
  <c r="ET60" i="1" s="1"/>
  <c r="DP8" i="1"/>
  <c r="CC180" i="1"/>
  <c r="DV11" i="1"/>
  <c r="DP74" i="1"/>
  <c r="DR143" i="1"/>
  <c r="DW34" i="1"/>
  <c r="BQ91" i="1"/>
  <c r="DQ139" i="1"/>
  <c r="DM139" i="1"/>
  <c r="CY160" i="1"/>
  <c r="BS112" i="1"/>
  <c r="DL77" i="1"/>
  <c r="BI176" i="1"/>
  <c r="BI25" i="1"/>
  <c r="E70" i="1"/>
  <c r="DP48" i="1"/>
  <c r="DS28" i="1"/>
  <c r="CC142" i="1"/>
  <c r="BX164" i="1"/>
  <c r="CY164" i="1" s="1"/>
  <c r="DP146" i="1"/>
  <c r="DM28" i="1"/>
  <c r="BS10" i="1"/>
  <c r="BX29" i="1"/>
  <c r="CV11" i="1"/>
  <c r="DV9" i="1"/>
  <c r="ES9" i="1" s="1"/>
  <c r="DV155" i="1"/>
  <c r="DP62" i="1"/>
  <c r="DL58" i="1"/>
  <c r="BX174" i="1"/>
  <c r="CY174" i="1" s="1"/>
  <c r="DW19" i="1"/>
  <c r="BX119" i="1"/>
  <c r="CB32" i="1"/>
  <c r="DR60" i="1"/>
  <c r="DW155" i="1"/>
  <c r="DW156" i="1"/>
  <c r="BI144" i="1"/>
  <c r="DR98" i="1"/>
  <c r="BS111" i="1"/>
  <c r="CY179" i="1"/>
  <c r="BQ74" i="1"/>
  <c r="CW74" i="1" s="1"/>
  <c r="E33" i="1"/>
  <c r="DP169" i="1"/>
  <c r="DL74" i="1"/>
  <c r="DV29" i="1"/>
  <c r="DS72" i="1"/>
  <c r="BZ36" i="1"/>
  <c r="DS141" i="1"/>
  <c r="DQ155" i="1"/>
  <c r="DL145" i="1"/>
  <c r="CC144" i="1"/>
  <c r="BI177" i="1"/>
  <c r="DQ6" i="1"/>
  <c r="BX74" i="1"/>
  <c r="CY74" i="1" s="1"/>
  <c r="BQ148" i="1"/>
  <c r="CW148" i="1" s="1"/>
  <c r="DS6" i="1"/>
  <c r="DS27" i="1"/>
  <c r="BQ155" i="1"/>
  <c r="CW155" i="1" s="1"/>
  <c r="BS124" i="1"/>
  <c r="CC148" i="1"/>
  <c r="BS11" i="1"/>
  <c r="BS119" i="1"/>
  <c r="BQ33" i="1"/>
  <c r="CC183" i="1"/>
  <c r="E71" i="1"/>
  <c r="BX172" i="1"/>
  <c r="ET172" i="1" s="1"/>
  <c r="BZ35" i="1"/>
  <c r="BS98" i="1"/>
  <c r="BI75" i="1"/>
  <c r="DR111" i="1"/>
  <c r="BZ105" i="1"/>
  <c r="BI72" i="1"/>
  <c r="BI156" i="1"/>
  <c r="BZ17" i="1"/>
  <c r="DR128" i="1"/>
  <c r="BQ108" i="1"/>
  <c r="CP5" i="1"/>
  <c r="DP77" i="1"/>
  <c r="DM183" i="1"/>
  <c r="BX36" i="1"/>
  <c r="BX57" i="1"/>
  <c r="BY57" i="1" s="1"/>
  <c r="DW61" i="1"/>
  <c r="BS36" i="1"/>
  <c r="CB94" i="1"/>
  <c r="BS8" i="1"/>
  <c r="DL169" i="1"/>
  <c r="CB111" i="1"/>
  <c r="CP147" i="1"/>
  <c r="E18" i="1"/>
  <c r="BS34" i="1"/>
  <c r="DP177" i="1"/>
  <c r="DP185" i="1"/>
  <c r="DM172" i="1"/>
  <c r="DL176" i="1"/>
  <c r="DP45" i="1"/>
  <c r="CA145" i="1"/>
  <c r="DQ28" i="1"/>
  <c r="BS87" i="1"/>
  <c r="CP31" i="1"/>
  <c r="E20" i="1"/>
  <c r="DR182" i="1"/>
  <c r="BU101" i="1"/>
  <c r="CV19" i="1"/>
  <c r="DW22" i="1"/>
  <c r="BU123" i="1"/>
  <c r="DQ19" i="1"/>
  <c r="DL37" i="1"/>
  <c r="CA151" i="1"/>
  <c r="CB6" i="1"/>
  <c r="BZ29" i="1"/>
  <c r="DS24" i="1"/>
  <c r="DM12" i="1"/>
  <c r="CA48" i="1"/>
  <c r="BI63" i="1"/>
  <c r="DP47" i="1"/>
  <c r="DQ183" i="1"/>
  <c r="DS172" i="1"/>
  <c r="DS145" i="1"/>
  <c r="DP153" i="1"/>
  <c r="DQ159" i="1"/>
  <c r="BS19" i="1"/>
  <c r="DQ187" i="1"/>
  <c r="CC140" i="1"/>
  <c r="DL6" i="1"/>
  <c r="BI175" i="1"/>
  <c r="DW23" i="1"/>
  <c r="DM45" i="1"/>
  <c r="BI33" i="1"/>
  <c r="CB15" i="1"/>
  <c r="CC15" i="1" s="1"/>
  <c r="DM30" i="1"/>
  <c r="DL25" i="1"/>
  <c r="DM27" i="1"/>
  <c r="BX168" i="1"/>
  <c r="CY168" i="1" s="1"/>
  <c r="CZ168" i="1" s="1"/>
  <c r="BX95" i="1"/>
  <c r="DQ4" i="1"/>
  <c r="BS17" i="1"/>
  <c r="DL167" i="1"/>
  <c r="DQ182" i="1"/>
  <c r="DM145" i="1"/>
  <c r="DS45" i="1"/>
  <c r="DR152" i="1"/>
  <c r="E23" i="1"/>
  <c r="DL78" i="1"/>
  <c r="CP61" i="1"/>
  <c r="BX92" i="1"/>
  <c r="DM174" i="1"/>
  <c r="E5" i="1"/>
  <c r="CP7" i="1"/>
  <c r="DR116" i="1"/>
  <c r="DV154" i="1"/>
  <c r="BZ129" i="1"/>
  <c r="BZ32" i="1"/>
  <c r="DW161" i="1"/>
  <c r="ES161" i="1" s="1"/>
  <c r="CP145" i="1"/>
  <c r="ES181" i="1"/>
  <c r="DR59" i="1"/>
  <c r="CP58" i="1"/>
  <c r="E21" i="1"/>
  <c r="CP13" i="1"/>
  <c r="CC157" i="1"/>
  <c r="DR30" i="1"/>
  <c r="BR166" i="1"/>
  <c r="BS102" i="1"/>
  <c r="DP178" i="1"/>
  <c r="BQ115" i="1"/>
  <c r="DM71" i="1"/>
  <c r="BU128" i="1"/>
  <c r="BX4" i="1"/>
  <c r="E30" i="1"/>
  <c r="DR187" i="1"/>
  <c r="CC76" i="1"/>
  <c r="CP22" i="1"/>
  <c r="E28" i="1"/>
  <c r="E35" i="1"/>
  <c r="CB17" i="1"/>
  <c r="CV35" i="1"/>
  <c r="CP59" i="1"/>
  <c r="DQ77" i="1"/>
  <c r="BI10" i="1"/>
  <c r="BU95" i="1"/>
  <c r="CP62" i="1"/>
  <c r="DR26" i="1"/>
  <c r="BI184" i="1"/>
  <c r="BI186" i="1"/>
  <c r="CP175" i="1"/>
  <c r="CV30" i="1"/>
  <c r="CP188" i="1"/>
  <c r="BI174" i="1"/>
  <c r="CA183" i="1"/>
  <c r="DP29" i="1"/>
  <c r="CA189" i="1"/>
  <c r="DW63" i="1"/>
  <c r="DV22" i="1"/>
  <c r="DQ9" i="1"/>
  <c r="DW26" i="1"/>
  <c r="DV60" i="1"/>
  <c r="DS10" i="1"/>
  <c r="DV152" i="1"/>
  <c r="E10" i="1"/>
  <c r="CC62" i="1"/>
  <c r="CA61" i="1"/>
  <c r="E12" i="1"/>
  <c r="DW21" i="1"/>
  <c r="DP34" i="1"/>
  <c r="CB113" i="1"/>
  <c r="DP162" i="1"/>
  <c r="BI180" i="1"/>
  <c r="BY181" i="1"/>
  <c r="BU32" i="1"/>
  <c r="DV7" i="1"/>
  <c r="ES7" i="1" s="1"/>
  <c r="CP8" i="1"/>
  <c r="CP154" i="1"/>
  <c r="DL70" i="1"/>
  <c r="BS92" i="1"/>
  <c r="DL16" i="1"/>
  <c r="DS149" i="1"/>
  <c r="BU125" i="1"/>
  <c r="DV12" i="1"/>
  <c r="DL27" i="1"/>
  <c r="BY142" i="1"/>
  <c r="E11" i="1"/>
  <c r="CP32" i="1"/>
  <c r="CP180" i="1"/>
  <c r="BX122" i="1"/>
  <c r="E46" i="1"/>
  <c r="CP71" i="1"/>
  <c r="DP151" i="1"/>
  <c r="CP170" i="1"/>
  <c r="BU9" i="1"/>
  <c r="BU21" i="1"/>
  <c r="CP10" i="1"/>
  <c r="CM44" i="1"/>
  <c r="CM80" i="1" s="1"/>
  <c r="BI37" i="1"/>
  <c r="BX11" i="1"/>
  <c r="BU10" i="1"/>
  <c r="CP14" i="1"/>
  <c r="CP167" i="1"/>
  <c r="DV17" i="1"/>
  <c r="CP78" i="1"/>
  <c r="E6" i="1"/>
  <c r="CP176" i="1"/>
  <c r="BI5" i="1"/>
  <c r="DK3" i="1"/>
  <c r="CV8" i="1"/>
  <c r="DL4" i="1"/>
  <c r="DV23" i="1"/>
  <c r="DQ7" i="1"/>
  <c r="CV14" i="1"/>
  <c r="BX173" i="1"/>
  <c r="CY173" i="1" s="1"/>
  <c r="DP71" i="1"/>
  <c r="BQ72" i="1"/>
  <c r="CW72" i="1" s="1"/>
  <c r="CV32" i="1"/>
  <c r="CV25" i="1"/>
  <c r="BI31" i="1"/>
  <c r="BU33" i="1"/>
  <c r="CV5" i="1"/>
  <c r="DM177" i="1"/>
  <c r="DW15" i="1"/>
  <c r="DR104" i="1"/>
  <c r="BQ22" i="1"/>
  <c r="DR119" i="1"/>
  <c r="BQ111" i="1"/>
  <c r="BX108" i="1"/>
  <c r="DS155" i="1"/>
  <c r="BX78" i="1"/>
  <c r="CY78" i="1" s="1"/>
  <c r="DM164" i="1"/>
  <c r="DS159" i="1"/>
  <c r="BQ160" i="1"/>
  <c r="CW160" i="1" s="1"/>
  <c r="DR22" i="1"/>
  <c r="DR91" i="1"/>
  <c r="DR168" i="1"/>
  <c r="CB126" i="1"/>
  <c r="CB85" i="1"/>
  <c r="DR139" i="1"/>
  <c r="DL161" i="1"/>
  <c r="BU23" i="1"/>
  <c r="BQ117" i="1"/>
  <c r="BQ85" i="1"/>
  <c r="CY180" i="1"/>
  <c r="DR160" i="1"/>
  <c r="BZ30" i="1"/>
  <c r="BQ110" i="1"/>
  <c r="BZ89" i="1"/>
  <c r="BI155" i="1"/>
  <c r="BZ128" i="1"/>
  <c r="BI189" i="1"/>
  <c r="BZ9" i="1"/>
  <c r="CA156" i="1"/>
  <c r="BS12" i="1"/>
  <c r="BS18" i="1"/>
  <c r="BX62" i="1"/>
  <c r="CY62" i="1" s="1"/>
  <c r="DR31" i="1"/>
  <c r="BU117" i="1"/>
  <c r="DR17" i="1"/>
  <c r="DP158" i="1"/>
  <c r="BQ32" i="1"/>
  <c r="DS63" i="1"/>
  <c r="DW32" i="1"/>
  <c r="BU127" i="1"/>
  <c r="DL59" i="1"/>
  <c r="BI153" i="1"/>
  <c r="DR37" i="1"/>
  <c r="BQ64" i="1"/>
  <c r="BR65" i="1" s="1"/>
  <c r="DW60" i="1"/>
  <c r="BQ145" i="1"/>
  <c r="BR145" i="1" s="1"/>
  <c r="DV153" i="1"/>
  <c r="BS117" i="1"/>
  <c r="DV58" i="1"/>
  <c r="BZ118" i="1"/>
  <c r="DR130" i="1"/>
  <c r="DR87" i="1"/>
  <c r="DV149" i="1"/>
  <c r="DV151" i="1"/>
  <c r="BX120" i="1"/>
  <c r="DL73" i="1"/>
  <c r="BU96" i="1"/>
  <c r="BI17" i="1"/>
  <c r="DP63" i="1"/>
  <c r="DP21" i="1"/>
  <c r="DW58" i="1"/>
  <c r="DQ140" i="1"/>
  <c r="E58" i="1"/>
  <c r="CY144" i="1"/>
  <c r="DQ164" i="1"/>
  <c r="BQ121" i="1"/>
  <c r="BQ99" i="1"/>
  <c r="BX176" i="1"/>
  <c r="CY176" i="1" s="1"/>
  <c r="CA157" i="1"/>
  <c r="BI79" i="1"/>
  <c r="CC185" i="1"/>
  <c r="BZ130" i="1"/>
  <c r="BZ93" i="1"/>
  <c r="E15" i="1"/>
  <c r="BQ112" i="1"/>
  <c r="BZ103" i="1"/>
  <c r="BQ118" i="1"/>
  <c r="CP146" i="1"/>
  <c r="CP37" i="1"/>
  <c r="CC79" i="1"/>
  <c r="DV27" i="1"/>
  <c r="BS136" i="1"/>
  <c r="BS190" i="1" s="1"/>
  <c r="BQ156" i="1"/>
  <c r="CW156" i="1" s="1"/>
  <c r="BS9" i="1"/>
  <c r="DP189" i="1"/>
  <c r="BQ158" i="1"/>
  <c r="CW158" i="1" s="1"/>
  <c r="E74" i="1"/>
  <c r="BT46" i="1"/>
  <c r="DV46" i="1"/>
  <c r="ES46" i="1" s="1"/>
  <c r="DW74" i="1"/>
  <c r="DV59" i="1"/>
  <c r="DM17" i="1"/>
  <c r="DL34" i="1"/>
  <c r="BS107" i="1"/>
  <c r="CM136" i="1"/>
  <c r="CM190" i="1" s="1"/>
  <c r="CC159" i="1"/>
  <c r="AY44" i="1"/>
  <c r="BZ121" i="1"/>
  <c r="BS110" i="1"/>
  <c r="DW71" i="1"/>
  <c r="BU8" i="1"/>
  <c r="E59" i="1"/>
  <c r="BU129" i="1"/>
  <c r="DL181" i="1"/>
  <c r="DL61" i="1"/>
  <c r="BQ35" i="1"/>
  <c r="DR24" i="1"/>
  <c r="BX18" i="1"/>
  <c r="E45" i="1"/>
  <c r="BX79" i="1"/>
  <c r="CY79" i="1" s="1"/>
  <c r="BI19" i="1"/>
  <c r="DM153" i="1"/>
  <c r="DP23" i="1"/>
  <c r="BU36" i="1"/>
  <c r="BQ21" i="1"/>
  <c r="BX14" i="1"/>
  <c r="DL160" i="1"/>
  <c r="BI46" i="1"/>
  <c r="DR28" i="1"/>
  <c r="BS33" i="1"/>
  <c r="DR63" i="1"/>
  <c r="DR46" i="1"/>
  <c r="DP22" i="1"/>
  <c r="DM178" i="1"/>
  <c r="BY184" i="1"/>
  <c r="DL35" i="1"/>
  <c r="DV19" i="1"/>
  <c r="CV33" i="1"/>
  <c r="DR75" i="1"/>
  <c r="DM79" i="1"/>
  <c r="CP30" i="1"/>
  <c r="DR58" i="1"/>
  <c r="DW12" i="1"/>
  <c r="DP12" i="1"/>
  <c r="BU12" i="1"/>
  <c r="BU7" i="1"/>
  <c r="CP76" i="1"/>
  <c r="CB107" i="1"/>
  <c r="DP13" i="1"/>
  <c r="CA143" i="1"/>
  <c r="BS95" i="1"/>
  <c r="DR103" i="1"/>
  <c r="B44" i="1"/>
  <c r="BS16" i="1"/>
  <c r="BZ116" i="1"/>
  <c r="CP60" i="1"/>
  <c r="DR159" i="1"/>
  <c r="CP25" i="1"/>
  <c r="BQ20" i="1"/>
  <c r="BQ120" i="1"/>
  <c r="DM138" i="1"/>
  <c r="BU26" i="1"/>
  <c r="BQ34" i="1"/>
  <c r="CP186" i="1"/>
  <c r="E61" i="1"/>
  <c r="DL21" i="1"/>
  <c r="B3" i="1"/>
  <c r="BQ149" i="1"/>
  <c r="CW149" i="1" s="1"/>
  <c r="CB11" i="1"/>
  <c r="DQ31" i="1"/>
  <c r="DP16" i="1"/>
  <c r="CV21" i="1"/>
  <c r="BY178" i="1"/>
  <c r="DR184" i="1"/>
  <c r="BQ175" i="1"/>
  <c r="CW175" i="1" s="1"/>
  <c r="CA153" i="1"/>
  <c r="DL79" i="1"/>
  <c r="DS140" i="1"/>
  <c r="DM47" i="1"/>
  <c r="DV30" i="1"/>
  <c r="ET180" i="1"/>
  <c r="CB105" i="1"/>
  <c r="CV27" i="1"/>
  <c r="DM57" i="1"/>
  <c r="DV24" i="1"/>
  <c r="DR177" i="1"/>
  <c r="DM185" i="1"/>
  <c r="ET181" i="1"/>
  <c r="BS28" i="1"/>
  <c r="DP28" i="1"/>
  <c r="CY177" i="1"/>
  <c r="CP177" i="1"/>
  <c r="ES180" i="1"/>
  <c r="DR85" i="1"/>
  <c r="BS125" i="1"/>
  <c r="BQ87" i="1"/>
  <c r="BQ77" i="1"/>
  <c r="DR161" i="1"/>
  <c r="BT48" i="1"/>
  <c r="BQ103" i="1"/>
  <c r="DQ36" i="1"/>
  <c r="DS14" i="1"/>
  <c r="BQ27" i="1"/>
  <c r="BQ71" i="1"/>
  <c r="CW71" i="1" s="1"/>
  <c r="BZ107" i="1"/>
  <c r="BZ120" i="1"/>
  <c r="BQ119" i="1"/>
  <c r="BQ172" i="1"/>
  <c r="CW172" i="1" s="1"/>
  <c r="BZ112" i="1"/>
  <c r="BS105" i="1"/>
  <c r="DW73" i="1"/>
  <c r="CA58" i="1"/>
  <c r="BQ78" i="1"/>
  <c r="CW78" i="1" s="1"/>
  <c r="DW57" i="1"/>
  <c r="DP37" i="1"/>
  <c r="CA152" i="1"/>
  <c r="DW70" i="1"/>
  <c r="DS13" i="1"/>
  <c r="DP14" i="1"/>
  <c r="DW62" i="1"/>
  <c r="BX85" i="1"/>
  <c r="BQ130" i="1"/>
  <c r="DR19" i="1"/>
  <c r="CA180" i="1"/>
  <c r="CC74" i="1"/>
  <c r="CA62" i="1"/>
  <c r="DL62" i="1"/>
  <c r="BS89" i="1"/>
  <c r="BQ189" i="1"/>
  <c r="CW189" i="1" s="1"/>
  <c r="DR27" i="1"/>
  <c r="DS61" i="1"/>
  <c r="DL158" i="1"/>
  <c r="CC182" i="1"/>
  <c r="BX130" i="1"/>
  <c r="BZ95" i="1"/>
  <c r="BX87" i="1"/>
  <c r="BS27" i="1"/>
  <c r="BQ17" i="1"/>
  <c r="CP183" i="1"/>
  <c r="DL71" i="1"/>
  <c r="CP144" i="1"/>
  <c r="BZ16" i="1"/>
  <c r="CP158" i="1"/>
  <c r="E77" i="1"/>
  <c r="DL152" i="1"/>
  <c r="DP142" i="1"/>
  <c r="BQ12" i="1"/>
  <c r="BT74" i="1"/>
  <c r="CP24" i="1"/>
  <c r="DV61" i="1"/>
  <c r="CB122" i="1"/>
  <c r="BX72" i="1"/>
  <c r="CY72" i="1" s="1"/>
  <c r="CP171" i="1"/>
  <c r="BX104" i="1"/>
  <c r="DR120" i="1"/>
  <c r="DP73" i="1"/>
  <c r="E29" i="1"/>
  <c r="DL179" i="1"/>
  <c r="BQ169" i="1"/>
  <c r="CW169" i="1" s="1"/>
  <c r="CB96" i="1"/>
  <c r="CP151" i="1"/>
  <c r="CP142" i="1"/>
  <c r="CP15" i="1"/>
  <c r="E9" i="1"/>
  <c r="DP171" i="1"/>
  <c r="BY139" i="1"/>
  <c r="BU105" i="1"/>
  <c r="CP63" i="1"/>
  <c r="DR138" i="1"/>
  <c r="BZ6" i="1"/>
  <c r="BX70" i="1"/>
  <c r="CY70" i="1" s="1"/>
  <c r="CZ70" i="1" s="1"/>
  <c r="BI16" i="1"/>
  <c r="CB26" i="1"/>
  <c r="CP178" i="1"/>
  <c r="BX34" i="1"/>
  <c r="CV22" i="1"/>
  <c r="CP79" i="1"/>
  <c r="BI18" i="1"/>
  <c r="CA186" i="1"/>
  <c r="DV57" i="1"/>
  <c r="DL63" i="1"/>
  <c r="CP34" i="1"/>
  <c r="C44" i="1"/>
  <c r="DS5" i="1"/>
  <c r="CC145" i="1"/>
  <c r="DW25" i="1"/>
  <c r="DW30" i="1"/>
  <c r="DQ20" i="1"/>
  <c r="DM23" i="1"/>
  <c r="DQ17" i="1"/>
  <c r="BX149" i="1"/>
  <c r="BU11" i="1"/>
  <c r="CP23" i="1"/>
  <c r="BI170" i="1"/>
  <c r="DL170" i="1"/>
  <c r="DP157" i="1"/>
  <c r="CY138" i="1"/>
  <c r="BI32" i="1"/>
  <c r="CP35" i="1"/>
  <c r="DV21" i="1"/>
  <c r="CB33" i="1"/>
  <c r="CA75" i="1"/>
  <c r="C136" i="1"/>
  <c r="DW18" i="1"/>
  <c r="DQ149" i="1"/>
  <c r="DM11" i="1"/>
  <c r="DL184" i="1"/>
  <c r="CA154" i="1"/>
  <c r="DS48" i="1"/>
  <c r="CP46" i="1"/>
  <c r="DP79" i="1"/>
  <c r="CB88" i="1"/>
  <c r="DS47" i="1"/>
  <c r="CA139" i="1"/>
  <c r="BI143" i="1"/>
  <c r="CA160" i="1"/>
  <c r="BX111" i="1"/>
  <c r="DR164" i="1"/>
  <c r="CP48" i="1"/>
  <c r="BZ111" i="1"/>
  <c r="BX128" i="1"/>
  <c r="CV24" i="1"/>
  <c r="DR108" i="1"/>
  <c r="CP72" i="1"/>
  <c r="BZ10" i="1"/>
  <c r="CV17" i="1"/>
  <c r="DM155" i="1"/>
  <c r="ET179" i="1"/>
  <c r="DR183" i="1"/>
  <c r="BQ36" i="1"/>
  <c r="BQ57" i="1"/>
  <c r="BR57" i="1" s="1"/>
  <c r="BU94" i="1"/>
  <c r="CP184" i="1"/>
  <c r="DW29" i="1"/>
  <c r="CA176" i="1"/>
  <c r="DQ154" i="1"/>
  <c r="DQ60" i="1"/>
  <c r="DR172" i="1"/>
  <c r="DS175" i="1"/>
  <c r="DL153" i="1"/>
  <c r="DP176" i="1"/>
  <c r="BI26" i="1"/>
  <c r="BU35" i="1"/>
  <c r="DL45" i="1"/>
  <c r="CV31" i="1"/>
  <c r="BI22" i="1"/>
  <c r="BI178" i="1"/>
  <c r="CV23" i="1"/>
  <c r="BI185" i="1"/>
  <c r="DQ35" i="1"/>
  <c r="DL48" i="1"/>
  <c r="BQ60" i="1"/>
  <c r="CW60" i="1" s="1"/>
  <c r="CC72" i="1"/>
  <c r="DL8" i="1"/>
  <c r="CC138" i="1"/>
  <c r="BT76" i="1"/>
  <c r="BI14" i="1"/>
  <c r="DS58" i="1"/>
  <c r="DR117" i="1"/>
  <c r="BX145" i="1"/>
  <c r="DP76" i="1"/>
  <c r="DL17" i="1"/>
  <c r="DP17" i="1"/>
  <c r="CA168" i="1"/>
  <c r="CA167" i="1"/>
  <c r="DS8" i="1"/>
  <c r="DQ8" i="1"/>
  <c r="DQ10" i="1"/>
  <c r="DM10" i="1"/>
  <c r="CB100" i="1"/>
  <c r="BU100" i="1"/>
  <c r="DW28" i="1"/>
  <c r="BU44" i="1"/>
  <c r="BU81" i="1" s="1"/>
  <c r="DM62" i="1"/>
  <c r="DS62" i="1"/>
  <c r="DQ62" i="1"/>
  <c r="DS29" i="1"/>
  <c r="DQ29" i="1"/>
  <c r="DR29" i="1"/>
  <c r="DM29" i="1"/>
  <c r="DL12" i="1"/>
  <c r="CB36" i="1"/>
  <c r="BX75" i="1"/>
  <c r="CY189" i="1"/>
  <c r="DQ58" i="1"/>
  <c r="CP33" i="1"/>
  <c r="BQ63" i="1"/>
  <c r="CW63" i="1" s="1"/>
  <c r="BZ114" i="1"/>
  <c r="BS114" i="1"/>
  <c r="BI145" i="1"/>
  <c r="BI146" i="1"/>
  <c r="DL36" i="1"/>
  <c r="DP36" i="1"/>
  <c r="BU90" i="1"/>
  <c r="CB90" i="1"/>
  <c r="CC57" i="1"/>
  <c r="CC58" i="1"/>
  <c r="BX102" i="1"/>
  <c r="DR102" i="1"/>
  <c r="DM26" i="1"/>
  <c r="DS26" i="1"/>
  <c r="DQ26" i="1"/>
  <c r="BX153" i="1"/>
  <c r="CY153" i="1" s="1"/>
  <c r="BQ153" i="1"/>
  <c r="CW153" i="1" s="1"/>
  <c r="DM34" i="1"/>
  <c r="DS34" i="1"/>
  <c r="CB89" i="1"/>
  <c r="BU89" i="1"/>
  <c r="DM33" i="1"/>
  <c r="DQ33" i="1"/>
  <c r="DR33" i="1"/>
  <c r="DS15" i="1"/>
  <c r="DQ15" i="1"/>
  <c r="DM15" i="1"/>
  <c r="CB22" i="1"/>
  <c r="BU22" i="1"/>
  <c r="CB120" i="1"/>
  <c r="BU120" i="1"/>
  <c r="DP35" i="1"/>
  <c r="E22" i="1"/>
  <c r="DP5" i="1"/>
  <c r="DL7" i="1"/>
  <c r="DP160" i="1"/>
  <c r="BQ28" i="1"/>
  <c r="DS79" i="1"/>
  <c r="DQ34" i="1"/>
  <c r="BQ102" i="1"/>
  <c r="CA142" i="1"/>
  <c r="DS33" i="1"/>
  <c r="DM162" i="1"/>
  <c r="DQ162" i="1"/>
  <c r="DP159" i="1"/>
  <c r="DL159" i="1"/>
  <c r="BQ146" i="1"/>
  <c r="BX146" i="1"/>
  <c r="CY146" i="1" s="1"/>
  <c r="DR146" i="1"/>
  <c r="BZ108" i="1"/>
  <c r="BS108" i="1"/>
  <c r="DR154" i="1"/>
  <c r="BX154" i="1"/>
  <c r="CY154" i="1" s="1"/>
  <c r="BQ48" i="1"/>
  <c r="BR49" i="1" s="1"/>
  <c r="BX48" i="1"/>
  <c r="DR48" i="1"/>
  <c r="BQ58" i="1"/>
  <c r="BX58" i="1"/>
  <c r="DP150" i="1"/>
  <c r="DL150" i="1"/>
  <c r="BQ109" i="1"/>
  <c r="BX109" i="1"/>
  <c r="DR109" i="1"/>
  <c r="DQ161" i="1"/>
  <c r="DM161" i="1"/>
  <c r="DR106" i="1"/>
  <c r="BX106" i="1"/>
  <c r="BQ106" i="1"/>
  <c r="DR7" i="1"/>
  <c r="BT139" i="1"/>
  <c r="CW139" i="1"/>
  <c r="CC178" i="1"/>
  <c r="CC179" i="1"/>
  <c r="BQ173" i="1"/>
  <c r="BU4" i="1"/>
  <c r="CB4" i="1"/>
  <c r="CP57" i="1"/>
  <c r="CB130" i="1"/>
  <c r="BU130" i="1"/>
  <c r="DL188" i="1"/>
  <c r="DP188" i="1"/>
  <c r="BX20" i="1"/>
  <c r="CB19" i="1"/>
  <c r="BU19" i="1"/>
  <c r="DM157" i="1"/>
  <c r="DS157" i="1"/>
  <c r="DQ157" i="1"/>
  <c r="DM181" i="1"/>
  <c r="DQ181" i="1"/>
  <c r="DR181" i="1"/>
  <c r="CP6" i="1"/>
  <c r="BU106" i="1"/>
  <c r="CB106" i="1"/>
  <c r="BI35" i="1"/>
  <c r="DR25" i="1"/>
  <c r="DQ25" i="1"/>
  <c r="CA150" i="1"/>
  <c r="CA149" i="1"/>
  <c r="DQ177" i="1"/>
  <c r="DS177" i="1"/>
  <c r="DS185" i="1"/>
  <c r="DQ185" i="1"/>
  <c r="CY181" i="1"/>
  <c r="CA182" i="1"/>
  <c r="CA181" i="1"/>
  <c r="DL10" i="1"/>
  <c r="DP10" i="1"/>
  <c r="BI160" i="1"/>
  <c r="BI161" i="1"/>
  <c r="DM31" i="1"/>
  <c r="DS31" i="1"/>
  <c r="CP181" i="1"/>
  <c r="BQ38" i="1"/>
  <c r="BX38" i="1"/>
  <c r="ET178" i="1"/>
  <c r="DM184" i="1"/>
  <c r="DS184" i="1"/>
  <c r="DQ184" i="1"/>
  <c r="DL19" i="1"/>
  <c r="DP19" i="1"/>
  <c r="CA72" i="1"/>
  <c r="BT47" i="1"/>
  <c r="CB30" i="1"/>
  <c r="BU30" i="1"/>
  <c r="CP172" i="1"/>
  <c r="DP15" i="1"/>
  <c r="DL15" i="1"/>
  <c r="BU93" i="1"/>
  <c r="CB93" i="1"/>
  <c r="BX169" i="1"/>
  <c r="CY169" i="1" s="1"/>
  <c r="CC61" i="1"/>
  <c r="BQ31" i="1"/>
  <c r="BX110" i="1"/>
  <c r="BX31" i="1"/>
  <c r="BQ19" i="1"/>
  <c r="CA175" i="1"/>
  <c r="BQ104" i="1"/>
  <c r="CY141" i="1"/>
  <c r="DR61" i="1"/>
  <c r="BX101" i="1"/>
  <c r="CA187" i="1"/>
  <c r="BS6" i="1"/>
  <c r="BZ21" i="1"/>
  <c r="DL171" i="1"/>
  <c r="BS25" i="1"/>
  <c r="CP75" i="1"/>
  <c r="BI71" i="1"/>
  <c r="BU5" i="1"/>
  <c r="BQ79" i="1"/>
  <c r="CW79" i="1" s="1"/>
  <c r="DR140" i="1"/>
  <c r="CV37" i="1"/>
  <c r="BQ75" i="1"/>
  <c r="CW75" i="1" s="1"/>
  <c r="DQ48" i="1"/>
  <c r="CP174" i="1"/>
  <c r="BX32" i="1"/>
  <c r="CA76" i="1"/>
  <c r="CP26" i="1"/>
  <c r="BX28" i="1"/>
  <c r="CB127" i="1"/>
  <c r="BZ12" i="1"/>
  <c r="DV8" i="1"/>
  <c r="CC147" i="1"/>
  <c r="BS38" i="1"/>
  <c r="DM9" i="1"/>
  <c r="DS160" i="1"/>
  <c r="DM160" i="1"/>
  <c r="DQ160" i="1"/>
  <c r="DQ186" i="1"/>
  <c r="DS186" i="1"/>
  <c r="BQ94" i="1"/>
  <c r="BX94" i="1"/>
  <c r="DR94" i="1"/>
  <c r="DR156" i="1"/>
  <c r="DL143" i="1"/>
  <c r="DP143" i="1"/>
  <c r="BI148" i="1"/>
  <c r="DL148" i="1"/>
  <c r="DP148" i="1"/>
  <c r="BQ113" i="1"/>
  <c r="DR113" i="1"/>
  <c r="BZ99" i="1"/>
  <c r="BS99" i="1"/>
  <c r="BQ8" i="1"/>
  <c r="BX8" i="1"/>
  <c r="DP144" i="1"/>
  <c r="DL144" i="1"/>
  <c r="DL156" i="1"/>
  <c r="DP156" i="1"/>
  <c r="BZ123" i="1"/>
  <c r="BS123" i="1"/>
  <c r="CA161" i="1"/>
  <c r="CA162" i="1"/>
  <c r="DL165" i="1"/>
  <c r="DP165" i="1"/>
  <c r="DM146" i="1"/>
  <c r="DQ146" i="1"/>
  <c r="DS146" i="1"/>
  <c r="BS104" i="1"/>
  <c r="BZ104" i="1"/>
  <c r="CB12" i="1"/>
  <c r="DQ63" i="1"/>
  <c r="DM63" i="1"/>
  <c r="BX159" i="1"/>
  <c r="ET159" i="1" s="1"/>
  <c r="BQ159" i="1"/>
  <c r="CW159" i="1" s="1"/>
  <c r="BQ96" i="1"/>
  <c r="BX89" i="1"/>
  <c r="BQ89" i="1"/>
  <c r="CB7" i="1"/>
  <c r="BT62" i="1"/>
  <c r="BQ185" i="1"/>
  <c r="BX185" i="1"/>
  <c r="BS15" i="1"/>
  <c r="B84" i="1"/>
  <c r="DQ147" i="1"/>
  <c r="DR147" i="1"/>
  <c r="DS147" i="1"/>
  <c r="DS36" i="1"/>
  <c r="DR36" i="1"/>
  <c r="DR57" i="1"/>
  <c r="DW24" i="1"/>
  <c r="CB9" i="1"/>
  <c r="DQ22" i="1"/>
  <c r="DM22" i="1"/>
  <c r="DS22" i="1"/>
  <c r="DP172" i="1"/>
  <c r="DL172" i="1"/>
  <c r="DL11" i="1"/>
  <c r="CW137" i="1"/>
  <c r="BT138" i="1"/>
  <c r="BU13" i="1"/>
  <c r="BX175" i="1"/>
  <c r="CY175" i="1" s="1"/>
  <c r="DR175" i="1"/>
  <c r="DL26" i="1"/>
  <c r="BZ28" i="1"/>
  <c r="DL28" i="1"/>
  <c r="E76" i="1"/>
  <c r="DP9" i="1"/>
  <c r="DL9" i="1"/>
  <c r="DV13" i="1"/>
  <c r="DR14" i="1"/>
  <c r="BU122" i="1"/>
  <c r="DM20" i="1"/>
  <c r="DS57" i="1"/>
  <c r="DM14" i="1"/>
  <c r="CA138" i="1"/>
  <c r="DR173" i="1"/>
  <c r="DM48" i="1"/>
  <c r="BU20" i="1"/>
  <c r="DR185" i="1"/>
  <c r="BS30" i="1"/>
  <c r="BT73" i="1"/>
  <c r="ET139" i="1"/>
  <c r="DS162" i="1"/>
  <c r="BU88" i="1"/>
  <c r="BQ150" i="1"/>
  <c r="CW150" i="1" s="1"/>
  <c r="DQ11" i="1"/>
  <c r="DM149" i="1"/>
  <c r="DL166" i="1"/>
  <c r="BZ27" i="1"/>
  <c r="CA74" i="1"/>
  <c r="CB117" i="1"/>
  <c r="DQ61" i="1"/>
  <c r="DS18" i="1"/>
  <c r="CP47" i="1"/>
  <c r="CP16" i="1"/>
  <c r="BS116" i="1"/>
  <c r="DP152" i="1"/>
  <c r="CV38" i="1"/>
  <c r="CP20" i="1"/>
  <c r="BI74" i="1"/>
  <c r="BY179" i="1"/>
  <c r="BI162" i="1"/>
  <c r="DR110" i="1"/>
  <c r="DR62" i="1"/>
  <c r="DR20" i="1"/>
  <c r="BZ15" i="1"/>
  <c r="BX12" i="1"/>
  <c r="DS25" i="1"/>
  <c r="DQ57" i="1"/>
  <c r="DR89" i="1"/>
  <c r="DP26" i="1"/>
  <c r="DS20" i="1"/>
  <c r="BQ101" i="1"/>
  <c r="BX161" i="1"/>
  <c r="CY161" i="1" s="1"/>
  <c r="BX96" i="1"/>
  <c r="DR88" i="1"/>
  <c r="DM18" i="1"/>
  <c r="BQ70" i="1"/>
  <c r="BR70" i="1" s="1"/>
  <c r="BT63" i="1"/>
  <c r="BX117" i="1"/>
  <c r="CY139" i="1"/>
  <c r="DR96" i="1"/>
  <c r="BQ88" i="1"/>
  <c r="BS128" i="1"/>
  <c r="CB13" i="1"/>
  <c r="CC14" i="1" s="1"/>
  <c r="DR12" i="1"/>
  <c r="DM147" i="1"/>
  <c r="DS181" i="1"/>
  <c r="BQ5" i="1"/>
  <c r="DR64" i="1"/>
  <c r="CY178" i="1"/>
  <c r="DP170" i="1"/>
  <c r="DS138" i="1"/>
  <c r="DS161" i="1"/>
  <c r="BQ62" i="1"/>
  <c r="DP179" i="1"/>
  <c r="DR5" i="1"/>
  <c r="BX17" i="1"/>
  <c r="DL33" i="1"/>
  <c r="DQ138" i="1"/>
  <c r="DL157" i="1"/>
  <c r="DS78" i="1"/>
  <c r="DM78" i="1"/>
  <c r="DQ78" i="1"/>
  <c r="BX103" i="1"/>
  <c r="BX114" i="1"/>
  <c r="BQ114" i="1"/>
  <c r="DR114" i="1"/>
  <c r="DR149" i="1"/>
  <c r="DQ75" i="1"/>
  <c r="DM75" i="1"/>
  <c r="DS75" i="1"/>
  <c r="DQ167" i="1"/>
  <c r="DM167" i="1"/>
  <c r="BZ18" i="1"/>
  <c r="DM165" i="1"/>
  <c r="DS165" i="1"/>
  <c r="BQ98" i="1"/>
  <c r="BX98" i="1"/>
  <c r="BX147" i="1"/>
  <c r="BQ147" i="1"/>
  <c r="CP141" i="1"/>
  <c r="DQ72" i="1"/>
  <c r="DR72" i="1"/>
  <c r="CP73" i="1"/>
  <c r="CV4" i="1"/>
  <c r="DP186" i="1"/>
  <c r="BI171" i="1"/>
  <c r="ES138" i="1"/>
  <c r="ET138" i="1"/>
  <c r="BZ91" i="1"/>
  <c r="BZ8" i="1"/>
  <c r="BU111" i="1"/>
  <c r="BS29" i="1"/>
  <c r="DM24" i="1"/>
  <c r="BI12" i="1"/>
  <c r="DM5" i="1"/>
  <c r="DQ23" i="1"/>
  <c r="DS23" i="1"/>
  <c r="ET177" i="1"/>
  <c r="DL177" i="1"/>
  <c r="BS14" i="1"/>
  <c r="BZ14" i="1"/>
  <c r="BI172" i="1"/>
  <c r="DS17" i="1"/>
  <c r="DM16" i="1"/>
  <c r="DV26" i="1"/>
  <c r="CP182" i="1"/>
  <c r="DR34" i="1"/>
  <c r="DQ12" i="1"/>
  <c r="DM141" i="1"/>
  <c r="DQ141" i="1"/>
  <c r="DS35" i="1"/>
  <c r="DM60" i="1"/>
  <c r="BU124" i="1"/>
  <c r="CA77" i="1"/>
  <c r="BX121" i="1"/>
  <c r="CC71" i="1"/>
  <c r="BI179" i="1"/>
  <c r="DM13" i="1"/>
  <c r="CA59" i="1"/>
  <c r="BQ95" i="1"/>
  <c r="DR78" i="1"/>
  <c r="DR155" i="1"/>
  <c r="DM140" i="1"/>
  <c r="DP38" i="1"/>
  <c r="CB35" i="1"/>
  <c r="DS183" i="1"/>
  <c r="DR99" i="1"/>
  <c r="DR141" i="1"/>
  <c r="DS167" i="1"/>
  <c r="DM154" i="1"/>
  <c r="DQ5" i="1"/>
  <c r="DS12" i="1"/>
  <c r="CA170" i="1"/>
  <c r="DL137" i="1"/>
  <c r="DL142" i="1"/>
  <c r="DP184" i="1"/>
  <c r="DM159" i="1"/>
  <c r="DS154" i="1"/>
  <c r="BQ128" i="1"/>
  <c r="DV15" i="1"/>
  <c r="BT77" i="1"/>
  <c r="E26" i="1"/>
  <c r="DM175" i="1"/>
  <c r="DQ47" i="1"/>
  <c r="DS11" i="1"/>
  <c r="BQ93" i="1"/>
  <c r="BU118" i="1"/>
  <c r="CB38" i="1"/>
  <c r="BU121" i="1"/>
  <c r="CP29" i="1"/>
  <c r="DW17" i="1"/>
  <c r="BQ123" i="1"/>
  <c r="BQ100" i="1"/>
  <c r="DW16" i="1"/>
  <c r="BJ44" i="1"/>
  <c r="CU3" i="1"/>
  <c r="BS31" i="1"/>
  <c r="CW165" i="1"/>
  <c r="BZ110" i="1"/>
  <c r="DJ44" i="1"/>
  <c r="DR167" i="1"/>
  <c r="DR122" i="1"/>
  <c r="CB25" i="1"/>
  <c r="BM3" i="1"/>
  <c r="DR150" i="1"/>
  <c r="BI152" i="1"/>
  <c r="CP166" i="1"/>
  <c r="CB121" i="1"/>
  <c r="DL5" i="1"/>
  <c r="DL23" i="1"/>
  <c r="DP7" i="1"/>
  <c r="DW59" i="1"/>
  <c r="CB92" i="1"/>
  <c r="BO84" i="1"/>
  <c r="DH136" i="1"/>
  <c r="DH191" i="1" s="1"/>
  <c r="CC186" i="1"/>
  <c r="DR97" i="1"/>
  <c r="BS100" i="1"/>
  <c r="DR100" i="1"/>
  <c r="CP21" i="1"/>
  <c r="BI141" i="1"/>
  <c r="E37" i="1"/>
  <c r="BU38" i="1"/>
  <c r="CB8" i="1"/>
  <c r="BQ186" i="1"/>
  <c r="CW186" i="1" s="1"/>
  <c r="CS3" i="1"/>
  <c r="DV62" i="1"/>
  <c r="E24" i="1"/>
  <c r="E31" i="1"/>
  <c r="E72" i="1"/>
  <c r="CV29" i="1"/>
  <c r="CB129" i="1"/>
  <c r="DL173" i="1"/>
  <c r="CV12" i="1"/>
  <c r="DW27" i="1"/>
  <c r="DP11" i="1"/>
  <c r="DW35" i="1"/>
  <c r="DR123" i="1"/>
  <c r="EE84" i="1"/>
  <c r="EF84" i="1"/>
  <c r="CB110" i="1"/>
  <c r="CP156" i="1"/>
  <c r="BZ13" i="1"/>
  <c r="CP160" i="1"/>
  <c r="E25" i="1"/>
  <c r="CP36" i="1"/>
  <c r="CB119" i="1"/>
  <c r="CP140" i="1"/>
  <c r="CP189" i="1"/>
  <c r="E27" i="1"/>
  <c r="E36" i="1"/>
  <c r="BX127" i="1"/>
  <c r="BI157" i="1"/>
  <c r="CU44" i="1"/>
  <c r="DP181" i="1"/>
  <c r="BZ31" i="1"/>
  <c r="DP155" i="1"/>
  <c r="E19" i="1"/>
  <c r="BX105" i="1"/>
  <c r="BI1" i="1"/>
  <c r="CP185" i="1"/>
  <c r="DR13" i="1"/>
  <c r="CP9" i="1"/>
  <c r="CV26" i="1"/>
  <c r="CP155" i="1"/>
  <c r="E63" i="1"/>
  <c r="D3" i="1"/>
  <c r="DP61" i="1"/>
  <c r="BI167" i="1"/>
  <c r="E7" i="1"/>
  <c r="E32" i="1"/>
  <c r="CP159" i="1"/>
  <c r="E62" i="1"/>
  <c r="BZ7" i="1"/>
  <c r="CP143" i="1"/>
  <c r="E75" i="1"/>
  <c r="CP11" i="1"/>
  <c r="BZ22" i="1"/>
  <c r="E8" i="1"/>
  <c r="CP77" i="1"/>
  <c r="CV10" i="1"/>
  <c r="CP12" i="1"/>
  <c r="DW36" i="1"/>
  <c r="CV18" i="1"/>
  <c r="ET183" i="1"/>
  <c r="DI3" i="1"/>
  <c r="DI40" i="1" s="1"/>
  <c r="CV34" i="1"/>
  <c r="BX24" i="1"/>
  <c r="CA171" i="1"/>
  <c r="BZ88" i="1"/>
  <c r="CS44" i="1"/>
  <c r="CV13" i="1"/>
  <c r="CO44" i="1"/>
  <c r="E38" i="1"/>
  <c r="DR18" i="1"/>
  <c r="CB114" i="1"/>
  <c r="BT61" i="1"/>
  <c r="CP148" i="1"/>
  <c r="DR79" i="1"/>
  <c r="D44" i="1"/>
  <c r="CP19" i="1"/>
  <c r="BX21" i="1"/>
  <c r="BQ14" i="1"/>
  <c r="CP138" i="1"/>
  <c r="BI8" i="1"/>
  <c r="CV16" i="1"/>
  <c r="CP169" i="1"/>
  <c r="BZ33" i="1"/>
  <c r="BX63" i="1"/>
  <c r="E34" i="1"/>
  <c r="DW38" i="1"/>
  <c r="DL22" i="1"/>
  <c r="BT60" i="1"/>
  <c r="DR178" i="1"/>
  <c r="DS156" i="1"/>
  <c r="DQ79" i="1"/>
  <c r="DQ144" i="1"/>
  <c r="DM58" i="1"/>
  <c r="CP173" i="1"/>
  <c r="DP140" i="1"/>
  <c r="E47" i="1"/>
  <c r="CP137" i="1"/>
  <c r="CB5" i="1"/>
  <c r="DL13" i="1"/>
  <c r="BQ125" i="1"/>
  <c r="DR125" i="1"/>
  <c r="CC156" i="1"/>
  <c r="CC155" i="1"/>
  <c r="BV42" i="1"/>
  <c r="BV43" i="1"/>
  <c r="CB102" i="1"/>
  <c r="CC102" i="1" s="1"/>
  <c r="BU102" i="1"/>
  <c r="BU27" i="1"/>
  <c r="CB27" i="1"/>
  <c r="DM158" i="1"/>
  <c r="DR158" i="1"/>
  <c r="BS20" i="1"/>
  <c r="BZ20" i="1"/>
  <c r="DY6" i="1"/>
  <c r="BK6" i="1" s="1"/>
  <c r="BK3" i="1" s="1"/>
  <c r="EF3" i="1"/>
  <c r="DM76" i="1"/>
  <c r="DS76" i="1"/>
  <c r="CV36" i="1"/>
  <c r="BQ162" i="1"/>
  <c r="BX162" i="1"/>
  <c r="CY162" i="1" s="1"/>
  <c r="DR162" i="1"/>
  <c r="E73" i="1"/>
  <c r="BX157" i="1"/>
  <c r="CY157" i="1" s="1"/>
  <c r="BQ157" i="1"/>
  <c r="CW157" i="1" s="1"/>
  <c r="BS26" i="1"/>
  <c r="BZ26" i="1"/>
  <c r="CB104" i="1"/>
  <c r="BU104" i="1"/>
  <c r="DL139" i="1"/>
  <c r="DP139" i="1"/>
  <c r="DR171" i="1"/>
  <c r="BQ171" i="1"/>
  <c r="BX171" i="1"/>
  <c r="ET171" i="1" s="1"/>
  <c r="DM166" i="1"/>
  <c r="DQ166" i="1"/>
  <c r="DR166" i="1"/>
  <c r="CA47" i="1"/>
  <c r="BZ44" i="1"/>
  <c r="BZ81" i="1" s="1"/>
  <c r="CP149" i="1"/>
  <c r="BU91" i="1"/>
  <c r="CB91" i="1"/>
  <c r="BU34" i="1"/>
  <c r="CB34" i="1"/>
  <c r="DP46" i="1"/>
  <c r="DL46" i="1"/>
  <c r="BI7" i="1"/>
  <c r="BI6" i="1"/>
  <c r="CA147" i="1"/>
  <c r="CA148" i="1"/>
  <c r="DM169" i="1"/>
  <c r="DQ169" i="1"/>
  <c r="DQ38" i="1"/>
  <c r="DS38" i="1"/>
  <c r="BU14" i="1"/>
  <c r="DL57" i="1"/>
  <c r="DL24" i="1"/>
  <c r="BX35" i="1"/>
  <c r="DR35" i="1"/>
  <c r="CQ3" i="1"/>
  <c r="CV7" i="1"/>
  <c r="CS1" i="1"/>
  <c r="DM70" i="1"/>
  <c r="DS70" i="1"/>
  <c r="DQ70" i="1"/>
  <c r="DK44" i="1"/>
  <c r="DR70" i="1"/>
  <c r="DK81" i="1"/>
  <c r="DL154" i="1"/>
  <c r="DP154" i="1"/>
  <c r="DM74" i="1"/>
  <c r="DS74" i="1"/>
  <c r="DR74" i="1"/>
  <c r="DQ74" i="1"/>
  <c r="BZ90" i="1"/>
  <c r="BS90" i="1"/>
  <c r="DS151" i="1"/>
  <c r="DQ151" i="1"/>
  <c r="DM151" i="1"/>
  <c r="BI60" i="1"/>
  <c r="BI59" i="1"/>
  <c r="DJ80" i="1"/>
  <c r="DJ81" i="1"/>
  <c r="DS59" i="1"/>
  <c r="DQ59" i="1"/>
  <c r="DM59" i="1"/>
  <c r="DS9" i="1"/>
  <c r="DK40" i="1"/>
  <c r="DK39" i="1"/>
  <c r="DS21" i="1"/>
  <c r="DR21" i="1"/>
  <c r="DQ21" i="1"/>
  <c r="DS32" i="1"/>
  <c r="DM32" i="1"/>
  <c r="DQ32" i="1"/>
  <c r="DR32" i="1"/>
  <c r="DP174" i="1"/>
  <c r="DL174" i="1"/>
  <c r="BZ5" i="1"/>
  <c r="BS5" i="1"/>
  <c r="CB29" i="1"/>
  <c r="BU29" i="1"/>
  <c r="DI44" i="1"/>
  <c r="DI80" i="1" s="1"/>
  <c r="DP60" i="1"/>
  <c r="DL60" i="1"/>
  <c r="CA164" i="1"/>
  <c r="CA165" i="1"/>
  <c r="DM8" i="1"/>
  <c r="DR8" i="1"/>
  <c r="DM7" i="1"/>
  <c r="DJ39" i="1"/>
  <c r="DS7" i="1"/>
  <c r="DS153" i="1"/>
  <c r="DQ153" i="1"/>
  <c r="DR153" i="1"/>
  <c r="DL30" i="1"/>
  <c r="DP30" i="1"/>
  <c r="DP20" i="1"/>
  <c r="DL20" i="1"/>
  <c r="BU86" i="1"/>
  <c r="DP31" i="1"/>
  <c r="DV16" i="1"/>
  <c r="DJ190" i="1"/>
  <c r="DJ191" i="1"/>
  <c r="DQ142" i="1"/>
  <c r="CL42" i="1"/>
  <c r="CM42" i="1"/>
  <c r="BU108" i="1"/>
  <c r="CB108" i="1"/>
  <c r="BS126" i="1"/>
  <c r="BZ126" i="1"/>
  <c r="DP75" i="1"/>
  <c r="DL75" i="1"/>
  <c r="DQ176" i="1"/>
  <c r="DS176" i="1"/>
  <c r="DR176" i="1"/>
  <c r="BQ163" i="1"/>
  <c r="BR164" i="1" s="1"/>
  <c r="BX163" i="1"/>
  <c r="CY163" i="1" s="1"/>
  <c r="DR163" i="1"/>
  <c r="DL72" i="1"/>
  <c r="DP72" i="1"/>
  <c r="CO136" i="1"/>
  <c r="CO190" i="1" s="1"/>
  <c r="CP150" i="1"/>
  <c r="BI158" i="1"/>
  <c r="BI159" i="1"/>
  <c r="DL187" i="1"/>
  <c r="DP187" i="1"/>
  <c r="BQ76" i="1"/>
  <c r="BX76" i="1"/>
  <c r="CY76" i="1" s="1"/>
  <c r="DR76" i="1"/>
  <c r="CB112" i="1"/>
  <c r="BU112" i="1"/>
  <c r="CB103" i="1"/>
  <c r="BU103" i="1"/>
  <c r="CB24" i="1"/>
  <c r="BU24" i="1"/>
  <c r="BQ23" i="1"/>
  <c r="DR23" i="1"/>
  <c r="BI182" i="1"/>
  <c r="BI181" i="1"/>
  <c r="DS73" i="1"/>
  <c r="DQ73" i="1"/>
  <c r="DR73" i="1"/>
  <c r="CP74" i="1"/>
  <c r="DP182" i="1"/>
  <c r="DL182" i="1"/>
  <c r="CC46" i="1"/>
  <c r="CB44" i="1"/>
  <c r="CB81" i="1" s="1"/>
  <c r="CC47" i="1"/>
  <c r="DR129" i="1"/>
  <c r="BQ129" i="1"/>
  <c r="BX188" i="1"/>
  <c r="DR188" i="1"/>
  <c r="BH134" i="1"/>
  <c r="DP175" i="1"/>
  <c r="DL175" i="1"/>
  <c r="BY138" i="1"/>
  <c r="CY137" i="1"/>
  <c r="ET137" i="1"/>
  <c r="BX90" i="1"/>
  <c r="BQ90" i="1"/>
  <c r="DR90" i="1"/>
  <c r="DQ188" i="1"/>
  <c r="DM188" i="1"/>
  <c r="DS188" i="1"/>
  <c r="BT79" i="1"/>
  <c r="BT78" i="1"/>
  <c r="E16" i="1"/>
  <c r="CB21" i="1"/>
  <c r="DL178" i="1"/>
  <c r="BI187" i="1"/>
  <c r="EI3" i="1"/>
  <c r="BQ105" i="1"/>
  <c r="BS103" i="1"/>
  <c r="DR127" i="1"/>
  <c r="BQ127" i="1"/>
  <c r="BX187" i="1"/>
  <c r="ET187" i="1" s="1"/>
  <c r="BX125" i="1"/>
  <c r="CY183" i="1"/>
  <c r="DM73" i="1"/>
  <c r="BI166" i="1"/>
  <c r="BH3" i="1"/>
  <c r="BU37" i="1"/>
  <c r="CB10" i="1"/>
  <c r="DM21" i="1"/>
  <c r="DQ76" i="1"/>
  <c r="DP24" i="1"/>
  <c r="BQ167" i="1"/>
  <c r="BR168" i="1" s="1"/>
  <c r="BQ187" i="1"/>
  <c r="CW187" i="1" s="1"/>
  <c r="BX13" i="1"/>
  <c r="CV9" i="1"/>
  <c r="BX112" i="1"/>
  <c r="DP4" i="1"/>
  <c r="BS13" i="1"/>
  <c r="DL29" i="1"/>
  <c r="BU114" i="1"/>
  <c r="BQ18" i="1"/>
  <c r="DR186" i="1"/>
  <c r="DR38" i="1"/>
  <c r="DL155" i="1"/>
  <c r="DP173" i="1"/>
  <c r="BM84" i="1"/>
  <c r="CP4" i="1"/>
  <c r="CK3" i="1"/>
  <c r="CK39" i="1" s="1"/>
  <c r="BX115" i="1"/>
  <c r="DR115" i="1"/>
  <c r="BX86" i="1"/>
  <c r="BQ86" i="1"/>
  <c r="ET140" i="1"/>
  <c r="CY140" i="1"/>
  <c r="BY141" i="1"/>
  <c r="BQ11" i="1"/>
  <c r="DR11" i="1"/>
  <c r="CP17" i="1"/>
  <c r="DY47" i="1"/>
  <c r="BK47" i="1" s="1"/>
  <c r="EF44" i="1"/>
  <c r="BU116" i="1"/>
  <c r="CB116" i="1"/>
  <c r="BI62" i="1"/>
  <c r="BI61" i="1"/>
  <c r="CB16" i="1"/>
  <c r="BU16" i="1"/>
  <c r="DM180" i="1"/>
  <c r="BS24" i="1"/>
  <c r="BZ24" i="1"/>
  <c r="DR179" i="1"/>
  <c r="DQ179" i="1"/>
  <c r="DS179" i="1"/>
  <c r="DM179" i="1"/>
  <c r="BY182" i="1"/>
  <c r="ET182" i="1"/>
  <c r="CY182" i="1"/>
  <c r="BY183" i="1"/>
  <c r="BU18" i="1"/>
  <c r="CB18" i="1"/>
  <c r="CB28" i="1"/>
  <c r="BU28" i="1"/>
  <c r="DZ4" i="1"/>
  <c r="BL4" i="1" s="1"/>
  <c r="BL3" i="1" s="1"/>
  <c r="EG3" i="1"/>
  <c r="DQ173" i="1"/>
  <c r="DS173" i="1"/>
  <c r="DM173" i="1"/>
  <c r="DM137" i="1"/>
  <c r="DQ137" i="1"/>
  <c r="DR137" i="1"/>
  <c r="BI173" i="1"/>
  <c r="DS77" i="1"/>
  <c r="BU110" i="1"/>
  <c r="BQ122" i="1"/>
  <c r="DR86" i="1"/>
  <c r="BQ13" i="1"/>
  <c r="EH84" i="1"/>
  <c r="EJ3" i="1"/>
  <c r="BX186" i="1"/>
  <c r="ET186" i="1" s="1"/>
  <c r="BI140" i="1"/>
  <c r="BX26" i="1"/>
  <c r="BI11" i="1"/>
  <c r="BU119" i="1"/>
  <c r="BI183" i="1"/>
  <c r="DH3" i="1"/>
  <c r="DH39" i="1" s="1"/>
  <c r="BX23" i="1"/>
  <c r="BY140" i="1"/>
  <c r="CB128" i="1"/>
  <c r="CM3" i="1"/>
  <c r="DK80" i="1"/>
  <c r="BI38" i="1"/>
  <c r="CA46" i="1"/>
  <c r="DS137" i="1"/>
  <c r="BI21" i="1"/>
  <c r="BU17" i="1"/>
  <c r="BK84" i="1"/>
  <c r="BS96" i="1"/>
  <c r="BZ96" i="1"/>
  <c r="DM170" i="1"/>
  <c r="DQ170" i="1"/>
  <c r="BN84" i="1"/>
  <c r="CB97" i="1"/>
  <c r="BQ4" i="1"/>
  <c r="DR4" i="1"/>
  <c r="BS115" i="1"/>
  <c r="BZ115" i="1"/>
  <c r="BZ122" i="1"/>
  <c r="BS122" i="1"/>
  <c r="BZ23" i="1"/>
  <c r="BS23" i="1"/>
  <c r="DR45" i="1"/>
  <c r="BX45" i="1"/>
  <c r="CY45" i="1" s="1"/>
  <c r="BQ45" i="1"/>
  <c r="CW45" i="1" s="1"/>
  <c r="CC77" i="1"/>
  <c r="CC78" i="1"/>
  <c r="BQ16" i="1"/>
  <c r="BX16" i="1"/>
  <c r="DR16" i="1"/>
  <c r="DP180" i="1"/>
  <c r="DL180" i="1"/>
  <c r="BX37" i="1"/>
  <c r="BQ37" i="1"/>
  <c r="BI39" i="1"/>
  <c r="CB98" i="1"/>
  <c r="BU98" i="1"/>
  <c r="DR15" i="1"/>
  <c r="BX15" i="1"/>
  <c r="BQ15" i="1"/>
  <c r="CB115" i="1"/>
  <c r="BU115" i="1"/>
  <c r="CA185" i="1"/>
  <c r="CA184" i="1"/>
  <c r="BI27" i="1"/>
  <c r="BI28" i="1"/>
  <c r="DR169" i="1"/>
  <c r="DP147" i="1"/>
  <c r="CA158" i="1"/>
  <c r="CB95" i="1"/>
  <c r="DM77" i="1"/>
  <c r="DR92" i="1"/>
  <c r="BS22" i="1"/>
  <c r="DR71" i="1"/>
  <c r="BX100" i="1"/>
  <c r="BH1" i="1"/>
  <c r="DJ40" i="1"/>
  <c r="BX129" i="1"/>
  <c r="DR77" i="1"/>
  <c r="BZ86" i="1"/>
  <c r="BS7" i="1"/>
  <c r="DJ3" i="1"/>
  <c r="DP57" i="1"/>
  <c r="DR157" i="1"/>
  <c r="CR1" i="1"/>
  <c r="BO3" i="1"/>
  <c r="DL151" i="1"/>
  <c r="DS166" i="1"/>
  <c r="DM38" i="1"/>
  <c r="BQ26" i="1"/>
  <c r="BX7" i="1"/>
  <c r="BQ7" i="1"/>
  <c r="CS136" i="1"/>
  <c r="CA172" i="1"/>
  <c r="CA173" i="1"/>
  <c r="DP18" i="1"/>
  <c r="DL18" i="1"/>
  <c r="BQ46" i="1"/>
  <c r="CW46" i="1" s="1"/>
  <c r="BX46" i="1"/>
  <c r="CY46" i="1" s="1"/>
  <c r="DL149" i="1"/>
  <c r="DP149" i="1"/>
  <c r="DQ37" i="1"/>
  <c r="CB86" i="1"/>
  <c r="ES187" i="1"/>
  <c r="EI84" i="1"/>
  <c r="BI9" i="1"/>
  <c r="DM144" i="1"/>
  <c r="BU92" i="1"/>
  <c r="BU107" i="1"/>
  <c r="DQ178" i="1"/>
  <c r="DR144" i="1"/>
  <c r="DM156" i="1"/>
  <c r="DS178" i="1"/>
  <c r="BS88" i="1"/>
  <c r="BQ24" i="1"/>
  <c r="DS144" i="1"/>
  <c r="DL140" i="1"/>
  <c r="DM37" i="1"/>
  <c r="DQ156" i="1"/>
  <c r="BQ188" i="1"/>
  <c r="CW188" i="1" s="1"/>
  <c r="DZ94" i="1"/>
  <c r="BL94" i="1" s="1"/>
  <c r="EG84" i="1"/>
  <c r="CC153" i="1"/>
  <c r="CC154" i="1"/>
  <c r="DI136" i="1"/>
  <c r="DL138" i="1"/>
  <c r="DR148" i="1"/>
  <c r="DS148" i="1"/>
  <c r="DM148" i="1"/>
  <c r="CC187" i="1"/>
  <c r="CC188" i="1"/>
  <c r="BX170" i="1"/>
  <c r="DR170" i="1"/>
  <c r="BQ170" i="1"/>
  <c r="CW170" i="1" s="1"/>
  <c r="BZ101" i="1"/>
  <c r="BQ126" i="1"/>
  <c r="DX151" i="1"/>
  <c r="BJ151" i="1" s="1"/>
  <c r="EE136" i="1"/>
  <c r="DR10" i="1"/>
  <c r="BQ10" i="1"/>
  <c r="AY3" i="1"/>
  <c r="BH42" i="1"/>
  <c r="BH44" i="1"/>
  <c r="BI76" i="1"/>
  <c r="BH80" i="1"/>
  <c r="BZ106" i="1"/>
  <c r="BS106" i="1"/>
  <c r="BX9" i="1"/>
  <c r="BQ9" i="1"/>
  <c r="DR9" i="1"/>
  <c r="CY143" i="1"/>
  <c r="ET143" i="1"/>
  <c r="BS109" i="1"/>
  <c r="BZ109" i="1"/>
  <c r="DM152" i="1"/>
  <c r="DQ152" i="1"/>
  <c r="BI164" i="1"/>
  <c r="BI165" i="1"/>
  <c r="CQ136" i="1"/>
  <c r="CS134" i="1"/>
  <c r="CR134" i="1"/>
  <c r="CP157" i="1"/>
  <c r="DQ150" i="1"/>
  <c r="BS121" i="1"/>
  <c r="BZ136" i="1"/>
  <c r="BZ191" i="1" s="1"/>
  <c r="BZ117" i="1"/>
  <c r="EH3" i="1"/>
  <c r="BS32" i="1"/>
  <c r="EJ84" i="1"/>
  <c r="BI42" i="1"/>
  <c r="DP70" i="1"/>
  <c r="DR112" i="1"/>
  <c r="CB136" i="1"/>
  <c r="CB190" i="1" s="1"/>
  <c r="BX97" i="1"/>
  <c r="BQ92" i="1"/>
  <c r="DR124" i="1"/>
  <c r="BX10" i="1"/>
  <c r="BQ59" i="1"/>
  <c r="CW59" i="1" s="1"/>
  <c r="BU97" i="1"/>
  <c r="BZ113" i="1"/>
  <c r="DL147" i="1"/>
  <c r="CC158" i="1"/>
  <c r="DS142" i="1"/>
  <c r="DR142" i="1"/>
  <c r="BT59" i="1"/>
  <c r="BT42" i="1"/>
  <c r="BT43" i="1"/>
  <c r="BX107" i="1"/>
  <c r="BQ107" i="1"/>
  <c r="BS127" i="1"/>
  <c r="BZ127" i="1"/>
  <c r="CR42" i="1"/>
  <c r="CQ44" i="1"/>
  <c r="DS174" i="1"/>
  <c r="DR174" i="1"/>
  <c r="DQ174" i="1"/>
  <c r="CU136" i="1"/>
  <c r="CC184" i="1"/>
  <c r="CY184" i="1"/>
  <c r="BQ116" i="1"/>
  <c r="BX116" i="1"/>
  <c r="BI190" i="1"/>
  <c r="BI134" i="1"/>
  <c r="BI151" i="1"/>
  <c r="BI150" i="1"/>
  <c r="BH136" i="1"/>
  <c r="DP183" i="1"/>
  <c r="DL183" i="1"/>
  <c r="CK136" i="1"/>
  <c r="CK191" i="1" s="1"/>
  <c r="CM134" i="1"/>
  <c r="CL134" i="1"/>
  <c r="DM189" i="1"/>
  <c r="DR189" i="1"/>
  <c r="DR93" i="1"/>
  <c r="DM150" i="1"/>
  <c r="BS93" i="1"/>
  <c r="BJ3" i="1"/>
  <c r="CL1" i="1"/>
  <c r="DH44" i="1"/>
  <c r="DH81" i="1" s="1"/>
  <c r="BS129" i="1"/>
  <c r="EE44" i="1"/>
  <c r="BY143" i="1"/>
  <c r="BI80" i="1"/>
  <c r="BS130" i="1"/>
  <c r="BX124" i="1"/>
  <c r="BS44" i="1"/>
  <c r="BS80" i="1" s="1"/>
  <c r="EE3" i="1"/>
  <c r="BQ152" i="1"/>
  <c r="CW152" i="1" s="1"/>
  <c r="CS42" i="1"/>
  <c r="BZ92" i="1"/>
  <c r="BI154" i="1"/>
  <c r="DK136" i="1"/>
  <c r="DJ136" i="1"/>
  <c r="DP138" i="1"/>
  <c r="BX59" i="1"/>
  <c r="ET59" i="1" s="1"/>
  <c r="DS152" i="1"/>
  <c r="BI77" i="1"/>
  <c r="ET184" i="1"/>
  <c r="CY142" i="1"/>
  <c r="ET142" i="1"/>
  <c r="CK44" i="1"/>
  <c r="CP45" i="1"/>
  <c r="BZ85" i="1"/>
  <c r="BS85" i="1"/>
  <c r="CB99" i="1"/>
  <c r="BU99" i="1"/>
  <c r="BJ84" i="1"/>
  <c r="DS150" i="1"/>
  <c r="BK136" i="1"/>
  <c r="CM1" i="1"/>
  <c r="BY144" i="1"/>
  <c r="DP78" i="1"/>
  <c r="BH190" i="1"/>
  <c r="DR107" i="1"/>
  <c r="BQ97" i="1"/>
  <c r="BX152" i="1"/>
  <c r="CY152" i="1" s="1"/>
  <c r="BX93" i="1"/>
  <c r="DS189" i="1"/>
  <c r="DM142" i="1"/>
  <c r="DQ148" i="1"/>
  <c r="BX118" i="1"/>
  <c r="DR118" i="1"/>
  <c r="DK191" i="1"/>
  <c r="BZ100" i="1"/>
  <c r="DS170" i="1"/>
  <c r="EF136" i="1"/>
  <c r="BZ102" i="1"/>
  <c r="CB118" i="1"/>
  <c r="CO3" i="1"/>
  <c r="DM176" i="1"/>
  <c r="BX30" i="1"/>
  <c r="BX165" i="1"/>
  <c r="BQ30" i="1"/>
  <c r="DQ71" i="1"/>
  <c r="DQ180" i="1"/>
  <c r="DS158" i="1"/>
  <c r="DQ158" i="1"/>
  <c r="ES184" i="1"/>
  <c r="BS118" i="1"/>
  <c r="BH39" i="1"/>
  <c r="DK190" i="1"/>
  <c r="BX123" i="1"/>
  <c r="DR126" i="1"/>
  <c r="DR165" i="1"/>
  <c r="DS71" i="1"/>
  <c r="BI48" i="1"/>
  <c r="DR180" i="1"/>
  <c r="BI13" i="1"/>
  <c r="DW162" i="1"/>
  <c r="ES162" i="1" s="1"/>
  <c r="CK84" i="1"/>
  <c r="CL82" i="1"/>
  <c r="CM82" i="1"/>
  <c r="CP85" i="1"/>
  <c r="DW10" i="1"/>
  <c r="ES183" i="1"/>
  <c r="ES189" i="1"/>
  <c r="ET150" i="1"/>
  <c r="BR165" i="1"/>
  <c r="ET189" i="1"/>
  <c r="ET167" i="1"/>
  <c r="ET160" i="1"/>
  <c r="BU31" i="1"/>
  <c r="BN3" i="1"/>
  <c r="CB31" i="1"/>
  <c r="BT87" i="1" l="1"/>
  <c r="BT113" i="1"/>
  <c r="BT114" i="1"/>
  <c r="ES79" i="1"/>
  <c r="ES174" i="1"/>
  <c r="ES147" i="1"/>
  <c r="ES158" i="1"/>
  <c r="ES76" i="1"/>
  <c r="ES177" i="1"/>
  <c r="ES25" i="1"/>
  <c r="CW86" i="1"/>
  <c r="ET61" i="1"/>
  <c r="ES141" i="1"/>
  <c r="ES151" i="1"/>
  <c r="BT102" i="1"/>
  <c r="ES175" i="1"/>
  <c r="BV26" i="1"/>
  <c r="BV25" i="1"/>
  <c r="ES156" i="1"/>
  <c r="ES149" i="1"/>
  <c r="ES139" i="1"/>
  <c r="ES20" i="1"/>
  <c r="CY73" i="1"/>
  <c r="CZ73" i="1" s="1"/>
  <c r="ES6" i="1"/>
  <c r="ES144" i="1"/>
  <c r="CC123" i="1"/>
  <c r="ES71" i="1"/>
  <c r="CA37" i="1"/>
  <c r="CA38" i="1"/>
  <c r="ET37" i="1"/>
  <c r="ES146" i="1"/>
  <c r="BT92" i="1"/>
  <c r="BV16" i="1"/>
  <c r="BV114" i="1"/>
  <c r="BV113" i="1"/>
  <c r="BY33" i="1"/>
  <c r="ES12" i="1"/>
  <c r="ES70" i="1"/>
  <c r="ES8" i="1"/>
  <c r="BR26" i="1"/>
  <c r="BY127" i="1"/>
  <c r="BR25" i="1"/>
  <c r="BT36" i="1"/>
  <c r="ES73" i="1"/>
  <c r="BT35" i="1"/>
  <c r="ES159" i="1"/>
  <c r="CA98" i="1"/>
  <c r="ES35" i="1"/>
  <c r="ES77" i="1"/>
  <c r="ES37" i="1"/>
  <c r="ES32" i="1"/>
  <c r="ES33" i="1"/>
  <c r="CC125" i="1"/>
  <c r="CY125" i="1"/>
  <c r="CC126" i="1"/>
  <c r="CA35" i="1"/>
  <c r="ES38" i="1"/>
  <c r="ES34" i="1"/>
  <c r="BR177" i="1"/>
  <c r="ES75" i="1"/>
  <c r="ES36" i="1"/>
  <c r="ES63" i="1"/>
  <c r="ES11" i="1"/>
  <c r="ES154" i="1"/>
  <c r="ES47" i="1"/>
  <c r="CC109" i="1"/>
  <c r="CC110" i="1"/>
  <c r="CZ79" i="1"/>
  <c r="BY20" i="1"/>
  <c r="ES74" i="1"/>
  <c r="BT98" i="1"/>
  <c r="CY156" i="1"/>
  <c r="CZ157" i="1" s="1"/>
  <c r="CY64" i="1"/>
  <c r="CZ65" i="1" s="1"/>
  <c r="ET64" i="1"/>
  <c r="ET158" i="1"/>
  <c r="BV7" i="1"/>
  <c r="BV6" i="1"/>
  <c r="CA26" i="1"/>
  <c r="CA25" i="1"/>
  <c r="ES28" i="1"/>
  <c r="BY19" i="1"/>
  <c r="ET71" i="1"/>
  <c r="ET77" i="1"/>
  <c r="BY28" i="1"/>
  <c r="CC88" i="1"/>
  <c r="CC87" i="1"/>
  <c r="ES72" i="1"/>
  <c r="CC21" i="1"/>
  <c r="BY92" i="1"/>
  <c r="CA120" i="1"/>
  <c r="BV87" i="1"/>
  <c r="BV88" i="1"/>
  <c r="CA119" i="1"/>
  <c r="ES13" i="1"/>
  <c r="ES14" i="1"/>
  <c r="ES10" i="1"/>
  <c r="CY155" i="1"/>
  <c r="CZ155" i="1" s="1"/>
  <c r="BT121" i="1"/>
  <c r="BY156" i="1"/>
  <c r="BV13" i="1"/>
  <c r="BR113" i="1"/>
  <c r="BV130" i="1"/>
  <c r="CA112" i="1"/>
  <c r="CC89" i="1"/>
  <c r="BR30" i="1"/>
  <c r="ET148" i="1"/>
  <c r="CC24" i="1"/>
  <c r="CC23" i="1"/>
  <c r="ET87" i="1"/>
  <c r="ES152" i="1"/>
  <c r="ES61" i="1"/>
  <c r="CA17" i="1"/>
  <c r="BV110" i="1"/>
  <c r="BV109" i="1"/>
  <c r="BT120" i="1"/>
  <c r="CA12" i="1"/>
  <c r="CC124" i="1"/>
  <c r="ET124" i="1"/>
  <c r="BV126" i="1"/>
  <c r="BY23" i="1"/>
  <c r="BY22" i="1"/>
  <c r="CA30" i="1"/>
  <c r="ES23" i="1"/>
  <c r="BT17" i="1"/>
  <c r="BT111" i="1"/>
  <c r="CZ180" i="1"/>
  <c r="ES153" i="1"/>
  <c r="ES31" i="1"/>
  <c r="BY114" i="1"/>
  <c r="BY167" i="1"/>
  <c r="BT38" i="1"/>
  <c r="BY26" i="1"/>
  <c r="BT112" i="1"/>
  <c r="CY166" i="1"/>
  <c r="CZ167" i="1" s="1"/>
  <c r="ET25" i="1"/>
  <c r="BV33" i="1"/>
  <c r="BR112" i="1"/>
  <c r="BR88" i="1"/>
  <c r="CZ161" i="1"/>
  <c r="BV21" i="1"/>
  <c r="ES18" i="1"/>
  <c r="BR74" i="1"/>
  <c r="ES155" i="1"/>
  <c r="BY5" i="1"/>
  <c r="BY119" i="1"/>
  <c r="CC5" i="1"/>
  <c r="CY119" i="1"/>
  <c r="CA13" i="1"/>
  <c r="ES62" i="1"/>
  <c r="BY120" i="1"/>
  <c r="ET164" i="1"/>
  <c r="BY61" i="1"/>
  <c r="CY60" i="1"/>
  <c r="CZ61" i="1" s="1"/>
  <c r="BV19" i="1"/>
  <c r="BY14" i="1"/>
  <c r="BY36" i="1"/>
  <c r="CC91" i="1"/>
  <c r="BV102" i="1"/>
  <c r="BV119" i="1"/>
  <c r="BT14" i="1"/>
  <c r="BY121" i="1"/>
  <c r="CW111" i="1"/>
  <c r="BR148" i="1"/>
  <c r="BT11" i="1"/>
  <c r="BT10" i="1"/>
  <c r="ET33" i="1"/>
  <c r="ES26" i="1"/>
  <c r="CC18" i="1"/>
  <c r="CY126" i="1"/>
  <c r="BV123" i="1"/>
  <c r="BY58" i="1"/>
  <c r="ET74" i="1"/>
  <c r="CY172" i="1"/>
  <c r="CZ173" i="1" s="1"/>
  <c r="CW34" i="1"/>
  <c r="BR155" i="1"/>
  <c r="ET57" i="1"/>
  <c r="BY74" i="1"/>
  <c r="BT88" i="1"/>
  <c r="ET174" i="1"/>
  <c r="CY57" i="1"/>
  <c r="CZ57" i="1" s="1"/>
  <c r="BY93" i="1"/>
  <c r="CA29" i="1"/>
  <c r="ES29" i="1"/>
  <c r="CW21" i="1"/>
  <c r="BT19" i="1"/>
  <c r="CA18" i="1"/>
  <c r="BY174" i="1"/>
  <c r="BY75" i="1"/>
  <c r="BV101" i="1"/>
  <c r="BT124" i="1"/>
  <c r="BT125" i="1"/>
  <c r="ES19" i="1"/>
  <c r="CA36" i="1"/>
  <c r="ES15" i="1"/>
  <c r="CW124" i="1"/>
  <c r="BV22" i="1"/>
  <c r="BV95" i="1"/>
  <c r="BR34" i="1"/>
  <c r="BV96" i="1"/>
  <c r="BR33" i="1"/>
  <c r="ES17" i="1"/>
  <c r="ES22" i="1"/>
  <c r="CC6" i="1"/>
  <c r="CC7" i="1"/>
  <c r="BY168" i="1"/>
  <c r="BT12" i="1"/>
  <c r="BR108" i="1"/>
  <c r="CY36" i="1"/>
  <c r="BV10" i="1"/>
  <c r="BT99" i="1"/>
  <c r="ES60" i="1"/>
  <c r="BT37" i="1"/>
  <c r="CC112" i="1"/>
  <c r="BR115" i="1"/>
  <c r="BV9" i="1"/>
  <c r="ET105" i="1"/>
  <c r="CA93" i="1"/>
  <c r="BT103" i="1"/>
  <c r="CW128" i="1"/>
  <c r="BT18" i="1"/>
  <c r="BR111" i="1"/>
  <c r="ES21" i="1"/>
  <c r="CA130" i="1"/>
  <c r="BV128" i="1"/>
  <c r="CC16" i="1"/>
  <c r="BV129" i="1"/>
  <c r="ET168" i="1"/>
  <c r="BY173" i="1"/>
  <c r="ET173" i="1"/>
  <c r="CZ169" i="1"/>
  <c r="CA129" i="1"/>
  <c r="CY113" i="1"/>
  <c r="CW10" i="1"/>
  <c r="BR73" i="1"/>
  <c r="CC114" i="1"/>
  <c r="ES16" i="1"/>
  <c r="BV30" i="1"/>
  <c r="BV11" i="1"/>
  <c r="CW33" i="1"/>
  <c r="CY105" i="1"/>
  <c r="BR64" i="1"/>
  <c r="CM81" i="1"/>
  <c r="CC30" i="1"/>
  <c r="BY126" i="1"/>
  <c r="BV107" i="1"/>
  <c r="CW64" i="1"/>
  <c r="BY72" i="1"/>
  <c r="BT34" i="1"/>
  <c r="CW85" i="1"/>
  <c r="BY109" i="1"/>
  <c r="BV118" i="1"/>
  <c r="CZ164" i="1"/>
  <c r="BY62" i="1"/>
  <c r="BV127" i="1"/>
  <c r="ET76" i="1"/>
  <c r="CY171" i="1"/>
  <c r="ET119" i="1"/>
  <c r="CZ144" i="1"/>
  <c r="CW106" i="1"/>
  <c r="ET101" i="1"/>
  <c r="ES58" i="1"/>
  <c r="BT123" i="1"/>
  <c r="BR149" i="1"/>
  <c r="BR161" i="1"/>
  <c r="BV103" i="1"/>
  <c r="ET20" i="1"/>
  <c r="ES27" i="1"/>
  <c r="CW29" i="1"/>
  <c r="BT30" i="1"/>
  <c r="BT15" i="1"/>
  <c r="CY101" i="1"/>
  <c r="BR32" i="1"/>
  <c r="BR106" i="1"/>
  <c r="CC90" i="1"/>
  <c r="BR103" i="1"/>
  <c r="BT16" i="1"/>
  <c r="CZ176" i="1"/>
  <c r="BT117" i="1"/>
  <c r="CZ62" i="1"/>
  <c r="BT130" i="1"/>
  <c r="CK40" i="1"/>
  <c r="CJ40" i="1" s="1"/>
  <c r="ET78" i="1"/>
  <c r="BT137" i="1"/>
  <c r="CW145" i="1"/>
  <c r="BY78" i="1"/>
  <c r="CA102" i="1"/>
  <c r="BR23" i="1"/>
  <c r="BR160" i="1"/>
  <c r="CY75" i="1"/>
  <c r="CZ75" i="1" s="1"/>
  <c r="ET153" i="1"/>
  <c r="CY87" i="1"/>
  <c r="ET125" i="1"/>
  <c r="ET72" i="1"/>
  <c r="BY164" i="1"/>
  <c r="BY73" i="1"/>
  <c r="CW117" i="1"/>
  <c r="CY25" i="1"/>
  <c r="BY176" i="1"/>
  <c r="BY177" i="1"/>
  <c r="BR98" i="1"/>
  <c r="BT129" i="1"/>
  <c r="BY108" i="1"/>
  <c r="BY9" i="1"/>
  <c r="CW126" i="1"/>
  <c r="BV93" i="1"/>
  <c r="CC96" i="1"/>
  <c r="CC97" i="1"/>
  <c r="BV29" i="1"/>
  <c r="BY115" i="1"/>
  <c r="CC22" i="1"/>
  <c r="BV27" i="1"/>
  <c r="CZ175" i="1"/>
  <c r="BR63" i="1"/>
  <c r="CA104" i="1"/>
  <c r="CW19" i="1"/>
  <c r="CZ181" i="1"/>
  <c r="ET176" i="1"/>
  <c r="CZ72" i="1"/>
  <c r="CA20" i="1"/>
  <c r="CW103" i="1"/>
  <c r="ET75" i="1"/>
  <c r="BR75" i="1"/>
  <c r="BY88" i="1"/>
  <c r="BR72" i="1"/>
  <c r="CW57" i="1"/>
  <c r="BY172" i="1"/>
  <c r="BY175" i="1"/>
  <c r="ET62" i="1"/>
  <c r="CQ1" i="1"/>
  <c r="CC28" i="1"/>
  <c r="CW11" i="1"/>
  <c r="BR128" i="1"/>
  <c r="BT90" i="1"/>
  <c r="CC105" i="1"/>
  <c r="BY63" i="1"/>
  <c r="BT31" i="1"/>
  <c r="BY147" i="1"/>
  <c r="ES57" i="1"/>
  <c r="BT9" i="1"/>
  <c r="ET175" i="1"/>
  <c r="ET146" i="1"/>
  <c r="BT128" i="1"/>
  <c r="BR15" i="1"/>
  <c r="BR14" i="1"/>
  <c r="BY87" i="1"/>
  <c r="BV38" i="1"/>
  <c r="BR129" i="1"/>
  <c r="CK42" i="1"/>
  <c r="CY5" i="1"/>
  <c r="CA90" i="1"/>
  <c r="BR102" i="1"/>
  <c r="BR58" i="1"/>
  <c r="CZ177" i="1"/>
  <c r="BT6" i="1"/>
  <c r="CW35" i="1"/>
  <c r="BT107" i="1"/>
  <c r="BR118" i="1"/>
  <c r="BY79" i="1"/>
  <c r="CA16" i="1"/>
  <c r="CW112" i="1"/>
  <c r="CA103" i="1"/>
  <c r="BS81" i="1"/>
  <c r="CW102" i="1"/>
  <c r="BY161" i="1"/>
  <c r="BV24" i="1"/>
  <c r="CW48" i="1"/>
  <c r="BR159" i="1"/>
  <c r="CC86" i="1"/>
  <c r="CA116" i="1"/>
  <c r="CY15" i="1"/>
  <c r="CA31" i="1"/>
  <c r="ET169" i="1"/>
  <c r="CW30" i="1"/>
  <c r="ET79" i="1"/>
  <c r="CA128" i="1"/>
  <c r="BV117" i="1"/>
  <c r="BR18" i="1"/>
  <c r="CW105" i="1"/>
  <c r="CW125" i="1"/>
  <c r="CA7" i="1"/>
  <c r="CC127" i="1"/>
  <c r="CW120" i="1"/>
  <c r="BR36" i="1"/>
  <c r="BV12" i="1"/>
  <c r="BV36" i="1"/>
  <c r="CC12" i="1"/>
  <c r="ET103" i="1"/>
  <c r="BR99" i="1"/>
  <c r="BR94" i="1"/>
  <c r="CZ141" i="1"/>
  <c r="BY105" i="1"/>
  <c r="BY130" i="1"/>
  <c r="BT105" i="1"/>
  <c r="BR121" i="1"/>
  <c r="BR86" i="1"/>
  <c r="BR167" i="1"/>
  <c r="BT91" i="1"/>
  <c r="BS191" i="1"/>
  <c r="ET28" i="1"/>
  <c r="BR22" i="1"/>
  <c r="BY27" i="1"/>
  <c r="ET15" i="1"/>
  <c r="CY11" i="1"/>
  <c r="BT127" i="1"/>
  <c r="BY32" i="1"/>
  <c r="BY159" i="1"/>
  <c r="CZ142" i="1"/>
  <c r="CW93" i="1"/>
  <c r="BT32" i="1"/>
  <c r="BY170" i="1"/>
  <c r="BT24" i="1"/>
  <c r="CA96" i="1"/>
  <c r="ES59" i="1"/>
  <c r="CC107" i="1"/>
  <c r="BR21" i="1"/>
  <c r="CY32" i="1"/>
  <c r="BY71" i="1"/>
  <c r="BY21" i="1"/>
  <c r="CY21" i="1"/>
  <c r="ET11" i="1"/>
  <c r="CM191" i="1"/>
  <c r="BR156" i="1"/>
  <c r="CW110" i="1"/>
  <c r="CC11" i="1"/>
  <c r="BR100" i="1"/>
  <c r="BR169" i="1"/>
  <c r="BR31" i="1"/>
  <c r="BY118" i="1"/>
  <c r="BR95" i="1"/>
  <c r="BV20" i="1"/>
  <c r="BV86" i="1"/>
  <c r="BY162" i="1"/>
  <c r="CA97" i="1"/>
  <c r="ES30" i="1"/>
  <c r="BT93" i="1"/>
  <c r="CZ158" i="1"/>
  <c r="CW26" i="1"/>
  <c r="CY97" i="1"/>
  <c r="ET97" i="1"/>
  <c r="CK1" i="1"/>
  <c r="BU42" i="1"/>
  <c r="CW100" i="1"/>
  <c r="BV5" i="1"/>
  <c r="BY102" i="1"/>
  <c r="BR77" i="1"/>
  <c r="BR35" i="1"/>
  <c r="BR20" i="1"/>
  <c r="CW95" i="1"/>
  <c r="BV8" i="1"/>
  <c r="BR78" i="1"/>
  <c r="CC19" i="1"/>
  <c r="BR176" i="1"/>
  <c r="BT96" i="1"/>
  <c r="CW121" i="1"/>
  <c r="CW23" i="1"/>
  <c r="BR175" i="1"/>
  <c r="CW77" i="1"/>
  <c r="CZ178" i="1"/>
  <c r="CW8" i="1"/>
  <c r="CC95" i="1"/>
  <c r="CA111" i="1"/>
  <c r="ET116" i="1"/>
  <c r="BR5" i="1"/>
  <c r="CQ134" i="1"/>
  <c r="BR11" i="1"/>
  <c r="BR127" i="1"/>
  <c r="CC92" i="1"/>
  <c r="BV122" i="1"/>
  <c r="BT104" i="1"/>
  <c r="BY31" i="1"/>
  <c r="CC120" i="1"/>
  <c r="BT106" i="1"/>
  <c r="BT126" i="1"/>
  <c r="CQ42" i="1"/>
  <c r="CY35" i="1"/>
  <c r="CA14" i="1"/>
  <c r="ET91" i="1"/>
  <c r="CY27" i="1"/>
  <c r="BY146" i="1"/>
  <c r="CZ138" i="1"/>
  <c r="CC26" i="1"/>
  <c r="CC29" i="1"/>
  <c r="BV104" i="1"/>
  <c r="ET21" i="1"/>
  <c r="BR93" i="1"/>
  <c r="BV111" i="1"/>
  <c r="ET96" i="1"/>
  <c r="BY186" i="1"/>
  <c r="CA21" i="1"/>
  <c r="ET30" i="1"/>
  <c r="CW130" i="1"/>
  <c r="BY106" i="1"/>
  <c r="CC100" i="1"/>
  <c r="BY35" i="1"/>
  <c r="ET95" i="1"/>
  <c r="BR27" i="1"/>
  <c r="BT29" i="1"/>
  <c r="BV121" i="1"/>
  <c r="CA87" i="1"/>
  <c r="CY86" i="1"/>
  <c r="CM40" i="1"/>
  <c r="CM39" i="1"/>
  <c r="CA22" i="1"/>
  <c r="ET22" i="1"/>
  <c r="CY22" i="1"/>
  <c r="BT101" i="1"/>
  <c r="CW15" i="1"/>
  <c r="BT122" i="1"/>
  <c r="CW36" i="1"/>
  <c r="CY96" i="1"/>
  <c r="BT100" i="1"/>
  <c r="BT118" i="1"/>
  <c r="CW118" i="1"/>
  <c r="CZ77" i="1"/>
  <c r="CZ78" i="1"/>
  <c r="CO40" i="1"/>
  <c r="CO39" i="1"/>
  <c r="CJ39" i="1" s="1"/>
  <c r="CY59" i="1"/>
  <c r="BY59" i="1"/>
  <c r="BY60" i="1"/>
  <c r="BR116" i="1"/>
  <c r="BR117" i="1"/>
  <c r="BY107" i="1"/>
  <c r="ET113" i="1"/>
  <c r="CA113" i="1"/>
  <c r="CY187" i="1"/>
  <c r="BT110" i="1"/>
  <c r="BT109" i="1"/>
  <c r="BR9" i="1"/>
  <c r="DI190" i="1"/>
  <c r="DI191" i="1"/>
  <c r="BY8" i="1"/>
  <c r="CY7" i="1"/>
  <c r="BY100" i="1"/>
  <c r="BY101" i="1"/>
  <c r="CA122" i="1"/>
  <c r="CY122" i="1"/>
  <c r="ET122" i="1"/>
  <c r="CC128" i="1"/>
  <c r="CZ182" i="1"/>
  <c r="BY113" i="1"/>
  <c r="BY112" i="1"/>
  <c r="BY91" i="1"/>
  <c r="BY90" i="1"/>
  <c r="CY188" i="1"/>
  <c r="CZ189" i="1" s="1"/>
  <c r="ET188" i="1"/>
  <c r="BY189" i="1"/>
  <c r="BY188" i="1"/>
  <c r="BV112" i="1"/>
  <c r="CW76" i="1"/>
  <c r="BR76" i="1"/>
  <c r="CC104" i="1"/>
  <c r="BY158" i="1"/>
  <c r="BY157" i="1"/>
  <c r="ET157" i="1"/>
  <c r="CY63" i="1"/>
  <c r="CZ63" i="1" s="1"/>
  <c r="BY64" i="1"/>
  <c r="ET63" i="1"/>
  <c r="CO80" i="1"/>
  <c r="CO81" i="1"/>
  <c r="CP44" i="1"/>
  <c r="CA8" i="1"/>
  <c r="ET147" i="1"/>
  <c r="CY147" i="1"/>
  <c r="CY17" i="1"/>
  <c r="BY18" i="1"/>
  <c r="ET17" i="1"/>
  <c r="CW70" i="1"/>
  <c r="BR71" i="1"/>
  <c r="BR185" i="1"/>
  <c r="CW185" i="1"/>
  <c r="ET89" i="1"/>
  <c r="CY89" i="1"/>
  <c r="BY89" i="1"/>
  <c r="CY28" i="1"/>
  <c r="BY29" i="1"/>
  <c r="CW173" i="1"/>
  <c r="BR174" i="1"/>
  <c r="BR173" i="1"/>
  <c r="CY58" i="1"/>
  <c r="ET58" i="1"/>
  <c r="ET108" i="1"/>
  <c r="CY108" i="1"/>
  <c r="CA11" i="1"/>
  <c r="CA10" i="1"/>
  <c r="ET128" i="1"/>
  <c r="BY104" i="1"/>
  <c r="CY104" i="1"/>
  <c r="ET104" i="1"/>
  <c r="BR17" i="1"/>
  <c r="ET130" i="1"/>
  <c r="CY130" i="1"/>
  <c r="CA121" i="1"/>
  <c r="ET120" i="1"/>
  <c r="CY120" i="1"/>
  <c r="BY169" i="1"/>
  <c r="CW167" i="1"/>
  <c r="ET32" i="1"/>
  <c r="CC111" i="1"/>
  <c r="BY15" i="1"/>
  <c r="CA9" i="1"/>
  <c r="BR125" i="1"/>
  <c r="CY95" i="1"/>
  <c r="BY76" i="1"/>
  <c r="ET7" i="1"/>
  <c r="CY20" i="1"/>
  <c r="CZ179" i="1"/>
  <c r="BR37" i="1"/>
  <c r="CW127" i="1"/>
  <c r="BY148" i="1"/>
  <c r="ET29" i="1"/>
  <c r="CC101" i="1"/>
  <c r="CB80" i="1"/>
  <c r="BY97" i="1"/>
  <c r="BR186" i="1"/>
  <c r="CY128" i="1"/>
  <c r="ET36" i="1"/>
  <c r="CC108" i="1"/>
  <c r="CA105" i="1"/>
  <c r="ET46" i="1"/>
  <c r="ET161" i="1"/>
  <c r="CY165" i="1"/>
  <c r="BY166" i="1"/>
  <c r="CC118" i="1"/>
  <c r="CC119" i="1"/>
  <c r="CW99" i="1"/>
  <c r="BV100" i="1"/>
  <c r="BR92" i="1"/>
  <c r="CW92" i="1"/>
  <c r="CW32" i="1"/>
  <c r="BT33" i="1"/>
  <c r="BR126" i="1"/>
  <c r="CY170" i="1"/>
  <c r="ET170" i="1"/>
  <c r="BV115" i="1"/>
  <c r="CW90" i="1"/>
  <c r="BR90" i="1"/>
  <c r="BR91" i="1"/>
  <c r="CW91" i="1"/>
  <c r="BV91" i="1"/>
  <c r="CW171" i="1"/>
  <c r="BR172" i="1"/>
  <c r="ET162" i="1"/>
  <c r="BY163" i="1"/>
  <c r="CW20" i="1"/>
  <c r="BT20" i="1"/>
  <c r="CA89" i="1"/>
  <c r="CA88" i="1"/>
  <c r="ET88" i="1"/>
  <c r="CW147" i="1"/>
  <c r="BR147" i="1"/>
  <c r="BY103" i="1"/>
  <c r="CY103" i="1"/>
  <c r="CW62" i="1"/>
  <c r="BR62" i="1"/>
  <c r="BY12" i="1"/>
  <c r="CY12" i="1"/>
  <c r="ET12" i="1"/>
  <c r="CY185" i="1"/>
  <c r="CZ185" i="1" s="1"/>
  <c r="BY185" i="1"/>
  <c r="ET185" i="1"/>
  <c r="BR89" i="1"/>
  <c r="BY95" i="1"/>
  <c r="BY94" i="1"/>
  <c r="CC20" i="1"/>
  <c r="CY19" i="1"/>
  <c r="ET19" i="1"/>
  <c r="BY49" i="1"/>
  <c r="CY48" i="1"/>
  <c r="CZ49" i="1" s="1"/>
  <c r="ET48" i="1"/>
  <c r="BT108" i="1"/>
  <c r="CW108" i="1"/>
  <c r="CW146" i="1"/>
  <c r="BR146" i="1"/>
  <c r="CY149" i="1"/>
  <c r="BY150" i="1"/>
  <c r="BY149" i="1"/>
  <c r="CY34" i="1"/>
  <c r="ET34" i="1"/>
  <c r="BY34" i="1"/>
  <c r="BY70" i="1"/>
  <c r="ET70" i="1"/>
  <c r="BV105" i="1"/>
  <c r="BV106" i="1"/>
  <c r="CW12" i="1"/>
  <c r="BR12" i="1"/>
  <c r="BR13" i="1"/>
  <c r="BR119" i="1"/>
  <c r="BR120" i="1"/>
  <c r="BR87" i="1"/>
  <c r="CW87" i="1"/>
  <c r="BR158" i="1"/>
  <c r="BY122" i="1"/>
  <c r="CC37" i="1"/>
  <c r="BR157" i="1"/>
  <c r="CY29" i="1"/>
  <c r="DI39" i="1"/>
  <c r="BY77" i="1"/>
  <c r="BY96" i="1"/>
  <c r="CW113" i="1"/>
  <c r="CY88" i="1"/>
  <c r="BT21" i="1"/>
  <c r="ET149" i="1"/>
  <c r="BV92" i="1"/>
  <c r="DN81" i="1"/>
  <c r="CZ143" i="1"/>
  <c r="BY30" i="1"/>
  <c r="CY30" i="1"/>
  <c r="CK80" i="1"/>
  <c r="BY129" i="1"/>
  <c r="CZ183" i="1"/>
  <c r="DN190" i="1"/>
  <c r="DS3" i="1"/>
  <c r="DS39" i="1" s="1"/>
  <c r="BV14" i="1"/>
  <c r="DN40" i="1"/>
  <c r="ET129" i="1"/>
  <c r="CY8" i="1"/>
  <c r="CC121" i="1"/>
  <c r="CW123" i="1"/>
  <c r="CY38" i="1"/>
  <c r="CY98" i="1"/>
  <c r="CW5" i="1"/>
  <c r="DM44" i="1"/>
  <c r="DM81" i="1" s="1"/>
  <c r="CY9" i="1"/>
  <c r="CA123" i="1"/>
  <c r="BT25" i="1"/>
  <c r="BR105" i="1"/>
  <c r="ET110" i="1"/>
  <c r="CC93" i="1"/>
  <c r="BR38" i="1"/>
  <c r="CW109" i="1"/>
  <c r="CW28" i="1"/>
  <c r="CW89" i="1"/>
  <c r="CA115" i="1"/>
  <c r="DL44" i="1"/>
  <c r="DL80" i="1" s="1"/>
  <c r="DS44" i="1"/>
  <c r="CZ174" i="1"/>
  <c r="CW24" i="1"/>
  <c r="CC34" i="1"/>
  <c r="BT28" i="1"/>
  <c r="CY85" i="1"/>
  <c r="CA108" i="1"/>
  <c r="CY100" i="1"/>
  <c r="DQ136" i="1"/>
  <c r="DQ191" i="1" s="1"/>
  <c r="CY10" i="1"/>
  <c r="ET117" i="1"/>
  <c r="CY109" i="1"/>
  <c r="CY106" i="1"/>
  <c r="BT7" i="1"/>
  <c r="BT23" i="1"/>
  <c r="CY115" i="1"/>
  <c r="BV99" i="1"/>
  <c r="BY17" i="1"/>
  <c r="CA23" i="1"/>
  <c r="BT115" i="1"/>
  <c r="CC117" i="1"/>
  <c r="CP39" i="1"/>
  <c r="ES24" i="1"/>
  <c r="BT89" i="1"/>
  <c r="CY107" i="1"/>
  <c r="CC27" i="1"/>
  <c r="CA109" i="1"/>
  <c r="BR46" i="1"/>
  <c r="BV94" i="1"/>
  <c r="ET86" i="1"/>
  <c r="CC98" i="1"/>
  <c r="ET85" i="1"/>
  <c r="CA110" i="1"/>
  <c r="BY145" i="1"/>
  <c r="BY86" i="1"/>
  <c r="CW88" i="1"/>
  <c r="BR107" i="1"/>
  <c r="ET92" i="1"/>
  <c r="DN39" i="1"/>
  <c r="DQ3" i="1"/>
  <c r="DQ40" i="1" s="1"/>
  <c r="DP136" i="1"/>
  <c r="DP191" i="1" s="1"/>
  <c r="DP3" i="1"/>
  <c r="DP39" i="1" s="1"/>
  <c r="DM3" i="1"/>
  <c r="DM39" i="1" s="1"/>
  <c r="BY117" i="1"/>
  <c r="CW13" i="1"/>
  <c r="ET107" i="1"/>
  <c r="BT8" i="1"/>
  <c r="CW107" i="1"/>
  <c r="ET152" i="1"/>
  <c r="ET109" i="1"/>
  <c r="CW104" i="1"/>
  <c r="BY187" i="1"/>
  <c r="BT13" i="1"/>
  <c r="CY116" i="1"/>
  <c r="BT86" i="1"/>
  <c r="ET145" i="1"/>
  <c r="CC33" i="1"/>
  <c r="CW98" i="1"/>
  <c r="BV120" i="1"/>
  <c r="BT22" i="1"/>
  <c r="CC113" i="1"/>
  <c r="CW27" i="1"/>
  <c r="DN80" i="1"/>
  <c r="CP40" i="1"/>
  <c r="BR82" i="1"/>
  <c r="CA100" i="1"/>
  <c r="CW101" i="1"/>
  <c r="BV15" i="1"/>
  <c r="CA118" i="1"/>
  <c r="ET123" i="1"/>
  <c r="CA101" i="1"/>
  <c r="BZ80" i="1"/>
  <c r="BT97" i="1"/>
  <c r="CY186" i="1"/>
  <c r="BY38" i="1"/>
  <c r="CY33" i="1"/>
  <c r="CA92" i="1"/>
  <c r="BY37" i="1"/>
  <c r="CW119" i="1"/>
  <c r="BY11" i="1"/>
  <c r="CY99" i="1"/>
  <c r="ET38" i="1"/>
  <c r="CC25" i="1"/>
  <c r="CA106" i="1"/>
  <c r="DL136" i="1"/>
  <c r="DL191" i="1" s="1"/>
  <c r="CW7" i="1"/>
  <c r="DR84" i="1"/>
  <c r="BR16" i="1"/>
  <c r="CW122" i="1"/>
  <c r="BY116" i="1"/>
  <c r="CW18" i="1"/>
  <c r="BT27" i="1"/>
  <c r="CP190" i="1"/>
  <c r="DQ44" i="1"/>
  <c r="DQ81" i="1" s="1"/>
  <c r="DM136" i="1"/>
  <c r="DM191" i="1" s="1"/>
  <c r="DS136" i="1"/>
  <c r="CY145" i="1"/>
  <c r="CZ145" i="1" s="1"/>
  <c r="CY111" i="1"/>
  <c r="CY37" i="1"/>
  <c r="CW22" i="1"/>
  <c r="BR153" i="1"/>
  <c r="BV34" i="1"/>
  <c r="CW129" i="1"/>
  <c r="ET10" i="1"/>
  <c r="CC116" i="1"/>
  <c r="BR123" i="1"/>
  <c r="BR60" i="1"/>
  <c r="CA34" i="1"/>
  <c r="BY13" i="1"/>
  <c r="CY23" i="1"/>
  <c r="BR61" i="1"/>
  <c r="ET26" i="1"/>
  <c r="BY125" i="1"/>
  <c r="CA126" i="1"/>
  <c r="CB191" i="1"/>
  <c r="BT116" i="1"/>
  <c r="BV98" i="1"/>
  <c r="ET111" i="1"/>
  <c r="BR104" i="1"/>
  <c r="CP191" i="1"/>
  <c r="BY128" i="1"/>
  <c r="CA107" i="1"/>
  <c r="CC10" i="1"/>
  <c r="BR171" i="1"/>
  <c r="CA117" i="1"/>
  <c r="BV23" i="1"/>
  <c r="CK190" i="1"/>
  <c r="BY124" i="1"/>
  <c r="CP80" i="1"/>
  <c r="CZ153" i="1"/>
  <c r="DN191" i="1"/>
  <c r="CZ184" i="1"/>
  <c r="BS42" i="1"/>
  <c r="CW97" i="1"/>
  <c r="BR10" i="1"/>
  <c r="CZ46" i="1"/>
  <c r="BV17" i="1"/>
  <c r="ET24" i="1"/>
  <c r="DP44" i="1"/>
  <c r="DP81" i="1" s="1"/>
  <c r="CZ140" i="1"/>
  <c r="BY16" i="1"/>
  <c r="ET127" i="1"/>
  <c r="CY124" i="1"/>
  <c r="BR170" i="1"/>
  <c r="BY153" i="1"/>
  <c r="CY117" i="1"/>
  <c r="CW115" i="1"/>
  <c r="ET23" i="1"/>
  <c r="CW114" i="1"/>
  <c r="BY111" i="1"/>
  <c r="BY110" i="1"/>
  <c r="CA127" i="1"/>
  <c r="CC38" i="1"/>
  <c r="CW58" i="1"/>
  <c r="BY25" i="1"/>
  <c r="CA33" i="1"/>
  <c r="CZ139" i="1"/>
  <c r="CC130" i="1"/>
  <c r="ET102" i="1"/>
  <c r="DL3" i="1"/>
  <c r="DL39" i="1" s="1"/>
  <c r="DR132" i="1"/>
  <c r="CA32" i="1"/>
  <c r="ET8" i="1"/>
  <c r="BR79" i="1"/>
  <c r="CW37" i="1"/>
  <c r="ET5" i="1"/>
  <c r="BR29" i="1"/>
  <c r="CC106" i="1"/>
  <c r="ET93" i="1"/>
  <c r="BR130" i="1"/>
  <c r="CP81" i="1"/>
  <c r="CY93" i="1"/>
  <c r="CY26" i="1"/>
  <c r="BR187" i="1"/>
  <c r="ET13" i="1"/>
  <c r="ET115" i="1"/>
  <c r="CY14" i="1"/>
  <c r="CW116" i="1"/>
  <c r="BR96" i="1"/>
  <c r="CY24" i="1"/>
  <c r="CA124" i="1"/>
  <c r="CW96" i="1"/>
  <c r="DI81" i="1"/>
  <c r="BY98" i="1"/>
  <c r="CA28" i="1"/>
  <c r="CY92" i="1"/>
  <c r="BU80" i="1"/>
  <c r="BR28" i="1"/>
  <c r="BV89" i="1"/>
  <c r="BV116" i="1"/>
  <c r="BR59" i="1"/>
  <c r="CA24" i="1"/>
  <c r="BV35" i="1"/>
  <c r="BY24" i="1"/>
  <c r="CC13" i="1"/>
  <c r="BR109" i="1"/>
  <c r="BV125" i="1"/>
  <c r="CW25" i="1"/>
  <c r="CY102" i="1"/>
  <c r="CC94" i="1"/>
  <c r="BV28" i="1"/>
  <c r="BS82" i="1"/>
  <c r="BZ82" i="1"/>
  <c r="BV97" i="1"/>
  <c r="CA15" i="1"/>
  <c r="ET90" i="1"/>
  <c r="CC99" i="1"/>
  <c r="CW38" i="1"/>
  <c r="ET126" i="1"/>
  <c r="CY91" i="1"/>
  <c r="CC115" i="1"/>
  <c r="CW14" i="1"/>
  <c r="CY123" i="1"/>
  <c r="BR110" i="1"/>
  <c r="BQ84" i="1"/>
  <c r="BQ132" i="1" s="1"/>
  <c r="DR131" i="1"/>
  <c r="BY82" i="1"/>
  <c r="BU84" i="1"/>
  <c r="BU131" i="1" s="1"/>
  <c r="BR101" i="1"/>
  <c r="DH80" i="1"/>
  <c r="CY90" i="1"/>
  <c r="BV37" i="1"/>
  <c r="CA19" i="1"/>
  <c r="CY129" i="1"/>
  <c r="CB84" i="1"/>
  <c r="CB131" i="1" s="1"/>
  <c r="CZ154" i="1"/>
  <c r="BR122" i="1"/>
  <c r="ET112" i="1"/>
  <c r="CA91" i="1"/>
  <c r="ET9" i="1"/>
  <c r="CC17" i="1"/>
  <c r="ET14" i="1"/>
  <c r="ET18" i="1"/>
  <c r="BR97" i="1"/>
  <c r="CC36" i="1"/>
  <c r="ET98" i="1"/>
  <c r="CY13" i="1"/>
  <c r="BY46" i="1"/>
  <c r="BY123" i="1"/>
  <c r="CC35" i="1"/>
  <c r="ET35" i="1"/>
  <c r="CK81" i="1"/>
  <c r="ET27" i="1"/>
  <c r="CY18" i="1"/>
  <c r="BR8" i="1"/>
  <c r="BR150" i="1"/>
  <c r="ET100" i="1"/>
  <c r="CW17" i="1"/>
  <c r="ET118" i="1"/>
  <c r="CO191" i="1"/>
  <c r="BR114" i="1"/>
  <c r="CC103" i="1"/>
  <c r="BY99" i="1"/>
  <c r="CA27" i="1"/>
  <c r="CA86" i="1"/>
  <c r="CA114" i="1"/>
  <c r="BT26" i="1"/>
  <c r="CZ163" i="1"/>
  <c r="ET45" i="1"/>
  <c r="DH190" i="1"/>
  <c r="BV18" i="1"/>
  <c r="CY159" i="1"/>
  <c r="BY160" i="1"/>
  <c r="BR19" i="1"/>
  <c r="CY121" i="1"/>
  <c r="BR188" i="1"/>
  <c r="ET106" i="1"/>
  <c r="ET114" i="1"/>
  <c r="CW9" i="1"/>
  <c r="BV90" i="1"/>
  <c r="CC8" i="1"/>
  <c r="BR154" i="1"/>
  <c r="BV124" i="1"/>
  <c r="BX84" i="1"/>
  <c r="BX131" i="1" s="1"/>
  <c r="CY16" i="1"/>
  <c r="CC129" i="1"/>
  <c r="ET16" i="1"/>
  <c r="CW16" i="1"/>
  <c r="CC122" i="1"/>
  <c r="CY110" i="1"/>
  <c r="ET154" i="1"/>
  <c r="BR124" i="1"/>
  <c r="BY155" i="1"/>
  <c r="CC9" i="1"/>
  <c r="ET121" i="1"/>
  <c r="BZ190" i="1"/>
  <c r="CA99" i="1"/>
  <c r="BY154" i="1"/>
  <c r="CA6" i="1"/>
  <c r="CY112" i="1"/>
  <c r="CY127" i="1"/>
  <c r="ET99" i="1"/>
  <c r="CY118" i="1"/>
  <c r="CY114" i="1"/>
  <c r="BY165" i="1"/>
  <c r="DH40" i="1"/>
  <c r="CP136" i="1"/>
  <c r="CJ190" i="1"/>
  <c r="ET163" i="1"/>
  <c r="BX6" i="1"/>
  <c r="ET165" i="1"/>
  <c r="BZ4" i="1"/>
  <c r="CK134" i="1"/>
  <c r="BY171" i="1"/>
  <c r="BY10" i="1"/>
  <c r="BT119" i="1"/>
  <c r="DR47" i="1"/>
  <c r="DR44" i="1" s="1"/>
  <c r="DR80" i="1" s="1"/>
  <c r="BQ47" i="1"/>
  <c r="BK44" i="1"/>
  <c r="BX47" i="1"/>
  <c r="BR24" i="1"/>
  <c r="CW163" i="1"/>
  <c r="BR163" i="1"/>
  <c r="BS4" i="1"/>
  <c r="BV108" i="1"/>
  <c r="CW162" i="1"/>
  <c r="BR162" i="1"/>
  <c r="DR6" i="1"/>
  <c r="DR3" i="1" s="1"/>
  <c r="DR40" i="1" s="1"/>
  <c r="BQ6" i="1"/>
  <c r="DR151" i="1"/>
  <c r="DR136" i="1" s="1"/>
  <c r="DR191" i="1" s="1"/>
  <c r="BQ151" i="1"/>
  <c r="BJ136" i="1"/>
  <c r="BX151" i="1"/>
  <c r="BZ94" i="1"/>
  <c r="BS94" i="1"/>
  <c r="BL84" i="1"/>
  <c r="CK82" i="1"/>
  <c r="CK132" i="1"/>
  <c r="CJ132" i="1" s="1"/>
  <c r="CK131" i="1"/>
  <c r="CJ131" i="1" s="1"/>
  <c r="CP131" i="1"/>
  <c r="CP132" i="1"/>
  <c r="CZ162" i="1"/>
  <c r="CZ71" i="1"/>
  <c r="CC31" i="1"/>
  <c r="CC32" i="1"/>
  <c r="CY31" i="1"/>
  <c r="CB3" i="1"/>
  <c r="CW31" i="1"/>
  <c r="BV1" i="1"/>
  <c r="BV2" i="1"/>
  <c r="BV32" i="1"/>
  <c r="BV31" i="1"/>
  <c r="BU3" i="1"/>
  <c r="ET31" i="1"/>
  <c r="CJ80" i="1" l="1"/>
  <c r="CJ191" i="1"/>
  <c r="CJ81" i="1"/>
  <c r="CZ74" i="1"/>
  <c r="CZ125" i="1"/>
  <c r="CZ126" i="1"/>
  <c r="CZ156" i="1"/>
  <c r="CZ30" i="1"/>
  <c r="CZ11" i="1"/>
  <c r="CZ26" i="1"/>
  <c r="CZ129" i="1"/>
  <c r="CZ76" i="1"/>
  <c r="CX22" i="1"/>
  <c r="CZ36" i="1"/>
  <c r="CZ172" i="1"/>
  <c r="CZ88" i="1"/>
  <c r="CX33" i="1"/>
  <c r="CZ60" i="1"/>
  <c r="CX34" i="1"/>
  <c r="CZ120" i="1"/>
  <c r="CZ37" i="1"/>
  <c r="CZ127" i="1"/>
  <c r="CX21" i="1"/>
  <c r="CZ58" i="1"/>
  <c r="CX35" i="1"/>
  <c r="CX11" i="1"/>
  <c r="CZ106" i="1"/>
  <c r="CZ171" i="1"/>
  <c r="CX16" i="1"/>
  <c r="CX15" i="1"/>
  <c r="CZ186" i="1"/>
  <c r="CX24" i="1"/>
  <c r="CZ105" i="1"/>
  <c r="CZ101" i="1"/>
  <c r="CX23" i="1"/>
  <c r="CX9" i="1"/>
  <c r="CZ108" i="1"/>
  <c r="CX29" i="1"/>
  <c r="CZ35" i="1"/>
  <c r="CZ21" i="1"/>
  <c r="CX8" i="1"/>
  <c r="CZ109" i="1"/>
  <c r="CX12" i="1"/>
  <c r="CZ12" i="1"/>
  <c r="CX20" i="1"/>
  <c r="CX30" i="1"/>
  <c r="CZ16" i="1"/>
  <c r="CZ15" i="1"/>
  <c r="CZ87" i="1"/>
  <c r="CX26" i="1"/>
  <c r="CZ33" i="1"/>
  <c r="CZ9" i="1"/>
  <c r="CZ38" i="1"/>
  <c r="CZ29" i="1"/>
  <c r="CZ22" i="1"/>
  <c r="CZ170" i="1"/>
  <c r="CX27" i="1"/>
  <c r="CX38" i="1"/>
  <c r="CZ104" i="1"/>
  <c r="CZ34" i="1"/>
  <c r="CZ96" i="1"/>
  <c r="CZ28" i="1"/>
  <c r="CZ97" i="1"/>
  <c r="CX28" i="1"/>
  <c r="CZ19" i="1"/>
  <c r="CZ107" i="1"/>
  <c r="CZ20" i="1"/>
  <c r="CZ187" i="1"/>
  <c r="DR190" i="1"/>
  <c r="DQ190" i="1"/>
  <c r="CZ98" i="1"/>
  <c r="CZ91" i="1"/>
  <c r="CZ111" i="1"/>
  <c r="DL81" i="1"/>
  <c r="CZ115" i="1"/>
  <c r="CZ112" i="1"/>
  <c r="CZ24" i="1"/>
  <c r="CZ100" i="1"/>
  <c r="CZ118" i="1"/>
  <c r="BX82" i="1"/>
  <c r="CZ103" i="1"/>
  <c r="CZ8" i="1"/>
  <c r="DM80" i="1"/>
  <c r="DQ80" i="1"/>
  <c r="CZ128" i="1"/>
  <c r="CZ27" i="1"/>
  <c r="DQ39" i="1"/>
  <c r="CZ110" i="1"/>
  <c r="CZ122" i="1"/>
  <c r="CZ13" i="1"/>
  <c r="CX14" i="1"/>
  <c r="CZ93" i="1"/>
  <c r="CZ90" i="1"/>
  <c r="CX37" i="1"/>
  <c r="CZ23" i="1"/>
  <c r="CZ117" i="1"/>
  <c r="CZ130" i="1"/>
  <c r="CZ86" i="1"/>
  <c r="BQ131" i="1"/>
  <c r="CX36" i="1"/>
  <c r="CZ89" i="1"/>
  <c r="BY131" i="1"/>
  <c r="CZ150" i="1"/>
  <c r="CZ149" i="1"/>
  <c r="CZ148" i="1"/>
  <c r="CZ147" i="1"/>
  <c r="DS40" i="1"/>
  <c r="CZ123" i="1"/>
  <c r="CX25" i="1"/>
  <c r="BQ82" i="1"/>
  <c r="CZ166" i="1"/>
  <c r="CZ165" i="1"/>
  <c r="CZ121" i="1"/>
  <c r="CZ116" i="1"/>
  <c r="CZ64" i="1"/>
  <c r="CZ10" i="1"/>
  <c r="CZ99" i="1"/>
  <c r="CZ25" i="1"/>
  <c r="DP190" i="1"/>
  <c r="CZ188" i="1"/>
  <c r="CZ59" i="1"/>
  <c r="CX18" i="1"/>
  <c r="CZ146" i="1"/>
  <c r="CX10" i="1"/>
  <c r="DL190" i="1"/>
  <c r="DM40" i="1"/>
  <c r="CZ17" i="1"/>
  <c r="CX17" i="1"/>
  <c r="CZ92" i="1"/>
  <c r="CZ124" i="1"/>
  <c r="DP40" i="1"/>
  <c r="DL40" i="1"/>
  <c r="CX13" i="1"/>
  <c r="DM190" i="1"/>
  <c r="BX132" i="1"/>
  <c r="CB132" i="1"/>
  <c r="CZ113" i="1"/>
  <c r="CZ114" i="1"/>
  <c r="CZ119" i="1"/>
  <c r="CX19" i="1"/>
  <c r="DP80" i="1"/>
  <c r="CZ18" i="1"/>
  <c r="DR39" i="1"/>
  <c r="BY132" i="1"/>
  <c r="CZ14" i="1"/>
  <c r="BU132" i="1"/>
  <c r="CZ102" i="1"/>
  <c r="BY7" i="1"/>
  <c r="ET6" i="1"/>
  <c r="BY6" i="1"/>
  <c r="CY6" i="1"/>
  <c r="BY1" i="1"/>
  <c r="BX3" i="1"/>
  <c r="BZ1" i="1"/>
  <c r="CZ159" i="1"/>
  <c r="CZ160" i="1"/>
  <c r="BZ3" i="1"/>
  <c r="ET4" i="1"/>
  <c r="CY4" i="1"/>
  <c r="CZ5" i="1" s="1"/>
  <c r="CA5" i="1"/>
  <c r="DR81" i="1"/>
  <c r="CW4" i="1"/>
  <c r="CX5" i="1" s="1"/>
  <c r="BT5" i="1"/>
  <c r="BT2" i="1"/>
  <c r="BS3" i="1"/>
  <c r="BT1" i="1"/>
  <c r="CY47" i="1"/>
  <c r="BY47" i="1"/>
  <c r="BX44" i="1"/>
  <c r="BY48" i="1"/>
  <c r="ET47" i="1"/>
  <c r="BZ42" i="1"/>
  <c r="BY42" i="1"/>
  <c r="CW47" i="1"/>
  <c r="BR47" i="1"/>
  <c r="BR43" i="1"/>
  <c r="BR42" i="1"/>
  <c r="BQ44" i="1"/>
  <c r="BR48" i="1"/>
  <c r="BR6" i="1"/>
  <c r="BR2" i="1"/>
  <c r="BQ3" i="1"/>
  <c r="CW6" i="1"/>
  <c r="BR7" i="1"/>
  <c r="BR1" i="1"/>
  <c r="ET151" i="1"/>
  <c r="CY151" i="1"/>
  <c r="BY151" i="1"/>
  <c r="BY152" i="1"/>
  <c r="BZ134" i="1"/>
  <c r="BX136" i="1"/>
  <c r="BY134" i="1"/>
  <c r="BS84" i="1"/>
  <c r="BT95" i="1"/>
  <c r="CW94" i="1"/>
  <c r="BT94" i="1"/>
  <c r="CW151" i="1"/>
  <c r="BR151" i="1"/>
  <c r="BR134" i="1"/>
  <c r="BQ136" i="1"/>
  <c r="BR152" i="1"/>
  <c r="BS134" i="1"/>
  <c r="CA94" i="1"/>
  <c r="CY94" i="1"/>
  <c r="ET94" i="1"/>
  <c r="CA95" i="1"/>
  <c r="BZ84" i="1"/>
  <c r="BU39" i="1"/>
  <c r="BU40" i="1"/>
  <c r="BU1" i="1"/>
  <c r="CB40" i="1"/>
  <c r="CB39" i="1"/>
  <c r="CX31" i="1"/>
  <c r="CX32" i="1"/>
  <c r="CZ32" i="1"/>
  <c r="CZ31" i="1"/>
  <c r="BQ1" i="1" l="1"/>
  <c r="BP39" i="1"/>
  <c r="CC82" i="1"/>
  <c r="BW132" i="1"/>
  <c r="CY3" i="1"/>
  <c r="CY39" i="1" s="1"/>
  <c r="BY39" i="1"/>
  <c r="BY40" i="1"/>
  <c r="BX39" i="1"/>
  <c r="BX40" i="1"/>
  <c r="BX1" i="1"/>
  <c r="CZ6" i="1"/>
  <c r="CZ7" i="1"/>
  <c r="BZ40" i="1"/>
  <c r="BZ39" i="1"/>
  <c r="CX1" i="1"/>
  <c r="BQ42" i="1"/>
  <c r="BX42" i="1"/>
  <c r="CY1" i="1"/>
  <c r="CW3" i="1"/>
  <c r="CW39" i="1" s="1"/>
  <c r="BX81" i="1"/>
  <c r="BW81" i="1" s="1"/>
  <c r="BX80" i="1"/>
  <c r="BW80" i="1" s="1"/>
  <c r="BS40" i="1"/>
  <c r="BS39" i="1"/>
  <c r="BY80" i="1"/>
  <c r="BY81" i="1"/>
  <c r="CX6" i="1"/>
  <c r="CX7" i="1"/>
  <c r="CZ47" i="1"/>
  <c r="CY80" i="1"/>
  <c r="CZ48" i="1"/>
  <c r="CY44" i="1"/>
  <c r="CY81" i="1"/>
  <c r="BQ39" i="1"/>
  <c r="BQ40" i="1"/>
  <c r="BP40" i="1" s="1"/>
  <c r="BQ81" i="1"/>
  <c r="BP81" i="1" s="1"/>
  <c r="BP80" i="1"/>
  <c r="BQ80" i="1"/>
  <c r="CW81" i="1"/>
  <c r="CW80" i="1"/>
  <c r="CY42" i="1"/>
  <c r="CX42" i="1"/>
  <c r="CW44" i="1"/>
  <c r="BS1" i="1"/>
  <c r="CY134" i="1"/>
  <c r="CX134" i="1"/>
  <c r="CW136" i="1"/>
  <c r="BS131" i="1"/>
  <c r="BP131" i="1" s="1"/>
  <c r="BS132" i="1"/>
  <c r="BP132" i="1"/>
  <c r="CZ95" i="1"/>
  <c r="CY84" i="1"/>
  <c r="CY131" i="1"/>
  <c r="CZ94" i="1"/>
  <c r="CY132" i="1"/>
  <c r="BR137" i="1"/>
  <c r="BQ191" i="1"/>
  <c r="BP191" i="1" s="1"/>
  <c r="BQ190" i="1"/>
  <c r="BP190" i="1" s="1"/>
  <c r="BX134" i="1"/>
  <c r="BY191" i="1"/>
  <c r="BY190" i="1"/>
  <c r="BZ132" i="1"/>
  <c r="BZ131" i="1"/>
  <c r="BW131" i="1" s="1"/>
  <c r="BQ134" i="1"/>
  <c r="CX82" i="1"/>
  <c r="CW84" i="1"/>
  <c r="CW132" i="1"/>
  <c r="CY82" i="1"/>
  <c r="CW131" i="1"/>
  <c r="BX190" i="1"/>
  <c r="BW190" i="1" s="1"/>
  <c r="BX191" i="1"/>
  <c r="BW191" i="1" s="1"/>
  <c r="CZ152" i="1"/>
  <c r="CZ151" i="1"/>
  <c r="CY136" i="1"/>
  <c r="BW40" i="1" l="1"/>
  <c r="BW39" i="1"/>
  <c r="EZ4" i="1"/>
  <c r="CY40" i="1"/>
  <c r="FD4" i="1"/>
  <c r="FC4" i="1"/>
  <c r="CW40" i="1"/>
  <c r="CW1" i="1"/>
  <c r="CC1" i="1"/>
  <c r="FE4" i="1"/>
  <c r="CC134" i="1"/>
  <c r="CW82" i="1"/>
  <c r="CC42" i="1"/>
  <c r="EX4" i="1" s="1"/>
  <c r="CW134" i="1"/>
  <c r="CW42" i="1"/>
  <c r="FF4" i="1"/>
  <c r="CW190" i="1"/>
  <c r="CW191" i="1"/>
  <c r="CY191" i="1"/>
  <c r="CY190" i="1"/>
  <c r="EV4" i="1" l="1"/>
  <c r="FB4" i="1"/>
</calcChain>
</file>

<file path=xl/sharedStrings.xml><?xml version="1.0" encoding="utf-8"?>
<sst xmlns="http://schemas.openxmlformats.org/spreadsheetml/2006/main" count="8748" uniqueCount="8508">
  <si>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</si>
  <si>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</si>
  <si>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</si>
  <si>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</si>
  <si>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</si>
  <si>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</si>
  <si>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</si>
  <si>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</si>
  <si>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</si>
  <si>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</si>
  <si>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</si>
  <si>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</si>
  <si>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</si>
  <si>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</si>
  <si>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</si>
  <si>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</si>
  <si>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</si>
  <si>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</si>
  <si>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</si>
  <si>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</si>
  <si>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</si>
  <si>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</si>
  <si>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</si>
  <si>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</si>
  <si>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</si>
  <si>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</si>
  <si>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</si>
  <si>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</si>
  <si>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</si>
  <si>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</si>
  <si>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</si>
  <si>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</si>
  <si>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</si>
  <si>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</si>
  <si>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</si>
  <si>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</si>
  <si>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</si>
  <si>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</si>
  <si>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</si>
  <si>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</si>
  <si>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</si>
  <si>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</si>
  <si>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</si>
  <si>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</si>
  <si>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</si>
  <si>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</si>
  <si>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</si>
  <si>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</si>
  <si>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</si>
  <si>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</si>
  <si>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</si>
  <si>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</si>
  <si>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</si>
  <si>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</si>
  <si>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</si>
  <si>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</si>
  <si>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</si>
  <si>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</si>
  <si>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</si>
  <si>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2025-05-04 21:03:00,575,,,564,575,,567,,,,,570,560</t>
  </si>
  <si>
    <t>2025-05-04 21:03:00,490,,,485,490,,490,,,,,500,480</t>
  </si>
  <si>
    <t>2025-05-04 21:03:00,5600,,5700,,5600,,5620,,,,,5750,5600</t>
  </si>
  <si>
    <t>2025-05-04 21:03:00,20000,,20300,,19500,,20160,,,,,20000,19500</t>
  </si>
  <si>
    <t>2025-05-04 21:03:00,422226253.804227,-7752860329.55359,0,0,0,0,0,0</t>
  </si>
  <si>
    <t>2025-05-04 21:03:00,850756284.597427,-3461557557.19159,0,0,0,0,0,0</t>
  </si>
  <si>
    <t>2025-05-04 21:03:00,270010744.812478,169574.533915636,,-131951,,-2372952.96,49.3923446146024,-37493.44</t>
  </si>
  <si>
    <t>2025-05-04 21:03:00,11846875.2424896,15184.0769338995,0,0,0,0,0,0</t>
  </si>
  <si>
    <t>2025-05-04 21:04:00,575,,,564,575,,567,,,,,570,560</t>
  </si>
  <si>
    <t>2025-05-04 21:04:00,490,,,485,490,,490,,,,,500,480</t>
  </si>
  <si>
    <t>2025-05-04 21:04:00,5600,,5700,,5600,,5620,,,,,5750,5600</t>
  </si>
  <si>
    <t>2025-05-04 21:04:00,20000,,20300,,19500,,20160,,,,,20000,19500</t>
  </si>
  <si>
    <t>2025-05-04 21:04:00,422304238.580633,-7773624307.02967,0,0,0,0,0,0</t>
  </si>
  <si>
    <t>2025-05-04 21:04:00,850818469.028648,-3461015033.45987,0,0,0,0,0,0</t>
  </si>
  <si>
    <t>2025-05-04 21:04:00,269753697.386818,182621.784309906,,2,,5.25,-0.0040601999535796,0.2</t>
  </si>
  <si>
    <t>2025-05-04 21:04:00,11842335.5646475,15074.9383069526,0,0,0,0,0,0</t>
  </si>
  <si>
    <t>2025-05-04 21:05:00,575,,,564,575,,567,,,,,570,560</t>
  </si>
  <si>
    <t>2025-05-04 21:05:00,490,,,485,490,,490,,,,,500,480</t>
  </si>
  <si>
    <t>2025-05-04 21:05:00,5600,,5700,,5600,,5620,,,,,5750,5600</t>
  </si>
  <si>
    <t>2025-05-04 21:05:00,20000,,20300,,19500,,20160,,,,,20000,19500</t>
  </si>
  <si>
    <t>2025-05-04 21:05:00,438408289.307875,-7729917266.52996,0,0,0,0,0,0</t>
  </si>
  <si>
    <t>2025-05-04 21:05:00,860032183.648691,-3388007264.39609,0,0,0,0,0,0</t>
  </si>
  <si>
    <t>2025-05-04 21:05:00,267879165.946023,226359.139066742,,-3,,-1.5,0.00266246232103183,-0.03</t>
  </si>
  <si>
    <t>2025-05-04 21:05:00,11851516.8279337,16010.9909035486,0,0,0,0,0,0</t>
  </si>
  <si>
    <t>2025-05-04 21:06:00,575,,,564,575,,567,,,,,570,560</t>
  </si>
  <si>
    <t>2025-05-04 21:06:00,490,,,485,490,,490,,,,,500,480</t>
  </si>
  <si>
    <t>2025-05-04 21:06:00,5600,,5700,,5600,,5620,,,,,5750,5600</t>
  </si>
  <si>
    <t>2025-05-04 21:06:00,20000,,20300,,19500,,20160,,,,,20000,19500</t>
  </si>
  <si>
    <t>2025-05-04 21:06:00,435098893.677505,-7756633156.21883,0,0,0,0,0,0</t>
  </si>
  <si>
    <t>2025-05-04 21:06:00,857730156.80627,-3427314047.02917,0,0,0,0,0,0</t>
  </si>
  <si>
    <t>2025-05-04 21:06:00,268788217.596798,209225.18598737,,10,,111.03,-0.00764105698551701,1.39</t>
  </si>
  <si>
    <t>2025-05-04 21:06:00,11861827.5326039,16841.3654480155,0,0,0,0,0,0</t>
  </si>
  <si>
    <t>2025-05-04 21:07:00,575,,,564,575,,567,,,,,570,560</t>
  </si>
  <si>
    <t>2025-05-04 21:07:00,490,,,485,490,,490,,,,,500,480</t>
  </si>
  <si>
    <t>2025-05-04 21:07:00,5600,,5700,,5600,,5620,,,,,5750,5600</t>
  </si>
  <si>
    <t>2025-05-04 21:07:00,20000,,20300,,19500,,20160,,,,,20000,19500</t>
  </si>
  <si>
    <t>2025-05-04 21:07:00,427977842.970319,-7800528741.84181,0,0,0,0,0,0</t>
  </si>
  <si>
    <t>2025-05-04 21:07:00,839994293.663466,-3551161050.54879,0,0,0,0,0,0</t>
  </si>
  <si>
    <t>2025-05-04 21:07:00,268771832.057927,196590.5775629,,25,,135.14,-0.0512779852221907,4.05</t>
  </si>
  <si>
    <t>2025-05-04 21:07:00,11823585.9025595,13295.7977812002,0,0,0,0,0,0</t>
  </si>
  <si>
    <t>2025-05-04 21:08:00,575,,,560,575,,567,,,,,570,560</t>
  </si>
  <si>
    <t>2025-05-04 21:08:00,490,,,485,490,,490,,,,,500,480</t>
  </si>
  <si>
    <t>2025-05-04 21:08:00,5700,,5700,,5600,,5620,,,,,5750,5600</t>
  </si>
  <si>
    <t>2025-05-04 21:08:00,20000,,20300,,19500,,20160,,,,,20000,19500</t>
  </si>
  <si>
    <t>2025-05-04 21:08:00,410431681.171398,-6674934919.67964,0,0,0,0,0,0</t>
  </si>
  <si>
    <t>2025-05-04 21:08:00,815308383.449819,-3385703305.50324,0,0,0,0,0,0</t>
  </si>
  <si>
    <t>2025-05-04 21:08:00,253584291.423003,89263.4777278939,,45,,608.6,0.031423399848261,10.11</t>
  </si>
  <si>
    <t>2025-05-04 21:08:00,11756789.8975207,7919.3095776413,0,0,0,0,0,0</t>
  </si>
  <si>
    <t>2025-05-04 21:09:00,575,,,560,575,,567,,,,,570,560</t>
  </si>
  <si>
    <t>2025-05-04 21:09:00,490,,,485,490,,490,,,,,500,480</t>
  </si>
  <si>
    <t>2025-05-04 21:09:00,5700,,5700,,5600,,5620,,,,,5750,5600</t>
  </si>
  <si>
    <t>2025-05-04 21:09:00,20000,,20300,,19500,,20160,,,,,20000,19500</t>
  </si>
  <si>
    <t>2025-05-04 21:09:00,439770139.139373,-6474498176.72271,0,0,0,0,0,0</t>
  </si>
  <si>
    <t>2025-05-04 21:09:00,833548155.601761,-3246245067.42914,0,0,0,0,0,0</t>
  </si>
  <si>
    <t>2025-05-04 21:09:00,252389890.158573,123633.139868957,,28,,229.32,-0.0223604232567738,5.22</t>
  </si>
  <si>
    <t>2025-05-04 21:09:00,11798209.4351971,11056.4251200668,0,0,0,0,0,0</t>
  </si>
  <si>
    <t>2025-05-04 21:10:00,575,,,560,575,,567,,,,,570,560</t>
  </si>
  <si>
    <t>2025-05-04 21:10:00,490,,,485,490,,490,,,,,500,480</t>
  </si>
  <si>
    <t>2025-05-04 21:10:00,5600,,5700,,5600,,5620,,,,,5750,5600</t>
  </si>
  <si>
    <t>2025-05-04 21:10:00,20000,,20300,,19500,,20160,,,,,20000,19500</t>
  </si>
  <si>
    <t>2025-05-04 21:10:00,463154296.738646,-6322676755.89792,0,0,0,0,0,0</t>
  </si>
  <si>
    <t>2025-05-04 21:10:00,849022895.839011,-3478894513.03152,0,0,0,0,0,0</t>
  </si>
  <si>
    <t>2025-05-04 21:10:00,270198482.32979,169372.708952243,,5,,105.4,0.00363407964018025,2.25</t>
  </si>
  <si>
    <t>2025-05-04 21:10:00,11841174.0464962,15394.3304150796,0,0,0,0,0,0</t>
  </si>
  <si>
    <t>2025-05-04 21:11:00,575,,,564,575,,567,,,,,570,560</t>
  </si>
  <si>
    <t>2025-05-04 21:11:00,490,,,485,490,,490,,,,,500,480</t>
  </si>
  <si>
    <t>2025-05-04 21:11:00,5600,,5700,,5600,,5620,,,,,5750,5600</t>
  </si>
  <si>
    <t>2025-05-04 21:11:00,20000,,20300,,19500,,20160,,,,,20000,19500</t>
  </si>
  <si>
    <t>2025-05-04 21:11:00,470540496.999743,-7444616751.50412,0,0,0,0,0,0</t>
  </si>
  <si>
    <t>2025-05-04 21:11:00,877728021.039942,-3250967123.65683,0,0,0,0,0,0</t>
  </si>
  <si>
    <t>2025-05-04 21:11:00,264667780.835177,256956.786220752,,19,,154.78,0.00581985142249328,2.4</t>
  </si>
  <si>
    <t>2025-05-04 21:11:00,11885234.0506768,18945.7666535856,0,0,0,0,0,0</t>
  </si>
  <si>
    <t>2025-05-04 21:12:00,575,,,564,575,,567,,,,,570,560</t>
  </si>
  <si>
    <t>2025-05-04 21:12:00,490,,,485,490,,490,,,,,500,480</t>
  </si>
  <si>
    <t>2025-05-04 21:12:00,5600,,5700,,5600,,5620,,,,,5750,5600</t>
  </si>
  <si>
    <t>2025-05-04 21:12:00,20000,,20300,,19500,,20160,,,,,20000,19500</t>
  </si>
  <si>
    <t>2025-05-04 21:12:00,483597814.024554,-7290976467.42285,0,0,0,0,0,0</t>
  </si>
  <si>
    <t>2025-05-04 21:12:00,876484353.598714,-3264320618.36763,0,0,0,0,0,0</t>
  </si>
  <si>
    <t>2025-05-04 21:12:00,266143266.418774,212131.012216193,,51,,554.42,-0.00203852570236044,12.04</t>
  </si>
  <si>
    <t>2025-05-04 21:12:00,11891234.1839808,19600.8505864223,0,0,0,0,0,0</t>
  </si>
  <si>
    <t>2025-05-04 21:13:00,575,,,564,575,,567,,,,,570,560</t>
  </si>
  <si>
    <t>2025-05-04 21:13:00,490,,,485,490,,490,,,,,500,480</t>
  </si>
  <si>
    <t>2025-05-04 21:13:00,5600,,5700,,5600,,5620,,,,,5750,5600</t>
  </si>
  <si>
    <t>2025-05-04 21:13:00,20000,,20300,,19500,,20160,,,,,20000,19500</t>
  </si>
  <si>
    <t>2025-05-04 21:13:00,499079660.037768,-7182682138.85186,0,0,0,0,0,0</t>
  </si>
  <si>
    <t>2025-05-04 21:13:00,900683854.639127,-3086614803.11157,0,0,0,0,0,0</t>
  </si>
  <si>
    <t>2025-05-04 21:13:00,263204226.052649,281380.664463511,,18,,80.02,-0.00493499406038303,1.48</t>
  </si>
  <si>
    <t>2025-05-04 21:13:00,11922273.9733986,23017.6742401342,0,0,0,0,0,0</t>
  </si>
  <si>
    <t>2025-05-04 21:14:00,575,,,564,575,,567,,,,,570,560</t>
  </si>
  <si>
    <t>2025-05-04 21:14:00,490,,,485,490,,490,,,,,500,480</t>
  </si>
  <si>
    <t>2025-05-04 21:14:00,5600,,5700,,5600,,5620,,,,,5750,5600</t>
  </si>
  <si>
    <t>2025-05-04 21:14:00,20000,,20300,,19500,,20160,,,,,20000,19500</t>
  </si>
  <si>
    <t>2025-05-04 21:14:00,499128524.063621,-7182269453.4749,0,0,0,0,0,0</t>
  </si>
  <si>
    <t>2025-05-04 21:14:00,904159669.313128,-3062845427.09938,0,0,0,0,0,0</t>
  </si>
  <si>
    <t>2025-05-04 21:14:00,263418296.06716,280795.175376752,,3,,7.56,-0.00719500910621983,0.27</t>
  </si>
  <si>
    <t>2025-05-04 21:14:00,11923745.0946688,22805.2024822832,0,0,0,0,0,0</t>
  </si>
  <si>
    <t>2025-05-04 21:16:00,575,,,564,575,,567,,,,,570,560</t>
  </si>
  <si>
    <t>2025-05-04 21:16:00,490,,,485,490,,490,,,,,500,480</t>
  </si>
  <si>
    <t>2025-05-04 21:16:00,5600,,5700,,5600,,5620,,,,,5750,5600</t>
  </si>
  <si>
    <t>2025-05-04 21:16:00,20000,,20300,,19500,,20160,,,,,20000,19500</t>
  </si>
  <si>
    <t>2025-05-04 21:16:00,499111594.456918,-7184251783.15144,0,0,0,0,0,0</t>
  </si>
  <si>
    <t>2025-05-04 21:16:00,925050112.726837,-2926552087.91078,0,0,0,0,0,0</t>
  </si>
  <si>
    <t>2025-05-04 21:16:00,262302532.782642,314526.196799253,,13,,182.21,0.0072140756366896,3.61</t>
  </si>
  <si>
    <t>2025-05-04 21:16:00,11950932.9150715,26229.8336058194,0,0,0,0,0,0</t>
  </si>
  <si>
    <t>2025-05-04 21:17:00,575,,,564,575,,567,,,,,570,560</t>
  </si>
  <si>
    <t>2025-05-04 21:17:00,490,,,485,490,,490,,,,,500,480</t>
  </si>
  <si>
    <t>2025-05-04 21:17:00,5600,,5700,,5600,,5620,,,,,5750,5600</t>
  </si>
  <si>
    <t>2025-05-04 21:17:00,20000,,20300,,19500,,20160,,,,,20000,19500</t>
  </si>
  <si>
    <t>2025-05-04 21:17:00,499122082.048833,-7185319494.91383,0,0,0,0,0,0</t>
  </si>
  <si>
    <t>2025-05-04 21:17:00,909492647.226414,-3028476423.94061,0,0,0,0,0,0</t>
  </si>
  <si>
    <t>2025-05-04 21:17:00,264084174.996315,274935.957362541,,3,,50.14,0.00510847294093656,0.97</t>
  </si>
  <si>
    <t>2025-05-04 21:17:00,11921182.1419607,23329.5848970448,0,0,0,0,0,0</t>
  </si>
  <si>
    <t>2025-05-04 21:18:00,575,,,564,575,,567,,,,,570,560</t>
  </si>
  <si>
    <t>2025-05-04 21:18:00,490,,,485,490,,490,,,,,500,480</t>
  </si>
  <si>
    <t>2025-05-04 21:18:00,5600,,5700,,5600,,5620,,,,,5750,5600</t>
  </si>
  <si>
    <t>2025-05-04 21:18:00,20000,,20300,,19500,,20160,,,,,20000,19500</t>
  </si>
  <si>
    <t>2025-05-04 21:18:00,495477029.556925,-7219277872.49671,0,0,0,0,0,0</t>
  </si>
  <si>
    <t>2025-05-04 21:18:00,909468946.502456,-3028343439.17347,0,0,0,0,0,0</t>
  </si>
  <si>
    <t>2025-05-04 21:18:00,265271186.12864,251944.59991099,,15,,261.82,0.0140934996291324,5.49</t>
  </si>
  <si>
    <t>2025-05-04 21:18:00,11920682.6818489,23112.2995057945,0,0,0,0,0,0</t>
  </si>
  <si>
    <t>2025-05-04 21:19:00,575,,,560,575,,567,,,,,570,560</t>
  </si>
  <si>
    <t>2025-05-04 21:19:00,490,,,485,490,,490,,,,,500,480</t>
  </si>
  <si>
    <t>2025-05-04 21:19:00,5700,,5700,,5600,,5620,,,,,5750,5600</t>
  </si>
  <si>
    <t>2025-05-04 21:19:00,20000,,20300,,19500,,20160,,,,,20000,19500</t>
  </si>
  <si>
    <t>2025-05-04 21:19:00,581481169.088151,-6513097108.41667,0,0,0,0,0,0</t>
  </si>
  <si>
    <t>2025-05-04 21:19:00,963046841.708732,-3134959204.54594,0,0,0,0,0,0</t>
  </si>
  <si>
    <t>2025-05-04 21:19:00,258387561.305945,437350.307137887,,8,,102.7,0.000243269428456377,2.06</t>
  </si>
  <si>
    <t>2025-05-04 21:19:00,12000240.551634,31914.5475425175,0,0,0,0,0,0</t>
  </si>
  <si>
    <t>2025-05-04 21:20:00,575,,,560,575,,567,,,,,570,560</t>
  </si>
  <si>
    <t>2025-05-04 21:20:00,490,,,485,490,,490,,,,,500,480</t>
  </si>
  <si>
    <t>2025-05-04 21:20:00,5700,,5700,,5600,,5620,,,,,5750,5600</t>
  </si>
  <si>
    <t>2025-05-04 21:20:00,20000,,20300,,19500,,20160,,,,,20000,19500</t>
  </si>
  <si>
    <t>2025-05-04 21:20:00,621816845.567062,-6176390326.31662,0,0,0,0,0,0</t>
  </si>
  <si>
    <t>2025-05-04 21:20:00,973333012.555251,-3058302868.19032,0,0,0,0,0,0</t>
  </si>
  <si>
    <t>2025-05-04 21:20:00,260637679.748738,491715.744340142,,25,,502.88,0.0302327632628677,6.59</t>
  </si>
  <si>
    <t>2025-05-04 21:20:00,12018498.6626776,33763.5242336595,0,0,0,0,0,0</t>
  </si>
  <si>
    <t>2025-05-04 21:21:00,575,,,560,575,,567,,,,,570,560</t>
  </si>
  <si>
    <t>2025-05-04 21:21:00,490,,,485,490,,490,,,,,500,480</t>
  </si>
  <si>
    <t>2025-05-04 21:21:00,5700,,5700,,5600,,5620,,,,,5750,5600</t>
  </si>
  <si>
    <t>2025-05-04 21:21:00,20000,,20300,,19500,,20160,,,,,20000,19500</t>
  </si>
  <si>
    <t>2025-05-04 21:21:00,587501239.483062,-6461431834.53155,0,0,0,0,0,0</t>
  </si>
  <si>
    <t>2025-05-04 21:21:00,959616186.252055,-3160038651.86151,0,0,0,0,0,0</t>
  </si>
  <si>
    <t>2025-05-04 21:21:00,258892216.490001,415300.941697158,,24,,195.7,-0.0401971253918262,5.29</t>
  </si>
  <si>
    <t>2025-05-04 21:21:00,12001793.4020525,32199.1891518252,0,0,0,0,0,0</t>
  </si>
  <si>
    <t>2025-05-04 21:22:00,575,,,560,575,,567,,,,,570,560</t>
  </si>
  <si>
    <t>2025-05-04 21:22:00,490,,,485,490,,490,,,,,500,480</t>
  </si>
  <si>
    <t>2025-05-04 21:22:00,5700,,5700,,5600,,5620,,,,,5750,5600</t>
  </si>
  <si>
    <t>2025-05-04 21:22:00,20000,,20300,,19500,,20160,,,,,20000,19500</t>
  </si>
  <si>
    <t>2025-05-04 21:22:00,587438298.54915,-6463677691.82275,0,0,0,0,0,0</t>
  </si>
  <si>
    <t>2025-05-04 21:22:00,956404578.988298,-3182722180.28231,0,0,0,0,0,0</t>
  </si>
  <si>
    <t>2025-05-04 21:22:00,259038530.216094,411436.33429505,,1,,57.66,0.00517847314191035,1</t>
  </si>
  <si>
    <t>2025-05-04 21:22:00,11993963.5229258,31440.7561394907,0,0,0,0,0,0</t>
  </si>
  <si>
    <t>2025-05-04 21:23:00,575,,,560,575,,567,,,,,570,560</t>
  </si>
  <si>
    <t>2025-05-04 21:23:00,490,,,485,490,,490,,,,,500,480</t>
  </si>
  <si>
    <t>2025-05-04 21:23:00,5700,,5700,,5600,,5620,,,,,5750,5600</t>
  </si>
  <si>
    <t>2025-05-04 21:23:00,20000,,20300,,19500,,20160,,,,,20000,19500</t>
  </si>
  <si>
    <t>2025-05-04 21:23:00,634512539.025998,-6082793994.99097,0,0,0,0,0,0</t>
  </si>
  <si>
    <t>2025-05-04 21:23:00,983636414.662156,-2980984324.34507,0,0,0,0,0,0</t>
  </si>
  <si>
    <t>2025-05-04 21:23:00,259978389.96349,509234.287865646,,4,,51.25,-0.000975273513687297,1.18</t>
  </si>
  <si>
    <t>2025-05-04 21:23:00,12032504.9368636,35685.9175980452,0,0,0,0,0,0</t>
  </si>
  <si>
    <t>2025-05-04 21:24:00,575,,,560,575,,567,,,,,570,560</t>
  </si>
  <si>
    <t>2025-05-04 21:24:00,490,,,485,490,,490,,,,,500,480</t>
  </si>
  <si>
    <t>2025-05-04 21:24:00,5700,,5700,,5600,,5620,,,,,5750,5600</t>
  </si>
  <si>
    <t>2025-05-04 21:24:00,20000,,20300,,19500,,20160,,,,,20000,19500</t>
  </si>
  <si>
    <t>2025-05-04 21:24:00,624995466.31144,-6157124872.63279,0,0,0,0,0,0</t>
  </si>
  <si>
    <t>2025-05-04 21:24:00,976782666.006694,-3032925552.46663,0,0,0,0,0,0</t>
  </si>
  <si>
    <t>2025-05-04 21:24:00,260229565.178147,503958.346137232,,2,,37.4,0.000430442186573831,0.76</t>
  </si>
  <si>
    <t>2025-05-04 21:24:00,12027811.2607587,35403.1807822977,0,0,0,0,0,0</t>
  </si>
  <si>
    <t>2025-05-04 21:25:00,575,,,560,575,,567,,,,,570,560</t>
  </si>
  <si>
    <t>2025-05-04 21:25:00,490,,,485,490,,490,,,,,500,480</t>
  </si>
  <si>
    <t>2025-05-04 21:25:00,5700,,5700,,5600,,5620,,,,,5750,5600</t>
  </si>
  <si>
    <t>2025-05-04 21:25:00,20000,,20300,,19500,,20160,,,,,20000,19500</t>
  </si>
  <si>
    <t>2025-05-04 21:25:00,599941820.399161,-6360180149.13539,0,0,0,0,0,0</t>
  </si>
  <si>
    <t>2025-05-04 21:25:00,964773472.511246,-3123786977.51893,0,0,0,0,0,0</t>
  </si>
  <si>
    <t>2025-05-04 21:25:00,258496950.340065,437987.139772517,,9,,166.05,0.0208875008594488,3.01</t>
  </si>
  <si>
    <t>2025-05-04 21:25:00,12001395.5915501,32569.5765351626,0,0,0,0,0,0</t>
  </si>
  <si>
    <t>2025-05-04 21:26:00,575,,,560,575,,567,,,,,570,560</t>
  </si>
  <si>
    <t>2025-05-04 21:26:00,490,,,485,490,,490,,,,,500,480</t>
  </si>
  <si>
    <t>2025-05-04 21:26:00,5700,,5700,,5600,,5620,,,,,5750,5600</t>
  </si>
  <si>
    <t>2025-05-04 21:26:00,20000,,20300,,19500,,20160,,,,,20000,19500</t>
  </si>
  <si>
    <t>2025-05-04 21:26:00,593790140.142316,-6415223694.3024,0,0,0,0,0,0</t>
  </si>
  <si>
    <t>2025-05-04 21:26:00,964882743.047047,-3123936510.60628,0,0,0,0,0,0</t>
  </si>
  <si>
    <t>2025-05-04 21:26:00,257413923.742147,442788.927905627,,7,,80.18,0.00643559987663376,1.47</t>
  </si>
  <si>
    <t>2025-05-04 21:26:00,12003168.4091568,32355.5667559686,0,0,0,0,0,0</t>
  </si>
  <si>
    <t>2025-05-04 21:27:00,575,,,560,575,,567,,,,,570,560</t>
  </si>
  <si>
    <t>2025-05-04 21:27:00,490,,,485,490,,490,,,,,500,480</t>
  </si>
  <si>
    <t>2025-05-04 21:27:00,5700,,5700,,5600,,5620,,,,,5750,5600</t>
  </si>
  <si>
    <t>2025-05-04 21:27:00,20000,,20300,,19500,,20160,,,,,20000,19500</t>
  </si>
  <si>
    <t>2025-05-04 21:27:00,587473013.879868,-6470275796.51817,0,0,0,0,0,0</t>
  </si>
  <si>
    <t>2025-05-04 21:27:00,957976360.379333,-3173739640.03439,0,0,0,0,0,0</t>
  </si>
  <si>
    <t>2025-05-04 21:27:00,258865476.113039,419078.302401572,,5,,106.75,0.0166012749757091,1.86</t>
  </si>
  <si>
    <t>2025-05-04 21:27:00,11991392.9910584,31283.3331430026,0,0,0,0,0,0</t>
  </si>
  <si>
    <t>2025-05-04 21:28:00,575,,,560,575,,567,,,,,570,560</t>
  </si>
  <si>
    <t>2025-05-04 21:28:00,490,,,485,490,,490,,,,,500,480</t>
  </si>
  <si>
    <t>2025-05-04 21:28:00,5700,,5700,,5600,,5620,,,,,5750,5600</t>
  </si>
  <si>
    <t>2025-05-04 21:28:00,20000,,20300,,19500,,20160,,,,,20000,19500</t>
  </si>
  <si>
    <t>2025-05-04 21:28:00,578521575.068398,-6550045086.69013,0,0,0,0,0,0</t>
  </si>
  <si>
    <t>2025-05-04 21:28:00,966571947.414984,-3112368775.18677,0,0,0,0,0,0</t>
  </si>
  <si>
    <t>2025-05-04 21:28:00,259040277.57082,427352.051067437,,5,,136.75,0.0108730216972383,2.65</t>
  </si>
  <si>
    <t>2025-05-04 21:28:00,12007601.6163087,32968.6728007166,0,0,0,0,0,0</t>
  </si>
  <si>
    <t>2025-05-04 21:29:00,575,,,560,575,,567,,,,,570,560</t>
  </si>
  <si>
    <t>2025-05-04 21:29:00,490,,,485,490,,490,,,,,500,480</t>
  </si>
  <si>
    <t>2025-05-04 21:29:00,5700,,5700,,5600,,5620,,,,,5750,5600</t>
  </si>
  <si>
    <t>2025-05-04 21:29:00,20000,,20300,,19500,,20160,,,,,20000,19500</t>
  </si>
  <si>
    <t>2025-05-04 21:29:00,584491448.99728,-6499010055.93961,0,0,0,0,0,0</t>
  </si>
  <si>
    <t>2025-05-04 21:29:00,964860753.001069,-3125019141.49777,0,0,0,0,0,0</t>
  </si>
  <si>
    <t>2025-05-04 21:29:00,258688615.68696,426022.876848676,,1,,15.9,-0.00291201845672208,0.4</t>
  </si>
  <si>
    <t>2025-05-04 21:29:00,12001573.7159191,32521.4559447982,0,0,0,0,0,0</t>
  </si>
  <si>
    <t>2025-05-04 21:30:00,575,,,560,575,,567,,,,,570,560</t>
  </si>
  <si>
    <t>2025-05-04 21:30:00,490,,,485,490,,490,,,,,500,480</t>
  </si>
  <si>
    <t>2025-05-04 21:30:00,5700,,5700,,5600,,5620,,,,,5750,5600</t>
  </si>
  <si>
    <t>2025-05-04 21:30:00,20000,,20300,,19500,,20160,,,,,20000,19500</t>
  </si>
  <si>
    <t>2025-05-04 21:30:00,596848593.774291,-6392896517.10957,0,0,0,0,0,0</t>
  </si>
  <si>
    <t>2025-05-04 21:30:00,969934781.742232,-3086941743.54945,0,0,0,0,0,0</t>
  </si>
  <si>
    <t>2025-05-04 21:30:00,257892520.298747,456122.254984509,,1,,15.9,-0.00293237168158179,0.4</t>
  </si>
  <si>
    <t>2025-05-04 21:30:00,12009967.501483,33821.3836749887,0,0,0,0,0,0</t>
  </si>
  <si>
    <t>2025-05-04 21:31:00,575,,,560,575,,567,,,,,570,560</t>
  </si>
  <si>
    <t>2025-05-04 21:31:00,490,,,485,490,,490,,,,,500,480</t>
  </si>
  <si>
    <t>2025-05-04 21:31:00,5700,,5700,,5600,,5620,,,,,5750,5600</t>
  </si>
  <si>
    <t>2025-05-04 21:31:00,20000,,20300,,19500,,20160,,,,,20000,19500</t>
  </si>
  <si>
    <t>2025-05-04 21:31:00,575755341.711613,-6582611558.25368,0,0,0,0,0,0</t>
  </si>
  <si>
    <t>2025-05-04 21:31:00,963220732.663202,-3138597315.877,0,0,0,0,0,0</t>
  </si>
  <si>
    <t>2025-05-04 21:31:00,259144455.556841,407338.391253629,,5,,35.39,-0.0117366802968515,0.83</t>
  </si>
  <si>
    <t>2025-05-04 21:31:00,11997659.370142,32019.5013957654,0,0,0,0,0,0</t>
  </si>
  <si>
    <t>2025-05-04 21:32:00,575,,,560,575,,567,,,,,570,560</t>
  </si>
  <si>
    <t>2025-05-04 21:32:00,490,,,485,490,,490,,,,,500,480</t>
  </si>
  <si>
    <t>2025-05-04 21:32:00,5700,,5700,,5600,,5620,,,,,5750,5600</t>
  </si>
  <si>
    <t>2025-05-04 21:32:00,20000,,20300,,19500,,20160,,,,,20000,19500</t>
  </si>
  <si>
    <t>2025-05-04 21:32:00,578534022.174892,-6556413180.58567,0,0,0,0,0,0</t>
  </si>
  <si>
    <t>2025-05-04 21:32:00,964964320.184596,-3125997858.07387,0,0,0,0,0,0</t>
  </si>
  <si>
    <t>2025-05-04 21:32:00,259354822.382333,391184.669556037,,0,,0,0,0</t>
  </si>
  <si>
    <t>2025-05-04 21:32:00,11996239.5455709,32215.6952918664,0,0,0,0,0,0</t>
  </si>
  <si>
    <t>2025-05-04 21:33:00,575,,,564,575,,567,,,,,570,560</t>
  </si>
  <si>
    <t>2025-05-04 21:33:00,490,,,485,490,,490,,,,,500,480</t>
  </si>
  <si>
    <t>2025-05-04 21:33:00,5700,,5700,,5600,,5620,,,,,5750,5600</t>
  </si>
  <si>
    <t>2025-05-04 21:33:00,20000,,20300,,19500,,20160,,,,,20000,19500</t>
  </si>
  <si>
    <t>2025-05-04 21:33:00,562896365.106756,-6641197934.39143,0,0,0,0,0,0</t>
  </si>
  <si>
    <t>2025-05-04 21:33:00,961502167.99837,-3151504184.4278,0,0,0,0,0,0</t>
  </si>
  <si>
    <t>2025-05-04 21:33:00,259942113.90227,385656.541936537,,9,,187.59,0.00253122599918038,3.5</t>
  </si>
  <si>
    <t>2025-05-04 21:33:00,11993049.0498391,32081.6893804779,0,0,0,0,0,0</t>
  </si>
  <si>
    <t>2025-05-04 21:34:00,575,,,560,575,,567,,,,,570,560</t>
  </si>
  <si>
    <t>2025-05-04 21:34:00,490,,,485,490,,490,,,,,500,480</t>
  </si>
  <si>
    <t>2025-05-04 21:34:00,5700,,5700,,5600,,5620,,,,,5750,5600</t>
  </si>
  <si>
    <t>2025-05-04 21:34:00,20000,,20300,,19500,,20160,,,,,20000,19500</t>
  </si>
  <si>
    <t>2025-05-04 21:34:00,578648203.30772,-6557723382.10923,0,0,0,0,0,0</t>
  </si>
  <si>
    <t>2025-05-04 21:34:00,956379722.69203,-3187106430.74252,0,0,0,0,0,0</t>
  </si>
  <si>
    <t>2025-05-04 21:34:00,258966372.314631,400529.027382741,,11,,86.75,0.00340406838445918,1.34</t>
  </si>
  <si>
    <t>2025-05-04 21:34:00,11991329.4238167,31234.4022169375,0,0,0,0,0,0</t>
  </si>
  <si>
    <t>2025-05-04 21:35:00,575,,,564,575,,567,,,,,570,560</t>
  </si>
  <si>
    <t>2025-05-04 21:35:00,490,,,485,490,,490,,,,,500,480</t>
  </si>
  <si>
    <t>2025-05-04 21:35:00,5700,,5700,,5600,,5620,,,,,5750,5600</t>
  </si>
  <si>
    <t>2025-05-04 21:35:00,20000,,20300,,19500,,20160,,,,,20000,19500</t>
  </si>
  <si>
    <t>2025-05-04 21:35:00,559411665.319303,-6672593843.39383,0,0,0,0,0,0</t>
  </si>
  <si>
    <t>2025-05-04 21:35:00,948517634.406056,-3220586283.06331,0,0,0,0,0,0</t>
  </si>
  <si>
    <t>2025-05-04 21:35:00,259331755.353798,386587.806860478,,3,,16.7,-0.00423360252908176,0.42</t>
  </si>
  <si>
    <t>2025-05-04 21:35:00,11977323.4965488,29869.5852453274,0,0,0,0,0,0</t>
  </si>
  <si>
    <t>2025-05-04 21:36:00,575,,,560,575,,567,,,,,570,560</t>
  </si>
  <si>
    <t>2025-05-04 21:36:00,490,,,485,490,,490,,,,,500,480</t>
  </si>
  <si>
    <t>2025-05-04 21:36:00,5700,,5700,,5600,,5620,,,,,5750,5600</t>
  </si>
  <si>
    <t>2025-05-04 21:36:00,20000,,20300,,19500,,20160,,,,,20000,19500</t>
  </si>
  <si>
    <t>2025-05-04 21:36:00,584426313.553343,-6507198530.48315,0,0,0,0,0,0</t>
  </si>
  <si>
    <t>2025-05-04 21:36:00,956392759.375377,-3186945867.32427,0,0,0,0,0,0</t>
  </si>
  <si>
    <t>2025-05-04 21:36:00,258697395.77709,400063.043295682,,1,,4.2,0.000536209570059367,0.04</t>
  </si>
  <si>
    <t>2025-05-04 21:36:00,11997219.0381739,32018.1653946081,0,0,0,0,0,0</t>
  </si>
  <si>
    <t>2025-05-04 21:37:00,575,,,564,575,,567,,,,,570,560</t>
  </si>
  <si>
    <t>2025-05-04 21:37:00,490,,,485,490,,490,,,,,500,480</t>
  </si>
  <si>
    <t>2025-05-04 21:37:00,5700,,5700,,5600,,5620,,,,,5750,5600</t>
  </si>
  <si>
    <t>2025-05-04 21:37:00,20000,,20300,,19500,,20160,,,,,20000,19500</t>
  </si>
  <si>
    <t>2025-05-04 21:37:00,552606731.136498,-6729209326.28452,0,0,0,0,0,0</t>
  </si>
  <si>
    <t>2025-05-04 21:37:00,954718023.463323,-3197986525.04312,0,0,0,0,0,0</t>
  </si>
  <si>
    <t>2025-05-04 21:37:00,259946127.258803,362592.788911446,,11,,53.69,0.00795963830681979,0.81</t>
  </si>
  <si>
    <t>2025-05-04 21:37:00,11980892.2496384,30469.1389248772,0,0,0,0,0,0</t>
  </si>
  <si>
    <t>2025-05-04 21:38:00,575,,,564,575,,567,,,,,570,560</t>
  </si>
  <si>
    <t>2025-05-04 21:38:00,490,,,485,490,,490,,,,,500,480</t>
  </si>
  <si>
    <t>2025-05-04 21:38:00,5700,,5700,,5600,,5620,,,,,5750,5600</t>
  </si>
  <si>
    <t>2025-05-04 21:38:00,20000,,20300,,19500,,20160,,,,,20000,19500</t>
  </si>
  <si>
    <t>2025-05-04 21:38:00,542657092.362976,-6815839396.71227,0,0,0,0,0,0</t>
  </si>
  <si>
    <t>2025-05-04 21:38:00,949847523.426751,-3219736334.09701,0,0,0,0,0,0</t>
  </si>
  <si>
    <t>2025-05-04 21:38:00,260583041.717036,357828.453488933,,7,,49.95,0.00726756671311452,0.8</t>
  </si>
  <si>
    <t>2025-05-04 21:38:00,11974747.5429006,30177.8451769285,0,0,0,0,0,0</t>
  </si>
  <si>
    <t>2025-05-04 21:39:00,575,,,560,575,,567,,,,,570,560</t>
  </si>
  <si>
    <t>2025-05-04 21:39:00,490,,,485,490,,490,,,,,500,480</t>
  </si>
  <si>
    <t>2025-05-04 21:39:00,5700,,5700,,5600,,5620,,,,,5750,5600</t>
  </si>
  <si>
    <t>2025-05-04 21:39:00,20000,,20300,,19500,,20160,,,,,20000,19500</t>
  </si>
  <si>
    <t>2025-05-04 21:39:00,581443715.295643,-6538170554.13079,0,0,0,0,0,0</t>
  </si>
  <si>
    <t>2025-05-04 21:39:00,970075626.049095,-3089793299.53424,0,0,0,0,0,0</t>
  </si>
  <si>
    <t>2025-05-04 21:39:00,258501990.157673,420315.075363968,,5,,68.95,0.00286407587429677,1.36</t>
  </si>
  <si>
    <t>2025-05-04 21:39:00,12001054.1646521,32811.8280173592,0,0,0,0,0,0</t>
  </si>
  <si>
    <t>2025-05-04 21:40:00,575,,,564,575,,567,,,,,570,560</t>
  </si>
  <si>
    <t>2025-05-04 21:40:00,490,,,485,490,,490,,,,,500,480</t>
  </si>
  <si>
    <t>2025-05-04 21:40:00,5700,,5700,,5600,,5620,,,,,5750,5600</t>
  </si>
  <si>
    <t>2025-05-04 21:40:00,20000,,20300,,19500,,20160,,,,,20000,19500</t>
  </si>
  <si>
    <t>2025-05-04 21:40:00,559457139.870887,-6678307949.4485,0,0,0,0,0,0</t>
  </si>
  <si>
    <t>2025-05-04 21:40:00,949908035.467601,-3220422435.76801,0,0,0,0,0,0</t>
  </si>
  <si>
    <t>2025-05-04 21:40:00,259348331.400877,377260.19321371,,3,,18.58,-0.00789821278679636,0.56</t>
  </si>
  <si>
    <t>2025-05-04 21:40:00,11979992.7415893,30326.1759354327,0,0,0,0,0,0</t>
  </si>
  <si>
    <t>2025-05-04 21:41:00,575,,,564,575,,567,,,,,570,560</t>
  </si>
  <si>
    <t>2025-05-04 21:41:00,490,,,485,490,,490,,,,,500,480</t>
  </si>
  <si>
    <t>2025-05-04 21:41:00,5700,,5700,,5600,,5620,,,,,5750,5600</t>
  </si>
  <si>
    <t>2025-05-04 21:41:00,20000,,20300,,19500,,20160,,,,,20000,19500</t>
  </si>
  <si>
    <t>2025-05-04 21:41:00,556007980.545971,-6706561641.38029,0,0,0,0,0,0</t>
  </si>
  <si>
    <t>2025-05-04 21:41:00,948529771.965181,-3222057758.06222,0,0,0,0,0,0</t>
  </si>
  <si>
    <t>2025-05-04 21:41:00,260252071.645067,370380.007904591,,1,,10.81,0.00144787960105056,0.15</t>
  </si>
  <si>
    <t>2025-05-04 21:41:00,11973680.8627484,29874.4217639006,0,0,0,0,0,0</t>
  </si>
  <si>
    <t>2025-05-04 21:42:00,575,,,564,575,,567,,,,,570,560</t>
  </si>
  <si>
    <t>2025-05-04 21:42:00,490,,,485,490,,490,,,,,500,480</t>
  </si>
  <si>
    <t>2025-05-04 21:42:00,5700,,5700,,5600,,5620,,,,,5750,5600</t>
  </si>
  <si>
    <t>2025-05-04 21:42:00,20000,,20300,,19500,,20160,,,,,20000,19500</t>
  </si>
  <si>
    <t>2025-05-04 21:42:00,562828041.098275,-6652064570.25568,0,0,0,0,0,0</t>
  </si>
  <si>
    <t>2025-05-04 21:42:00,956559771.330588,-3189451865.5867,0,0,0,0,0,0</t>
  </si>
  <si>
    <t>2025-05-04 21:42:00,259608688.315741,391450.519888804,,4,,53.6,0.00628784353134434,0.89</t>
  </si>
  <si>
    <t>2025-05-04 21:42:00,11985656.9492172,30921.1466788102,0,0,0,0,0,0</t>
  </si>
  <si>
    <t>2025-05-04 21:43:00,575,,,564,575,,567,,,,,570,560</t>
  </si>
  <si>
    <t>2025-05-04 21:43:00,490,,,485,490,,490,,,,,500,480</t>
  </si>
  <si>
    <t>2025-05-04 21:43:00,5600,,5700,,5600,,5620,,,,,5750,5600</t>
  </si>
  <si>
    <t>2025-05-04 21:43:00,20000,,20300,,19500,,20160,,,,,20000,19500</t>
  </si>
  <si>
    <t>2025-05-04 21:43:00,541073614.340002,-6845957223.11791,0,0,0,0,0,0</t>
  </si>
  <si>
    <t>2025-05-04 21:43:00,947470504.177018,-2803192922.28806,0,0,0,0,0,0</t>
  </si>
  <si>
    <t>2025-05-04 21:43:00,261608457.437121,336566.770264879,,5,,96.25,0.0129402993956367,1.6</t>
  </si>
  <si>
    <t>2025-05-04 21:43:00,11965041.7112159,28932.0649004036,0,0,0,0,0,0</t>
  </si>
  <si>
    <t>2025-05-04 21:44:00,575,,,564,575,,567,,,,,570,560</t>
  </si>
  <si>
    <t>2025-05-04 21:44:00,490,,,485,490,,490,,,,,500,480</t>
  </si>
  <si>
    <t>2025-05-04 21:44:00,5600,,5700,,5600,,5620,,,,,5750,5600</t>
  </si>
  <si>
    <t>2025-05-04 21:44:00,20000,,20300,,19500,,20160,,,,,20000,19500</t>
  </si>
  <si>
    <t>2025-05-04 21:44:00,520175118.484164,-7027400458.78393,0,0,0,0,0,0</t>
  </si>
  <si>
    <t>2025-05-04 21:44:00,930418616.713657,-2906542108.37371,0,0,0,0,0,0</t>
  </si>
  <si>
    <t>2025-05-04 21:44:00,262625060.896703,304450.940471713,,13,,186.14,0.0209917462408956,3.34</t>
  </si>
  <si>
    <t>2025-05-04 21:44:00,11944611.5667426,26921.5782051968,0,0,0,0,0,0</t>
  </si>
  <si>
    <t>2025-05-04 21:45:00,575,,,564,575,,567,,,,,570,560</t>
  </si>
  <si>
    <t>2025-05-04 21:45:00,490,,,485,490,,490,,,,,500,480</t>
  </si>
  <si>
    <t>2025-05-04 21:45:00,5700,,5700,,5600,,5620,,,,,5750,5600</t>
  </si>
  <si>
    <t>2025-05-04 21:45:00,20000,,20300,,19500,,20160,,,,,20000,19500</t>
  </si>
  <si>
    <t>2025-05-04 21:45:00,541218134.683908,-6847498643.13149,0,0,0,0,0,0</t>
  </si>
  <si>
    <t>2025-05-04 21:45:00,938985523.503185,-2854761707.34843,0,0,0,0,0,0</t>
  </si>
  <si>
    <t>2025-05-04 21:45:00,261324362.584897,335072.71322811,,8,,279.36,0.00533765626992761,3.48</t>
  </si>
  <si>
    <t>2025-05-04 21:45:00,11956919.9545214,27797.8394029421,0,0,0,0,0,0</t>
  </si>
  <si>
    <t>2025-05-04 21:46:00,575,,,560,575,,567,,,,,570,560</t>
  </si>
  <si>
    <t>2025-05-04 21:46:00,490,,,485,490,,490,,,,,500,480</t>
  </si>
  <si>
    <t>2025-05-04 21:46:00,5700,,5700,,5600,,5620,,,,,5750,5600</t>
  </si>
  <si>
    <t>2025-05-04 21:46:00,20000,,20300,,19500,,20160,,,,,20000,19500</t>
  </si>
  <si>
    <t>2025-05-04 21:46:00,578454420.642115,-6573094221.18294,0,0,0,0,0,0</t>
  </si>
  <si>
    <t>2025-05-04 21:46:00,944068994.693337,-2824815390.25587,0,0,0,0,0,0</t>
  </si>
  <si>
    <t>2025-05-04 21:46:00,259170418.338442,401961.118947217,,3,,81.84,-0.000811543948491802,1.69</t>
  </si>
  <si>
    <t>2025-05-04 21:46:00,11976020.8063814,30026.2332704768,0,0,0,0,0,0</t>
  </si>
  <si>
    <t>2025-05-04 21:47:00,575,,,560,575,,567,,,,,570,560</t>
  </si>
  <si>
    <t>2025-05-04 21:47:00,490,,,485,490,,490,,,,,500,480</t>
  </si>
  <si>
    <t>2025-05-04 21:47:00,5700,,5700,,5600,,5620,,,,,5750,5600</t>
  </si>
  <si>
    <t>2025-05-04 21:47:00,20000,,20300,,19500,,20160,,,,,20000,19500</t>
  </si>
  <si>
    <t>2025-05-04 21:47:00,599707506.428671,-6389204896.51602,0,0,0,0,0,0</t>
  </si>
  <si>
    <t>2025-05-04 21:47:00,982135233.635107,-3002245514.94545,0,0,0,0,0,0</t>
  </si>
  <si>
    <t>2025-05-04 21:47:00,258515719.013743,453158.385416689,,3,,60.97,0.00143646718674782,1.1</t>
  </si>
  <si>
    <t>2025-05-04 21:47:00,12014448.8929025,34414.6873601089,0,0,0,0,0,0</t>
  </si>
  <si>
    <t>2025-05-04 21:48:00,575,,,560,575,,567,,,,,570,560</t>
  </si>
  <si>
    <t>2025-05-04 21:48:00,490,,,485,490,,490,,,,,500,480</t>
  </si>
  <si>
    <t>2025-05-04 21:48:00,5700,,5700,,5600,,5620,,,,,5750,5600</t>
  </si>
  <si>
    <t>2025-05-04 21:48:00,20000,,20300,,19500,,20160,,,,,20000,19500</t>
  </si>
  <si>
    <t>2025-05-04 21:48:00,640761078.959984,-6066575207.39688,0,0,0,0,0,0</t>
  </si>
  <si>
    <t>2025-05-04 21:48:00,1000850856.13743,-2864331215.10878,0,0,0,0,0,0</t>
  </si>
  <si>
    <t>2025-05-04 21:48:00,258291574.283116,516517.513434656,,14,,90.29,-0.0351819255416008,2.47</t>
  </si>
  <si>
    <t>2025-05-04 21:48:00,12039210.117392,37967.0316609287,0,0,0,0,0,0</t>
  </si>
  <si>
    <t>2025-05-04 21:49:00,575,,,560,575,,567,,,,,570,560</t>
  </si>
  <si>
    <t>2025-05-04 21:49:00,490,,,485,490,,490,,,,,500,480</t>
  </si>
  <si>
    <t>2025-05-04 21:49:00,5700,,5700,,5600,,5620,,,,,5750,5600</t>
  </si>
  <si>
    <t>2025-05-04 21:49:00,20000,,20300,,19500,,20160,,,,,20000,19500</t>
  </si>
  <si>
    <t>2025-05-04 21:49:00,637700084.198948,-6091668729.13493,0,0,0,0,0,0</t>
  </si>
  <si>
    <t>2025-05-04 21:49:00,988968670.977324,-2951873317.8658,0,0,0,0,0,0</t>
  </si>
  <si>
    <t>2025-05-04 21:49:00,259347155.873196,514838.400835364,,2,,60.41,0.0069328396986133,1.16</t>
  </si>
  <si>
    <t>2025-05-04 21:49:00,12024214.1252924,36243.9709732224,0,0,0,0,0,0</t>
  </si>
  <si>
    <t>2025-05-04 21:50:00,575,,,560,575,,567,,,,,570,560</t>
  </si>
  <si>
    <t>2025-05-04 21:50:00,490,,,485,490,,490,,,,,500,480</t>
  </si>
  <si>
    <t>2025-05-04 21:50:00,5700,,5700,,5600,,5620,,,,,5750,5600</t>
  </si>
  <si>
    <t>2025-05-04 21:50:00,20000,,20300,,19500,,20160,,,,,20000,19500</t>
  </si>
  <si>
    <t>2025-05-04 21:50:00,602835804.819947,-6368200206.24309,0,0,0,0,0,0</t>
  </si>
  <si>
    <t>2025-05-04 21:50:00,963414114.873524,-3144462348.89214,0,0,0,0,0,0</t>
  </si>
  <si>
    <t>2025-05-04 21:50:00,260343483.602975,438656.73687699,,2,,99.2,0.0104904259056324,2</t>
  </si>
  <si>
    <t>2025-05-04 21:50:00,11993867.8426549,32048.3919815493,0,0,0,0,0,0</t>
  </si>
  <si>
    <t>2025-05-04 21:51:00,575,,,560,575,,567,,,,,570,560</t>
  </si>
  <si>
    <t>2025-05-04 21:51:00,490,,,485,490,,490,,,,,500,480</t>
  </si>
  <si>
    <t>2025-05-04 21:51:00,5700,,5700,,5600,,5620,,,,,5750,5600</t>
  </si>
  <si>
    <t>2025-05-04 21:51:00,20000,,20300,,19500,,20160,,,,,20000,19500</t>
  </si>
  <si>
    <t>2025-05-04 21:51:00,615415482.526471,-6267160993.38728,0,0,0,0,0,0</t>
  </si>
  <si>
    <t>2025-05-04 21:51:00,970192577.646183,-3094470259.56893,0,0,0,0,0,0</t>
  </si>
  <si>
    <t>2025-05-04 21:51:00,260273596.299862,466035.967707862,,10,,41,-0.0280522379718263,1.4</t>
  </si>
  <si>
    <t>2025-05-04 21:51:00,12000489.6381951,33027.8642734257,0,0,0,0,0,0</t>
  </si>
  <si>
    <t>2025-05-04 21:52:00,575,,,560,575,,567,,,,,570,560</t>
  </si>
  <si>
    <t>2025-05-04 21:52:00,490,,,485,490,,490,,,,,500,480</t>
  </si>
  <si>
    <t>2025-05-04 21:52:00,5700,,5700,,5600,,5620,,,,,5750,5600</t>
  </si>
  <si>
    <t>2025-05-04 21:52:00,20000,,20300,,19500,,20160,,,,,20000,19500</t>
  </si>
  <si>
    <t>2025-05-04 21:52:00,621759528.200183,-6218511821.35194,0,0,0,0,0,0</t>
  </si>
  <si>
    <t>2025-05-04 21:52:00,956708148.232246,-3192506394.98011,0,0,0,0,0,0</t>
  </si>
  <si>
    <t>2025-05-04 21:52:00,259490445.390944,480688.795380711,,1,,5.6,-0.00301891156613026,0.19</t>
  </si>
  <si>
    <t>2025-05-04 21:52:00,11997978.1839429,32878.2305708703,0,0,0,0,0,0</t>
  </si>
  <si>
    <t>2025-05-04 21:53:00,575,,,560,575,,567,,,,,570,560</t>
  </si>
  <si>
    <t>2025-05-04 21:53:00,490,,,485,490,,490,,,,,500,480</t>
  </si>
  <si>
    <t>2025-05-04 21:53:00,5700,,5700,,5600,,5620,,,,,5750,5600</t>
  </si>
  <si>
    <t>2025-05-04 21:53:00,20000,,20300,,19500,,20160,,,,,20000,19500</t>
  </si>
  <si>
    <t>2025-05-04 21:53:00,615431680.175588,-6270043663.54122,0,0,0,0,0,0</t>
  </si>
  <si>
    <t>2025-05-04 21:53:00,966812950.171234,-3119956398.99508,0,0,0,0,0,0</t>
  </si>
  <si>
    <t>2025-05-04 21:53:00,260237973.772769,463964.821406754,,3,,33.73,0.000871097845980112,0.76</t>
  </si>
  <si>
    <t>2025-05-04 21:53:00,12002110.0167647,33144.231671065,0,0,0,0,0,0</t>
  </si>
  <si>
    <t>2025-05-04 21:54:00,575,,,560,575,,567,,,,,570,560</t>
  </si>
  <si>
    <t>2025-05-04 21:54:00,490,,,485,490,,490,,,,,500,480</t>
  </si>
  <si>
    <t>2025-05-04 21:54:00,5700,,5700,,5600,,5620,,,,,5750,5600</t>
  </si>
  <si>
    <t>2025-05-04 21:54:00,20000,,20300,,19500,,20160,,,,,20000,19500</t>
  </si>
  <si>
    <t>2025-05-04 21:54:00,616104350.052395,-6267402205.57069,0,0,0,0,0,0</t>
  </si>
  <si>
    <t>2025-05-04 21:54:00,968586231.206004,-3107935716.72258,0,0,0,0,0,0</t>
  </si>
  <si>
    <t>2025-05-04 21:54:00,259929409.628063,499805.058358808,,25,,708.37,0.0954722407708898,17.28</t>
  </si>
  <si>
    <t>2025-05-04 21:54:00,12002047.8999727,33026.8431425616,0,0,0,0,0,0</t>
  </si>
  <si>
    <t>2025-05-04 21:55:00,575,,,560,575,,567,,,,,570,560</t>
  </si>
  <si>
    <t>2025-05-04 21:55:00,490,,,485,490,,490,,,,,500,480</t>
  </si>
  <si>
    <t>2025-05-04 21:55:00,5700,,5700,,5600,,5620,,,,,5750,5600</t>
  </si>
  <si>
    <t>2025-05-04 21:55:00,20000,,20300,,19500,,20160,,,,,20000,19500</t>
  </si>
  <si>
    <t>2025-05-04 21:55:00,609181286.233005,-6322004322.14658,0,0,0,0,0,0</t>
  </si>
  <si>
    <t>2025-05-04 21:55:00,963445908.090182,-3146226044.17653,0,0,0,0,0,0</t>
  </si>
  <si>
    <t>2025-05-04 21:55:00,260269681.598785,485578.831155184,,7,,60.14,0.000876573672339388,1.05</t>
  </si>
  <si>
    <t>2025-05-04 21:55:00,11995560.8437668,32582.99143865,0,0,0,0,0,0</t>
  </si>
  <si>
    <t>2025-05-04 21:56:00,575,,,560,575,,567,,,,,570,560</t>
  </si>
  <si>
    <t>2025-05-04 21:56:00,490,,,485,490,,490,,,,,500,480</t>
  </si>
  <si>
    <t>2025-05-04 21:56:00,5700,,5700,,5600,,5637.5,,,,,5750,5600</t>
  </si>
  <si>
    <t>2025-05-04 21:56:00,20000,,,19890,20000,,20110,,,19950,,20000,19700</t>
  </si>
  <si>
    <t>2025-05-04 21:56:00,602769452.880886,-6375983835.28658,0,0,0,0,0,0</t>
  </si>
  <si>
    <t>2025-05-04 21:56:00,956651063.98436,-3193449158.63337,0,0,0,0,0,0</t>
  </si>
  <si>
    <t>2025-05-04 21:56:00,243663897.214085,297547.801596749,-22021.73996264,-137,-1107804.01376018,-19418.54,-1.54319876708174,-556.86</t>
  </si>
  <si>
    <t>2025-05-04 21:56:00,12193635.5309435,-103131.547696133,,-756,,19572.89,-0.272712789073958,-36.4</t>
  </si>
  <si>
    <t>2025-05-04 21:57:00,575,,,560,575,,567,,,,,570,560</t>
  </si>
  <si>
    <t>2025-05-04 21:57:00,490,,,485,490,,490,,,,,500,480</t>
  </si>
  <si>
    <t>2025-05-04 21:57:00,5700,,5700,,5600,,5637.5,,,,,5750,5600</t>
  </si>
  <si>
    <t>2025-05-04 21:57:00,20000,,,19900,20000,,20110,,,,,20000,19700</t>
  </si>
  <si>
    <t>2025-05-04 21:57:00,587393334.819908,-6507782345.25745,0,0,0,0,0,0</t>
  </si>
  <si>
    <t>2025-05-04 21:57:00,948727935.856558,-3227016674.87196,0,0,0,0,0,0</t>
  </si>
  <si>
    <t>2025-05-04 21:57:00,244461343.419803,285156.471444228,293.999999999999,6,8092.90499999997,141.44,0.0174829666384942,2.73</t>
  </si>
  <si>
    <t>2025-05-04 21:57:00,13666563.7871583,-126640.357767225,2947.21987490707,696,369123.512905814,122520.08,0.50980554625893,459.83</t>
  </si>
  <si>
    <t>2025-05-04 21:58:00,575,,,564,575,,567,,,,,570,560</t>
  </si>
  <si>
    <t>2025-05-04 21:58:00,490,,,485,490,,490,,,,,500,480</t>
  </si>
  <si>
    <t>2025-05-04 21:58:00,5700,,5700,,5600,,5637.5,,,,,5750,5600</t>
  </si>
  <si>
    <t>2025-05-04 21:58:00,20000,,,19900,20000,,20110,,,,,20000,19700</t>
  </si>
  <si>
    <t>2025-05-04 21:58:00,562756440.712943,-6672889343.54477,0,0,0,0,0,0</t>
  </si>
  <si>
    <t>2025-05-04 21:58:00,948794573.575049,-3226891416.31159,0,0,0,0,0,0</t>
  </si>
  <si>
    <t>2025-05-04 21:58:00,245293120.111188,236937.295579637,581.05,31,7250.02599999999,237.72,-0.065244268314961,6.95</t>
  </si>
  <si>
    <t>2025-05-04 21:58:00,13667894.1795099,-126689.814290077,0,0,0,0,0,0</t>
  </si>
  <si>
    <t>2025-05-04 21:59:00,575,,,560,575,,567,,,,,570,560</t>
  </si>
  <si>
    <t>2025-05-04 21:59:00,490,,,485,490,,490,,,,,500,480</t>
  </si>
  <si>
    <t>2025-05-04 21:59:00,5700,,5700,,5600,,5637.5,,,,,5750,5600</t>
  </si>
  <si>
    <t>2025-05-04 21:59:00,20000,,,19900,20000,,20110,,,,,20000,19700</t>
  </si>
  <si>
    <t>2025-05-04 21:59:00,584250904.093775,-6536854767.73039,0,0,0,0,0,0</t>
  </si>
  <si>
    <t>2025-05-04 21:59:00,953311975.788649,-3213532860.68397,0,0,0,0,0,0</t>
  </si>
  <si>
    <t>2025-05-04 21:59:00,244332347.472832,276991.247142974,369.316666666666,6,12605.199,192.36,0.0231448133129772,3.87</t>
  </si>
  <si>
    <t>2025-05-04 21:59:00,13664973.744727,-126598.056932467,0,0,0,0,0,0</t>
  </si>
  <si>
    <t>2025-05-04 22:00:00,575,,,564,575,,567,,,,,570,560</t>
  </si>
  <si>
    <t>2025-05-04 22:00:00,490,,,485,490,,490,,,,,500,480</t>
  </si>
  <si>
    <t>2025-05-04 22:00:00,5700,,5700,,5600,,5637.5,,,,,5750,5600</t>
  </si>
  <si>
    <t>2025-05-04 22:00:00,20000,,,19900,20000,,20110,,,,,20000,19700</t>
  </si>
  <si>
    <t>2025-05-04 22:00:00,549176346.866901,-6787593696.41576,0,0,0,0,0,0</t>
  </si>
  <si>
    <t>2025-05-04 22:00:00,947572555.435163,-2811248106.57732,0,0,0,0,0,0</t>
  </si>
  <si>
    <t>2025-05-04 22:00:00,245119004.458533,241114.124502836,53.4166666666667,4,376.040333333333,16.58,-0.00583855353464969,0.38</t>
  </si>
  <si>
    <t>2025-05-04 22:00:00,13664595.8680409,-126759.426195437,0,0,0,0,0,0</t>
  </si>
  <si>
    <t>2025-05-04 22:01:00,575,,,564,575,,567,,,,,570,560</t>
  </si>
  <si>
    <t>2025-05-04 22:01:00,490,,,485,490,,490,,,,,500,480</t>
  </si>
  <si>
    <t>2025-05-04 22:01:00,5700,,5700,,5600,,5637.5,,,,,5750,5600</t>
  </si>
  <si>
    <t>2025-05-04 22:01:00,20000,,,19900,20000,,20110,,,,,20000,19700</t>
  </si>
  <si>
    <t>2025-05-04 22:01:00,545639468.53404,-6818862004.90201,0,0,0,0,0,0</t>
  </si>
  <si>
    <t>2025-05-04 22:01:00,937347243.182086,-2872585996.78858,0,0,0,0,0,0</t>
  </si>
  <si>
    <t>2025-05-04 22:01:00,246587403.094695,193199.210644712,134.2,3,2289.802,38.92,0.00184098447037051,0.73</t>
  </si>
  <si>
    <t>2025-05-04 22:01:00,13671549.326801,-127077.274732502,0,0,0,0,0,0</t>
  </si>
  <si>
    <t>2025-05-04 22:03:00,575,,,564,575,,567,,,,,570,560</t>
  </si>
  <si>
    <t>2025-05-04 22:03:00,490,,,485,490,,490,,,,,500,480</t>
  </si>
  <si>
    <t>2025-05-04 22:03:00,5700,,5700,,5600,,5637.5,,,,,5750,5600</t>
  </si>
  <si>
    <t>2025-05-04 22:03:00,20000,,,19900,20000,,20110,,,,,20000,19700</t>
  </si>
  <si>
    <t>2025-05-04 22:03:00,549139140.599306,-6790331883.059,0,0,0,0,0,0</t>
  </si>
  <si>
    <t>2025-05-04 22:03:00,946540010.569593,-3201604386.76253,0,0,0,0,0,0</t>
  </si>
  <si>
    <t>2025-05-04 22:03:00,245514528.396136,240364.323626076,178.8,7,2698.716,65.72,0.00879443079660418,1.36</t>
  </si>
  <si>
    <t>2025-05-04 22:03:00,13663339.5865429,-126741.712203901,0,0,0,0,0,0</t>
  </si>
  <si>
    <t>2025-05-04 22:04:00,575,,,564,575,,567,,,,,570,560</t>
  </si>
  <si>
    <t>2025-05-04 22:04:00,490,,,485,490,,490,,,,,500,480</t>
  </si>
  <si>
    <t>2025-05-04 22:04:00,5700,,5700,,5600,,5637.5,,,,,5750,5600</t>
  </si>
  <si>
    <t>2025-05-04 22:04:00,20000,,,19900,20000,,20110,,,,,20000,19700</t>
  </si>
  <si>
    <t>2025-05-04 22:04:00,545611539.458958,-6821453747.34455,0,0,0,0,0,0</t>
  </si>
  <si>
    <t>2025-05-04 22:04:00,934014419.917701,-2893958130.75449,0,0,0,0,0,0</t>
  </si>
  <si>
    <t>2025-05-04 22:04:00,247799255.952714,213079.126332927,229.4,3,2082.484,24.81,0.0030975833852454,0.32</t>
  </si>
  <si>
    <t>2025-05-04 22:04:00,13666658.9044023,-127080.168228234,0,0,0,0,0,0</t>
  </si>
  <si>
    <t>2025-05-04 22:05:00,575,,,564,575,,567,,,,,570,560</t>
  </si>
  <si>
    <t>2025-05-04 22:05:00,490,,,485,490,,490,,,,,500,480</t>
  </si>
  <si>
    <t>2025-05-04 22:05:00,5700,,5700,,5600,,5637.5,,,,,5750,5600</t>
  </si>
  <si>
    <t>2025-05-04 22:05:00,20000,,,19900,20000,,20110,,,,,20000,19700</t>
  </si>
  <si>
    <t>2025-05-04 22:05:00,541129743.611058,-6872180732.92724,0,0,0,0,0,0</t>
  </si>
  <si>
    <t>2025-05-04 22:05:00,930634005.300636,-2915780582.14266,0,0,0,0,0,0</t>
  </si>
  <si>
    <t>2025-05-04 22:05:00,248244343.804058,229901.397736054,714.245,28,15021.81465,401.91,-0.00323386513435915,8.11</t>
  </si>
  <si>
    <t>2025-05-04 22:05:00,13670139.3932952,-127047.980448881,0,0,0,0,0,0</t>
  </si>
  <si>
    <t>2025-05-04 22:06:00,575,,,564,575,,567,,,,,570,560</t>
  </si>
  <si>
    <t>2025-05-04 22:06:00,490,,,485,490,,490,,,,,500,480</t>
  </si>
  <si>
    <t>2025-05-04 22:06:00,5700,,5700,,5600,,5637.5,,,,,5750,5600</t>
  </si>
  <si>
    <t>2025-05-04 22:06:00,20000,,,19900,20000,,20110,,,,,20000,19700</t>
  </si>
  <si>
    <t>2025-05-04 22:06:00,549032286.721077,-6794219633.76623,0,0,0,0,0,0</t>
  </si>
  <si>
    <t>2025-05-04 22:06:00,944327952.484422,-2832944226.40588,0,0,0,0,0,0</t>
  </si>
  <si>
    <t>2025-05-04 22:06:00,246984117.655982,201330.1894565,709.216666666666,49,2933.99583333333,132.52,-0.0977997156580104,3.71</t>
  </si>
  <si>
    <t>2025-05-04 22:06:00,13663930.3010265,-126795.53371672,0,0,0,0,0,0</t>
  </si>
  <si>
    <t>2025-05-04 22:07:00,575,,,564,575,,567,,,,,570,560</t>
  </si>
  <si>
    <t>2025-05-04 22:07:00,490,,,485,490,,490,,,,,500,480</t>
  </si>
  <si>
    <t>2025-05-04 22:07:00,5700,,5700,,5600,,5637.5,,,,,5750,5600</t>
  </si>
  <si>
    <t>2025-05-04 22:07:00,20000,,,19900,20000,,20110,,,,,20000,19700</t>
  </si>
  <si>
    <t>2025-05-04 22:07:00,549022404.153491,-6796994497.13331,0,0,0,0,0,0</t>
  </si>
  <si>
    <t>2025-05-04 22:07:00,948891117.602314,-3229158210.69334,0,0,0,0,0,0</t>
  </si>
  <si>
    <t>2025-05-04 22:07:00,246126431.61823,200196.395859645,797.516666666666,41,10366.7325,242.48,-0.0630264538161382,5.35</t>
  </si>
  <si>
    <t>2025-05-04 22:07:00,13657917.6127669,-126621.6622767,0,0,0,0,0,0</t>
  </si>
  <si>
    <t>2025-05-04 22:08:00,575,,,564,575,,567,,,,,570,560</t>
  </si>
  <si>
    <t>2025-05-04 22:08:00,490,,,485,490,,490,,,,,500,480</t>
  </si>
  <si>
    <t>2025-05-04 22:08:00,5700,,5700,,5600,,5637.5,,,,,5750,5600</t>
  </si>
  <si>
    <t>2025-05-04 22:08:00,20000,,,19900,20000,,20110,,,,,20000,19700</t>
  </si>
  <si>
    <t>2025-05-04 22:08:00,549113909.631266,-6796332083.16058,0,0,0,0,0,0</t>
  </si>
  <si>
    <t>2025-05-04 22:08:00,960162589.664078,-3174142408.30524,0,0,0,0,0,0</t>
  </si>
  <si>
    <t>2025-05-04 22:08:00,245002879.390957,232242.483043665,398.216666666667,17,10531.9000333333,238.8,-0.00175660601175598,5.6</t>
  </si>
  <si>
    <t>2025-05-04 22:08:00,13655820.5763584,-126369.581222014,0,0,0,0,0,0</t>
  </si>
  <si>
    <t>2025-05-04 22:09:00,575,,,564,575,,567,,,,,570,560</t>
  </si>
  <si>
    <t>2025-05-04 22:09:00,490,,,485,490,,490,,,,,500,480</t>
  </si>
  <si>
    <t>2025-05-04 22:09:00,5700,,5700,,5600,,5637.5,,,,,5750,5600</t>
  </si>
  <si>
    <t>2025-05-04 22:09:00,20000,,,19900,20000,,20110,,,,,20000,19700</t>
  </si>
  <si>
    <t>2025-05-04 22:09:00,549031930.026717,-6799057866.36052,0,0,0,0,0,0</t>
  </si>
  <si>
    <t>2025-05-04 22:09:00,949955141.85827,-3228898007.02571,0,0,0,0,0,0</t>
  </si>
  <si>
    <t>2025-05-04 22:09:00,246444868.365306,189116.539762691,335.991666666666,10,5723.00208333333,141.05,0.0142339003102058,2.5</t>
  </si>
  <si>
    <t>2025-05-04 22:09:00,13660236.8496567,-126665.128872319,0,0,0,0,0,0</t>
  </si>
  <si>
    <t>2025-05-04 22:10:00,575,,,564,575,,567,,,,,570,560</t>
  </si>
  <si>
    <t>2025-05-04 22:10:00,490,,,485,490,,490,,,,,500,480</t>
  </si>
  <si>
    <t>2025-05-04 22:10:00,5700,,5700,,5600,,5637.5,,,,,5750,5540</t>
  </si>
  <si>
    <t>2025-05-04 22:10:00,20000,,,19900,20000,,20110,,,,,20000,19700</t>
  </si>
  <si>
    <t>2025-05-04 22:10:00,549041860.151906,-6800732905.78502,0,0,0,0,0,0</t>
  </si>
  <si>
    <t>2025-05-04 22:10:00,950202859.656258,-3228837921.93752,0,0,0,0,0,0</t>
  </si>
  <si>
    <t>2025-05-04 22:10:00,246879735.178339,181216.707148958,168.616666666667,11,3425.34183333333,86.82,-0.0100456830013904,1.87</t>
  </si>
  <si>
    <t>2025-05-04 22:10:00,13662835.6837802,-126715.428669785,0,0,0,0,0,0</t>
  </si>
  <si>
    <t>2025-05-04 22:11:00,575,,,560,575,,567,,,,,570,560</t>
  </si>
  <si>
    <t>2025-05-04 22:11:00,490,,,485,490,,490,,,,,500,480</t>
  </si>
  <si>
    <t>2025-05-04 22:11:00,5700,,5700,,5600,,5637.5,,,,,5750,5540</t>
  </si>
  <si>
    <t>2025-05-04 22:11:00,20000,,,19900,20000,,20110,,,,,20000,19700</t>
  </si>
  <si>
    <t>2025-05-04 22:11:00,634286558.985472,-6144125072.18661,0,0,0,0,0,0</t>
  </si>
  <si>
    <t>2025-05-04 22:11:00,994367589.476452,-2921558404.81485,0,0,0,0,0,0</t>
  </si>
  <si>
    <t>2025-05-04 22:11:00,245581355.361875,362308.480036869,359.9,24,6318.9325,192.19,-0.0132479361299354,4.19</t>
  </si>
  <si>
    <t>2025-05-04 22:11:00,13642554.0842529,-125652.129353451,0,0,0,0,0,0</t>
  </si>
  <si>
    <t>2025-05-04 22:12:00,575,,,560,575,,567,,,,,570,560</t>
  </si>
  <si>
    <t>2025-05-04 22:12:00,490,,,485,490,,490,,,,,500,480</t>
  </si>
  <si>
    <t>2025-05-04 22:12:00,5700,,5700,,5600,,5637.5,,,,,5750,5540</t>
  </si>
  <si>
    <t>2025-05-04 22:12:00,20000,,,19900,20000,,20110,,,,,20000,19700</t>
  </si>
  <si>
    <t>2025-05-04 22:12:00,618548322.541409,-6280576524.34974,0,0,0,0,0,0</t>
  </si>
  <si>
    <t>2025-05-04 22:12:00,983784469.305447,-3010369524.46856,0,0,0,0,0,0</t>
  </si>
  <si>
    <t>2025-05-04 22:12:00,246326292.389734,292759.000575387,110.908333333333,7,1105.66308333333,44.03,-0.00837613290241812,1</t>
  </si>
  <si>
    <t>2025-05-04 22:12:00,13644768.0454176,-125956.231391268,0,0,0,0,0,0</t>
  </si>
  <si>
    <t>2025-05-04 22:13:00,575,,,560,575,,567,,,,,570,560</t>
  </si>
  <si>
    <t>2025-05-04 22:13:00,490,,,485,490,,490,,,,,500,480</t>
  </si>
  <si>
    <t>2025-05-04 22:13:00,5700,,5700,,5600,,5637.5,,,,,5750,5540</t>
  </si>
  <si>
    <t>2025-05-04 22:13:00,20000,,,19900,20000,,20110,,,,,20000,19700</t>
  </si>
  <si>
    <t>2025-05-04 22:13:00,615353562.318497,-6294887567.53186,0,0,0,0,0,0</t>
  </si>
  <si>
    <t>2025-05-04 22:13:00,979087112.966668,-3036321152.37115,0,0,0,0,0,0</t>
  </si>
  <si>
    <t>2025-05-04 22:13:00,245659346.088488,314919.349079325,406.95,9,6718.9605,123.03,0.0106028745592306,2.08</t>
  </si>
  <si>
    <t>2025-05-04 22:13:00,13650843.6503997,-126068.359379615,0,0,0,0,0,0</t>
  </si>
  <si>
    <t>2025-05-04 22:14:00,575,,,560,575,,567,,,,,570,560</t>
  </si>
  <si>
    <t>2025-05-04 22:14:00,490,,,485,490,,490,,,,,500,480</t>
  </si>
  <si>
    <t>2025-05-04 22:14:00,5700,,5700,,5600,,5637.5,,,,,5750,5540</t>
  </si>
  <si>
    <t>2025-05-04 22:14:00,20000,,,19900,20000,,20110,,,,,20000,19700</t>
  </si>
  <si>
    <t>2025-05-04 22:14:00,584404678.897388,-6554640165.72501,0,0,0,0,0,0</t>
  </si>
  <si>
    <t>2025-05-04 22:14:00,963674890.255304,-3152067816.94176,0,0,0,0,0,0</t>
  </si>
  <si>
    <t>2025-05-04 22:14:00,245197836.988438,240576.880022883,51.3149999999999,4,785.490049999999,46.47,-0.00990467784742334,1.04</t>
  </si>
  <si>
    <t>2025-05-04 22:14:00,13652862.9761675,-126389.480824004,0,0,0,0,0,0</t>
  </si>
  <si>
    <t>2025-05-04 22:15:00,575,,,564,575,,567,,,,,570,560</t>
  </si>
  <si>
    <t>2025-05-04 22:15:00,490,,,485,490,,490,,,,,500,480</t>
  </si>
  <si>
    <t>2025-05-04 22:15:00,5700,,5700,,5600,,5637.5,,,,,5750,5540</t>
  </si>
  <si>
    <t>2025-05-04 22:15:00,20000,,,19900,20000,,20110,,,,,20000,19700</t>
  </si>
  <si>
    <t>2025-05-04 22:15:00,555703413.756163,-6750617517.92988,0,0,0,0,0,0</t>
  </si>
  <si>
    <t>2025-05-04 22:15:00,951988199.107626,-3225709094.09129,0,0,0,0,0,0</t>
  </si>
  <si>
    <t>2025-05-04 22:15:00,247567436.9879,217854.703575477,382.261666666667,12,5635.69978333334,167.15,0.0193368846279277,2.72</t>
  </si>
  <si>
    <t>2025-05-04 22:15:00,13656051.6620906,-126735.458285518,0,0,0,0,0,0</t>
  </si>
  <si>
    <t>2025-05-04 22:16:00,575,,,564,575,,567,,,,,570,560</t>
  </si>
  <si>
    <t>2025-05-04 22:16:00,490,,,485,490,,490,,,,,500,480</t>
  </si>
  <si>
    <t>2025-05-04 22:16:00,5700,,5700,,5600,,5637.5,,,,,5750,5540</t>
  </si>
  <si>
    <t>2025-05-04 22:16:00,20000,,,19900,20000,,20110,,,,,20000,19700</t>
  </si>
  <si>
    <t>2025-05-04 22:16:00,537380292.910575,-6914559898.61421,0,0,0,0,0,0</t>
  </si>
  <si>
    <t>2025-05-04 22:16:00,942723963.231322,-2847887703.7328,0,0,0,0,0,0</t>
  </si>
  <si>
    <t>2025-05-04 22:16:00,248610154.852303,222456.45826255,58.5833333333334,2,760.704166666668,16.6,-0.000460346918734018,0.31</t>
  </si>
  <si>
    <t>2025-05-04 22:16:00,13663885.7976575,-126970.306546231,0,0,0,0,0,0</t>
  </si>
  <si>
    <t>2025-05-04 22:17:00,575,,,564,575,,567,,,,,570,560</t>
  </si>
  <si>
    <t>2025-05-04 22:17:00,490,,,485,490,,490,,,,,500,480</t>
  </si>
  <si>
    <t>2025-05-04 22:17:00,5600,,5700,,5600,,5637.5,,,,,5750,5540</t>
  </si>
  <si>
    <t>2025-05-04 22:17:00,20000,,,19900,20000,,20110,,,,,20000,19700</t>
  </si>
  <si>
    <t>2025-05-04 22:17:00,519693569.095506,-7071393196.40992,0,0,0,0,0,0</t>
  </si>
  <si>
    <t>2025-05-04 22:17:00,932454367.587327,-2910067132.58537,0,0,0,0,0,0</t>
  </si>
  <si>
    <t>2025-05-04 22:17:00,250086999.890469,154235.849928832,411.001666666667,13,11439.09695,232,0.00866728241993769,4.87</t>
  </si>
  <si>
    <t>2025-05-04 22:17:00,13660863.8300171,-127073.106990049,0,0,0,0,0,0</t>
  </si>
  <si>
    <t>2025-05-04 22:18:00,575,,,564,575,,567,,,,,570,560</t>
  </si>
  <si>
    <t>2025-05-04 22:18:00,490,,,485,490,,490,,,,,500,480</t>
  </si>
  <si>
    <t>2025-05-04 22:18:00,5600,,5700,,5600,,5637.5,,,,,5750,5540</t>
  </si>
  <si>
    <t>2025-05-04 22:18:00,20000,,,19900,20000,,20110,,,,,20000,19700</t>
  </si>
  <si>
    <t>2025-05-04 22:18:00,512979292.028991,-7131544594.12756,0,0,0,0,0,0</t>
  </si>
  <si>
    <t>2025-05-04 22:18:00,928895826.349427,-2931756355.50691,0,0,0,0,0,0</t>
  </si>
  <si>
    <t>2025-05-04 22:18:00,250545192.853648,141548.675383846,274.293333333333,7,5106.64986666667,113.71,0.013044577877896,1.9</t>
  </si>
  <si>
    <t>2025-05-04 22:18:00,13666541.1280851,-127258.091441916,0,0,0,0,0,0</t>
  </si>
  <si>
    <t>2025-05-04 22:19:00,575,,,564,575,,567,,,,,570,560</t>
  </si>
  <si>
    <t>2025-05-04 22:19:00,490,,,485,490,,490,,,,,500,480</t>
  </si>
  <si>
    <t>2025-05-04 22:19:00,5600,,5700,,5600,,5637.5,,,,,5750,5540</t>
  </si>
  <si>
    <t>2025-05-04 22:19:00,20000,,,19900,20000,,20110,,,,,20000,19700</t>
  </si>
  <si>
    <t>2025-05-04 22:19:00,480730175.271336,-7423010996.79007,0,0,0,0,0,0</t>
  </si>
  <si>
    <t>2025-05-04 22:19:00,920432551.830678,-2986286735.39613,0,0,0,0,0,0</t>
  </si>
  <si>
    <t>2025-05-04 22:19:00,253698771.597664,97617.6137849176,512.15,13,9629.65750000001,201.76,0.00354380295966923,4.69</t>
  </si>
  <si>
    <t>2025-05-04 22:19:00,13666477.8510276,-127439.796384636,0,0,0,0,0,0</t>
  </si>
  <si>
    <t>2025-05-04 22:20:00,575,,,564,575,,567,,,,,570,560</t>
  </si>
  <si>
    <t>2025-05-04 22:20:00,490,,,485,490,,490,,,,,500,480</t>
  </si>
  <si>
    <t>2025-05-04 22:20:00,5600,,5700,,5600,,5637.5,,,,,5750,5540</t>
  </si>
  <si>
    <t>2025-05-04 22:20:00,20000,,,19900,20000,,20110,,,,,20000,19700</t>
  </si>
  <si>
    <t>2025-05-04 22:20:00,552333963.116346,-6780283778.19766,0,0,0,0,0,0</t>
  </si>
  <si>
    <t>2025-05-04 22:20:00,953446177.457774,-3220192613.4205,0,0,0,0,0,0</t>
  </si>
  <si>
    <t>2025-05-04 22:20:00,249356990.679352,223427.878146796,40.9833333333333,3,192.832166666666,9.69,-0.00370823121268642,0.22</t>
  </si>
  <si>
    <t>2025-05-04 22:20:00,13650657.083685,-126631.914969838,0,0,0,0,0,0</t>
  </si>
  <si>
    <t>2025-05-04 22:21:00,575,,,560,575,,567,,,,,570,560</t>
  </si>
  <si>
    <t>2025-05-04 22:21:00,490,,,485,490,,490,,,,,500,480</t>
  </si>
  <si>
    <t>2025-05-04 22:21:00,5700,,5700,,5600,,5637.5,,,,,5750,5540</t>
  </si>
  <si>
    <t>2025-05-04 22:21:00,20000,,,19900,20000,,20110,,,,,20000,19700</t>
  </si>
  <si>
    <t>2025-05-04 22:21:00,578335974.703332,-6616881043.32425,0,0,0,0,0,0</t>
  </si>
  <si>
    <t>2025-05-04 22:21:00,974014806.436285,-3077786281.08929,0,0,0,0,0,0</t>
  </si>
  <si>
    <t>2025-05-04 22:21:00,245434777.651116,290370.650720714,248.876052631579,15,5883.84840263158,178.79,-0.0112249644651335,4.16</t>
  </si>
  <si>
    <t>2025-05-04 22:21:00,13647957.0106853,-126243.964667513,0,0,0,0,0,0</t>
  </si>
  <si>
    <t>2025-05-04 22:22:00,575,,,564,575,,567,,,,,570,560</t>
  </si>
  <si>
    <t>2025-05-04 22:22:00,490,,,485,490,,490,,,,,500,480</t>
  </si>
  <si>
    <t>2025-05-04 22:22:00,5700,,5700,,5600,,5637.5,,,,,5750,5540</t>
  </si>
  <si>
    <t>2025-05-04 22:22:00,20000,,,19900,20000,,20110,,,,,20000,19700</t>
  </si>
  <si>
    <t>2025-05-04 22:22:00,555797184.569294,-6758941041.1611,0,0,0,0,0,0</t>
  </si>
  <si>
    <t>2025-05-04 22:22:00,965372862.773177,-3141856377.91118,0,0,0,0,0,0</t>
  </si>
  <si>
    <t>2025-05-04 22:22:00,246661829.154176,246182.428390522,3.50000000000001,1,8.05000000000001,2.3,-0.00230598086487918,0.08</t>
  </si>
  <si>
    <t>2025-05-04 22:22:00,13647790.40318,-126333.016860609,0,0,0,0,0,0</t>
  </si>
  <si>
    <t>2025-05-04 22:23:00,575,,,564,575,,567,,,,,570,560</t>
  </si>
  <si>
    <t>2025-05-04 22:23:00,490,,,485,490,,490,,,,,500,480</t>
  </si>
  <si>
    <t>2025-05-04 22:23:00,5600,,5700,,5600,,5637.5,,,,,5750,5540</t>
  </si>
  <si>
    <t>2025-05-04 22:23:00,20000,,,19900,20000,,20110,,,,,20000,19700</t>
  </si>
  <si>
    <t>2025-05-04 22:23:00,516325568.080389,-7105191612.98321,0,0,0,0,0,0</t>
  </si>
  <si>
    <t>2025-05-04 22:23:00,947767355.783796,-2821258093.82729,0,0,0,0,0,0</t>
  </si>
  <si>
    <t>2025-05-04 22:23:00,250467258.7691,183241.842317508,144.491666666667,8,991.053583333333,40.08,-0.0136005623509131,1.02</t>
  </si>
  <si>
    <t>2025-05-04 22:23:00,13655581.0951995,-126868.737391399,0,0,0,0,0,0</t>
  </si>
  <si>
    <t>2025-05-04 22:24:00,575,,,564,575,,567,,,,,570,560</t>
  </si>
  <si>
    <t>2025-05-04 22:24:00,490,,,485,490,,490,,,,,500,480</t>
  </si>
  <si>
    <t>2025-05-04 22:24:00,5600,,5700,,5600,,5637.5,,,,,5750,5540</t>
  </si>
  <si>
    <t>2025-05-04 22:24:00,20000,,,19900,20000,,20110,,,,,20000,19700</t>
  </si>
  <si>
    <t>2025-05-04 22:24:00,444864691.108972,-7756787264.53449,0,0,0,0,0,0</t>
  </si>
  <si>
    <t>2025-05-04 22:24:00,910014806.083797,-3055850325.46966,0,0,0,0,0,0</t>
  </si>
  <si>
    <t>2025-05-04 22:24:00,258114679.501629,17575.1664707459,913.215,18,10704.1316166667,165.19,-0.00424085078455807,3.31</t>
  </si>
  <si>
    <t>2025-05-04 22:24:00,13662720.6362838,-127476.352395532,0,0,0,0,0,0</t>
  </si>
  <si>
    <t>2025-05-04 22:25:00,575,,,564,575,,567,,,,,570,560</t>
  </si>
  <si>
    <t>2025-05-04 22:25:00,490,,,485,490,,490,,,,,500,480</t>
  </si>
  <si>
    <t>2025-05-04 22:25:00,5600,,5700,,5600,,5637.5,,,,,5750,5540</t>
  </si>
  <si>
    <t>2025-05-04 22:25:00,20000,,,19900,20000,,20110,,,,,20000,19700</t>
  </si>
  <si>
    <t>2025-05-04 22:25:00,444811709.114783,-7759356443.11574,0,0,0,0,0,0</t>
  </si>
  <si>
    <t>2025-05-04 22:25:00,915301790.527794,-3022006685.44973,0,0,0,0,0,0</t>
  </si>
  <si>
    <t>2025-05-04 22:25:00,258272567.933637,47186.8017226641,72.5000000000001,10,155.875,21.5,-0.0227268514679666,0.8</t>
  </si>
  <si>
    <t>2025-05-04 22:25:00,13660419.0883601,-127537.28810483,0,0,0,0,0,0</t>
  </si>
  <si>
    <t>2025-05-04 22:26:00,575,,,564,575,,567,,,,,570,560</t>
  </si>
  <si>
    <t>2025-05-04 22:26:00,490,,,485,490,,490,,,,,500,480</t>
  </si>
  <si>
    <t>2025-05-04 22:26:00,5600,,5700,,5600,,5637.5,,,,,5750,5540</t>
  </si>
  <si>
    <t>2025-05-04 22:26:00,20000,,,19900,20000,,20110,,,,,20000,19700</t>
  </si>
  <si>
    <t>2025-05-04 22:26:00,473477585.747149,-7499706014.29666,0,0,0,0,0,0</t>
  </si>
  <si>
    <t>2025-05-04 22:26:00,927395813.464689,-2945594810.8858,0,0,0,0,0,0</t>
  </si>
  <si>
    <t>2025-05-04 22:26:00,254019515.617684,117825.575332786,102.14,4,729.5902,22.21,-0.00758856053028647,0.61</t>
  </si>
  <si>
    <t>2025-05-04 22:26:00,13660950.72367,-127225.432205769,0,0,0,0,0,0</t>
  </si>
  <si>
    <t>2025-05-04 22:27:00,575,,,564,575,,567,,,,,570,560</t>
  </si>
  <si>
    <t>2025-05-04 22:27:00,490,,,485,490,,490,,,,,500,480</t>
  </si>
  <si>
    <t>2025-05-04 22:27:00,5600,,5700,,5600,,5637.5,,,,,5750,5540</t>
  </si>
  <si>
    <t>2025-05-04 22:27:00,20000,,,19900,20000,,20110,,,,,20000,19700</t>
  </si>
  <si>
    <t>2025-05-04 22:27:00,455482569.393188,-7665859483.24634,0,0,0,0,0,0</t>
  </si>
  <si>
    <t>2025-05-04 22:27:00,920532645.268823,-2989665295.42773,0,0,0,0,0,0</t>
  </si>
  <si>
    <t>2025-05-04 22:27:00,256775222.131992,68572.8189463488,63.5,3,784.449999999999,19.05,-0.00327529312030463,0.39</t>
  </si>
  <si>
    <t>2025-05-04 22:27:00,13657422.8000378,-127374.222707411,0,0,0,0,0,0</t>
  </si>
  <si>
    <t>2025-05-04 22:28:00,575,,,564,575,,567,,,,,570,560</t>
  </si>
  <si>
    <t>2025-05-04 22:28:00,490,,,485,490,,490,,,,,500,480</t>
  </si>
  <si>
    <t>2025-05-04 22:28:00,5600,,5700,,5600,,5637.5,,,,,5750,5540</t>
  </si>
  <si>
    <t>2025-05-04 22:28:00,20000,,,19900,20000,,20110,,,,,20000,19700</t>
  </si>
  <si>
    <t>2025-05-04 22:28:00,441484537.596213,-7791696826.92656,0,0,0,0,0,0</t>
  </si>
  <si>
    <t>2025-05-04 22:28:00,913761544.011499,-3034808053.51964,0,0,0,0,0,0</t>
  </si>
  <si>
    <t>2025-05-04 22:28:00,257598141.5605,54708.3551923062,93.1666666666668,3,1574.41666666667,32.8,-1.43777812234669E-05,0.64</t>
  </si>
  <si>
    <t>2025-05-04 22:28:00,13656949.9886064,-127482.584755851,0,0,0,0,0,0</t>
  </si>
  <si>
    <t>2025-05-04 22:29:00,575,,,564,575,,567,,,,,570,560</t>
  </si>
  <si>
    <t>2025-05-04 22:29:00,490,,,485,490,,490,,,,,500,480</t>
  </si>
  <si>
    <t>2025-05-04 22:29:00,5600,,5700,,5600,,5637.5,,,,,5750,5540</t>
  </si>
  <si>
    <t>2025-05-04 22:29:00,20000,,,19900,20000,,20110,,,,,20000,19700</t>
  </si>
  <si>
    <t>2025-05-04 22:29:00,444928636.238097,-7763497472.69489,0,0,0,0,0,0</t>
  </si>
  <si>
    <t>2025-05-04 22:29:00,917027243.415306,-3012485720.04939,0,0,0,0,0,0</t>
  </si>
  <si>
    <t>2025-05-04 22:29:00,256973663.273824,66259.2086937718,708.383333333332,25,9429.15916666665,257.46,-0.00154939401047061,4.56</t>
  </si>
  <si>
    <t>2025-05-04 22:29:00,13662348.1768058,-127566.591549743,0,0,0,0,0,0</t>
  </si>
  <si>
    <t>2025-05-04 22:30:00,575,,,564,575,,567,,,,,570,560</t>
  </si>
  <si>
    <t>2025-05-04 22:30:00,490,,,485,490,,490,,,,,500,480</t>
  </si>
  <si>
    <t>2025-05-04 22:30:00,5600,,5700,,5600,,5637.5,,,,,5750,5540</t>
  </si>
  <si>
    <t>2025-05-04 22:30:00,20000,,,19900,20000,,20110,,,,,20000,19700</t>
  </si>
  <si>
    <t>2025-05-04 22:30:00,448432351.435205,-7734465280.61451,0,0,0,0,0,0</t>
  </si>
  <si>
    <t>2025-05-04 22:30:00,920574483.513118,-2990797921.62265,0,0,0,0,0,0</t>
  </si>
  <si>
    <t>2025-05-04 22:30:00,256904449.254746,66710.7226100554,52.6833333333333,3,1090.34366666667,28.62,-0.00200752966219188,0.6</t>
  </si>
  <si>
    <t>2025-05-04 22:30:00,13654577.5906624,-127278.678022113,0,0,0,0,0,0</t>
  </si>
  <si>
    <t>2025-05-04 22:31:00,575,,,560,575,,567,,,,,570,560</t>
  </si>
  <si>
    <t>2025-05-04 22:31:00,490,,,485,490,,490,,,,,500,480</t>
  </si>
  <si>
    <t>2025-05-04 22:31:00,5600,,5700,,5600,,5637.5,,,,,5750,5540</t>
  </si>
  <si>
    <t>2025-05-04 22:31:00,20000,,,19900,20000,,20110,,,,,20000,19700</t>
  </si>
  <si>
    <t>2025-05-04 22:31:00,441738164.988522,-6565747448.79663,0,0,0,0,0,0</t>
  </si>
  <si>
    <t>2025-05-04 22:31:00,917021805.064239,-3013614142.4307,0,0,0,0,0,0</t>
  </si>
  <si>
    <t>2025-05-04 22:31:00,258721295.694266,44650.3929144702,150.187154225085,8,6280.68647101174,259.79,-0.0109413400261913,4.56</t>
  </si>
  <si>
    <t>2025-05-04 22:31:00,13652281.1156156,-127398.673303325,0,0,0,0,0,0</t>
  </si>
  <si>
    <t>2025-05-04 22:32:00,575,,,564,575,,567,,,,,570,560</t>
  </si>
  <si>
    <t>2025-05-04 22:32:00,490,,,485,490,,490,,,,,500,480</t>
  </si>
  <si>
    <t>2025-05-04 22:32:00,5600,,5700,,5600,,5637.5,,,,,5750,5540</t>
  </si>
  <si>
    <t>2025-05-04 22:32:00,20000,,,19900,20000,,20110,,,,,20000,19700</t>
  </si>
  <si>
    <t>2025-05-04 22:32:00,466320869.350722,-7570896185.08084,0,0,0,0,0,0</t>
  </si>
  <si>
    <t>2025-05-04 22:32:00,934237887.295317,-2906119275.44951,0,0,0,0,0,0</t>
  </si>
  <si>
    <t>2025-05-04 22:32:00,254319621.859682,114984.424504285,37.238888888889,3,449.575611111112,30.87,-0.00705464295994434,0.67</t>
  </si>
  <si>
    <t>2025-05-04 22:32:00,13654290.8175374,-127123.011676721,0,0,0,0,0,0</t>
  </si>
  <si>
    <t>2025-05-04 22:33:00,575,,,564,575,,567,,,,,570,560</t>
  </si>
  <si>
    <t>2025-05-04 22:33:00,490,,,485,490,,490,,,,,500,480</t>
  </si>
  <si>
    <t>2025-05-04 22:33:00,5600,,5700,,5600,,5637.5,,,,,5750,5540</t>
  </si>
  <si>
    <t>2025-05-04 22:33:00,20000,,,19900,20000,,20110,,,,,20000,19700</t>
  </si>
  <si>
    <t>2025-05-04 22:33:00,448459342.792352,-7737083552.36991,0,0,0,0,0,0</t>
  </si>
  <si>
    <t>2025-05-04 22:33:00,927438393.908011,-2948796073.87231,0,0,0,0,0,0</t>
  </si>
  <si>
    <t>2025-05-04 22:33:00,255965616.966953,84839.3049324815,168.5,4,2297.275,44.6,0.00246284625615511,0.71</t>
  </si>
  <si>
    <t>2025-05-04 22:33:00,13652627.926503,-127235.355012958,0,0,0,0,0,0</t>
  </si>
  <si>
    <t>2025-05-04 22:34:00,575,,,564,575,,567,,,,,570,560</t>
  </si>
  <si>
    <t>2025-05-04 22:34:00,490,,,485,490,,490,,,,,500,480</t>
  </si>
  <si>
    <t>2025-05-04 22:34:00,5600,,5700,,5600,,5637.5,,,,,5750,5540</t>
  </si>
  <si>
    <t>2025-05-04 22:34:00,20000,,,19900,20000,,20110,,,,,20000,19700</t>
  </si>
  <si>
    <t>2025-05-04 22:34:00,469930117.825968,-7540765215.36033,0,0,0,0,0,0</t>
  </si>
  <si>
    <t>2025-05-04 22:34:00,939469883.227345,-2876480854.79218,0,0,0,0,0,0</t>
  </si>
  <si>
    <t>2025-05-04 22:34:00,254174358.876506,107257.139015749,46.2916666666667,2,707.164583333334,19.15,-0.000503452118947655,0.35</t>
  </si>
  <si>
    <t>2025-05-04 22:34:00,13651908.4560436,-127056.934435366,0,0,0,0,0,0</t>
  </si>
  <si>
    <t>2025-05-04 22:35:00,575,,,564,575,,567,,,,,570,560</t>
  </si>
  <si>
    <t>2025-05-04 22:35:00,490,,,485,490,,490,,,,,500,480</t>
  </si>
  <si>
    <t>2025-05-04 22:35:00,5600,,5700,,5600,,5637.5,,,,,5750,5540</t>
  </si>
  <si>
    <t>2025-05-04 22:35:00,20000,,,19900,20000,,20110,,,,,20000,19700</t>
  </si>
  <si>
    <t>2025-05-04 22:35:00,466306488.70184,-7576879209.51058,0,0,0,0,0,0</t>
  </si>
  <si>
    <t>2025-05-04 22:35:00,941178462.154179,-2866491143.15783,0,0,0,0,0,0</t>
  </si>
  <si>
    <t>2025-05-04 22:35:00,254158851.997257,92184.2174773979,49.3333333333334,1,453.866666666667,9.2,0.000977914174055737,0.12</t>
  </si>
  <si>
    <t>2025-05-04 22:35:00,13649558.5795395,-127030.003975694,0,0,0,0,0,0</t>
  </si>
  <si>
    <t>2025-05-04 22:36:00,575,,,564,575,,567,,,,,570,560</t>
  </si>
  <si>
    <t>2025-05-04 22:36:00,490,,,485,490,,490,,,,,500,480</t>
  </si>
  <si>
    <t>2025-05-04 22:36:00,5600,,5700,,5600,,5637.5,,,,,5750,5540</t>
  </si>
  <si>
    <t>2025-05-04 22:36:00,20000,,,19900,20000,,20110,,,,,20000,19700</t>
  </si>
  <si>
    <t>2025-05-04 22:36:00,516878854.213223,-7116322638.54847,0,0,0,0,0,0</t>
  </si>
  <si>
    <t>2025-05-04 22:36:00,952306869.032861,-3231713506.1773,0,0,0,0,0,0</t>
  </si>
  <si>
    <t>2025-05-04 22:36:00,250387058.444593,216740.50556573,139.996666666667,9,3545.99953333333,85.13,-0.00767563954789056,2.18</t>
  </si>
  <si>
    <t>2025-05-04 22:36:00,13647288.0377585,-126652.917535691,0,0,0,0,0,0</t>
  </si>
  <si>
    <t>2025-05-04 22:37:00,575,,,564,575,,567,,,,,570,560</t>
  </si>
  <si>
    <t>2025-05-04 22:37:00,490,,,485,490,,490,,,,,500,480</t>
  </si>
  <si>
    <t>2025-05-04 22:37:00,5700,,5700,,5600,,5637.5,,,,,5750,5540</t>
  </si>
  <si>
    <t>2025-05-04 22:37:00,20000,,,19900,20000,,20110,,,,,20000,19700</t>
  </si>
  <si>
    <t>2025-05-04 22:37:00,545524049.687257,-6863492805.66619,0,0,0,0,0,0</t>
  </si>
  <si>
    <t>2025-05-04 22:37:00,975905421.5155,-3070652582.6802,0,0,0,0,0,0</t>
  </si>
  <si>
    <t>2025-05-04 22:37:00,247377515.419437,277324.916874288,775.183333333334,18,15576.6761666667,338.04,0.0350656072172231,6.46</t>
  </si>
  <si>
    <t>2025-05-04 22:37:00,13641638.257748,-126251.756107586,0,0,0,0,0,0</t>
  </si>
  <si>
    <t>2025-05-04 22:38:00,575,,,564,575,,567,,,,,570,560</t>
  </si>
  <si>
    <t>2025-05-04 22:38:00,490,,,485,490,,490,,,,,500,480</t>
  </si>
  <si>
    <t>2025-05-04 22:38:00,5700,,5700,,5600,,5637.5,,,,,5750,5540</t>
  </si>
  <si>
    <t>2025-05-04 22:38:00,20000,,,19900,20000,,20110,,,,,20000,19700</t>
  </si>
  <si>
    <t>2025-05-04 22:38:00,562488066.254815,-6724105951.80552,0,0,0,0,0,0</t>
  </si>
  <si>
    <t>2025-05-04 22:38:00,987821035.640182,-2980491631.31168,0,0,0,0,0,0</t>
  </si>
  <si>
    <t>2025-05-04 22:38:00,245805339.796808,318678.802544869,84.24,5,621.2412,28.28,-0.0128188809151813,0.87</t>
  </si>
  <si>
    <t>2025-05-04 22:38:00,13628194.3480512,-125818.502737324,0,0,0,0,0,0</t>
  </si>
  <si>
    <t>2025-05-04 22:39:00,575,,,560,575,,567,,,,,570,560</t>
  </si>
  <si>
    <t>2025-05-04 22:39:00,490,,,485,490,,489.5,,,,,500,480</t>
  </si>
  <si>
    <t>2025-05-04 22:39:00,5700,,5700,,5600,,5637.5,,,,,5750,5540</t>
  </si>
  <si>
    <t>2025-05-04 22:39:00,20000,,,19900,20000,,20110,,,,,20000,19700</t>
  </si>
  <si>
    <t>2025-05-04 22:39:00,643680161.573193,-6110030937.53113,0,0,0,0,0,0</t>
  </si>
  <si>
    <t>2025-05-04 22:39:00,1048263011.16187,-2590769231.07533,0,0,0,0,0,0</t>
  </si>
  <si>
    <t>2025-05-04 22:39:00,244149803.890463,541478.022800005,441.498333333334,23,11837.6353833333,269.41,-0.0163628410723873,6.01</t>
  </si>
  <si>
    <t>2025-05-04 22:39:00,13591139.9078333,-124224.452583542,0,0,0,0,0,0</t>
  </si>
  <si>
    <t>2025-05-04 22:40:00,575,,,560,575,,567,,,,,570,560</t>
  </si>
  <si>
    <t>2025-05-04 22:40:00,490,,,485,490,,489.5,,,,,500,480</t>
  </si>
  <si>
    <t>2025-05-04 22:40:00,5700,,5700,,5600,,5637.5,,,,,5750,5540</t>
  </si>
  <si>
    <t>2025-05-04 22:40:00,20000,,,19900,20000,,20110,,,,,20000,19700</t>
  </si>
  <si>
    <t>2025-05-04 22:40:00,646973526.602348,-6087555112.33606,0,0,0,0,0,0</t>
  </si>
  <si>
    <t>2025-05-04 22:40:00,1048237574.50998,-2591321364.04003,0,0,0,0,0,0</t>
  </si>
  <si>
    <t>2025-05-04 22:40:00,243332168.611025,566720.309202158,510.683333333333,20,5739.7235,153.37,-0.00209078267509272,2.84</t>
  </si>
  <si>
    <t>2025-05-04 22:40:00,13584414.6487808,-124060.289237633,0,0,0,0,0,0</t>
  </si>
  <si>
    <t>2025-05-04 22:41:00,575,,,560,575,,567,,,,,570,560</t>
  </si>
  <si>
    <t>2025-05-04 22:41:00,490,,,485,490,,489.5,,,,,500,480</t>
  </si>
  <si>
    <t>2025-05-04 22:41:00,5700,,5700,,5600,,5637.5,,,,,5750,5540</t>
  </si>
  <si>
    <t>2025-05-04 22:41:00,20000,,,19900,20000,,20110,,,,,20000,19700</t>
  </si>
  <si>
    <t>2025-05-04 22:41:00,646920352.109371,-6090160019.95448,0,0,0,0,0,0</t>
  </si>
  <si>
    <t>2025-05-04 22:41:00,1048313764.01023,-2591940624.24627,0,0,0,0,0,0</t>
  </si>
  <si>
    <t>2025-05-04 22:41:00,244197290.148884,557760.726117421,273.916666666667,13,3714.46083333334,83.3,-0.0078186448005356,1.67</t>
  </si>
  <si>
    <t>2025-05-04 22:41:00,13578619.6001824,-123885.831429619,0,0,0,0,0,0</t>
  </si>
  <si>
    <t>2025-05-04 22:42:00,575,,,565,575,,567,,,,,570,560</t>
  </si>
  <si>
    <t>2025-05-04 22:42:00,490,,,485,490,,489.5,,,,,500,480</t>
  </si>
  <si>
    <t>2025-05-04 22:42:00,5700,,5700,,5600,,5637.5,,,,,5750,5540</t>
  </si>
  <si>
    <t>2025-05-04 22:42:00,20000,,,19900,20000,,20110,,,,,20000,19700</t>
  </si>
  <si>
    <t>2025-05-04 22:42:00,696879473.203845,-7659090382.81915,0,0,0,0,0,0</t>
  </si>
  <si>
    <t>2025-05-04 22:42:00,1065048855.23289,-2868305619.43086,0,0,0,0,0,0</t>
  </si>
  <si>
    <t>2025-05-04 22:42:00,241529619.820762,638296.478053625,591.265,26,8403.73855000001,275.65,0.0200244381192464,4.88</t>
  </si>
  <si>
    <t>2025-05-04 22:42:00,13578560.58393,-123767.155435497,0,0,0,0,0,0</t>
  </si>
  <si>
    <t>2025-05-04 22:43:00,575,,,565,575,,567,,,,,570,560</t>
  </si>
  <si>
    <t>2025-05-04 22:43:00,490,,,485,490,,489.5,,,,,500,480</t>
  </si>
  <si>
    <t>2025-05-04 22:43:00,5700,,5700,,5600,,5620,,,,,5750,5540</t>
  </si>
  <si>
    <t>2025-05-04 22:43:00,20000,,,19900,20000,,20110,,,,,20000,19700</t>
  </si>
  <si>
    <t>2025-05-04 22:43:00,725685097.070711,-7321802076.46452,0,0,0,0,0,0</t>
  </si>
  <si>
    <t>2025-05-04 22:43:00,1087780190.49206,-2711543336.25244,0,0,0,0,0,0</t>
  </si>
  <si>
    <t>2025-05-04 22:43:00,240478252.156326,733404.762010854,507.725,23,6269.93724999999,209.97,-0.0187697016831161,4.85</t>
  </si>
  <si>
    <t>2025-05-04 22:43:00,13553361.6167509,-122982.82761898,0,0,0,0,0,0</t>
  </si>
  <si>
    <t>2025-05-04 22:44:00,575,,,565,575,,567,,,,,570,560</t>
  </si>
  <si>
    <t>2025-05-04 22:44:00,490,,,485,490,,489.5,,,,,500,480</t>
  </si>
  <si>
    <t>2025-05-04 22:44:00,5700,,5700,,5600,,5637.5,,,,,5750,5540</t>
  </si>
  <si>
    <t>2025-05-04 22:44:00,20000,,,19900,20000,,20110,,,,,20000,19700</t>
  </si>
  <si>
    <t>2025-05-04 22:44:00,697181094.946711,-7657752145.60259,0,0,0,0,0,0</t>
  </si>
  <si>
    <t>2025-05-04 22:44:00,1071498479.11005,-2830770613.89398,0,0,0,0,0,0</t>
  </si>
  <si>
    <t>2025-05-04 22:44:00,242491273.345382,624025.368307543,245.006666666667,6,3937.13373333333,101.16,0.0146917190466111,1.78</t>
  </si>
  <si>
    <t>2025-05-04 22:44:00,13571863.5046443,-123687.261537662,0,0,0,0,0,0</t>
  </si>
  <si>
    <t>2025-05-04 22:45:00,575,,,560,575,,567,,,,,570,560</t>
  </si>
  <si>
    <t>2025-05-04 22:45:00,490,,,485,490,,490,,,,,500,480</t>
  </si>
  <si>
    <t>2025-05-04 22:45:00,5700,,5700,,5600,,5620,,,,,5750,5540</t>
  </si>
  <si>
    <t>2025-05-04 22:45:00,20000,,,19900,20000,,20110,,,,,20000,19700</t>
  </si>
  <si>
    <t>2025-05-04 22:45:00,646776976.277222,-6095243273.72809,0,0,0,0,0,0</t>
  </si>
  <si>
    <t>2025-05-04 22:45:00,1035779038.26221,-2677732145.56262,0,0,0,0,0,0</t>
  </si>
  <si>
    <t>2025-05-04 22:45:00,245727662.132947,478134.546194714,603.716666666666,16,15508.7813333333,352.06,0.0492090393912233,7.12</t>
  </si>
  <si>
    <t>2025-05-04 22:45:00,13602891.0172865,-124690.327077736,0,0,0,0,0,0</t>
  </si>
  <si>
    <t>2025-05-04 22:46:00,575,,,560,575,,567,,,,,570,560</t>
  </si>
  <si>
    <t>2025-05-04 22:46:00,490,,,485,490,,490,,,,,500,480</t>
  </si>
  <si>
    <t>2025-05-04 22:46:00,5700,,5700,,5600,,5632.5,,,,,5750,5540</t>
  </si>
  <si>
    <t>2025-05-04 22:46:00,20000,,,19900,20000,,20110,,,,,20000,19700</t>
  </si>
  <si>
    <t>2025-05-04 22:46:00,606453903.395127,-6407708111.69177,0,0,0,0,0,0</t>
  </si>
  <si>
    <t>2025-05-04 22:46:00,1008367618.65521,-2837300474.36396,0,0,0,0,0,0</t>
  </si>
  <si>
    <t>2025-05-04 22:46:00,247002106.790127,374673.642650044,283.133333333333,7,7165.31416666665,124.75,0.0114682911244438,2.31</t>
  </si>
  <si>
    <t>2025-05-04 22:46:00,13617448.1552815,-125417.985163529,0,0,0,0,0,0</t>
  </si>
  <si>
    <t>2025-05-04 22:47:00,575,,,560,575,,567,,,,,570,560</t>
  </si>
  <si>
    <t>2025-05-04 22:47:00,490,,,485,490,,490,,,,,500,480</t>
  </si>
  <si>
    <t>2025-05-04 22:47:00,5700,,5700,,5600,,5632.5,,,,,5750,5540</t>
  </si>
  <si>
    <t>2025-05-04 22:47:00,20000,,,19900,20000,,20110,,,,,20000,19700</t>
  </si>
  <si>
    <t>2025-05-04 22:47:00,596486149.629399,-6492928860.83589,0,0,0,0,0,0</t>
  </si>
  <si>
    <t>2025-05-04 22:47:00,1009918795.55446,-2825699020.25989,0,0,0,0,0,0</t>
  </si>
  <si>
    <t>2025-05-04 22:47:00,244804347.085371,370448.814097569,181,6,2468.6375,54.45,0.000613058041214324,1.02</t>
  </si>
  <si>
    <t>2025-05-04 22:47:00,13614515.4205383,-125239.344890705,0,0,0,0,0,0</t>
  </si>
  <si>
    <t>2025-05-04 22:48:00,575,,,560,575,,567,,,,,570,560</t>
  </si>
  <si>
    <t>2025-05-04 22:48:00,490,,,485,490,,490,,,,,500,480</t>
  </si>
  <si>
    <t>2025-05-04 22:48:00,5700,,5700,,5600,,5620,,,,,5750,5540</t>
  </si>
  <si>
    <t>2025-05-04 22:48:00,20000,,,19900,20000,,20110,,,,,20000,19700</t>
  </si>
  <si>
    <t>2025-05-04 22:48:00,624900380.658072,-6265451237.99218,0,0,0,0,0,0</t>
  </si>
  <si>
    <t>2025-05-04 22:48:00,1025279036.043,-2755224296.56264,0,0,0,0,0,0</t>
  </si>
  <si>
    <t>2025-05-04 22:48:00,246754826.864373,431493.011570282,296.15,11,3805.19830952381,122.97,-0.0118642755766438,2.75</t>
  </si>
  <si>
    <t>2025-05-04 22:48:00,13606444.4624381,-124940.074977145,0,0,0,0,0,0</t>
  </si>
  <si>
    <t>2025-05-04 22:49:00,575,,,560,575,,567,,,,,570,560</t>
  </si>
  <si>
    <t>2025-05-04 22:49:00,490,,,485,490,,490,,,,,500,480</t>
  </si>
  <si>
    <t>2025-05-04 22:49:00,5700,,5700,,5600,,5620,,,,,5750,5540</t>
  </si>
  <si>
    <t>2025-05-04 22:49:00,20000,,,19900,20000,,20110,,,,,20000,19700</t>
  </si>
  <si>
    <t>2025-05-04 22:49:00,631061491.295705,-6220078238.02575,0,0,0,0,0,0</t>
  </si>
  <si>
    <t>2025-05-04 22:49:00,1029711519.2758,-2722753349.34875,0,0,0,0,0,0</t>
  </si>
  <si>
    <t>2025-05-04 22:49:00,246891962.666327,436626.786020476,215.033333333334,8,1312.36566666667,45.67,-0.0105924434412771,1.08</t>
  </si>
  <si>
    <t>2025-05-04 22:49:00,13603828.312352,-124852.29091852,0,0,0,0,0,0</t>
  </si>
  <si>
    <t>2025-05-04 22:50:00,575,,,560,575,,567,,,,,570,560</t>
  </si>
  <si>
    <t>2025-05-04 22:50:00,490,,,485,490,,490,,,,,500,480</t>
  </si>
  <si>
    <t>2025-05-04 22:50:00,5700,,5700,,5600,,5620,,,,,5750,5540</t>
  </si>
  <si>
    <t>2025-05-04 22:50:00,20000,,,19900,20000,,20110,,,,,20000,19700</t>
  </si>
  <si>
    <t>2025-05-04 22:50:00,631035698.998736,-6222056689.023,0,0,0,0,0,0</t>
  </si>
  <si>
    <t>2025-05-04 22:50:00,1035863433.92974,-2679424842.60956,0,0,0,0,0,0</t>
  </si>
  <si>
    <t>2025-05-04 22:50:00,245983943.540315,435372.996276934,191.083333333333,8,4752.81666666665,97.69,-0.00094636815033857,2.28</t>
  </si>
  <si>
    <t>2025-05-04 22:50:00,13604043.9633615,-124801.559685489,0,0,0,0,0,0</t>
  </si>
  <si>
    <t>2025-05-04 22:51:00,575,,,560,575,,567,,,,,570,560</t>
  </si>
  <si>
    <t>2025-05-04 22:51:00,490,,,485,490,,490,,,,,500,480</t>
  </si>
  <si>
    <t>2025-05-04 22:51:00,5700,,5700,,5600,,5620,,,,,5750,5540</t>
  </si>
  <si>
    <t>2025-05-04 22:51:00,20000,,,19900,20000,,20110,,,,,20000,19700</t>
  </si>
  <si>
    <t>2025-05-04 22:51:00,640403137.452904,-6151430845.24919,0,0,0,0,0,0</t>
  </si>
  <si>
    <t>2025-05-04 22:51:00,1028322522.32187,-2734379818.16636,0,0,0,0,0,0</t>
  </si>
  <si>
    <t>2025-05-04 22:51:00,246110309.805492,456064.707897213,4.1,1,12.136,2.96,-0.00253151248766266,0.1</t>
  </si>
  <si>
    <t>2025-05-04 22:51:00,13604223.0874562,-124892.540551754,0,0,0,0,0,0</t>
  </si>
  <si>
    <t>2025-05-04 22:52:00,575,,,565,575,,567,,,,,570,560</t>
  </si>
  <si>
    <t>2025-05-04 22:52:00,490,,,485,490,,489.5,,,,,500,480</t>
  </si>
  <si>
    <t>2025-05-04 22:52:00,5700,,5700,,5600,,5620,,,,,5750,5540</t>
  </si>
  <si>
    <t>2025-05-04 22:52:00,20000,,,19900,20000,,20110,,,,,20000,19700</t>
  </si>
  <si>
    <t>2025-05-04 22:52:00,662047571.177348,-7908118230.37811,0,0,0,0,0,0</t>
  </si>
  <si>
    <t>2025-05-04 22:52:00,1046798408.62494,-2606654504.51531,0,0,0,0,0,0</t>
  </si>
  <si>
    <t>2025-05-04 22:52:00,244541009.451882,528672.428708328,133.325714285714,8,2297.71165714286,75.98,-0.0103576037505508,1.95</t>
  </si>
  <si>
    <t>2025-05-04 22:52:00,13587147.7668254,-124336.243182968,0,0,0,0,0,0</t>
  </si>
  <si>
    <t>2025-05-04 22:53:00,575,,,565,575,,567,,,,,570,560</t>
  </si>
  <si>
    <t>2025-05-04 22:53:00,490,,,485,490,,489.5,,,,,500,480</t>
  </si>
  <si>
    <t>2025-05-04 22:53:00,5700,,5700,,5600,,5620,,,,,5750,5540</t>
  </si>
  <si>
    <t>2025-05-04 22:53:00,20000,,,19900,20000,,20110,,,,,20000,19700</t>
  </si>
  <si>
    <t>2025-05-04 22:53:00,665872796.011583,-7922762270.09934,0,0,0,0,0,0</t>
  </si>
  <si>
    <t>2025-05-04 22:53:00,1054731518.26804,-2556230491.8512,0,0,0,0,0,0</t>
  </si>
  <si>
    <t>2025-05-04 22:53:00,243392304.296693,573300.529669112,54.8333333333333,2,2217.175,49.15,0.00269815471289808,1.12</t>
  </si>
  <si>
    <t>2025-05-04 22:53:00,13582232.2251828,-124061.612105582,0,0,0,0,0,0</t>
  </si>
  <si>
    <t>2025-05-04 22:54:00,575,,,565,575,,567,,,,,570,560</t>
  </si>
  <si>
    <t>2025-05-04 22:54:00,490,,,485,490,,489.5,,,,,500,480</t>
  </si>
  <si>
    <t>2025-05-04 22:54:00,5700,,5700,,5600,,5620,,,,,5750,5540</t>
  </si>
  <si>
    <t>2025-05-04 22:54:00,20000,,,19900,20000,,20110,,,,,20000,19700</t>
  </si>
  <si>
    <t>2025-05-04 22:54:00,660404804.977638,-7937831188.42753,0,0,0,0,0,0</t>
  </si>
  <si>
    <t>2025-05-04 22:54:00,1043868604.18817,-2627995063.45482,0,0,0,0,0,0</t>
  </si>
  <si>
    <t>2025-05-04 22:54:00,244426606.48403,545946.125399832,20.5833333333334,2,172.470833333334,12.15,-0.0053916886093962,0.37</t>
  </si>
  <si>
    <t>2025-05-04 22:54:00,13590286.5846777,-124363.416878144,0,0,0,0,0,0</t>
  </si>
  <si>
    <t>2025-05-04 22:55:00,575,,,565,575,,567,,,,,570,560</t>
  </si>
  <si>
    <t>2025-05-04 22:55:00,490,,,485,490,,489.5,,,,,500,480</t>
  </si>
  <si>
    <t>2025-05-04 22:55:00,5700,,5700,,5600,,5620,,,,,5750,5540</t>
  </si>
  <si>
    <t>2025-05-04 22:55:00,20000,,,19900,20000,,20110,,,,,20000,19700</t>
  </si>
  <si>
    <t>2025-05-04 22:55:00,665886223.021779,-7923856603.28487,0,0,0,0,0,0</t>
  </si>
  <si>
    <t>2025-05-04 22:55:00,1054775442.7615,-2557248101.22933,0,0,0,0,0,0</t>
  </si>
  <si>
    <t>2025-05-04 22:55:00,243466198.9677,574286.455034539,152.641666666667,5,4518.67425,105.82,0.0119271810429256,1.87</t>
  </si>
  <si>
    <t>2025-05-04 22:55:00,13590273.0306729,-124289.734698886,0,0,0,0,0,0</t>
  </si>
  <si>
    <t>2025-05-04 22:56:00,575,,,565,575,,567,,,,,570,560</t>
  </si>
  <si>
    <t>2025-05-04 22:56:00,490,,,485,490,,489.5,,,,,500,480</t>
  </si>
  <si>
    <t>2025-05-04 22:56:00,5700,,5700,,5600,,5620,,,,,5750,5540</t>
  </si>
  <si>
    <t>2025-05-04 22:56:00,20000,,,19900,20000,,20110,,,,,20000,19700</t>
  </si>
  <si>
    <t>2025-05-04 22:56:00,656438897.943409,-7767029442.15351,0,0,0,0,0,0</t>
  </si>
  <si>
    <t>2025-05-04 22:56:00,1051662316.72639,-2577578994.66481,0,0,0,0,0,0</t>
  </si>
  <si>
    <t>2025-05-04 22:56:00,244172302.922576,533321.727803234,41.75,2,292.5875,10.4,-0.000941069845490245,0.17</t>
  </si>
  <si>
    <t>2025-05-04 22:56:00,13587217.0423928,-124274.412786109,0,0,0,0,0,0</t>
  </si>
  <si>
    <t>2025-05-04 22:57:00,575,,,565,575,,567,,,,,570,560</t>
  </si>
  <si>
    <t>2025-05-04 22:57:00,490,,,485,490,,489.5,,,,,500,480</t>
  </si>
  <si>
    <t>2025-05-04 22:57:00,5700,,5700,,5600,,5620,,,,,5750,5540</t>
  </si>
  <si>
    <t>2025-05-04 22:57:00,20000,,,19900,20000,,20110,,,,,20000,19700</t>
  </si>
  <si>
    <t>2025-05-04 22:57:00,665906299.734511,-7925507626.85515,0,0,0,0,0,0</t>
  </si>
  <si>
    <t>2025-05-04 22:57:00,1056417357.0207,-2547914733.53457,0,0,0,0,0,0</t>
  </si>
  <si>
    <t>2025-05-04 22:57:00,244048668.385072,557544.498069988,89.4000000000003,1,497.958000000002,5.57,0.000929453325163139,0.07</t>
  </si>
  <si>
    <t>2025-05-04 22:57:00,13580129.8587234,-124121.70225672,0,0,0,0,0,0</t>
  </si>
  <si>
    <t>2025-05-04 22:58:00,575,,,565,575,,567,,,,,570,560</t>
  </si>
  <si>
    <t>2025-05-04 22:58:00,490,,,485,490,,489.5,,,,,500,480</t>
  </si>
  <si>
    <t>2025-05-04 22:58:00,5700,,5700,,5600,,5620,,,,,5750,5540</t>
  </si>
  <si>
    <t>2025-05-04 22:58:00,20000,,,19900,20000,,20110,,,,,20000,19700</t>
  </si>
  <si>
    <t>2025-05-04 22:58:00,665891368.998051,-7926779707.54998,0,0,0,0,0,0</t>
  </si>
  <si>
    <t>2025-05-04 22:58:00,1053221326.25273,-2568252105.67873,0,0,0,0,0,0</t>
  </si>
  <si>
    <t>2025-05-04 22:58:00,244406929.161161,549445.362662469,59.9616666666667,5,388.394983333333,22.44,-0.00905670449561324,0.59</t>
  </si>
  <si>
    <t>2025-05-04 22:58:00,13583979.5332257,-124160.107855352,0,0,0,0,0,0</t>
  </si>
  <si>
    <t>2025-05-04 22:59:00,575,,,560,575,,567,,,,,570,560</t>
  </si>
  <si>
    <t>2025-05-04 22:59:00,490,,,485,490,,489.5,,,,,500,480</t>
  </si>
  <si>
    <t>2025-05-04 22:59:00,5700,,5700,,5600,,5620,,,,,5750,5540</t>
  </si>
  <si>
    <t>2025-05-04 22:59:00,20000,,,19900,20000,,20110,,,,,20000,19700</t>
  </si>
  <si>
    <t>2025-05-04 22:59:00,643631664.271395,-6138147011.98555,0,0,0,0,0,0</t>
  </si>
  <si>
    <t>2025-05-04 22:59:00,1040543026.88277,-2650733422.62212,0,0,0,0,0,0</t>
  </si>
  <si>
    <t>2025-05-04 22:59:00,246243673.382757,472558.398131657,57.4,2,535.668,17.22,0.00259799679893711,0.23</t>
  </si>
  <si>
    <t>2025-05-04 22:59:00,13594468.8006462,-124625.356389217,0,0,0,0,0,0</t>
  </si>
  <si>
    <t>2025-05-04 23:00:00,575,,,560,575,,567,,,,,570,560</t>
  </si>
  <si>
    <t>2025-05-04 23:00:00,490,,,485,490,,489.5,,,,,500,480</t>
  </si>
  <si>
    <t>2025-05-04 23:00:00,5700,,5700,,5600,,5620,,,,,5750,5540</t>
  </si>
  <si>
    <t>2025-05-04 23:00:00,20000,,,19900,20000,,20110,,,,,20000,19700</t>
  </si>
  <si>
    <t>2025-05-04 23:00:00,656189663.558597,-6046197188.83714,0,0,0,0,0,0</t>
  </si>
  <si>
    <t>2025-05-04 23:00:00,1043772629.71335,-2630461731.23701,0,0,0,0,0,0</t>
  </si>
  <si>
    <t>2025-05-04 23:00:00,245122667.681788,520565.146447265,81.3999999999999,3,715.039999999999,24,-7.94569266912757E-05,0.45</t>
  </si>
  <si>
    <t>2025-05-04 23:00:00,13596017.2353069,-124618.995314049,0,0,0,0,0,0</t>
  </si>
  <si>
    <t>2025-05-04 23:01:00,575,,,560,575,,567,,,,,570,560</t>
  </si>
  <si>
    <t>2025-05-04 23:01:00,490,,,485,490,,489.5,,,,,500,480</t>
  </si>
  <si>
    <t>2025-05-04 23:01:00,5700,,5700,,5600,,5620,,,,,5750,5540</t>
  </si>
  <si>
    <t>2025-05-04 23:01:00,20000,,,19900,20000,,20110,,,,,20000,19700</t>
  </si>
  <si>
    <t>2025-05-04 23:01:00,653075549.513277,-6070433272.56651,0,0,0,0,0,0</t>
  </si>
  <si>
    <t>2025-05-04 23:01:00,1043776729.58321,-2630662846.61094,0,0,0,0,0,0</t>
  </si>
  <si>
    <t>2025-05-04 23:01:00,245251384.92112,502462.43253329,51.2500000000001,1,725.187500000001,14.15,0.00245299766743512,0.23</t>
  </si>
  <si>
    <t>2025-05-04 23:01:00,13592827.4741727,-124516.621681004,0,0,0,0,0,0</t>
  </si>
  <si>
    <t>2025-05-04 23:02:00,575,,,560,575,,567,,,,,570,560</t>
  </si>
  <si>
    <t>2025-05-04 23:02:00,490,,,485,490,,490,,,,,500,480</t>
  </si>
  <si>
    <t>2025-05-04 23:02:00,5700,,5700,,5600,,5620,,,,,5750,5540</t>
  </si>
  <si>
    <t>2025-05-04 23:02:00,20000,,,19900,20000,,20110,,,,,20000,19700</t>
  </si>
  <si>
    <t>2025-05-04 23:02:00,624718875.22116,-6286695138.52046,0,0,0,0,0,0</t>
  </si>
  <si>
    <t>2025-05-04 23:02:00,1032869666.7445,-2705696834.30375,0,0,0,0,0,0</t>
  </si>
  <si>
    <t>2025-05-04 23:02:00,246807264.688705,426284.286736854,103.5,2,1464.525,28.3,0.00462614255772733,0.44</t>
  </si>
  <si>
    <t>2025-05-04 23:02:00,13594271.9099412,-124774.703311638,0,0,0,0,0,0</t>
  </si>
  <si>
    <t>2025-05-04 23:03:00,575,,,560,575,,567,,,,,570,560</t>
  </si>
  <si>
    <t>2025-05-04 23:03:00,490,,,485,490,,490,,,,,500,480</t>
  </si>
  <si>
    <t>2025-05-04 23:03:00,5700,,5700,,5600,,5620,,,,,5750,5540</t>
  </si>
  <si>
    <t>2025-05-04 23:03:00,20000,,,19900,20000,,20110,,,,,20000,19700</t>
  </si>
  <si>
    <t>2025-05-04 23:03:00,630903063.514293,-6239178988.03524,0,0,0,0,0,0</t>
  </si>
  <si>
    <t>2025-05-04 23:03:00,1034465187.19828,-2695216407.74048,0,0,0,0,0,0</t>
  </si>
  <si>
    <t>2025-05-04 23:03:00,246820420.902163,433857.220710449,2.83333333333334,1,6.09166666666667,2.15,-0.00221132162006884,0.07</t>
  </si>
  <si>
    <t>2025-05-04 23:03:00,13600052.0712115,-124890.831962878,0,0,0,0,0,0</t>
  </si>
  <si>
    <t>2025-05-04 23:04:00,575,,,560,575,,567,,,,,570,560</t>
  </si>
  <si>
    <t>2025-05-04 23:04:00,490,,,485,490,,490,,,,,500,480</t>
  </si>
  <si>
    <t>2025-05-04 23:04:00,5700,,5700,,5600,,5637.5,,,,,5750,5540</t>
  </si>
  <si>
    <t>2025-05-04 23:04:00,20000,,,19900,20000,,20110,,,,,20000,19700</t>
  </si>
  <si>
    <t>2025-05-04 23:04:00,618376279.952396,-6338081325.83184,0,0,0,0,0,0</t>
  </si>
  <si>
    <t>2025-05-04 23:04:00,1022636782.3291,-2783110838.46795,0,0,0,0,0,0</t>
  </si>
  <si>
    <t>2025-05-04 23:04:00,244786324.067927,363306.790092722,183,5,4985.45000000001,84.8,0.0072108336417702,1.45</t>
  </si>
  <si>
    <t>2025-05-04 23:04:00,13603582.1053597,-125163.498787263,0,0,0,0,0,0</t>
  </si>
  <si>
    <t>2025-05-04 23:05:00,575,,,560,575,,567,,,,,570,560</t>
  </si>
  <si>
    <t>2025-05-04 23:05:00,490,,,485,490,,490,,,,,500,480</t>
  </si>
  <si>
    <t>2025-05-04 23:05:00,5700,,5700,,5600,,5620,,,,,5750,5540</t>
  </si>
  <si>
    <t>2025-05-04 23:05:00,20000,,,19900,20000,,20110,,,,,20000,19700</t>
  </si>
  <si>
    <t>2025-05-04 23:05:00,624699236.576651,-6291193632.32084,0,0,0,0,0,0</t>
  </si>
  <si>
    <t>2025-05-04 23:05:00,1032890261.17014,-2706811722.0619,0,0,0,0,0,0</t>
  </si>
  <si>
    <t>2025-05-04 23:05:00,247284454.819088,404328.95868497,142.933333333334,4,3866.35866666668,77.64,0.000629961001717771,1.99</t>
  </si>
  <si>
    <t>2025-05-04 23:05:00,13599073.8662559,-124803.008010889,0,0,0,0,0,0</t>
  </si>
  <si>
    <t>2025-05-04 23:06:00,575,,,560,575,,567,,,,,570,560</t>
  </si>
  <si>
    <t>2025-05-04 23:06:00,490,,,485,490,,490,,,,,500,480</t>
  </si>
  <si>
    <t>2025-05-04 23:06:00,5700,,5700,,5600,,5645,,,,,5750,5540</t>
  </si>
  <si>
    <t>2025-05-04 23:06:00,20000,,,19900,20000,,20110,,,,,20000,19700</t>
  </si>
  <si>
    <t>2025-05-04 23:06:00,624753802.382622,-6291643721.76012,0,0,0,0,0,0</t>
  </si>
  <si>
    <t>2025-05-04 23:06:00,1034392513.37914,-2696395539.43207,0,0,0,0,0,0</t>
  </si>
  <si>
    <t>2025-05-04 23:06:00,247281325.644293,403235.789931239,428.96862745098,20,13517.2262745098,478.75,-0.00705410870475908,7.69</t>
  </si>
  <si>
    <t>2025-05-04 23:06:00,13598681.9561041,-124868.100113111,0,0,0,0,0,0</t>
  </si>
  <si>
    <t>2025-05-04 23:07:00,575,,,564,575,,567,,,,,570,560</t>
  </si>
  <si>
    <t>2025-05-04 23:07:00,490,,,485,490,,490,,,,,500,480</t>
  </si>
  <si>
    <t>2025-05-04 23:07:00,5700,,5700,,5600,,5662.5,,,,,5750,5540</t>
  </si>
  <si>
    <t>2025-05-04 23:07:00,20000,,,19900,20000,,20110,,,,,20000,19700</t>
  </si>
  <si>
    <t>2025-05-04 23:07:00,562236702.378058,-6761551163.89543,0,0,0,0,0,0</t>
  </si>
  <si>
    <t>2025-05-04 23:07:00,982908053.84795,-3029043087.68771,0,0,0,0,0,0</t>
  </si>
  <si>
    <t>2025-05-04 23:07:00,249291954.132576,297289.562070448,1322.74734126984,50,22527.3830698413,779.97,0.0321155716516329,12.36</t>
  </si>
  <si>
    <t>2025-05-04 23:07:00,13627456.4213534,-126062.26717666,0,0,0,0,0,0</t>
  </si>
  <si>
    <t>2025-05-04 23:08:00,575,,,564,575,,567,,,,,570,560</t>
  </si>
  <si>
    <t>2025-05-04 23:08:00,490,,,485,490,,490,,,,,500,480</t>
  </si>
  <si>
    <t>2025-05-04 23:08:00,5600,,5700,,5600,,5662.5,,,,,5750,5540</t>
  </si>
  <si>
    <t>2025-05-04 23:08:00,20000,,,19900,20000,,20110,,,,,20000,19700</t>
  </si>
  <si>
    <t>2025-05-04 23:08:00,542007370.099186,-6931350893.26329,0,0,0,0,0,0</t>
  </si>
  <si>
    <t>2025-05-04 23:08:00,964225065.022406,-3169567259.41346,0,0,0,0,0,0</t>
  </si>
  <si>
    <t>2025-05-04 23:08:00,250213581.564529,195344.443344244,721.454761904762,15,14404.0538809524,288.66,0.0293268889437811,5.85</t>
  </si>
  <si>
    <t>2025-05-04 23:08:00,13637413.2847679,-126431.038450312,0,0,0,0,0,0</t>
  </si>
  <si>
    <t>2025-05-04 23:09:00,575,,,564,575,,567,,,,,570,560</t>
  </si>
  <si>
    <t>2025-05-04 23:09:00,490,,,485,490,,490,,,,,500,480</t>
  </si>
  <si>
    <t>2025-05-04 23:09:00,5600,,,5540,5600,,5662.5,,,,,5750,5540</t>
  </si>
  <si>
    <t>2025-05-04 23:09:00,20000,,,19900,20000,,20110,,,,,20000,19700</t>
  </si>
  <si>
    <t>2025-05-04 23:09:00,444740608.018648,-7810391624.31547,0,0,0,0,0,0</t>
  </si>
  <si>
    <t>2025-05-04 23:09:00,913960355.972813,-3052634583.46693,0,0,0,0,0,0</t>
  </si>
  <si>
    <t>2025-05-04 23:09:00,259217971.672707,51557.9598153008,1888.53476190476,69,42206.2701428571,1134.49,-0.0196979290958836,29.17</t>
  </si>
  <si>
    <t>2025-05-04 23:09:00,13651144.9142449,-127564.572820051,0,0,0,0,0,0</t>
  </si>
  <si>
    <t>2025-05-04 23:10:00,575,,,564,575,,567,,,,,570,560</t>
  </si>
  <si>
    <t>2025-05-04 23:10:00,490,,,485,490,,490,,,,,500,480</t>
  </si>
  <si>
    <t>2025-05-04 23:10:00,5600,,5700,,5600,,5662.5,,,,,5750,5540</t>
  </si>
  <si>
    <t>2025-05-04 23:10:00,20000,,,19900,20000,,20110,,,,,20000,19700</t>
  </si>
  <si>
    <t>2025-05-04 23:10:00,487703778.781325,-7421226158.18546,0,0,0,0,0,0</t>
  </si>
  <si>
    <t>2025-05-04 23:10:00,939721419.56024,-2892401121.42114,0,0,0,0,0,0</t>
  </si>
  <si>
    <t>2025-05-04 23:10:00,253855324.429763,156881.519887959,33.715,4,397.26305,32.72,-0.00917453393389137,0.74</t>
  </si>
  <si>
    <t>2025-05-04 23:10:00,13643845.8696154,-127038.412606575,0,0,0,0,0,0</t>
  </si>
  <si>
    <t>2025-05-04 23:11:00,575,,,564,575,,567,,,,,570,560</t>
  </si>
  <si>
    <t>2025-05-04 23:11:00,490,,,485,490,,490,,,,,500,480</t>
  </si>
  <si>
    <t>2025-05-04 23:11:00,5700,,,5540,5600,,5662.5,,,,,5750,5540</t>
  </si>
  <si>
    <t>2025-05-04 23:11:00,20000,,,19900,20000,,20110,,,,,20000,19700</t>
  </si>
  <si>
    <t>2025-05-04 23:11:00,448225509.536667,-7783097540.89388,0,0,0,0,0,0</t>
  </si>
  <si>
    <t>2025-05-04 23:11:00,903582933.493277,-3122918630.55424,0,0,0,0,0,0</t>
  </si>
  <si>
    <t>2025-05-04 23:11:00,241542112.362174,17492.4181274917,311.706666666667,12,6306.45263333335,159.82,-0.00453942665362206,3.33</t>
  </si>
  <si>
    <t>2025-05-04 23:11:00,13655451.7985381,-127792.234034105,0,0,0,0,0,0</t>
  </si>
  <si>
    <t>2025-05-04 23:12:00,575,,,564,575,,567,,,,,570,560</t>
  </si>
  <si>
    <t>2025-05-04 23:12:00,490,,,485,490,,490,,,,,500,480</t>
  </si>
  <si>
    <t>2025-05-04 23:12:00,5600,,,5540,5600,,5662.5,,,,,5750,5540</t>
  </si>
  <si>
    <t>2025-05-04 23:12:00,20000,,,19900,20000,,20110,,,,,20000,19700</t>
  </si>
  <si>
    <t>2025-05-04 23:12:00,466041944.083663,-7621712155.03106,0,0,0,0,0,0</t>
  </si>
  <si>
    <t>2025-05-04 23:12:00,927815110.887759,-2966183421.39446,0,0,0,0,0,0</t>
  </si>
  <si>
    <t>2025-05-04 23:12:00,256696866.845624,82151.2879502576,371.863333333333,23,7080.07603333333,179.52,-0.0240732333306619,4.13</t>
  </si>
  <si>
    <t>2025-05-04 23:12:00,13645639.5757244,-127321.531121748,0,0,0,0,0,0</t>
  </si>
  <si>
    <t>2025-05-04 23:13:00,575,,,564,575,,567,,,,,570,560</t>
  </si>
  <si>
    <t>2025-05-04 23:13:00,490,,,485,490,,490,,,,,500,480</t>
  </si>
  <si>
    <t>2025-05-04 23:13:00,5600,,5700,,5600,,5662.5,,,,,5750,5540</t>
  </si>
  <si>
    <t>2025-05-04 23:13:00,20000,,,19900,20000,,20110,,,,,20000,19700</t>
  </si>
  <si>
    <t>2025-05-04 23:13:00,526609089.356924,-7078678780.11079,0,0,0,0,0,0</t>
  </si>
  <si>
    <t>2025-05-04 23:13:00,962551880.499539,-3183194928.52458,0,0,0,0,0,0</t>
  </si>
  <si>
    <t>2025-05-04 23:13:00,251356453.149855,296047.305829545,130.046666666667,6,2919.79976666667,123.89,-0.0013010714154067,1.65</t>
  </si>
  <si>
    <t>2025-05-04 23:13:00,13636479.6314846,-126551.246573538,0,0,0,0,0,0</t>
  </si>
  <si>
    <t>2025-05-04 23:14:00,575,,,564,575,,567,,,,,570,560</t>
  </si>
  <si>
    <t>2025-05-04 23:14:00,490,,,485,490,,490,,,,,500,480</t>
  </si>
  <si>
    <t>2025-05-04 23:14:00,5700,,5700,,5600,,5662.5,,,,,5750,5540</t>
  </si>
  <si>
    <t>2025-05-04 23:14:00,20000,,,19900,20000,,20110,,,,,20000,19700</t>
  </si>
  <si>
    <t>2025-05-04 23:14:00,562260189.143592,-6770953218.60931,0,0,0,0,0,0</t>
  </si>
  <si>
    <t>2025-05-04 23:14:00,986388497.391077,-3006402398.74671,0,0,0,0,0,0</t>
  </si>
  <si>
    <t>2025-05-04 23:14:00,248593482.32588,422637.189965916,4230.49999999999,105,152570.35,3146.7,0.300353807620527,53.58</t>
  </si>
  <si>
    <t>2025-05-04 23:14:00,13622307.5944615,-125994.356880761,0,0,0,0,0,0</t>
  </si>
  <si>
    <t>2025-05-04 23:15:00,575,,,560,575,,567,,,,,570,560</t>
  </si>
  <si>
    <t>2025-05-04 23:15:00,490,,,485,490,,490,,,,,500,480</t>
  </si>
  <si>
    <t>2025-05-04 23:15:00,5700,,5700,,5600,,5662.5,,,,,5750,5540</t>
  </si>
  <si>
    <t>2025-05-04 23:15:00,20000,,,19900,20000,,20110,,,,,20000,19700</t>
  </si>
  <si>
    <t>2025-05-04 23:15:00,584026862.533595,-6636496172.99539,0,0,0,0,0,0</t>
  </si>
  <si>
    <t>2025-05-04 23:15:00,1000096974.22258,-2907379619.67532,0,0,0,0,0,0</t>
  </si>
  <si>
    <t>2025-05-04 23:15:00,247112050.51462,477938.827653536,559.683333333333,15,14668.6012333333,349.86,-0.000334631613912687,9.63</t>
  </si>
  <si>
    <t>2025-05-04 23:15:00,13609375.5179774,-125578.595113184,0,0,0,0,0,0</t>
  </si>
  <si>
    <t>2025-05-04 23:16:00,575,,,564,575,,567,,,,,570,560</t>
  </si>
  <si>
    <t>2025-05-04 23:16:00,490,,,485,490,,490,,,,,500,480</t>
  </si>
  <si>
    <t>2025-05-04 23:16:00,5700,,5700,,5600,,5662.5,,,,,5750,5540</t>
  </si>
  <si>
    <t>2025-05-04 23:16:00,20000,,,19900,20000,,20110,,,,,20000,19700</t>
  </si>
  <si>
    <t>2025-05-04 23:16:00,548683144.455281,-6884869411.40406,0,0,0,0,0,0</t>
  </si>
  <si>
    <t>2025-05-04 23:16:00,986467732.658275,-3007145397.76707,0,0,0,0,0,0</t>
  </si>
  <si>
    <t>2025-05-04 23:16:00,250118626.203475,530688.166806131,355.64,10,5507.5118,118.26,0.00853764289735533,2.41</t>
  </si>
  <si>
    <t>2025-05-04 23:16:00,13621253.889847,-126007.985745031,0,0,0,0,0,0</t>
  </si>
  <si>
    <t>2025-05-04 23:17:00,575,,,564,575,,567,,,,,570,560</t>
  </si>
  <si>
    <t>2025-05-04 23:17:00,490,,,485,490,,490,,,,,500,480</t>
  </si>
  <si>
    <t>2025-05-04 23:17:00,5600,,5700,,5600,,5662.5,,,,,5750,5540</t>
  </si>
  <si>
    <t>2025-05-04 23:17:00,20000,,,19900,20000,,20110,,,,,20000,19700</t>
  </si>
  <si>
    <t>2025-05-04 23:17:00,502016584.783698,-7299610746.34893,0,0,0,0,0,0</t>
  </si>
  <si>
    <t>2025-05-04 23:17:00,944894460.484063,-2865651004.91472,0,0,0,0,0,0</t>
  </si>
  <si>
    <t>2025-05-04 23:17:00,253927211.677421,358678.440870046,166.2,3,2763.009,40.27,0.00171633988301475,0.73</t>
  </si>
  <si>
    <t>2025-05-04 23:17:00,13639189.070677,-126975.999666272,0,0,0,0,0,0</t>
  </si>
  <si>
    <t>2025-05-04 23:18:00,575,,,564,575,,567,,,,,570,560</t>
  </si>
  <si>
    <t>2025-05-04 23:18:00,490,,,485,490,,490,,,,,500,480</t>
  </si>
  <si>
    <t>2025-05-04 23:18:00,5600,,5700,,5600,,5662.5,,,,,5750,5540</t>
  </si>
  <si>
    <t>2025-05-04 23:18:00,20000,,,19900,20000,,20110,,,,,20000,19700</t>
  </si>
  <si>
    <t>2025-05-04 23:18:00,476751688.311597,-7529009835.77314,0,0,0,0,0,0</t>
  </si>
  <si>
    <t>2025-05-04 23:18:00,934641355.162399,-2926900774.94037,0,0,0,0,0,0</t>
  </si>
  <si>
    <t>2025-05-04 23:18:00,256829850.946067,289087.351764047,4192.67500000001,95,49726.5050833334,796.37,-0.0636505254632296,15.72</t>
  </si>
  <si>
    <t>2025-05-04 23:18:00,13639254.1191321,-127109.805254106,0,0,0,0,0,0</t>
  </si>
  <si>
    <t>2025-05-04 23:19:00,575,,,564,575,,567,,,,,570,560</t>
  </si>
  <si>
    <t>2025-05-04 23:19:00,490,,,485,490,,490,,,,,500,480</t>
  </si>
  <si>
    <t>2025-05-04 23:19:00,5600,,5700,,5600,,5662.5,,,,,5750,5540</t>
  </si>
  <si>
    <t>2025-05-04 23:19:00,20000,,,19900,20000,,20110,,,,,20000,19700</t>
  </si>
  <si>
    <t>2025-05-04 23:19:00,480371021.992424,-7498088599.36871,0,0,0,0,0,0</t>
  </si>
  <si>
    <t>2025-05-04 23:19:00,941607263.943374,-2886576294.74887,0,0,0,0,0,0</t>
  </si>
  <si>
    <t>2025-05-04 23:19:00,256900184.81956,311438.350453272,534.325,13,11499.37675,259.46,0.033000213529293,6.77</t>
  </si>
  <si>
    <t>2025-05-04 23:19:00,13640168.5287392,-126989.803417343,0,0,0,0,0,0</t>
  </si>
  <si>
    <t>2025-05-04 23:20:00,575,,,564,575,,567,,,,,570,560</t>
  </si>
  <si>
    <t>2025-05-04 23:20:00,490,,,485,490,,490,,,,,500,480</t>
  </si>
  <si>
    <t>2025-05-04 23:20:00,5600,,5700,,5600,,5662.5,,,,,5750,5540</t>
  </si>
  <si>
    <t>2025-05-04 23:20:00,20000,,,19900,20000,,20110,,,,,20000,19700</t>
  </si>
  <si>
    <t>2025-05-04 23:20:00,540522350.139774,-6968238018.30705,0,0,0,0,0,0</t>
  </si>
  <si>
    <t>2025-05-04 23:20:00,978026717.427236,-3072003017.0399,0,0,0,0,0,0</t>
  </si>
  <si>
    <t>2025-05-04 23:20:00,251245565.165622,496135.767891329,193.54,5,4801.5468,104.26,0.00802469807439203,2.6</t>
  </si>
  <si>
    <t>2025-05-04 23:20:00,13621990.2590297,-126109.467980997,0,0,0,0,0,0</t>
  </si>
  <si>
    <t>2025-05-04 23:21:00,575,,,564,575,,567,,,,,570,560</t>
  </si>
  <si>
    <t>2025-05-04 23:21:00,490,,,485,490,,490,,,,,500,480</t>
  </si>
  <si>
    <t>2025-05-04 23:21:00,5600,,5700,,5600,,5662.5,,,,,5750,5540</t>
  </si>
  <si>
    <t>2025-05-04 23:21:00,20000,,,19900,20000,,20110,,,,,20000,19700</t>
  </si>
  <si>
    <t>2025-05-04 23:21:00,545368215.236793,-6919101808.05453,0,0,0,0,0,0</t>
  </si>
  <si>
    <t>2025-05-04 23:21:00,984826028.297882,-3021628469.38751,0,0,0,0,0,0</t>
  </si>
  <si>
    <t>2025-05-04 23:21:00,250538649.127656,502390.316240377,146.457142857143,8,2055.20954761905,86.63,-0.00699506614926918,1.89</t>
  </si>
  <si>
    <t>2025-05-04 23:21:00,13622340.7352133,-126046.239493069,0,0,0,0,0,0</t>
  </si>
  <si>
    <t>2025-05-04 23:22:00,575,,,564,575,,567,,,,,570,560</t>
  </si>
  <si>
    <t>2025-05-04 23:22:00,490,,,485,490,,490,,,,,500,480</t>
  </si>
  <si>
    <t>2025-05-04 23:22:00,5700,,5700,,5600,,5662.5,,,,,5750,5540</t>
  </si>
  <si>
    <t>2025-05-04 23:22:00,20000,,,19900,20000,,20110,,,,,20000,19700</t>
  </si>
  <si>
    <t>2025-05-04 23:22:00,552090384.758217,-6864485986.65425,0,0,0,0,0,0</t>
  </si>
  <si>
    <t>2025-05-04 23:22:00,986506752.167227,-3009071484.81091,0,0,0,0,0,0</t>
  </si>
  <si>
    <t>2025-05-04 23:22:00,250225988.496499,526235.086762775,5.16666666666667,1,12.6583333333333,2.45,-0.00239607364085742,0.09</t>
  </si>
  <si>
    <t>2025-05-04 23:22:00,13617145.3725603,-125849.763211008,0,0,0,0,0,0</t>
  </si>
  <si>
    <t>2025-05-04 23:23:00,575,,,564,575,,567,,,,,570,560</t>
  </si>
  <si>
    <t>2025-05-04 23:23:00,490,,,485,490,,490,,,,,500,480</t>
  </si>
  <si>
    <t>2025-05-04 23:23:00,5700,,5700,,5600,,5662.5,,,,,5750,5540</t>
  </si>
  <si>
    <t>2025-05-04 23:23:00,20000,,,19900,20000,,20110,,,,,20000,19700</t>
  </si>
  <si>
    <t>2025-05-04 23:23:00,555486551.507816,-6838856227.38901,0,0,0,0,0,0</t>
  </si>
  <si>
    <t>2025-05-04 23:23:00,993372080.64595,-2959164809.18602,0,0,0,0,0,0</t>
  </si>
  <si>
    <t>2025-05-04 23:23:00,249687895.961711,526652.985488303,26.3,2,235.525,12.15,-0.00531506405134725,0.38</t>
  </si>
  <si>
    <t>2025-05-04 23:23:00,13611709.2428989,-125743.275977068,0,0,0,0,0,0</t>
  </si>
  <si>
    <t>2025-05-04 23:24:00,575,,,560,575,,567,,,,,570,560</t>
  </si>
  <si>
    <t>2025-05-04 23:24:00,490,,,485,490,,490,,,,,500,480</t>
  </si>
  <si>
    <t>2025-05-04 23:24:00,5700,,5700,,5600,,5662.5,,,,,5750,5540</t>
  </si>
  <si>
    <t>2025-05-04 23:24:00,20000,,,19900,20000,,20110,,,,,20000,19700</t>
  </si>
  <si>
    <t>2025-05-04 23:24:00,581031347.807013,-6673349005.4279,0,0,0,0,0,0</t>
  </si>
  <si>
    <t>2025-05-04 23:24:00,1006945871.80275,-2862747519.15916,0,0,0,0,0,0</t>
  </si>
  <si>
    <t>2025-05-04 23:24:00,247191075.04861,542089.891573349,1051.85,32,34219.3284999999,792.61,0.0834416018252175,15.62</t>
  </si>
  <si>
    <t>2025-05-04 23:24:00,13608034.0095907,-125437.938290092,0,0,0,0,0,0</t>
  </si>
  <si>
    <t>2025-05-04 23:25:00,575,,,564,575,,567,,,,,570,560</t>
  </si>
  <si>
    <t>2025-05-04 23:25:00,490,,,485,490,,490,,,,,500,480</t>
  </si>
  <si>
    <t>2025-05-04 23:25:00,5700,,5700,,5600,,5662.5,,,,,5750,5540</t>
  </si>
  <si>
    <t>2025-05-04 23:25:00,20000,,,19900,20000,,20110,,,,,20000,19700</t>
  </si>
  <si>
    <t>2025-05-04 23:25:00,552101135.553559,-6868480893.85431,0,0,0,0,0,0</t>
  </si>
  <si>
    <t>2025-05-04 23:25:00,996768105.806552,-2935412204.67785,0,0,0,0,0,0</t>
  </si>
  <si>
    <t>2025-05-04 23:25:00,249536937.615059,536393.194994474,1205.16666666667,34,30152.4908333333,686.75,0.078805674267474,12.95</t>
  </si>
  <si>
    <t>2025-05-04 23:25:00,13612228.4172576,-125789.338566979,0,0,0,0,0,0</t>
  </si>
  <si>
    <t>2025-05-04 23:26:00,575,,,564,575,,567,,,,,570,560</t>
  </si>
  <si>
    <t>2025-05-04 23:26:00,490,,,485,490,,490,,,,,500,480</t>
  </si>
  <si>
    <t>2025-05-04 23:26:00,5600,,5700,,5600,,5662.5,,,,,5750,5540</t>
  </si>
  <si>
    <t>2025-05-04 23:26:00,20000,,,19900,20000,,20110,,,,,20000,19700</t>
  </si>
  <si>
    <t>2025-05-04 23:26:00,537037904.968709,-7004533589.94763,0,0,0,0,0,0</t>
  </si>
  <si>
    <t>2025-05-04 23:26:00,981441592.272514,-3048318536.22739,0,0,0,0,0,0</t>
  </si>
  <si>
    <t>2025-05-04 23:26:00,251385828.360449,515579.809576025,35.625,1,685.781249999999,19.25,0.00245406566925036,0.31</t>
  </si>
  <si>
    <t>2025-05-04 23:26:00,13617727.7694907,-126119.18113395,0,0,0,0,0,0</t>
  </si>
  <si>
    <t>2025-05-04 23:27:00,575,,,564,575,,567,,,,,570,560</t>
  </si>
  <si>
    <t>2025-05-04 23:27:00,490,,,485,490,,490,,,,,500,480</t>
  </si>
  <si>
    <t>2025-05-04 23:27:00,5600,,5700,,5600,,5662.5,,,,,5750,5540</t>
  </si>
  <si>
    <t>2025-05-04 23:27:00,20000,,,19900,20000,,20110,,,,,20000,19700</t>
  </si>
  <si>
    <t>2025-05-04 23:27:00,540462250.763889,-6976950151.33598,0,0,0,0,0,0</t>
  </si>
  <si>
    <t>2025-05-04 23:27:00,984958152.969333,-3023528754.45506,0,0,0,0,0,0</t>
  </si>
  <si>
    <t>2025-05-04 23:27:00,251152670.684864,529964.168583683,8.23333333333334,1,24.947,3.03,-0.00262245396042929,0.11</t>
  </si>
  <si>
    <t>2025-05-04 23:27:00,13620056.9402927,-126073.670449249,0,0,0,0,0,0</t>
  </si>
  <si>
    <t>2025-05-04 23:28:00,575,,,564,575,,567,,,,,570,560</t>
  </si>
  <si>
    <t>2025-05-04 23:28:00,490,,,485,490,,490,,,,,500,480</t>
  </si>
  <si>
    <t>2025-05-04 23:28:00,5600,,5700,,5600,,5662.5,,,,,5750,5540</t>
  </si>
  <si>
    <t>2025-05-04 23:28:00,20000,,,19900,20000,,20110,,,,,20000,19700</t>
  </si>
  <si>
    <t>2025-05-04 23:28:00,515898201.993721,-7189116171.78452,0,0,0,0,0,0</t>
  </si>
  <si>
    <t>2025-05-04 23:28:00,962665760.725211,-3188386966.49241,0,0,0,0,0,0</t>
  </si>
  <si>
    <t>2025-05-04 23:28:00,252900086.416956,425122.704239088,186.35,8,962.462,36.26,-0.00890901516321888,0.85</t>
  </si>
  <si>
    <t>2025-05-04 23:28:00,13626001.6790809,-126503.759558814,0,0,0,0,0,0</t>
  </si>
  <si>
    <t>2025-05-04 23:29:00,575,,,564,575,,567,,,,,570,560</t>
  </si>
  <si>
    <t>2025-05-04 23:29:00,490,,,485,490,,490,,,,,500,480</t>
  </si>
  <si>
    <t>2025-05-04 23:29:00,5600,,5700,,5600,,5662.5,,,,,5750,5540</t>
  </si>
  <si>
    <t>2025-05-04 23:29:00,20000,,,19900,20000,,20110,,,,,20000,19700</t>
  </si>
  <si>
    <t>2025-05-04 23:29:00,526548714.070808,-7098679423.11308,0,0,0,0,0,0</t>
  </si>
  <si>
    <t>2025-05-04 23:29:00,974749267.457714,-3100544041.8798,0,0,0,0,0,0</t>
  </si>
  <si>
    <t>2025-05-04 23:29:00,251158945.741762,451072.249744465,117.833333333333,6,4214.70833333332,109.05,0.00108275582167721,2.54</t>
  </si>
  <si>
    <t>2025-05-04 23:29:00,13623159.302495,-126276.413983111,0,0,0,0,0,0</t>
  </si>
  <si>
    <t>2025-05-04 23:30:00,575,,,564,575,,567,,,,,570,560</t>
  </si>
  <si>
    <t>2025-05-04 23:30:00,490,,,485,490,,490,,,,,500,480</t>
  </si>
  <si>
    <t>2025-05-04 23:30:00,5700,,5700,,5600,,5662.5,,,,,5750,5540</t>
  </si>
  <si>
    <t>2025-05-04 23:30:00,20000,,,19900,20000,,20110,,,,,20000,19700</t>
  </si>
  <si>
    <t>2025-05-04 23:30:00,545021066.178508,-6932407818.19394,0,0,0,0,0,0</t>
  </si>
  <si>
    <t>2025-05-04 23:30:00,988332123.243203,-2999247126.78428,0,0,0,0,0,0</t>
  </si>
  <si>
    <t>2025-05-04 23:30:00,250433912.392924,534810.062197766,123.3,4,937.026,29.96,0.00362085529419983,0.36</t>
  </si>
  <si>
    <t>2025-05-04 23:30:00,13614236.1285414,-125933.201911058,0,0,0,0,0,0</t>
  </si>
  <si>
    <t>2025-05-04 23:31:00,575,,,560,575,,567,,,,,570,560</t>
  </si>
  <si>
    <t>2025-05-04 23:31:00,490,,,485,490,,490,,,,,500,480</t>
  </si>
  <si>
    <t>2025-05-04 23:31:00,5700,,5700,,5600,,5662.5,,,,,5750,5540</t>
  </si>
  <si>
    <t>2025-05-04 23:31:00,20000,,,19900,20000,,20110,,,,,20000,19700</t>
  </si>
  <si>
    <t>2025-05-04 23:31:00,575392753.154646,-6738315577.08765,0,0,0,0,0,0</t>
  </si>
  <si>
    <t>2025-05-04 23:31:00,1001949963.78907,-2900700539.80096,0,0,0,0,0,0</t>
  </si>
  <si>
    <t>2025-05-04 23:31:00,248503133.025391,586662.478358906,4.83333333333333,1,11.8416666666667,2.45,-0.00239393534027249,0.09</t>
  </si>
  <si>
    <t>2025-05-04 23:31:00,13607458.5406701,-125647.324275813,0,0,0,0,0,0</t>
  </si>
  <si>
    <t>2025-05-04 23:32:00,575,,,560,575,,567,,,,,570,560</t>
  </si>
  <si>
    <t>2025-05-04 23:32:00,490,,,485,490,,490,,,,,500,480</t>
  </si>
  <si>
    <t>2025-05-04 23:32:00,5700,,5700,,5600,,5662.5,,,,,5750,5540</t>
  </si>
  <si>
    <t>2025-05-04 23:32:00,20000,,,19900,20000,,20110,,,,,20000,19700</t>
  </si>
  <si>
    <t>2025-05-04 23:32:00,586990575.599486,-6632736425.11377,0,0,0,0,0,0</t>
  </si>
  <si>
    <t>2025-05-04 23:32:00,1007017802.3787,-2865553137.112,0,0,0,0,0,0</t>
  </si>
  <si>
    <t>2025-05-04 23:32:00,247110854.923556,633197.858670429,2442.29166666667,94,70955.3700833333,1546.37,0.0272709561506955,33.11</t>
  </si>
  <si>
    <t>2025-05-04 23:32:00,13606534.9612245,-125371.909376008,0,0,0,0,0,0</t>
  </si>
  <si>
    <t>2025-05-04 23:33:00,575,,,560,575,,567,,,,,570,560</t>
  </si>
  <si>
    <t>2025-05-04 23:33:00,490,,,485,490,,490,,,,,500,480</t>
  </si>
  <si>
    <t>2025-05-04 23:33:00,5700,,5700,,5600,,5662.5,,,,,5750,5540</t>
  </si>
  <si>
    <t>2025-05-04 23:33:00,20000,,,19900,20000,,20110,,,,,20000,19700</t>
  </si>
  <si>
    <t>2025-05-04 23:33:00,593197487.407854,-6581604872.20503,0,0,0,0,0,0</t>
  </si>
  <si>
    <t>2025-05-04 23:33:00,1001950589.32552,-2901625672.87664,0,0,0,0,0,0</t>
  </si>
  <si>
    <t>2025-05-04 23:33:00,247647259.792053,606975.329725539,5.13333333333334,1,15.1946666666667,2.96,-0.00256090071648713,0.1</t>
  </si>
  <si>
    <t>2025-05-04 23:33:00,13610109.6452989,-125579.200005267,0,0,0,0,0,0</t>
  </si>
  <si>
    <t>2025-05-04 23:34:00,575,,,560,575,,567,,,,,570,560</t>
  </si>
  <si>
    <t>2025-05-04 23:34:00,490,,,485,490,,490,,,,,500,480</t>
  </si>
  <si>
    <t>2025-05-04 23:34:00,5700,,5700,,5600,,5662.5,,,,,5750,5540</t>
  </si>
  <si>
    <t>2025-05-04 23:34:00,20000,,,19900,20000,,20110,,,,,20000,19700</t>
  </si>
  <si>
    <t>2025-05-04 23:34:00,578195371.86668,-6712955969.40377,0,0,0,0,0,0</t>
  </si>
  <si>
    <t>2025-05-04 23:34:00,995174390.724477,-2950717873.79667,0,0,0,0,0,0</t>
  </si>
  <si>
    <t>2025-05-04 23:34:00,248784616.427654,562824.369342047,55.24,2,580.1344,20.81,-0.00172156658561043,0.46</t>
  </si>
  <si>
    <t>2025-05-04 23:34:00,13610599.8956179,-125713.820097212,0,0,0,0,0,0</t>
  </si>
  <si>
    <t>2025-05-04 23:35:00,575,,,560,575,,567,,,,,570,560</t>
  </si>
  <si>
    <t>2025-05-04 23:35:00,490,,,485,490,,490,,,,,500,480</t>
  </si>
  <si>
    <t>2025-05-04 23:35:00,5700,,5700,,5600,,5637.5,,,,,5750,5540</t>
  </si>
  <si>
    <t>2025-05-04 23:35:00,20000,,,19900,20000,,20110,,,,,20000,19700</t>
  </si>
  <si>
    <t>2025-05-04 23:35:00,608828156.431156,-6456415644.18821,0,0,0,0,0,0</t>
  </si>
  <si>
    <t>2025-05-04 23:35:00,1024341239.96124,-2783914232.9503,0,0,0,0,0,0</t>
  </si>
  <si>
    <t>2025-05-04 23:35:00,246285299.350289,651878.944490954,282.736274509804,13,3783.51796078432,165.52,-0.00514353255588191,2.65</t>
  </si>
  <si>
    <t>2025-05-04 23:35:00,13602255.5213724,-125236.669019228,0,0,0,0,0,0</t>
  </si>
  <si>
    <t>2025-05-04 23:36:00,575,,,560,575,,567,,,,,570,560</t>
  </si>
  <si>
    <t>2025-05-04 23:36:00,490,,,485,490,,490,,,,,500,480</t>
  </si>
  <si>
    <t>2025-05-04 23:36:00,5700,,5700,,5600,,5662.5,,,,,5750,5540</t>
  </si>
  <si>
    <t>2025-05-04 23:36:00,20000,,,19900,20000,,20110,,,,,20000,19700</t>
  </si>
  <si>
    <t>2025-05-04 23:36:00,578089982.74208,-6716194304.94611,0,0,0,0,0,0</t>
  </si>
  <si>
    <t>2025-05-04 23:36:00,996847443.950551,-2939674264.76477,0,0,0,0,0,0</t>
  </si>
  <si>
    <t>2025-05-04 23:36:00,248785582.604308,557492.386349963,180.216666666666,10,2103.55733333333,102.82,-0.0299954488735311,2.95</t>
  </si>
  <si>
    <t>2025-05-04 23:36:00,13609729.1525816,-125682.801297479,0,0,0,0,0,0</t>
  </si>
  <si>
    <t>2025-05-04 23:37:00,575,,,560,575,,567,,,,,570,560</t>
  </si>
  <si>
    <t>2025-05-04 23:37:00,490,,,485,490,,490,,,,,500,480</t>
  </si>
  <si>
    <t>2025-05-04 23:37:00,5700,,5700,,5600,,5662.5,,,,,5750,5540</t>
  </si>
  <si>
    <t>2025-05-04 23:37:00,20000,,,19900,20000,,20110,,,,,20000,19700</t>
  </si>
  <si>
    <t>2025-05-04 23:37:00,565435901.259922,-6774045599.62025,0,0,0,0,0,0</t>
  </si>
  <si>
    <t>2025-05-04 23:37:00,990148778.335289,-2988566049.23384,0,0,0,0,0,0</t>
  </si>
  <si>
    <t>2025-05-04 23:37:00,250064278.330292,521613.368375005,182.41,5,3420.7513,76.78,0.00724743987056952,1.56</t>
  </si>
  <si>
    <t>2025-05-04 23:37:00,13618993.0028029,-125993.246141632,0,0,0,0,0,0</t>
  </si>
  <si>
    <t>2025-05-04 23:38:00,575,,,560,575,,567,,,,,570,560</t>
  </si>
  <si>
    <t>2025-05-04 23:38:00,490,,,485,490,,490,,,,,500,480</t>
  </si>
  <si>
    <t>2025-05-04 23:38:00,5700,,5700,,5600,,5662.5,,,,,5750,5540</t>
  </si>
  <si>
    <t>2025-05-04 23:38:00,20000,,,19900,20000,,20110,,,,,20000,19700</t>
  </si>
  <si>
    <t>2025-05-04 23:38:00,584034390.436044,-6666305465.63164,0,0,0,0,0,0</t>
  </si>
  <si>
    <t>2025-05-04 23:38:00,1007078999.18915,-2868170758.46637,0,0,0,0,0,0</t>
  </si>
  <si>
    <t>2025-05-04 23:38:00,248431165.354858,574891.734080662,316.575000000001,6,10774.35525,186.42,0.0232171200819513,3.83</t>
  </si>
  <si>
    <t>2025-05-04 23:38:00,13605002.3922736,-125512.13986692,0,0,0,0,0,0</t>
  </si>
  <si>
    <t>2025-05-04 23:39:00,575,,,560,575,,567,,,,,570,560</t>
  </si>
  <si>
    <t>2025-05-04 23:39:00,490,,,485,490,,490,,,,,500,480</t>
  </si>
  <si>
    <t>2025-05-04 23:39:00,5700,,5700,,5600,,5662.5,,,,,5750,5540</t>
  </si>
  <si>
    <t>2025-05-04 23:39:00,20000,,,19900,20000,,20110,,,,,20000,19700</t>
  </si>
  <si>
    <t>2025-05-04 23:39:00,583974087.208886,-6668972899.38532,0,0,0,0,0,0</t>
  </si>
  <si>
    <t>2025-05-04 23:39:00,1002042087.58253,-2904241586.1495,0,0,0,0,0,0</t>
  </si>
  <si>
    <t>2025-05-04 23:39:00,248536185.630855,590939.181562668,0,0,0,0,0,0</t>
  </si>
  <si>
    <t>2025-05-04 23:39:00,13600494.8206477,-125375.158491819,0,0,0,0,0,0</t>
  </si>
  <si>
    <t>2025-05-04 23:40:00,575,,,564,575,,567,,,,,570,560</t>
  </si>
  <si>
    <t>2025-05-04 23:40:00,490,,,485,490,,490,,,,,500,480</t>
  </si>
  <si>
    <t>2025-05-04 23:40:00,5700,,5700,,5600,,5662.5,,,,,5750,5540</t>
  </si>
  <si>
    <t>2025-05-04 23:40:00,20000,,,19900,20000,,20110,,,,,20000,19700</t>
  </si>
  <si>
    <t>2025-05-04 23:40:00,562034744.196176,-6805933179.01218,0,0,0,0,0,0</t>
  </si>
  <si>
    <t>2025-05-04 23:40:00,993468689.389158,-2965300712.49457,0,0,0,0,0,0</t>
  </si>
  <si>
    <t>2025-05-04 23:40:00,249549431.764991,548261.605730732,46.175,2,471.94925,13.56,-0.00109084886362197,0.24</t>
  </si>
  <si>
    <t>2025-05-04 23:40:00,13613287.3835859,-125798.794509398,0,0,0,0,0,0</t>
  </si>
  <si>
    <t>2025-05-04 23:41:00,575,,,564,575,,567,,,,,570,560</t>
  </si>
  <si>
    <t>2025-05-04 23:41:00,490,,,485,490,,490,,,,,500,480</t>
  </si>
  <si>
    <t>2025-05-04 23:41:00,5700,,5700,,5600,,5662.5,,,,,5750,5540</t>
  </si>
  <si>
    <t>2025-05-04 23:41:00,20000,,,19900,20000,,20110,,,,,20000,19700</t>
  </si>
  <si>
    <t>2025-05-04 23:41:00,551911962.561389,-6891372127.77341,0,0,0,0,0,0</t>
  </si>
  <si>
    <t>2025-05-04 23:41:00,990127672.171288,-2990545997.97826,0,0,0,0,0,0</t>
  </si>
  <si>
    <t>2025-05-04 23:41:00,250712668.457774,523235.325233383,2.83333333333334,1,6.09166666666667,2.15,-0.00224396034888649,0.07</t>
  </si>
  <si>
    <t>2025-05-04 23:41:00,13614105.6992155,-125975.969819768,0,0,0,0,0,0</t>
  </si>
  <si>
    <t>2025-05-04 23:42:00,575,,,560,575,,567,,,,,570,560</t>
  </si>
  <si>
    <t>2025-05-04 23:42:00,490,,,485,490,,490,,,,,500,480</t>
  </si>
  <si>
    <t>2025-05-04 23:42:00,5700,,5700,,5600,,5662.5,,,,,5750,5540</t>
  </si>
  <si>
    <t>2025-05-04 23:42:00,20000,,,19900,20000,,20110,,,,,20000,19700</t>
  </si>
  <si>
    <t>2025-05-04 23:42:00,562036256.789261,-6809002887.4644,0,0,0,0,0,0</t>
  </si>
  <si>
    <t>2025-05-04 23:42:00,991773183.758241,-2978454276.72093,0,0,0,0,0,0</t>
  </si>
  <si>
    <t>2025-05-04 23:42:00,250121654.885241,517203.475247458,6.48333333333334,2,13.2821666666667,4.12,-0.00441456352287074,0.13</t>
  </si>
  <si>
    <t>2025-05-04 23:42:00,13608263.0681799,-125887.658531822,0,0,0,0,0,0</t>
  </si>
  <si>
    <t>2025-05-04 23:43:00,575,,,564,575,,567,,,,,570,560</t>
  </si>
  <si>
    <t>2025-05-04 23:43:00,490,,,485,490,,490,,,,,500,480</t>
  </si>
  <si>
    <t>2025-05-04 23:43:00,5700,,5700,,5600,,5662.5,,,,,5750,5540</t>
  </si>
  <si>
    <t>2025-05-04 23:43:00,20000,,,19900,20000,,20110,,,,,20000,19700</t>
  </si>
  <si>
    <t>2025-05-04 23:43:00,558697097.464636,-6836870759.67973,0,0,0,0,0,0</t>
  </si>
  <si>
    <t>2025-05-04 23:43:00,993661233.217463,-2966497816.73553,0,0,0,0,0,0</t>
  </si>
  <si>
    <t>2025-05-04 23:43:00,249983602.553169,530957.016526615,31.225,2,395.95475,17.11,-0.000690730154959808,0.31</t>
  </si>
  <si>
    <t>2025-05-04 23:43:00,13610517.0943194,-125835.609286936,0,0,0,0,0,0</t>
  </si>
  <si>
    <t>2025-05-04 23:44:00,575,,,560,575,,567,,,,,570,560</t>
  </si>
  <si>
    <t>2025-05-04 23:44:00,490,,,485,490,,490,,,,,500,480</t>
  </si>
  <si>
    <t>2025-05-04 23:44:00,5700,,5700,,5600,,5662.5,,,,,5750,5540</t>
  </si>
  <si>
    <t>2025-05-04 23:44:00,20000,,,19900,20000,,20110,,,,,20000,19700</t>
  </si>
  <si>
    <t>2025-05-04 23:44:00,575282878.600779,-6755902187.30471,0,0,0,0,0,0</t>
  </si>
  <si>
    <t>2025-05-04 23:44:00,995317815.740861,-2954719610.60879,0,0,0,0,0,0</t>
  </si>
  <si>
    <t>2025-05-04 23:44:00,249722008.277594,546768.418628099,70.94,3,634.3982,20.78,-0.00420036102619117,0.48</t>
  </si>
  <si>
    <t>2025-05-04 23:44:00,13607681.1880989,-125746.698073559,0,0,0,0,0,0</t>
  </si>
  <si>
    <t>2025-05-04 23:45:00,575,,,560,575,,567,,,,,570,560</t>
  </si>
  <si>
    <t>2025-05-04 23:45:00,490,,,485,490,,490,,,,,500,480</t>
  </si>
  <si>
    <t>2025-05-04 23:45:00,5700,,5700,,5600,,5662.5,,,,,5750,5540</t>
  </si>
  <si>
    <t>2025-05-04 23:45:00,20000,,,19900,20000,,20110,,,,,20000,19700</t>
  </si>
  <si>
    <t>2025-05-04 23:45:00,565513362.429309,-6784763635.34553,0,0,0,0,0,0</t>
  </si>
  <si>
    <t>2025-05-04 23:45:00,996943183.384515,-2942765500.78327,0,0,0,0,0,0</t>
  </si>
  <si>
    <t>2025-05-04 23:45:00,249570926.748759,543793.485237231,48.2666666666666,2,321.069333333333,12.52,-0.00221654581558456,0.27</t>
  </si>
  <si>
    <t>2025-05-04 23:45:00,13610183.0210017,-125749.011564852,0,0,0,0,0,0</t>
  </si>
  <si>
    <t>2025-05-04 23:46:00,575,,,564,575,,567,,,,,570,560</t>
  </si>
  <si>
    <t>2025-05-04 23:46:00,490,,,485,490,,490,,,,,500,480</t>
  </si>
  <si>
    <t>2025-05-04 23:46:00,5600,,5700,,5600,,5662.5,,,,,5750,5540</t>
  </si>
  <si>
    <t>2025-05-04 23:46:00,20000,,,19900,20000,,20110,,,,,20000,19700</t>
  </si>
  <si>
    <t>2025-05-04 23:46:00,558718332.984966,-6841159010.79484,0,0,0,0,0,0</t>
  </si>
  <si>
    <t>2025-05-04 23:46:00,998666277.10603,-2930941658.71584,0,0,0,0,0,0</t>
  </si>
  <si>
    <t>2025-05-04 23:46:00,251232647.813566,501285.27558242,335.903333333333,13,2324.6339,67.15,-0.00195547691335243,1.05</t>
  </si>
  <si>
    <t>2025-05-04 23:46:00,13606494.5859939,-125761.569159471,0,0,0,0,0,0</t>
  </si>
  <si>
    <t>2025-05-04 23:47:00,575,,,564,575,,567,,,,,570,560</t>
  </si>
  <si>
    <t>2025-05-04 23:47:00,490,,,485,490,,490,,,,,500,480</t>
  </si>
  <si>
    <t>2025-05-04 23:47:00,5600,,5700,,5600,,5662.5,,,,,5750,5540</t>
  </si>
  <si>
    <t>2025-05-04 23:47:00,20000,,,19900,20000,,20110,,,,,20000,19700</t>
  </si>
  <si>
    <t>2025-05-04 23:47:00,536855705.964713,-7033752550.14966,0,0,0,0,0,0</t>
  </si>
  <si>
    <t>2025-05-04 23:47:00,991927909.854824,-2979957063.94903,0,0,0,0,0,0</t>
  </si>
  <si>
    <t>2025-05-04 23:47:00,252032631.304158,439627.200356838,102.946666666667,4,989.4144,39.23,-0.0085237867130585,1.07</t>
  </si>
  <si>
    <t>2025-05-04 23:47:00,13606495.9815069,-125840.301450097,0,0,0,0,0,0</t>
  </si>
  <si>
    <t>2025-05-04 23:48:00,575,,,564,575,,567,,,,,570,560</t>
  </si>
  <si>
    <t>2025-05-04 23:48:00,490,,,485,490,,490,,,,,500,480</t>
  </si>
  <si>
    <t>2025-05-04 23:48:00,5600,,5700,,5600,,5662.5,,,,,5750,5540</t>
  </si>
  <si>
    <t>2025-05-04 23:48:00,20000,,,19900,20000,,20110,,,,,20000,19700</t>
  </si>
  <si>
    <t>2025-05-04 23:48:00,508772618.540017,-7278163723.54152,0,0,0,0,0,0</t>
  </si>
  <si>
    <t>2025-05-04 23:48:00,974839901.437076,-3107702694.4162,0,0,0,0,0,0</t>
  </si>
  <si>
    <t>2025-05-04 23:48:00,254567861.208733,347812.41943634,805.610000000001,11,17895.0689,242.84,0.0223365945056734,4.48</t>
  </si>
  <si>
    <t>2025-05-04 23:48:00,13615356.8571985,-126249.439022077,0,0,0,0,0,0</t>
  </si>
  <si>
    <t>2025-05-04 23:49:00,575,,,564,575,,567,,,,,570,560</t>
  </si>
  <si>
    <t>2025-05-04 23:49:00,490,,,485,490,,490,,,,,500,480</t>
  </si>
  <si>
    <t>2025-05-04 23:49:00,5600,,5700,,5600,,5662.5,,,,,5750,5540</t>
  </si>
  <si>
    <t>2025-05-04 23:49:00,20000,,,19900,20000,,20110,,,,,20000,19700</t>
  </si>
  <si>
    <t>2025-05-04 23:49:00,536851101.852333,-7035799840.03668,0,0,0,0,0,0</t>
  </si>
  <si>
    <t>2025-05-04 23:49:00,997068050.325334,-2943918877.42592,0,0,0,0,0,0</t>
  </si>
  <si>
    <t>2025-05-04 23:49:00,251657843.42124,425798.329925112,60.3666666666668,2,467.479333333335,17.18,-0.00250499458942098,0.4</t>
  </si>
  <si>
    <t>2025-05-04 23:49:00,13604130.971364,-125752.641485291,0,0,0,0,0,0</t>
  </si>
  <si>
    <t>2025-05-04 23:50:00,575,,,564,575,,567,,,,,570,560</t>
  </si>
  <si>
    <t>2025-05-04 23:50:00,490,,,485,490,,490,,,,,500,480</t>
  </si>
  <si>
    <t>2025-05-04 23:50:00,5600,,5700,,5600,,5662.5,,,,,5750,5540</t>
  </si>
  <si>
    <t>2025-05-04 23:50:00,20000,,,19900,20000,,20110,,,,,20000,19700</t>
  </si>
  <si>
    <t>2025-05-04 23:50:00,529825331.778611,-7097596817.52784,0,0,0,0,0,0</t>
  </si>
  <si>
    <t>2025-05-04 23:50:00,990185981.808322,-2993857350.09769,0,0,0,0,0,0</t>
  </si>
  <si>
    <t>2025-05-04 23:50:00,252188157.212901,405340.743937227,83.97,3,1962.6534,38.49,0.00323980495423495,1.09</t>
  </si>
  <si>
    <t>2025-05-04 23:50:00,13603423.9704519,-125861.03095958,0,0,0,0,0,0</t>
  </si>
  <si>
    <t>2025-05-04 23:51:00,575,,,564,575,,567,,,,,570,560</t>
  </si>
  <si>
    <t>2025-05-04 23:51:00,490,,,485,490,,490,,,,,500,480</t>
  </si>
  <si>
    <t>2025-05-04 23:51:00,5600,,5700,,5600,,5662.5,,,,,5750,5540</t>
  </si>
  <si>
    <t>2025-05-04 23:51:00,20000,,,19900,20000,,20110,,,,,20000,19700</t>
  </si>
  <si>
    <t>2025-05-04 23:51:00,512353307.598215,-7249625893.49879,0,0,0,0,0,0</t>
  </si>
  <si>
    <t>2025-05-04 23:51:00,983391318.537641,-3044650523.03566,0,0,0,0,0,0</t>
  </si>
  <si>
    <t>2025-05-04 23:51:00,253992443.743618,373505.944562248,153.74,3,3056.2438,61.92,0.00836635713309883,1.42</t>
  </si>
  <si>
    <t>2025-05-04 23:51:00,13610208.0726507,-126085.168301822,0,0,0,0,0,0</t>
  </si>
  <si>
    <t>2025-05-04 23:52:00,575,,,564,575,,567,,,,,570,560</t>
  </si>
  <si>
    <t>2025-05-04 23:52:00,490,,,485,490,,490,,,,,500,480</t>
  </si>
  <si>
    <t>2025-05-04 23:52:00,5600,,5700,,5600,,5662.5,,,,,5750,5540</t>
  </si>
  <si>
    <t>2025-05-04 23:52:00,20000,,,19900,20000,,20110,,,,,20000,19700</t>
  </si>
  <si>
    <t>2025-05-04 23:52:00,480236445.422657,-7539521957.54414,0,0,0,0,0,0</t>
  </si>
  <si>
    <t>2025-05-04 23:52:00,966365849.693302,-3171816331.09603,0,0,0,0,0,0</t>
  </si>
  <si>
    <t>2025-05-04 23:52:00,257040038.491665,298086.482399111,342.993333333334,9,7081.51233333333,128.9,0.00554925801103466,2.11</t>
  </si>
  <si>
    <t>2025-05-04 23:52:00,13613990.2854007,-126477.163735901,0,0,0,0,0,0</t>
  </si>
  <si>
    <t>2025-05-04 23:53:00,575,,,564,575,,567,,,,,570,560</t>
  </si>
  <si>
    <t>2025-05-04 23:53:00,490,,,485,490,,490,,,,,500,480</t>
  </si>
  <si>
    <t>2025-05-04 23:53:00,5600,,5700,,5600,,5662.5,,,,,5750,5540</t>
  </si>
  <si>
    <t>2025-05-04 23:53:00,20000,,,19900,20000,,20110,,,,,20000,19700</t>
  </si>
  <si>
    <t>2025-05-04 23:53:00,494433261.982517,-7411633970.04946,0,0,0,0,0,0</t>
  </si>
  <si>
    <t>2025-05-04 23:53:00,974933705.160434,-3109566899.48576,0,0,0,0,0,0</t>
  </si>
  <si>
    <t>2025-05-04 23:53:00,255228721.233084,351635.706874515,0,0,0,0,0,0</t>
  </si>
  <si>
    <t>2025-05-04 23:53:00,13613626.6993065,-126240.897494482,0,0,0,0,0,0</t>
  </si>
  <si>
    <t>2025-05-04 23:54:00,575,,,564,575,,567,,,,,570,560</t>
  </si>
  <si>
    <t>2025-05-04 23:54:00,490,,,485,490,,490,,,,,500,480</t>
  </si>
  <si>
    <t>2025-05-04 23:54:00,5600,,5700,,5600,,5662.5,,,,,5750,5540</t>
  </si>
  <si>
    <t>2025-05-04 23:54:00,20000,,,19900,20000,,20110,,,,,20000,19700</t>
  </si>
  <si>
    <t>2025-05-04 23:54:00,465880493.428804,-7673047255.32201,0,0,0,0,0,0</t>
  </si>
  <si>
    <t>2025-05-04 23:54:00,961333705.965827,-3209057963.30191,0,0,0,0,0,0</t>
  </si>
  <si>
    <t>2025-05-04 23:54:00,258825189.589437,266085.6409088,61.8333333333334,2,593.691666666667,17.05,0.00177586826592265,0.24</t>
  </si>
  <si>
    <t>2025-05-04 23:54:00,13613776.1851164,-126553.249629747,0,0,0,0,0,0</t>
  </si>
  <si>
    <t>2025-05-04 23:55:00,575,,,564,575,,567,,,,,570,560</t>
  </si>
  <si>
    <t>2025-05-04 23:55:00,490,,,485,490,,490,,,,,500,480</t>
  </si>
  <si>
    <t>2025-05-04 23:55:00,5700,,5700,,5600,,5662.5,,,,,5750,5540</t>
  </si>
  <si>
    <t>2025-05-04 23:55:00,20000,,,19900,20000,,20110,,,,,20000,19700</t>
  </si>
  <si>
    <t>2025-05-04 23:55:00,434160262.103773,-7948713156.0065,0,0,0,0,0,0</t>
  </si>
  <si>
    <t>2025-05-04 23:55:00,946947297.374968,-2873919720.14373,0,0,0,0,0,0</t>
  </si>
  <si>
    <t>2025-05-04 23:55:00,243098779.979689,202156.402242614,1082.48333333333,22,17537.9718333333,297.1,-0.00595959112556996,5.87</t>
  </si>
  <si>
    <t>2025-05-04 23:55:00,13620355.4261288,-126994.441830843,0,0,0,0,0,0</t>
  </si>
  <si>
    <t>2025-05-04 23:56:00,575,,,564,575,,567,,,,,570,560</t>
  </si>
  <si>
    <t>2025-05-04 23:56:00,490,,,485,490,,490,,,,,500,480</t>
  </si>
  <si>
    <t>2025-05-04 23:56:00,5700,,5700,,5600,,5667.5,,,,,5750,5540</t>
  </si>
  <si>
    <t>2025-05-04 23:56:00,20000,,,19900,20000,,20110,,,,,20000,19700</t>
  </si>
  <si>
    <t>2025-05-04 23:56:00,431000486.164431,-7970007294.97057,0,0,0,0,0,0</t>
  </si>
  <si>
    <t>2025-05-04 23:56:00,948647083.085989,-2864736491.73123,0,0,0,0,0,0</t>
  </si>
  <si>
    <t>2025-05-04 23:56:00,242926428.248861,392584.86446816,12.5,1,56.25,4.5,-0.00292511947818684,0.17</t>
  </si>
  <si>
    <t>2025-05-04 23:56:00,13620487.0338198,-126932.372041239,0,0,0,0,0,0</t>
  </si>
  <si>
    <t>2025-05-04 23:57:00,575,,,564,575,,567,,,,,570,560</t>
  </si>
  <si>
    <t>2025-05-04 23:57:00,490,,,485,490,,490,,,,,500,480</t>
  </si>
  <si>
    <t>2025-05-04 23:57:00,5600,,5700,,5600,,5667.5,,,,,5750,5540</t>
  </si>
  <si>
    <t>2025-05-04 23:57:00,20000,,,19900,20000,,20110,,,,,20000,19700</t>
  </si>
  <si>
    <t>2025-05-04 23:57:00,465760615.216112,-7677112841.74147,0,0,0,0,0,0</t>
  </si>
  <si>
    <t>2025-05-04 23:57:00,964657136.996263,-3186178402.0767,0,0,0,0,0,0</t>
  </si>
  <si>
    <t>2025-05-04 23:57:00,258962511.792615,487283.978638216,124.3,5,2435.056,52.92,-0.00499970387706999,1.2</t>
  </si>
  <si>
    <t>2025-05-04 23:57:00,13612672.0323429,-126467.748553941,0,0,0,0,0,0</t>
  </si>
  <si>
    <t>2025-05-04 23:58:00,575,,,564,575,,567,,,,,570,560</t>
  </si>
  <si>
    <t>2025-05-04 23:58:00,490,,,485,490,,490,,,,,500,480</t>
  </si>
  <si>
    <t>2025-05-04 23:58:00,5600,,5700,,5600,,5667.5,,,,,5750,5540</t>
  </si>
  <si>
    <t>2025-05-04 23:58:00,20000,,,19900,20000,,20110,,,,,20000,19700</t>
  </si>
  <si>
    <t>2025-05-04 23:58:00,480103788.609834,-7547258477.28087,0,0,0,0,0,0</t>
  </si>
  <si>
    <t>2025-05-04 23:58:00,964686387.530628,-3186206327.83194,0,0,0,0,0,0</t>
  </si>
  <si>
    <t>2025-05-04 23:58:00,258314132.498259,498479.965172616,34.2,3,112.17,9.9,-0.00756202846082766,0.34</t>
  </si>
  <si>
    <t>2025-05-04 23:58:00,13617339.0788001,-126496.527510121,0,0,0,0,0,0</t>
  </si>
  <si>
    <t>2025-05-04 23:59:00,575,,,564,575,,567,,,,,570,560</t>
  </si>
  <si>
    <t>2025-05-04 23:59:00,490,,,485,490,,490,,,,,500,480</t>
  </si>
  <si>
    <t>2025-05-04 23:59:00,5600,,5700,,5600,,5667.5,,,,,5750,5540</t>
  </si>
  <si>
    <t>2025-05-04 23:59:00,20000,,,19900,20000,,20110,,,,,20000,19700</t>
  </si>
  <si>
    <t>2025-05-04 23:59:00,483709042.903953,-7515448859.88158,0,0,0,0,0,0</t>
  </si>
  <si>
    <t>2025-05-04 23:59:00,971595347.728657,-3136761327.21843,0,0,0,0,0,0</t>
  </si>
  <si>
    <t>2025-05-04 23:59:00,257429592.146996,506190.42012863,35.1333333333333,6,113.924666666667,18.91,-0.0157311671344241,0.65</t>
  </si>
  <si>
    <t>2025-05-04 23:59:00,13609152.8805235,-126237.112365994,0,0,0,0,0,0</t>
  </si>
  <si>
    <t>2025-05-05 00:00:00,575,,,564,575,,567,,,,,570,560</t>
  </si>
  <si>
    <t>2025-05-05 00:00:00,490,,,485,490,,490,,,,,500,480</t>
  </si>
  <si>
    <t>2025-05-05 00:00:00,5600,,5700,,5600,,5667.5,,,,,5750,5540</t>
  </si>
  <si>
    <t>2025-05-05 00:00:00,20000,,,19900,20000,,20110,,,,,20000,19700</t>
  </si>
  <si>
    <t>2025-05-05 00:00:00,494428777.398155,-7420587143.67449,0,0,0,0,0,0</t>
  </si>
  <si>
    <t>2025-05-05 00:00:00,976722916.41688,-3099327154.67894,0,0,0,0,0,0</t>
  </si>
  <si>
    <t>2025-05-05 00:00:00,255823030.364596,528671.765829311,375.666666666667,10,4569.58,76.6,-0.0049756122831446,1.25</t>
  </si>
  <si>
    <t>2025-05-05 00:00:00,13605324.6102323,-126187.388215391,0,0,0,0,0,0</t>
  </si>
  <si>
    <t>2025-05-05 00:01:00,575,,,560,575,,567,,,,,570,560</t>
  </si>
  <si>
    <t>2025-05-05 00:01:00,490,,,485,490,,490,,,,,500,480</t>
  </si>
  <si>
    <t>2025-05-05 00:01:00,5700,,5700,,5600,,5667.5,,,,,5750,5540</t>
  </si>
  <si>
    <t>2025-05-05 00:01:00,20000,,,19900,20000,,20110,,,,,20000,19700</t>
  </si>
  <si>
    <t>2025-05-05 00:01:00,583968339.781931,-6699714168.54653,0,0,0,0,0,0</t>
  </si>
  <si>
    <t>2025-05-05 00:01:00,1026110925.80081,-2782575826.49291,0,0,0,0,0,0</t>
  </si>
  <si>
    <t>2025-05-05 00:01:00,248250672.129669,769687.691516076,547.966666666666,27,7092.22199999999,147.93,-0.0328689594351872,3.58</t>
  </si>
  <si>
    <t>2025-05-05 00:01:00,13591192.4712031,-125285.142768958,0,0,0,0,0,0</t>
  </si>
  <si>
    <t>2025-05-05 00:02:00,575,,,560,575,,567,,,,,570,560</t>
  </si>
  <si>
    <t>2025-05-05 00:02:00,490,,,485,490,,490,,,,,500,480</t>
  </si>
  <si>
    <t>2025-05-05 00:02:00,5700,,5700,,5600,,5642.5,,,,,5750,5540</t>
  </si>
  <si>
    <t>2025-05-05 00:02:00,20000,,,19900,20000,,20110,,,,,20000,19700</t>
  </si>
  <si>
    <t>2025-05-05 00:02:00,608626158.218248,-6495072434.82208,0,0,0,0,0,0</t>
  </si>
  <si>
    <t>2025-05-05 00:02:00,1035129839.08327,-2718012664.22257,0,0,0,0,0,0</t>
  </si>
  <si>
    <t>2025-05-05 00:02:00,247966739.074756,953449.81183303,4864.98676470588,222,182748.82792647,8933.72,0.485777926484486,107.8</t>
  </si>
  <si>
    <t>2025-05-05 00:02:00,13581060.8739755,-124855.706834349,0,0,0,0,0,0</t>
  </si>
  <si>
    <t>2025-05-05 00:03:00,575,,,560,575,,567,,,,,570,560</t>
  </si>
  <si>
    <t>2025-05-05 00:03:00,490,,,485,490,,489.5,,,,,500,480</t>
  </si>
  <si>
    <t>2025-05-05 00:03:00,5700,,5700,,5600,,5662.5,,,,,5750,5540</t>
  </si>
  <si>
    <t>2025-05-05 00:03:00,20000,,,19900,20000,,20110,,,,,20000,19700</t>
  </si>
  <si>
    <t>2025-05-05 00:03:00,586881694.675789,-6675996136.08482,0,0,0,0,0,0</t>
  </si>
  <si>
    <t>2025-05-05 00:03:00,1041303485.73244,-2676181138.6744,0,0,0,0,0,0</t>
  </si>
  <si>
    <t>2025-05-05 00:03:00,244147631.487651,963717.658738034,1332.8,21,14220.746,214.08,0.0113893556037087,3.74</t>
  </si>
  <si>
    <t>2025-05-05 00:03:00,13572036.0065275,-124526.523072346,0,0,0,0,0,0</t>
  </si>
  <si>
    <t>2025-05-05 00:04:00,575,,,560,575,,567,,,,,570,560</t>
  </si>
  <si>
    <t>2025-05-05 00:04:00,490,,,485,490,,489.5,,,,,500,480</t>
  </si>
  <si>
    <t>2025-05-05 00:04:00,5700,,5700,,5600,,5642.5,,,,,5750,5540</t>
  </si>
  <si>
    <t>2025-05-05 00:04:00,20000,,,19900,20000,,20110,,,,,20000,19700</t>
  </si>
  <si>
    <t>2025-05-05 00:04:00,646503189.494066,-6207651947.70984,0,0,0,0,0,0</t>
  </si>
  <si>
    <t>2025-05-05 00:04:00,1057014649.91307,-2858133622.26353,0,0,0,0,0,0</t>
  </si>
  <si>
    <t>2025-05-05 00:04:00,247275328.120542,1031222.35659297,1189.33333333334,30,8099.47000000001,195.63,0.00861849642140926,3.22</t>
  </si>
  <si>
    <t>2025-05-05 00:04:00,13562694.0814583,-124135.469835802,0,0,0,0,0,0</t>
  </si>
  <si>
    <t>2025-05-05 00:05:00,575,,,565,575,,567,,,,,570,560</t>
  </si>
  <si>
    <t>2025-05-05 00:05:00,490,,,485,490,,489.5,,,,,500,480</t>
  </si>
  <si>
    <t>2025-05-05 00:05:00,5700,,5700,,5600,,5642.5,,,,,5750,5540</t>
  </si>
  <si>
    <t>2025-05-05 00:05:00,20000,,,19900,20000,,20110,,,,,20000,19700</t>
  </si>
  <si>
    <t>2025-05-05 00:05:00,656268939.723691,-7807425753.24537,0,0,0,0,0,0</t>
  </si>
  <si>
    <t>2025-05-05 00:05:00,1059867065.97995,-2895981520.33422,0,0,0,0,0,0</t>
  </si>
  <si>
    <t>2025-05-05 00:05:00,246778604.013753,1048957.26307623,171.15,5,4383.98616666665,77.18,0.00433181723092321,1.48</t>
  </si>
  <si>
    <t>2025-05-05 00:05:00,13561891.8968275,-124145.88820081,0,0,0,0,0,0</t>
  </si>
  <si>
    <t>2025-05-05 00:06:00,575,,,560,575,,567,,,,,570,560</t>
  </si>
  <si>
    <t>2025-05-05 00:06:00,490,,,485,490,,490,,,,,500,480</t>
  </si>
  <si>
    <t>2025-05-05 00:06:00,5700,,5700,,5600,,5642.5,,,,,5750,5540</t>
  </si>
  <si>
    <t>2025-05-05 00:06:00,20000,,,19900,20000,,20110,,,,,20000,19700</t>
  </si>
  <si>
    <t>2025-05-05 00:06:00,608716628.253535,-6501061108.09514,0,0,0,0,0,0</t>
  </si>
  <si>
    <t>2025-05-05 00:06:00,1030585110.99602,-2752012126.75165,0,0,0,0,0,0</t>
  </si>
  <si>
    <t>2025-05-05 00:06:00,247347962.686567,971335.04578716,1308.94666666666,25,26607.3425999999,433.91,0.0476696239295122,8.87</t>
  </si>
  <si>
    <t>2025-05-05 00:06:00,13591013.8981556,-125136.735675326,0,0,0,0,0,0</t>
  </si>
  <si>
    <t>2025-05-05 00:07:00,575,,,565,575,,567,,,,,570,560</t>
  </si>
  <si>
    <t>2025-05-05 00:07:00,490,,,485,490,,489.5,,,,,500,480</t>
  </si>
  <si>
    <t>2025-05-05 00:07:00,5700,,5700,,5600,,5642.5,,,,,5750,5540</t>
  </si>
  <si>
    <t>2025-05-05 00:07:00,20000,,,19900,20000,,20110,,,,,20000,19700</t>
  </si>
  <si>
    <t>2025-05-05 00:07:00,658970256.193871,-7920778488.65337,0,0,0,0,0,0</t>
  </si>
  <si>
    <t>2025-05-05 00:07:00,1052376983.49256,-2605956645.54993,0,0,0,0,0,0</t>
  </si>
  <si>
    <t>2025-05-05 00:07:00,245667878.342321,1105836.30702393,408.733333333334,15,4954.29200000001,104.43,-0.0130148806748094,2.16</t>
  </si>
  <si>
    <t>2025-05-05 00:07:00,13566397.9614445,-124190.848198327,0,0,0,0,0,0</t>
  </si>
  <si>
    <t>2025-05-05 00:08:00,575,,,565,575,,567,,,,,570,560</t>
  </si>
  <si>
    <t>2025-05-05 00:08:00,490,,,485,490,,489.5,,,,,500,480</t>
  </si>
  <si>
    <t>2025-05-05 00:08:00,5700,,5700,,5600,,5642.5,,,,,5750,5540</t>
  </si>
  <si>
    <t>2025-05-05 00:08:00,20000,,,19900,20000,,20110,,,,,20000,19700</t>
  </si>
  <si>
    <t>2025-05-05 00:08:00,725563986.059513,-7400589932.3033,0,0,0,0,0,0</t>
  </si>
  <si>
    <t>2025-05-05 00:08:00,1080672463.97077,-2793892617.31032,0,0,0,0,0,0</t>
  </si>
  <si>
    <t>2025-05-05 00:08:00,242682915.97405,1392747.64439151,4060.83333333333,81,98714.7599999999,1636.26,0.178248195327289,33.66</t>
  </si>
  <si>
    <t>2025-05-05 00:08:00,13545334.4213253,-123431.905665123,0,0,0,0,0,0</t>
  </si>
  <si>
    <t>2025-05-05 00:09:00,575,,,565,575,,567,,,,,570,560</t>
  </si>
  <si>
    <t>2025-05-05 00:09:00,490,,,485,490,,490,,,,,500,480</t>
  </si>
  <si>
    <t>2025-05-05 00:09:00,5700,,5700,,5600,,5662.5,,,,,5750,5540</t>
  </si>
  <si>
    <t>2025-05-05 00:09:00,20000,,,19900,20000,,20110,,,,,20000,19700</t>
  </si>
  <si>
    <t>2025-05-05 00:09:00,658986181.203199,-7923041681.13083,0,0,0,0,0,0</t>
  </si>
  <si>
    <t>2025-05-05 00:09:00,1038249481.25806,-2699869923.27138,0,0,0,0,0,0</t>
  </si>
  <si>
    <t>2025-05-05 00:09:00,247246471.007323,1044060.52757191,1595.725,42,59873.1967500002,1056.56,0.0601721152402743,25.05</t>
  </si>
  <si>
    <t>2025-05-05 00:09:00,13585058.4155621,-124860.142122527,0,0,0,0,0,0</t>
  </si>
  <si>
    <t>2025-05-05 00:10:00,575,,,565,575,,567,,,,,570,560</t>
  </si>
  <si>
    <t>2025-05-05 00:10:00,490,,,485,490,,489.5,,,,,500,480</t>
  </si>
  <si>
    <t>2025-05-05 00:10:00,5700,,5700,,5600,,5642.5,,,,,5750,5540</t>
  </si>
  <si>
    <t>2025-05-05 00:10:00,20000,,,19900,20000,,20110,,,,,20000,19700</t>
  </si>
  <si>
    <t>2025-05-05 00:10:00,671785864.948092,-7972353329.9122,0,0,0,0,0,0</t>
  </si>
  <si>
    <t>2025-05-05 00:10:00,1044469371.32973,-2658185277.6206,0,0,0,0,0,0</t>
  </si>
  <si>
    <t>2025-05-05 00:10:00,245778518.398244,1103287.81209071,0,0,0,0,0,0</t>
  </si>
  <si>
    <t>2025-05-05 00:10:00,13577715.1293731,-124625.358364435,0,0,0,0,0,0</t>
  </si>
  <si>
    <t>2025-05-05 00:11:00,575,,,565,575,,567,,,,,570,560</t>
  </si>
  <si>
    <t>2025-05-05 00:11:00,490,,,485,490,,489.5,,,,,500,480</t>
  </si>
  <si>
    <t>2025-05-05 00:11:00,5700,,5700,,5600,,5642.5,,,,,5750,5540</t>
  </si>
  <si>
    <t>2025-05-05 00:11:00,20000,,,19900,20000,,20110,,,,,20000,19700</t>
  </si>
  <si>
    <t>2025-05-05 00:11:00,656395180.527165,-7809660803.90462,0,0,0,0,0,0</t>
  </si>
  <si>
    <t>2025-05-05 00:11:00,1055530682.84879,-2587978013.06509,0,0,0,0,0,0</t>
  </si>
  <si>
    <t>2025-05-05 00:11:00,245427943.238358,1151509.68325604,121.366666666667,4,2680.56133333333,57,0.0056421094216566,1.35</t>
  </si>
  <si>
    <t>2025-05-05 00:11:00,13573564.4949564,-124373.639114476,0,0,0,0,0,0</t>
  </si>
  <si>
    <t>2025-05-05 00:12:00,575,,,565,575,,567,,,,,570,560</t>
  </si>
  <si>
    <t>2025-05-05 00:12:00,490,,,485,490,,489.5,,,,,500,480</t>
  </si>
  <si>
    <t>2025-05-05 00:12:00,5700,,5700,,5600,,5642.5,,,,,5750,5540</t>
  </si>
  <si>
    <t>2025-05-05 00:12:00,20000,,,19900,20000,,20110,,,,,20000,19700</t>
  </si>
  <si>
    <t>2025-05-05 00:12:00,706380136.419219,-7627481331.49709,0,0,0,0,0,0</t>
  </si>
  <si>
    <t>2025-05-05 00:12:00,1064629096.98906,-2895100932.64197,0,0,0,0,0,0</t>
  </si>
  <si>
    <t>2025-05-05 00:12:00,242197157.974818,1382500.40355534,230.625,9,3437.82908333333,100.91,-0.0124579548119314,2.17</t>
  </si>
  <si>
    <t>2025-05-05 00:12:00,13560691.2196163,-123804.820764828,0,0,0,0,0,0</t>
  </si>
  <si>
    <t>2025-05-05 00:13:00,575,,,565,575,,567,,,,,570,560</t>
  </si>
  <si>
    <t>2025-05-05 00:13:00,490,,,485,490,,489.5,,,,,500,480</t>
  </si>
  <si>
    <t>2025-05-05 00:13:00,5700,,5700,,5600,,5642.5,,,,,5750,5540</t>
  </si>
  <si>
    <t>2025-05-05 00:13:00,20000,,,19900,20000,,20110,,,,,20000,19700</t>
  </si>
  <si>
    <t>2025-05-05 00:13:00,722262159.261487,-7441996216.36974,0,0,0,0,0,0</t>
  </si>
  <si>
    <t>2025-05-05 00:13:00,1074136127.01925,-2841274719.89578,0,0,0,0,0,0</t>
  </si>
  <si>
    <t>2025-05-05 00:13:00,242623250.840608,1393040.09527462,375.600000000001,17,4506.06966666668,129.73,-0.0198597738884127,2.82</t>
  </si>
  <si>
    <t>2025-05-05 00:13:00,13552403.0566291,-123632.228828914,0,0,0,0,0,0</t>
  </si>
  <si>
    <t>2025-05-05 00:14:00,575,,,565,575,,567,,,,,570,560</t>
  </si>
  <si>
    <t>2025-05-05 00:14:00,490,,,485,490,,489.5,,,,,500,480</t>
  </si>
  <si>
    <t>2025-05-05 00:14:00,5700,,5700,,5600,,5642.5,,,,,5750,5540</t>
  </si>
  <si>
    <t>2025-05-05 00:14:00,20000,,,19900,20000,,20110,,,,,20000,19700</t>
  </si>
  <si>
    <t>2025-05-05 00:14:00,696867870.672226,-7740281305.86952,0,0,0,0,0,0</t>
  </si>
  <si>
    <t>2025-05-05 00:14:00,1057140358.35698,-2860253757.81367,0,0,0,0,0,0</t>
  </si>
  <si>
    <t>2025-05-05 00:14:00,243751687.260697,1263883.14338129,67.4000000000002,2,1984.34466666667,32.57,0.00371703342140989,0.72</t>
  </si>
  <si>
    <t>2025-05-05 00:14:00,13568577.5288777,-124143.580738856,0,0,0,0,0,0</t>
  </si>
  <si>
    <t>2025-05-05 00:15:00,575,,,565,575,,567,,,,,570,560</t>
  </si>
  <si>
    <t>2025-05-05 00:15:00,490,,,485,490,,489.5,,,,,500,480</t>
  </si>
  <si>
    <t>2025-05-05 00:15:00,5700,,5700,,5600,,5642.5,,,,,5750,5540</t>
  </si>
  <si>
    <t>2025-05-05 00:15:00,20000,,,19900,20000,,20110,,,,,20000,19700</t>
  </si>
  <si>
    <t>2025-05-05 00:15:00,687423937.757781,-7844770750.73253,0,0,0,0,0,0</t>
  </si>
  <si>
    <t>2025-05-05 00:15:00,1057213411.82571,-2859722499.10892,0,0,0,0,0,0</t>
  </si>
  <si>
    <t>2025-05-05 00:15:00,245457630.131985,1212110.11217012,193.1,10,3899.87649999999,92.89,-0.0144029477825797,2.3</t>
  </si>
  <si>
    <t>2025-05-05 00:15:00,13568851.1764744,-124248.671385428,0,0,0,0,0,0</t>
  </si>
  <si>
    <t>2025-05-05 00:16:00,575,,,560,575,,567,,,,,570,560</t>
  </si>
  <si>
    <t>2025-05-05 00:16:00,490,,,485,490,,490,,,,,500,480</t>
  </si>
  <si>
    <t>2025-05-05 00:16:00,5700,,5700,,5600,,5642.5,,,,,5750,5540</t>
  </si>
  <si>
    <t>2025-05-05 00:16:00,20000,,,19900,20000,,20110,,,,,20000,19700</t>
  </si>
  <si>
    <t>2025-05-05 00:16:00,640151401.667284,-6272701302.71223,0,0,0,0,0,0</t>
  </si>
  <si>
    <t>2025-05-05 00:16:00,1027843191.63856,-2777642687.30116,0,0,0,0,0,0</t>
  </si>
  <si>
    <t>2025-05-05 00:16:00,245493121.076829,1043248.68707773,574.416666666668,12,7278.86083333335,136.54,-0.000996778987200364,2.59</t>
  </si>
  <si>
    <t>2025-05-05 00:16:00,13584414.1751041,-124990.67263492,0,0,0,0,0,0</t>
  </si>
  <si>
    <t>2025-05-05 00:17:00,575,,,565,575,,567,,,,,570,560</t>
  </si>
  <si>
    <t>2025-05-05 00:17:00,490,,,485,490,,489.5,,,,,500,480</t>
  </si>
  <si>
    <t>2025-05-05 00:17:00,5700,,5700,,5600,,5642.5,,,,,5750,5540</t>
  </si>
  <si>
    <t>2025-05-05 00:17:00,20000,,,19900,20000,,20110,,,,,20000,19700</t>
  </si>
  <si>
    <t>2025-05-05 00:17:00,661971638.155682,-7972823246.8057,0,0,0,0,0,0</t>
  </si>
  <si>
    <t>2025-05-05 00:17:00,1052446789.98627,-2610207950.239,0,0,0,0,0,0</t>
  </si>
  <si>
    <t>2025-05-05 00:17:00,246216048.73003,1089551.1833036,363.7,9,6467.87233333333,122.19,0.00589906033589732,2.7</t>
  </si>
  <si>
    <t>2025-05-05 00:17:00,13572912.1321106,-124459.522266585,0,0,0,0,0,0</t>
  </si>
  <si>
    <t>2025-05-05 00:18:00,575,,,560,575,,567,,,,,570,560</t>
  </si>
  <si>
    <t>2025-05-05 00:18:00,490,,,485,490,,489.5,,,,,500,480</t>
  </si>
  <si>
    <t>2025-05-05 00:18:00,5700,,5700,,5600,,5662.5,,,,,5750,5540</t>
  </si>
  <si>
    <t>2025-05-05 00:18:00,20000,,,19900,20000,,20110,,,,,20000,19700</t>
  </si>
  <si>
    <t>2025-05-05 00:18:00,655997908.632317,-6159258470.82834,0,0,0,0,0,0</t>
  </si>
  <si>
    <t>2025-05-05 00:18:00,1042987718.59734,-2672160437.97704,0,0,0,0,0,0</t>
  </si>
  <si>
    <t>2025-05-05 00:18:00,246872471.382725,1063858.07516694,84.1666666666667,2,596.833333333333,13.4,0.00206158918142396,0.17</t>
  </si>
  <si>
    <t>2025-05-05 00:18:00,13577988.581066,-124730.566408406,0,0,0,0,0,0</t>
  </si>
  <si>
    <t>2025-05-05 00:19:00,575,,,565,575,,567,,,,,570,560</t>
  </si>
  <si>
    <t>2025-05-05 00:19:00,490,,,485,490,,489.5,,,,,500,480</t>
  </si>
  <si>
    <t>2025-05-05 00:19:00,5700,,5700,,5600,,5662.5,,,,,5750,5540</t>
  </si>
  <si>
    <t>2025-05-05 00:19:00,20000,,,19900,20000,,20110,,,,,20000,19700</t>
  </si>
  <si>
    <t>2025-05-05 00:19:00,656365601.3908,-7816129084.67524,0,0,0,0,0,0</t>
  </si>
  <si>
    <t>2025-05-05 00:19:00,1054013369.12579,-2601487128.41558,0,0,0,0,0,0</t>
  </si>
  <si>
    <t>2025-05-05 00:19:00,245835540.847341,1036235.95102672,728.524999999999,46,5935.37974999999,310.41,-0.136477691905173,9.43</t>
  </si>
  <si>
    <t>2025-05-05 00:19:00,13569060.4363133,-124325.759091097,0,0,0,0,0,0</t>
  </si>
  <si>
    <t>2025-05-05 00:20:00,575,,,565,575,,567,,,,,570,560</t>
  </si>
  <si>
    <t>2025-05-05 00:20:00,490,,,485,490,,489.5,,,,,500,480</t>
  </si>
  <si>
    <t>2025-05-05 00:20:00,5700,,5700,,5600,,5662.5,,,,,5750,5540</t>
  </si>
  <si>
    <t>2025-05-05 00:20:00,20000,,,19900,20000,,20110,,,,,20000,19700</t>
  </si>
  <si>
    <t>2025-05-05 00:20:00,656318687.977804,-7817423781.27305,0,0,0,0,0,0</t>
  </si>
  <si>
    <t>2025-05-05 00:20:00,1052527825.72363,-2611809811.04035,0,0,0,0,0,0</t>
  </si>
  <si>
    <t>2025-05-05 00:20:00,246539635.231413,1034109.70382945,3.75,1,9.18750000000001,2.45,-0.00238155811946446,0.08</t>
  </si>
  <si>
    <t>2025-05-05 00:20:00,13570927.9502354,-124439.0033472,0,0,0,0,0,0</t>
  </si>
  <si>
    <t>2025-05-05 00:21:00,575,,,565,575,,567,,,,,570,560</t>
  </si>
  <si>
    <t>2025-05-05 00:21:00,490,,,485,490,,489.5,,,,,500,480</t>
  </si>
  <si>
    <t>2025-05-05 00:21:00,5700,,5700,,5600,,5662.5,,,,,5750,5540</t>
  </si>
  <si>
    <t>2025-05-05 00:21:00,20000,,,19900,20000,,20110,,,,,20000,19700</t>
  </si>
  <si>
    <t>2025-05-05 00:21:00,668733643.82594,-7991815647.57625,0,0,0,0,0,0</t>
  </si>
  <si>
    <t>2025-05-05 00:21:00,1054120848.85044,-2601831175.19112,0,0,0,0,0,0</t>
  </si>
  <si>
    <t>2025-05-05 00:21:00,245721952.486539,1037642.13892948,80.2333333333334,3,602.987000000001,15.48,-0.00436975935889919,0.34</t>
  </si>
  <si>
    <t>2025-05-05 00:21:00,13561540.0604713,-124184.401289251,0,0,0,0,0,0</t>
  </si>
  <si>
    <t>2025-05-05 00:22:00,575,,,565,575,,567,,,,,570,560</t>
  </si>
  <si>
    <t>2025-05-05 00:22:00,490,,,485,490,,489.5,,,,,500,480</t>
  </si>
  <si>
    <t>2025-05-05 00:22:00,5700,,5700,,5600,,5662.5,,,,,5750,5540</t>
  </si>
  <si>
    <t>2025-05-05 00:22:00,20000,,,19900,20000,,20110,,,,,20000,19700</t>
  </si>
  <si>
    <t>2025-05-05 00:22:00,671615809.954836,-7982798205.49044,0,0,0,0,0,0</t>
  </si>
  <si>
    <t>2025-05-05 00:22:00,1058591137.47759,-2889761872.44673,0,0,0,0,0,0</t>
  </si>
  <si>
    <t>2025-05-05 00:22:00,245783960.802294,1072111.91687456,101.916666666667,2,1201.22083333333,23.35,0.00382881365443563,0.34</t>
  </si>
  <si>
    <t>2025-05-05 00:22:00,13563848.7437557,-124163.087271533,0,0,0,0,0,0</t>
  </si>
  <si>
    <t>2025-05-05 00:23:00,575,,,565,575,,567,,,,,570,560</t>
  </si>
  <si>
    <t>2025-05-05 00:23:00,490,,,485,490,,489.5,,,,,500,480</t>
  </si>
  <si>
    <t>2025-05-05 00:23:00,5700,,5700,,5600,,5662.5,,,,,5750,5540</t>
  </si>
  <si>
    <t>2025-05-05 00:23:00,20000,,,19900,20000,,20110,,,,,20000,19700</t>
  </si>
  <si>
    <t>2025-05-05 00:23:00,677967132.94295,-7941680306.70024,0,0,0,0,0,0</t>
  </si>
  <si>
    <t>2025-05-05 00:23:00,1057239235.85886,-2861691639.15644,0,0,0,0,0,0</t>
  </si>
  <si>
    <t>2025-05-05 00:23:00,246120840.632551,1034889.24945386,97.8333333333331,3,1823.44166666666,40.65,0.00409763575730004,0.68</t>
  </si>
  <si>
    <t>2025-05-05 00:23:00,13557316.6707703,-124060.353811365,0,0,0,0,0,0</t>
  </si>
  <si>
    <t>2025-05-05 00:24:00,575,,,565,575,,567,,,,,570,560</t>
  </si>
  <si>
    <t>2025-05-05 00:24:00,490,,,485,490,,489.5,,,,,500,480</t>
  </si>
  <si>
    <t>2025-05-05 00:24:00,5700,,5700,,5600,,5642.5,,,,,5750,5540</t>
  </si>
  <si>
    <t>2025-05-05 00:24:00,20000,,,19900,20000,,20110,,,,,20000,19700</t>
  </si>
  <si>
    <t>2025-05-05 00:24:00,659083910.026388,-7932650294.16664,0,0,0,0,0,0</t>
  </si>
  <si>
    <t>2025-05-05 00:24:00,1055726851.54099,-2593520552.6713,0,0,0,0,0,0</t>
  </si>
  <si>
    <t>2025-05-05 00:24:00,247523657.774328,1070241.21890013,34.5000000000001,5,170.475000000001,16.3,-0.0124418270660973,0.51</t>
  </si>
  <si>
    <t>2025-05-05 00:24:00,13560286.2183019,-124211.577029508,0,0,0,0,0,0</t>
  </si>
  <si>
    <t>2025-05-05 00:25:00,575,,,560,575,,567,,,,,570,560</t>
  </si>
  <si>
    <t>2025-05-05 00:25:00,490,,,485,490,,489.5,,,,,500,480</t>
  </si>
  <si>
    <t>2025-05-05 00:25:00,5700,,5700,,5600,,5642.5,,,,,5750,5540</t>
  </si>
  <si>
    <t>2025-05-05 00:25:00,20000,,,19900,20000,,20110,,,,,20000,19700</t>
  </si>
  <si>
    <t>2025-05-05 00:25:00,659122073.475078,-6147698221.50502,0,0,0,0,0,0</t>
  </si>
  <si>
    <t>2025-05-05 00:25:00,1054150080.93444,-2603702105.93662,0,0,0,0,0,0</t>
  </si>
  <si>
    <t>2025-05-05 00:25:00,248098980.542256,1047451.63171276,127.2,3,3154.12400000001,49.59,0.00298431581149712,1.3</t>
  </si>
  <si>
    <t>2025-05-05 00:25:00,13563246.7627089,-124259.720436035,0,0,0,0,0,0</t>
  </si>
  <si>
    <t>2025-05-05 00:26:00,575,,,565,575,,567,,,,,570,560</t>
  </si>
  <si>
    <t>2025-05-05 00:26:00,490,,,485,490,,489.5,,,,,500,480</t>
  </si>
  <si>
    <t>2025-05-05 00:26:00,5700,,5700,,5600,,5662.5,,,,,5750,5540</t>
  </si>
  <si>
    <t>2025-05-05 00:26:00,20000,,,19900,20000,,20110,,,,,20000,19700</t>
  </si>
  <si>
    <t>2025-05-05 00:26:00,656367885.623656,-7819606420.36906,0,0,0,0,0,0</t>
  </si>
  <si>
    <t>2025-05-05 00:26:00,1057315215.29061,-2862308450.25148,0,0,0,0,0,0</t>
  </si>
  <si>
    <t>2025-05-05 00:26:00,246300868.137998,1018574.13405609,924.625,25,13250.39175,309.3,0.023628915403092,5.35</t>
  </si>
  <si>
    <t>2025-05-05 00:26:00,13556594.0269039,-124104.606378715,0,0,0,0,0,0</t>
  </si>
  <si>
    <t>2025-05-05 00:27:00,575,,,560,575,,567,,,,,570,560</t>
  </si>
  <si>
    <t>2025-05-05 00:27:00,490,,,485,490,,489.5,,,,,500,480</t>
  </si>
  <si>
    <t>2025-05-05 00:27:00,5700,,5700,,5600,,5642.5,,,,,5750,5540</t>
  </si>
  <si>
    <t>2025-05-05 00:27:00,20000,,,19900,20000,,20110,,,,,20000,19700</t>
  </si>
  <si>
    <t>2025-05-05 00:27:00,652766471.171857,-6197334152.3491,0,0,0,0,0,0</t>
  </si>
  <si>
    <t>2025-05-05 00:27:00,1054190824.45373,-2604845961.68624,0,0,0,0,0,0</t>
  </si>
  <si>
    <t>2025-05-05 00:27:00,248396167.837484,1021841.55805994,203.583333333333,5,7407.85416666667,106.05,0.00776805663848138,2.24</t>
  </si>
  <si>
    <t>2025-05-05 00:27:00,13565395.8274798,-124362.715961837,0,0,0,0,0,0</t>
  </si>
  <si>
    <t>2025-05-05 00:28:00,575,,,565,575,,567,,,,,570,560</t>
  </si>
  <si>
    <t>2025-05-05 00:28:00,490,,,485,490,,489.5,,,,,500,480</t>
  </si>
  <si>
    <t>2025-05-05 00:28:00,5700,,5700,,5600,,5662.5,,,,,5750,5540</t>
  </si>
  <si>
    <t>2025-05-05 00:28:00,20000,,,19900,20000,,20110,,,,,20000,19700</t>
  </si>
  <si>
    <t>2025-05-05 00:28:00,668724593.965684,-7997394622.17197,0,0,0,0,0,0</t>
  </si>
  <si>
    <t>2025-05-05 00:28:00,1063276596.91018,-2903062542.63927,0,0,0,0,0,0</t>
  </si>
  <si>
    <t>2025-05-05 00:28:00,245805463.613843,1050603.30652129,53.25,1,753.487499999999,14.15,0.00233073482773466,0.22</t>
  </si>
  <si>
    <t>2025-05-05 00:28:00,13554869.5667677,-124049.857836007,0,0,0,0,0,0</t>
  </si>
  <si>
    <t>2025-05-05 00:29:00,575,,,565,575,,567,,,,,570,560</t>
  </si>
  <si>
    <t>2025-05-05 00:29:00,490,,,485,490,,489.5,,,,,500,480</t>
  </si>
  <si>
    <t>2025-05-05 00:29:00,5700,,5700,,5600,,5662.5,,,,,5750,5540</t>
  </si>
  <si>
    <t>2025-05-05 00:29:00,20000,,,19900,20000,,20110,,,,,20000,19700</t>
  </si>
  <si>
    <t>2025-05-05 00:29:00,656192615.096058,-7822769542.06349,0,0,0,0,0,0</t>
  </si>
  <si>
    <t>2025-05-05 00:29:00,1046269792.28542,-2655919148.5401,0,0,0,0,0,0</t>
  </si>
  <si>
    <t>2025-05-05 00:29:00,247382597.487823,1054745.07830242,3086.19999999999,48,171237.279333333,2409.36,0.212925733664012,42.24</t>
  </si>
  <si>
    <t>2025-05-05 00:29:00,13566665.7975231,-124507.497387877,0,0,0,0,0,0</t>
  </si>
  <si>
    <t>2025-05-05 00:30:00,575,,,560,575,,567,,,,,570,560</t>
  </si>
  <si>
    <t>2025-05-05 00:30:00,490,,,485,490,,489.5,,,,,500,480</t>
  </si>
  <si>
    <t>2025-05-05 00:30:00,5700,,5700,,5600,,5662.5,,,,,5750,5540</t>
  </si>
  <si>
    <t>2025-05-05 00:30:00,20000,,,19900,20000,,20110,,,,,20000,19700</t>
  </si>
  <si>
    <t>2025-05-05 00:30:00,659065110.482099,-6155156262.79731,0,0,0,0,0,0</t>
  </si>
  <si>
    <t>2025-05-05 00:30:00,1051086080.10672,-2625819991.47221,0,0,0,0,0,0</t>
  </si>
  <si>
    <t>2025-05-05 00:30:00,246314250.031624,1104833.92161955,42.1666666666666,4,156.533333333333,12.4,-0.00699224695254254,0.32</t>
  </si>
  <si>
    <t>2025-05-05 00:30:00,13559450.1820226,-124140.551723676,0,0,0,0,0,0</t>
  </si>
  <si>
    <t>2025-05-05 00:31:00,575,,,565,575,,567,,,,,570,560</t>
  </si>
  <si>
    <t>2025-05-05 00:31:00,490,,,485,490,,489.5,,,,,500,480</t>
  </si>
  <si>
    <t>2025-05-05 00:31:00,5700,,5700,,5600,,5642.5,,,,,5750,5540</t>
  </si>
  <si>
    <t>2025-05-05 00:31:00,20000,,,19900,20000,,20110,,,,,20000,19700</t>
  </si>
  <si>
    <t>2025-05-05 00:31:00,687395710.44791,-7858622523.50548,0,0,0,0,0,0</t>
  </si>
  <si>
    <t>2025-05-05 00:31:00,1076076825.95984,-2834450469.07416,0,0,0,0,0,0</t>
  </si>
  <si>
    <t>2025-05-05 00:31:00,244382743.362706,1293578.42083378,14275.0500000001,107,287752.480500001,2238.41,0.362102481255871,37.53</t>
  </si>
  <si>
    <t>2025-05-05 00:31:00,13538132.0748375,-123530.552897185,0,0,0,0,0,0</t>
  </si>
  <si>
    <t>2025-05-05 00:32:00,575,,,565,575,,567,,,,,570,560</t>
  </si>
  <si>
    <t>2025-05-05 00:32:00,490,,,485,490,,489.5,,,,,500,480</t>
  </si>
  <si>
    <t>2025-05-05 00:32:00,5700,,5700,,5600,,5642.5,,,,,5750,5540</t>
  </si>
  <si>
    <t>2025-05-05 00:32:00,20000,,,19900,20000,,20110,,,,,20000,19700</t>
  </si>
  <si>
    <t>2025-05-05 00:32:00,671834049.624034,-7990667630.61066,0,0,0,0,0,0</t>
  </si>
  <si>
    <t>2025-05-05 00:32:00,1071257392.07684,-2867069140.70097,0,0,0,0,0,0</t>
  </si>
  <si>
    <t>2025-05-05 00:32:00,245016651.619257,1272042.75817138,1001.73333333333,13,32271.9006666667,428.06,0.045157922515677,7.28</t>
  </si>
  <si>
    <t>2025-05-05 00:32:00,13540455.6971289,-123708.704354705,0,0,0,0,0,0</t>
  </si>
  <si>
    <t>2025-05-05 00:33:00,575,,,565,575,,567,,,,,570,560</t>
  </si>
  <si>
    <t>2025-05-05 00:33:00,490,,,485,490,,489.5,,,,,500,480</t>
  </si>
  <si>
    <t>2025-05-05 00:33:00,5700,,5700,,5600,,5642.5,,,,,5750,5540</t>
  </si>
  <si>
    <t>2025-05-05 00:33:00,20000,,,19900,20000,,20110,,,,,20000,19700</t>
  </si>
  <si>
    <t>2025-05-05 00:33:00,665681864.697374,-8001733624.52482,0,0,0,0,0,0</t>
  </si>
  <si>
    <t>2025-05-05 00:33:00,1061809568.2417,-2905030744.55544,0,0,0,0,0,0</t>
  </si>
  <si>
    <t>2025-05-05 00:33:00,246010283.389848,1239902.72634249,165.016666666667,5,1531.07483333334,36.88,0.00348503668288904,0.55</t>
  </si>
  <si>
    <t>2025-05-05 00:33:00,13555012.9490345,-124084.939159597,0,0,0,0,0,0</t>
  </si>
  <si>
    <t>2025-05-05 00:34:00,575,,,565,575,,567,,,,,570,560</t>
  </si>
  <si>
    <t>2025-05-05 00:34:00,490,,,485,490,,489.5,,,,,500,480</t>
  </si>
  <si>
    <t>2025-05-05 00:34:00,5700,,5700,,5600,,5642.5,,,,,5750,5540</t>
  </si>
  <si>
    <t>2025-05-05 00:34:00,20000,,,19900,20000,,20110,,,,,20000,19700</t>
  </si>
  <si>
    <t>2025-05-05 00:34:00,687349702.433961,-7861504039.30761,0,0,0,0,0,0</t>
  </si>
  <si>
    <t>2025-05-05 00:34:00,1076091624.8016,-2835754988.53581,0,0,0,0,0,0</t>
  </si>
  <si>
    <t>2025-05-05 00:34:00,244473378.973713,1312283.0530863,133.05,5,1146.179,39.88,-0.00428330806434548,0.89</t>
  </si>
  <si>
    <t>2025-05-05 00:34:00,13536939.4256613,-123534.348545071,0,0,0,0,0,0</t>
  </si>
  <si>
    <t>2025-05-05 00:35:00,575,,,565,575,,567,,,,,570,560</t>
  </si>
  <si>
    <t>2025-05-05 00:35:00,490,,,485,490,,489.5,,,,,500,480</t>
  </si>
  <si>
    <t>2025-05-05 00:35:00,5700,,5700,,5600,,5642.5,,,,,5750,5540</t>
  </si>
  <si>
    <t>2025-05-05 00:35:00,20000,,,19900,20000,,20110,,,,,20000,19700</t>
  </si>
  <si>
    <t>2025-05-05 00:35:00,722362175.722009,-7463093320.69047,0,0,0,0,0,0</t>
  </si>
  <si>
    <t>2025-05-05 00:35:00,1072887094.92647,-2857346330.60271,0,0,0,0,0,0</t>
  </si>
  <si>
    <t>2025-05-05 00:35:00,244696496.678809,1278775.59410815,145,3,1334,27.6,0.00451936727891043,0.36</t>
  </si>
  <si>
    <t>2025-05-05 00:35:00,13544287.6124179,-123708.09669104,0,0,0,0,0,0</t>
  </si>
  <si>
    <t>2025-05-05 00:36:00,575,,,565,575,,567,,,,,570,560</t>
  </si>
  <si>
    <t>2025-05-05 00:36:00,490,,,485,490,,489.5,,,,,500,480</t>
  </si>
  <si>
    <t>2025-05-05 00:36:00,5700,,5700,,5600,,5642.5,,,,,5750,5540</t>
  </si>
  <si>
    <t>2025-05-05 00:36:00,20000,,,19900,20000,,20110,,,,,20000,19700</t>
  </si>
  <si>
    <t>2025-05-05 00:36:00,703147117.63193,-7689703343.33374,0,0,0,0,0,0</t>
  </si>
  <si>
    <t>2025-05-05 00:36:00,1079371071.5279,-2812825381.55511,0,0,0,0,0,0</t>
  </si>
  <si>
    <t>2025-05-05 00:36:00,243722983.436289,1427867.07059463,4125.66666666667,71,97459.2033333334,1640.8,0.307555379093498,30.72</t>
  </si>
  <si>
    <t>2025-05-05 00:36:00,13537554.827597,-123450.231498535,0,0,0,0,0,0</t>
  </si>
  <si>
    <t>2025-05-05 00:37:00,575,,,565,575,,567,,,,,570,560</t>
  </si>
  <si>
    <t>2025-05-05 00:37:00,490,,,485,490,,489.5,,,,,500,480</t>
  </si>
  <si>
    <t>2025-05-05 00:37:00,5700,,5700,,5600,,5662.5,,,,,5750,5540</t>
  </si>
  <si>
    <t>2025-05-05 00:37:00,20000,,,19900,20000,,20110,,,,,20000,19700</t>
  </si>
  <si>
    <t>2025-05-05 00:37:00,665786773.184451,-8004712534.81414,0,0,0,0,0,0</t>
  </si>
  <si>
    <t>2025-05-05 00:37:00,1060277785.81062,-2902972907.75191,0,0,0,0,0,0</t>
  </si>
  <si>
    <t>2025-05-05 00:37:00,246224083.72162,1252839.23911373,1228.73333333333,23,25840.2556666667,431.13,0.0486356120388478,8.23</t>
  </si>
  <si>
    <t>2025-05-05 00:37:00,13550749.9796331,-124025.604512393,0,0,0,0,0,0</t>
  </si>
  <si>
    <t>2025-05-05 00:38:00,575,,,560,575,,567,,,,,570,560</t>
  </si>
  <si>
    <t>2025-05-05 00:38:00,490,,,485,490,,490,,,,,500,480</t>
  </si>
  <si>
    <t>2025-05-05 00:38:00,5700,,5700,,5600,,5642.5,,,,,5750,5540</t>
  </si>
  <si>
    <t>2025-05-05 00:38:00,20000,,,19900,20000,,20110,,,,,20000,19700</t>
  </si>
  <si>
    <t>2025-05-05 00:38:00,636967035.20568,-6330138888.08228,0,0,0,0,0,0</t>
  </si>
  <si>
    <t>2025-05-05 00:38:00,1040163366.96745,-2701171571.45728,0,0,0,0,0,0</t>
  </si>
  <si>
    <t>2025-05-05 00:38:00,247274947.83003,1120090.67837884,877.200000000002,79,8522.546,331.86,-0.184290671967378,9.23</t>
  </si>
  <si>
    <t>2025-05-05 00:38:00,13573409.8734774,-124783.22420462,0,0,0,0,0,0</t>
  </si>
  <si>
    <t>2025-05-05 00:39:00,575,,,560,575,,567,,,,,570,560</t>
  </si>
  <si>
    <t>2025-05-05 00:39:00,490,,,485,490,,490,,,,,500,480</t>
  </si>
  <si>
    <t>2025-05-05 00:39:00,5700,,5700,,5600,,5642.5,,,,,5750,5540</t>
  </si>
  <si>
    <t>2025-05-05 00:39:00,20000,,,19900,20000,,20110,,,,,20000,19700</t>
  </si>
  <si>
    <t>2025-05-05 00:39:00,627411687.209222,-6403150631.34588,0,0,0,0,0,0</t>
  </si>
  <si>
    <t>2025-05-05 00:39:00,1038516660.68608,-2711924154.77885,0,0,0,0,0,0</t>
  </si>
  <si>
    <t>2025-05-05 00:39:00,246320683.111568,1092407.34272691,381.866666666667,10,5258.16333333334,116.09,0.0105151707106304,1.84</t>
  </si>
  <si>
    <t>2025-05-05 00:39:00,13571928.2116911,-124864.477745275,0,0,0,0,0,0</t>
  </si>
  <si>
    <t>2025-05-05 00:40:00,575,,,560,575,,567,,,,,570,560</t>
  </si>
  <si>
    <t>2025-05-05 00:40:00,490,,,485,490,,489.5,,,,,500,480</t>
  </si>
  <si>
    <t>2025-05-05 00:40:00,5700,,5700,,5600,,5642.5,,,,,5750,5540</t>
  </si>
  <si>
    <t>2025-05-05 00:40:00,20000,,,19900,20000,,20110,,,,,20000,19700</t>
  </si>
  <si>
    <t>2025-05-05 00:40:00,652823014.829787,-6215872850.80721,0,0,0,0,0,0</t>
  </si>
  <si>
    <t>2025-05-05 00:40:00,1052690075.82463,-2619824982.99355,0,0,0,0,0,0</t>
  </si>
  <si>
    <t>2025-05-05 00:40:00,247894366.868424,1186818.64862299,68.8666666666667,4,544.670333333334,20.51,-0.00687466827556723,0.47</t>
  </si>
  <si>
    <t>2025-05-05 00:40:00,13561718.430761,-124384.274871187,0,0,0,0,0,0</t>
  </si>
  <si>
    <t>2025-05-05 00:41:00,575,,,560,575,,567,,,,,570,560</t>
  </si>
  <si>
    <t>2025-05-05 00:41:00,490,,,485,490,,489.5,,,,,500,480</t>
  </si>
  <si>
    <t>2025-05-05 00:41:00,5700,,5700,,5600,,5642.5,,,,,5750,5540</t>
  </si>
  <si>
    <t>2025-05-05 00:41:00,20000,,,19900,20000,,20110,,,,,20000,19700</t>
  </si>
  <si>
    <t>2025-05-05 00:41:00,659144224.835492,-6172247670.16748,0,0,0,0,0,0</t>
  </si>
  <si>
    <t>2025-05-05 00:41:00,1043263722.21098,-2681475538.64173,0,0,0,0,0,0</t>
  </si>
  <si>
    <t>2025-05-05 00:41:00,248320686.192565,1139867.36434009,2.25,1,5.175,2.3,-0.00231427341526419,0.07</t>
  </si>
  <si>
    <t>2025-05-05 00:41:00,13570697.5022496,-124737.795193986,0,0,0,0,0,0</t>
  </si>
  <si>
    <t>2025-05-05 00:42:00,575,,,560,575,,567,,,,,570,560</t>
  </si>
  <si>
    <t>2025-05-05 00:42:00,490,,,485,490,,489.5,,,,,500,480</t>
  </si>
  <si>
    <t>2025-05-05 00:42:00,5700,,5700,,5600,,5642.5,,,,,5750,5540</t>
  </si>
  <si>
    <t>2025-05-05 00:42:00,20000,,,19900,20000,,20110,,,,,20000,19700</t>
  </si>
  <si>
    <t>2025-05-05 00:42:00,649592734.650707,-6242441557.23919,0,0,0,0,0,0</t>
  </si>
  <si>
    <t>2025-05-05 00:42:00,1046392953.08844,-2661107084.67339,0,0,0,0,0,0</t>
  </si>
  <si>
    <t>2025-05-05 00:42:00,248120630.14881,1191166.57041204,717.783333333332,13,21035.333,323.1,0.0322434486831549,7.34</t>
  </si>
  <si>
    <t>2025-05-05 00:42:00,13561052.2113822,-124488.709664833,0,0,0,0,0,0</t>
  </si>
  <si>
    <t>2025-05-05 00:43:00,575,,,565,575,,567,,,,,570,560</t>
  </si>
  <si>
    <t>2025-05-05 00:43:00,490,,,485,490,,489.5,,,,,500,480</t>
  </si>
  <si>
    <t>2025-05-05 00:43:00,5700,,5700,,5600,,5642.5,,,,,5750,5540</t>
  </si>
  <si>
    <t>2025-05-05 00:43:00,20000,,,19900,20000,,20110,,,,,20000,19700</t>
  </si>
  <si>
    <t>2025-05-05 00:43:00,687416016.147738,-7869386196.8395,0,0,0,0,0,0</t>
  </si>
  <si>
    <t>2025-05-05 00:43:00,1074618787.6854,-2848809304.19137,0,0,0,0,0,0</t>
  </si>
  <si>
    <t>2025-05-05 00:43:00,243846491.222056,1332130.89842949,1063.13333333333,21,26392.6283333333,412.48,0.0583772737810615,8.62</t>
  </si>
  <si>
    <t>2025-05-05 00:43:00,13546009.2992387,-123882.743744209,0,0,0,0,0,0</t>
  </si>
  <si>
    <t>2025-05-05 00:44:00,575,,,565,575,,567,,,,,570,560</t>
  </si>
  <si>
    <t>2025-05-05 00:44:00,490,,,485,490,,489.5,,,,,500,480</t>
  </si>
  <si>
    <t>2025-05-05 00:44:00,5700,,5700,,5600,,5642.5,,,,,5750,5540</t>
  </si>
  <si>
    <t>2025-05-05 00:44:00,20000,,,19900,20000,,20110,,,,,20000,19700</t>
  </si>
  <si>
    <t>2025-05-05 00:44:00,656315712.275811,-7831145704.75803,0,0,0,0,0,0</t>
  </si>
  <si>
    <t>2025-05-05 00:44:00,1054309095.67695,-2611803835.39143,0,0,0,0,0,0</t>
  </si>
  <si>
    <t>2025-05-05 00:44:00,248305401.608631,1234808.00311868,280.316666666666,9,3524.07933333333,76.87,-0.00485010147472308,1.45</t>
  </si>
  <si>
    <t>2025-05-05 00:44:00,13560323.06004,-124396.529523391,0,0,0,0,0,0</t>
  </si>
  <si>
    <t>2025-05-05 00:45:00,575,,,560,575,,567,,,,,570,560</t>
  </si>
  <si>
    <t>2025-05-05 00:45:00,490,,,485,490,,489.5,,,,,500,480</t>
  </si>
  <si>
    <t>2025-05-05 00:45:00,5700,,5700,,5600,,5642.5,,,,,5750,5540</t>
  </si>
  <si>
    <t>2025-05-05 00:45:00,20000,,,19900,20000,,20110,,,,,20000,19700</t>
  </si>
  <si>
    <t>2025-05-05 00:45:00,630552598.907004,-6388273538.85532,0,0,0,0,0,0</t>
  </si>
  <si>
    <t>2025-05-05 00:45:00,1041735709.95705,-2693486460.25725,0,0,0,0,0,0</t>
  </si>
  <si>
    <t>2025-05-05 00:45:00,246332842.627327,1123377.57488944,313.901973684211,16,20708.0339934211,1477.52,0.0244771773898936,11.2</t>
  </si>
  <si>
    <t>2025-05-05 00:45:00,13563907.4603047,-124685.430350419,0,0,0,0,0,0</t>
  </si>
  <si>
    <t>2025-05-05 00:46:00,575,,,560,575,,567,,,,,570,560</t>
  </si>
  <si>
    <t>2025-05-05 00:46:00,490,,,485,490,,490,,,,,500,480</t>
  </si>
  <si>
    <t>2025-05-05 00:46:00,5700,,5700,,5600,,5642.5,,,,,5750,5540</t>
  </si>
  <si>
    <t>2025-05-05 00:46:00,20000,,,19900,20000,,20110,,,,,20000,19700</t>
  </si>
  <si>
    <t>2025-05-05 00:46:00,621358154.560555,-6461207530.0412,0,0,0,0,0,0</t>
  </si>
  <si>
    <t>2025-05-05 00:46:00,1032468814.91507,-2757613501.76329,0,0,0,0,0,0</t>
  </si>
  <si>
    <t>2025-05-05 00:46:00,247802572.805484,1096046.13319028,934.083333333334,15,15563.7041666667,238.35,0.0300374103523532,3.77</t>
  </si>
  <si>
    <t>2025-05-05 00:46:00,13576059.9162853,-125009.254572414,0,0,0,0,0,0</t>
  </si>
  <si>
    <t>2025-05-05 00:47:00,575,,,560,575,,567,,,,,570,560</t>
  </si>
  <si>
    <t>2025-05-05 00:47:00,490,,,485,490,,489.5,,,,,500,480</t>
  </si>
  <si>
    <t>2025-05-05 00:47:00,5700,,5700,,5600,,5642.5,,,,,5750,5540</t>
  </si>
  <si>
    <t>2025-05-05 00:47:00,20000,,,19900,20000,,20110,,,,,20000,19700</t>
  </si>
  <si>
    <t>2025-05-05 00:47:00,640096768.033693,-6319826966.28108,0,0,0,0,0,0</t>
  </si>
  <si>
    <t>2025-05-05 00:47:00,1046466865.1086,-2662977647.40737,0,0,0,0,0,0</t>
  </si>
  <si>
    <t>2025-05-05 00:47:00,248289395.813235,1201377.88258662,176.416666666666,10,1896.5885,50.21,-0.0171253359786367,1.1</t>
  </si>
  <si>
    <t>2025-05-05 00:47:00,13565342.3584587,-124628.033277835,0,0,0,0,0,0</t>
  </si>
  <si>
    <t>2025-05-05 00:48:00,575,,,560,575,,567,,,,,570,560</t>
  </si>
  <si>
    <t>2025-05-05 00:48:00,490,,,485,490,,490,,,,,500,480</t>
  </si>
  <si>
    <t>2025-05-05 00:48:00,5700,,5700,,5600,,5642.5,,,,,5750,5540</t>
  </si>
  <si>
    <t>2025-05-05 00:48:00,20000,,,19900,20000,,20110,,,,,20000,19700</t>
  </si>
  <si>
    <t>2025-05-05 00:48:00,624280057.832846,-6440598201.75544,0,0,0,0,0,0</t>
  </si>
  <si>
    <t>2025-05-05 00:48:00,1038588830.9794,-2715842744.18573,0,0,0,0,0,0</t>
  </si>
  <si>
    <t>2025-05-05 00:48:00,246733551.608994,1130683.77215497,128,2,5849.60000000002,91.4,0.0113771166761379,2</t>
  </si>
  <si>
    <t>2025-05-05 00:48:00,13569431.6244145,-124856.075454702,0,0,0,0,0,0</t>
  </si>
  <si>
    <t>2025-05-05 00:49:00,575,,,560,575,,567,,,,,570,560</t>
  </si>
  <si>
    <t>2025-05-05 00:49:00,490,,,485,490,,490,,,,,500,480</t>
  </si>
  <si>
    <t>2025-05-05 00:49:00,5700,,5700,,5600,,5642.5,,,,,5750,5540</t>
  </si>
  <si>
    <t>2025-05-05 00:49:00,20000,,,19900,20000,,20110,,,,,20000,19700</t>
  </si>
  <si>
    <t>2025-05-05 00:49:00,624278674.384886,-6441795613.96295,0,0,0,0,0,0</t>
  </si>
  <si>
    <t>2025-05-05 00:49:00,1034027457.27702,-2747779059.04092,0,0,0,0,0,0</t>
  </si>
  <si>
    <t>2025-05-05 00:49:00,247152089.935952,1079747.99874473,74.3,2,908.426,15.32,-0.000635483030841515,0.24</t>
  </si>
  <si>
    <t>2025-05-05 00:49:00,13574023.5273128,-124985.928035661,0,0,0,0,0,0</t>
  </si>
  <si>
    <t>2025-05-05 00:50:00,575,,,560,575,,567,,,,,570,560</t>
  </si>
  <si>
    <t>2025-05-05 00:50:00,490,,,485,490,,490,,,,,500,480</t>
  </si>
  <si>
    <t>2025-05-05 00:50:00,5700,,5700,,5600,,5667.5,,,,,5750,5540</t>
  </si>
  <si>
    <t>2025-05-05 00:50:00,20000,,,19900,20000,,20110,,,,,20000,19700</t>
  </si>
  <si>
    <t>2025-05-05 00:50:00,577854256.131196,-6821938913.91597,0,0,0,0,0,0</t>
  </si>
  <si>
    <t>2025-05-05 00:50:00,1012911446.15886,-2860893263.86898,0,0,0,0,0,0</t>
  </si>
  <si>
    <t>2025-05-05 00:50:00,250427881.887335,924987.761356867,911.583333333333,22,11473.9248333333,195.94,-0.0100236835716194,4.23</t>
  </si>
  <si>
    <t>2025-05-05 00:50:00,13580258.103079,-125466.234076398,0,0,0,0,0,0</t>
  </si>
  <si>
    <t>2025-05-05 00:51:00,575,,,560,575,,567,,,,,570,560</t>
  </si>
  <si>
    <t>2025-05-05 00:51:00,490,,,485,490,,490,,,,,500,480</t>
  </si>
  <si>
    <t>2025-05-05 00:51:00,5700,,5700,,5600,,5667.5,,,,,5750,5540</t>
  </si>
  <si>
    <t>2025-05-05 00:51:00,20000,,,19900,20000,,20110,,,,,20000,19700</t>
  </si>
  <si>
    <t>2025-05-05 00:51:00,589884669.032043,-6718234513.44056,0,0,0,0,0,0</t>
  </si>
  <si>
    <t>2025-05-05 00:51:00,1026636720.22604,-2802685588.19889,0,0,0,0,0,0</t>
  </si>
  <si>
    <t>2025-05-05 00:51:00,249498262.666399,987494.986284106,647.166666666667,15,10778.0833333334,179.9,0.0175479234272988,3.24</t>
  </si>
  <si>
    <t>2025-05-05 00:51:00,13569631.636366,-125069.582753682,0,0,0,0,0,0</t>
  </si>
  <si>
    <t>2025-05-05 00:52:00,575,,,560,575,,567,,,,,570,560</t>
  </si>
  <si>
    <t>2025-05-05 00:52:00,490,,,485,490,,489.5,,,,,500,480</t>
  </si>
  <si>
    <t>2025-05-05 00:52:00,5700,,5700,,5600,,5642.5,,,,,5750,5540</t>
  </si>
  <si>
    <t>2025-05-05 00:52:00,20000,,,19900,20000,,20110,,,,,20000,19700</t>
  </si>
  <si>
    <t>2025-05-05 00:52:00,621079100.160728,-6470149308.85268,0,0,0,0,0,0</t>
  </si>
  <si>
    <t>2025-05-05 00:52:00,1044942425.96742,-2675800139.83968,0,0,0,0,0,0</t>
  </si>
  <si>
    <t>2025-05-05 00:52:00,247038270.876798,1123008.86076166,4.00000000000001,2,8.60000000000001,4.3,-0.00446590866508975,0.12</t>
  </si>
  <si>
    <t>2025-05-05 00:52:00,13557520.8874524,-124566.295819725,0,0,0,0,0,0</t>
  </si>
  <si>
    <t>2025-05-05 00:53:00,575,,,560,575,,567,,,,,570,560</t>
  </si>
  <si>
    <t>2025-05-05 00:53:00,490,,,485,490,,489.5,,,,,500,480</t>
  </si>
  <si>
    <t>2025-05-05 00:53:00,5700,,5700,,5600,,5642.5,,,,,5750,5540</t>
  </si>
  <si>
    <t>2025-05-05 00:53:00,20000,,,19900,20000,,20110,,,,,20000,19700</t>
  </si>
  <si>
    <t>2025-05-05 00:53:00,646364450.538035,-6282853039.23861,0,0,0,0,0,0</t>
  </si>
  <si>
    <t>2025-05-05 00:53:00,1057661271.67896,-2596509827.7732,0,0,0,0,0,0</t>
  </si>
  <si>
    <t>2025-05-05 00:53:00,248190042.044104,1233483.3648734,746.699999999998,12,20968.654,315.62,0.0393432073990602,7.03</t>
  </si>
  <si>
    <t>2025-05-05 00:53:00,13553559.1079811,-124323.304636226,0,0,0,0,0,0</t>
  </si>
  <si>
    <t>2025-05-05 00:54:00,575,,,560,575,,567,,,,,570,560</t>
  </si>
  <si>
    <t>2025-05-05 00:54:00,490,,,485,490,,489.5,,,,,500,480</t>
  </si>
  <si>
    <t>2025-05-05 00:54:00,5700,,5700,,5600,,5642.5,,,,,5750,5540</t>
  </si>
  <si>
    <t>2025-05-05 00:54:00,20000,,,19900,20000,,20110,,,,,20000,19700</t>
  </si>
  <si>
    <t>2025-05-05 00:54:00,636783389.198732,-6354847586.48876,0,0,0,0,0,0</t>
  </si>
  <si>
    <t>2025-05-05 00:54:00,1055997334.13804,-2606189566.21681,0,0,0,0,0,0</t>
  </si>
  <si>
    <t>2025-05-05 00:54:00,247837673.721498,1191831.12570639,45.3333333333333,1,374,8.25,0.00111448445200049,0.1</t>
  </si>
  <si>
    <t>2025-05-05 00:54:00,13548078.3791107,-124232.785864247,0,0,0,0,0,0</t>
  </si>
  <si>
    <t>2025-05-05 00:55:00,575,,,560,575,,567,,,,,570,560</t>
  </si>
  <si>
    <t>2025-05-05 00:55:00,490,,,485,490,,489.5,,,,,500,480</t>
  </si>
  <si>
    <t>2025-05-05 00:55:00,5700,,5700,,5600,,5642.5,,,,,5750,5540</t>
  </si>
  <si>
    <t>2025-05-05 00:55:00,20000,,,19900,20000,,20110,,,,,20000,19700</t>
  </si>
  <si>
    <t>2025-05-05 00:55:00,636812476.672337,-6356078462.88847,0,0,0,0,0,0</t>
  </si>
  <si>
    <t>2025-05-05 00:55:00,1056032759.36102,-2606974717.40716,0,0,0,0,0,0</t>
  </si>
  <si>
    <t>2025-05-05 00:55:00,248615500.004656,1199784.50965452,3.00000000000001,1,6.45000000000003,2.15,-0.00222917271058483,0.06</t>
  </si>
  <si>
    <t>2025-05-05 00:55:00,13550436.5571688,-124368.486374231,0,0,0,0,0,0</t>
  </si>
  <si>
    <t>2025-05-05 00:56:00,575,,,560,575,,567,,,,,570,560</t>
  </si>
  <si>
    <t>2025-05-05 00:56:00,490,,,485,490,,489.5,,,,,500,480</t>
  </si>
  <si>
    <t>2025-05-05 00:56:00,5700,,5700,,5600,,5642.5,,,,,5750,5540</t>
  </si>
  <si>
    <t>2025-05-05 00:56:00,20000,,,19900,20000,,20110,,,,,20000,19700</t>
  </si>
  <si>
    <t>2025-05-05 00:56:00,621067020.355381,-6477172007.81103,0,0,0,0,0,0</t>
  </si>
  <si>
    <t>2025-05-05 00:56:00,1041803166.16328,-2698449427.72831,0,0,0,0,0,0</t>
  </si>
  <si>
    <t>2025-05-05 00:56:00,246868579.766229,1134125.34545582,260.374999999999,7,5508.52524999997,89.81,-0.00753572193752274,2.43</t>
  </si>
  <si>
    <t>2025-05-05 00:56:00,13564717.614248,-124775.634072864,0,0,0,0,0,0</t>
  </si>
  <si>
    <t>2025-05-05 00:57:00,575,,,560,575,,567,,,,,570,560</t>
  </si>
  <si>
    <t>2025-05-05 00:57:00,490,,,485,490,,489.5,,,,,500,480</t>
  </si>
  <si>
    <t>2025-05-05 00:57:00,5700,,5700,,5600,,5642.5,,,,,5750,5540</t>
  </si>
  <si>
    <t>2025-05-05 00:57:00,20000,,,19900,20000,,20110,,,,,20000,19700</t>
  </si>
  <si>
    <t>2025-05-05 00:57:00,633648866.904893,-6381973962.40951,0,0,0,0,0,0</t>
  </si>
  <si>
    <t>2025-05-05 00:57:00,1050787099.67788,-2638052691.82651,0,0,0,0,0,0</t>
  </si>
  <si>
    <t>2025-05-05 00:57:00,247932489.20159,1194181.45838625,82.6333333333332,3,937.120999999998,19.92,-0.00368293836416918,0.4</t>
  </si>
  <si>
    <t>2025-05-05 00:57:00,13553524.5463894,-124384.518073137,0,0,0,0,0,0</t>
  </si>
  <si>
    <t>2025-05-05 00:58:00,575,,,565,575,,567,,,,,570,560</t>
  </si>
  <si>
    <t>2025-05-05 00:58:00,490,,,485,490,,489.5,,,,,500,480</t>
  </si>
  <si>
    <t>2025-05-05 00:58:00,5700,,5700,,5600,,5642.5,,,,,5750,5540</t>
  </si>
  <si>
    <t>2025-05-05 00:58:00,20000,,,19900,20000,,20110,,,,,20000,19700</t>
  </si>
  <si>
    <t>2025-05-05 00:58:00,665713181.053858,-8022970049.6888,0,0,0,0,0,0</t>
  </si>
  <si>
    <t>2025-05-05 00:58:00,1073164503.77705,-2863354577.05899,0,0,0,0,0,0</t>
  </si>
  <si>
    <t>2025-05-05 00:58:00,245289712.422637,1315100.97997753,671.099999999998,8,19818.1579999999,220.7,0.0211405170276157,5.24</t>
  </si>
  <si>
    <t>2025-05-05 00:58:00,13532774.517389,-123565.309399308,0,0,0,0,0,0</t>
  </si>
  <si>
    <t>2025-05-05 00:59:00,575,,,565,575,,567,,,,,570,560</t>
  </si>
  <si>
    <t>2025-05-05 00:59:00,490,,,485,490,,489.5,,,,,500,480</t>
  </si>
  <si>
    <t>2025-05-05 00:59:00,5700,,5700,,5600,,5662.5,,,,,5750,5540</t>
  </si>
  <si>
    <t>2025-05-05 00:59:00,20000,,,19900,20000,,20110,,,,,20000,19700</t>
  </si>
  <si>
    <t>2025-05-05 00:59:00,655942042.132911,-7845048430.21603,0,0,0,0,0,0</t>
  </si>
  <si>
    <t>2025-05-05 00:59:00,1060519732.40853,-2907329871.21481,0,0,0,0,0,0</t>
  </si>
  <si>
    <t>2025-05-05 00:59:00,246868918.639555,1242155.5655783,1347.06666666667,17,35956.1386666668,413.38,0.028460511261832,9.42</t>
  </si>
  <si>
    <t>2025-05-05 00:59:00,13548592.330122,-124176.175160643,0,0,0,0,0,0</t>
  </si>
  <si>
    <t>2025-05-05 01:00:00,575,,,565,575,,567,,,,,570,560</t>
  </si>
  <si>
    <t>2025-05-05 01:00:00,490,,,485,490,,489.5,,,,,500,480</t>
  </si>
  <si>
    <t>2025-05-05 01:00:00,5700,,5700,,5600,,5642.5,,,,,5750,5540</t>
  </si>
  <si>
    <t>2025-05-05 01:00:00,20000,,,19900,20000,,20110,,,,,20000,19700</t>
  </si>
  <si>
    <t>2025-05-05 01:00:00,760162294.762055,-6994426645.87426,0,0,0,0,0,0</t>
  </si>
  <si>
    <t>2025-05-05 01:00:00,1135195020.17879,-2419954427.59098,0,0,0,0,0,0</t>
  </si>
  <si>
    <t>2025-05-05 01:00:00,242804387.102164,1685796.02570968,1168.58571428572,30,9743.84852380953,254.23,0.0111229700234146,4.53</t>
  </si>
  <si>
    <t>2025-05-05 01:00:00,13484069.7186716,-122072.223258762,0,0,0,0,0,0</t>
  </si>
  <si>
    <t>2025-05-05 01:01:00,575,,,565,575,,567,,,,,570,560</t>
  </si>
  <si>
    <t>2025-05-05 01:01:00,490,,,485,490,,489.5,,,,,500,480</t>
  </si>
  <si>
    <t>2025-05-05 01:01:00,5700,,5700,,5600,,5642.5,,,,,5750,5540</t>
  </si>
  <si>
    <t>2025-05-05 01:01:00,20000,,,19900,20000,,20110,,,,,20000,19700</t>
  </si>
  <si>
    <t>2025-05-05 01:01:00,767074793.521176,-6982333754.23204,0,0,0,0,0,0</t>
  </si>
  <si>
    <t>2025-05-05 01:01:00,1127160192.21166,-2475539555.74846,0,0,0,0,0,0</t>
  </si>
  <si>
    <t>2025-05-05 01:01:00,241922634.25356,1893040.60271026,2108.21515151515,64,37761.2123939394,1056.79,-0.0174771301313946,20.98</t>
  </si>
  <si>
    <t>2025-05-05 01:01:00,13486669.3876055,-122051.198564735,0,0,0,0,0,0</t>
  </si>
  <si>
    <t>2025-05-05 01:02:00,575,,,565,575,,567,,,,,570,560</t>
  </si>
  <si>
    <t>2025-05-05 01:02:00,490,,,485,490,,489.5,,,,,500,480</t>
  </si>
  <si>
    <t>2025-05-05 01:02:00,5700,,5700,,5600,,5642.5,,,,,5750,5540</t>
  </si>
  <si>
    <t>2025-05-05 01:02:00,20000,,,19900,20000,,20110,,,,,20000,19700</t>
  </si>
  <si>
    <t>2025-05-05 01:02:00,795577142.035175,-6680679503.54505,0,0,0,0,0,0</t>
  </si>
  <si>
    <t>2025-05-05 01:02:00,1135490335.34595,-2419880516.01169,0,0,0,0,0,0</t>
  </si>
  <si>
    <t>2025-05-05 01:02:00,240754641.13279,2016474.08245816,923.533333333332,15,20745.215,278.79,0.0504253460536808,5.61</t>
  </si>
  <si>
    <t>2025-05-05 01:02:00,13473009.3130634,-121692.359915925,0,0,0,0,0,0</t>
  </si>
  <si>
    <t>2025-05-05 01:03:00,575,,,565,575,,567,,,,,570,560</t>
  </si>
  <si>
    <t>2025-05-05 01:03:00,490,,,485,490,,489.5,,,,,500,480</t>
  </si>
  <si>
    <t>2025-05-05 01:03:00,5700,,5700,,5600,,5662.5,,,,,5750,5540</t>
  </si>
  <si>
    <t>2025-05-05 01:03:00,20000,,,19900,20000,,20110,,,,,20000,19700</t>
  </si>
  <si>
    <t>2025-05-05 01:03:00,805247157.092573,-6583503431.36374,0,0,0,0,0,0</t>
  </si>
  <si>
    <t>2025-05-05 01:03:00,1140267917.5595,-2395824858.88517,0,0,0,0,0,0</t>
  </si>
  <si>
    <t>2025-05-05 01:03:00,240661768.1978,2082899.32779593,1471.66666666667,22,29730.6623333333,507.77,0.0958725847068762,9.3</t>
  </si>
  <si>
    <t>2025-05-05 01:03:00,13474276.258532,-121623.576081714,0,0,0,0,0,0</t>
  </si>
  <si>
    <t>2025-05-05 01:04:00,575,,,565,575,,567,,,,,570,560</t>
  </si>
  <si>
    <t>2025-05-05 01:04:00,490,,,485,490,,489.5,,,,,500,480</t>
  </si>
  <si>
    <t>2025-05-05 01:04:00,5700,,5700,,5600,,5662.5,,,,,5750,5540</t>
  </si>
  <si>
    <t>2025-05-05 01:04:00,20000,,,19900,20000,,20110,,,,,20000,19700</t>
  </si>
  <si>
    <t>2025-05-05 01:04:00,803291226.200076,-6591660702.963,0,0,0,0,0,0</t>
  </si>
  <si>
    <t>2025-05-05 01:04:00,1127015779.83678,-2476939099.31343,0,0,0,0,0,0</t>
  </si>
  <si>
    <t>2025-05-05 01:04:00,241319514.263763,1982894.86987723,930.791666666666,18,12069.49275,207,0.025923850273734,3.59</t>
  </si>
  <si>
    <t>2025-05-05 01:04:00,13482180.9902376,-121905.82568808,0,0,0,0,0,0</t>
  </si>
  <si>
    <t>2025-05-05 01:05:00,575,,,565,575,,567,,,,,570,560</t>
  </si>
  <si>
    <t>2025-05-05 01:05:00,490,,,485,490,,489.5,,,,,500,480</t>
  </si>
  <si>
    <t>2025-05-05 01:05:00,5700,,5700,,5600,,5662.5,,,,,5750,5540</t>
  </si>
  <si>
    <t>2025-05-05 01:05:00,20000,,,19900,20000,,20110,,,,,20000,19700</t>
  </si>
  <si>
    <t>2025-05-05 01:05:00,798440659.593188,-6651122942.51363,0,0,0,0,0,0</t>
  </si>
  <si>
    <t>2025-05-05 01:05:00,1117280219.99549,-2545478268.80956,0,0,0,0,0,0</t>
  </si>
  <si>
    <t>2025-05-05 01:05:00,240935589.427885,2078488.20066407,1069.83333333333,15,11664.465,201.89,0.0457311130822156,3.27</t>
  </si>
  <si>
    <t>2025-05-05 01:05:00,13494988.4304094,-122215.51261167,0,0,0,0,0,0</t>
  </si>
  <si>
    <t>2025-05-05 01:06:00,575,,,565,575,,567,,,,,570,560</t>
  </si>
  <si>
    <t>2025-05-05 01:06:00,490,,,485,490,,489.5,,,,,500,480</t>
  </si>
  <si>
    <t>2025-05-05 01:06:00,5700,,5700,,5600,,5662.5,,,,,5750,5540</t>
  </si>
  <si>
    <t>2025-05-05 01:06:00,20000,,,19900,20000,,20110,,,,,20000,19700</t>
  </si>
  <si>
    <t>2025-05-05 01:06:00,732027950.552831,-7381560182.27787,0,0,0,0,0,0</t>
  </si>
  <si>
    <t>2025-05-05 01:06:00,1078144700.37389,-2832003107.80242,0,0,0,0,0,0</t>
  </si>
  <si>
    <t>2025-05-05 01:06:00,243301754.721879,1683447.49797416,1628.9,31,19804.399,300.02,0.0273438233163383,5.28</t>
  </si>
  <si>
    <t>2025-05-05 01:06:00,13537941.0422676,-123610.050407121,0,0,0,0,0,0</t>
  </si>
  <si>
    <t>2025-05-05 01:07:00,575,,,565,575,,567,,,,,570,560</t>
  </si>
  <si>
    <t>2025-05-05 01:07:00,490,,,485,490,,489.5,,,,,500,480</t>
  </si>
  <si>
    <t>2025-05-05 01:07:00,5700,,5700,,5600,,5662.5,,,,,5750,5540</t>
  </si>
  <si>
    <t>2025-05-05 01:07:00,20000,,,19900,20000,,20110,,,,,20000,19700</t>
  </si>
  <si>
    <t>2025-05-05 01:07:00,773046497.448258,-6920369831.65869,0,0,0,0,0,0</t>
  </si>
  <si>
    <t>2025-05-05 01:07:00,1110746532.1772,-2592586923.78929,0,0,0,0,0,0</t>
  </si>
  <si>
    <t>2025-05-05 01:07:00,241999229.95695,1986254.2122739,814.969709639954,41,38599.0377133566,3159.05,0.0394000360437441,24.38</t>
  </si>
  <si>
    <t>2025-05-05 01:07:00,13503647.251536,-122503.78531818,0,0,0,0,0,0</t>
  </si>
  <si>
    <t>2025-05-05 01:08:00,575,,,565,575,,567,,,,,570,560</t>
  </si>
  <si>
    <t>2025-05-05 01:08:00,490,,,485,490,,489.5,,,,,500,480</t>
  </si>
  <si>
    <t>2025-05-05 01:08:00,5700,,5700,,5600,,5662.5,,,,,5750,5540</t>
  </si>
  <si>
    <t>2025-05-05 01:08:00,20000,,,19900,20000,,20110,,,,,20000,19700</t>
  </si>
  <si>
    <t>2025-05-05 01:08:00,766660431.681229,-6990480390.02398,0,0,0,0,0,0</t>
  </si>
  <si>
    <t>2025-05-05 01:08:00,1097602383.91413,-2688492683.12129,0,0,0,0,0,0</t>
  </si>
  <si>
    <t>2025-05-05 01:08:00,241225457.23366,1929755.30591982,400.800000000001,9,6710.91000000002,109.65,0.0060885475432006,2.23</t>
  </si>
  <si>
    <t>2025-05-05 01:08:00,13504310.3613922,-122482.038170994,0,0,0,0,0,0</t>
  </si>
  <si>
    <t>2025-05-05 01:09:00,575,,,565,575,,567,,,,,570,560</t>
  </si>
  <si>
    <t>2025-05-05 01:09:00,490,,,485,490,,489.5,,,,,500,480</t>
  </si>
  <si>
    <t>2025-05-05 01:09:00,5700,,5700,,5600,,5662.5,,,,,5750,5540</t>
  </si>
  <si>
    <t>2025-05-05 01:09:00,20000,,,19900,20000,,20110,,,,,20000,19700</t>
  </si>
  <si>
    <t>2025-05-05 01:09:00,741291695.846332,-7275426561.47443,0,0,0,0,0,0</t>
  </si>
  <si>
    <t>2025-05-05 01:09:00,1097633540.9717,-2689144503.63007,0,0,0,0,0,0</t>
  </si>
  <si>
    <t>2025-05-05 01:09:00,243175397.769377,1792334.34047283,1393.3,29,19048.3495,346.24,0.0247728616186369,6.32</t>
  </si>
  <si>
    <t>2025-05-05 01:09:00,13515663.9601303,-122991.303693488,0,0,0,0,0,0</t>
  </si>
  <si>
    <t>2025-05-05 01:10:00,575,,,565,575,,567,,,,,570,560</t>
  </si>
  <si>
    <t>2025-05-05 01:10:00,490,,,485,490,,489.5,,,,,500,480</t>
  </si>
  <si>
    <t>2025-05-05 01:10:00,5700,,5700,,5600,,5662.5,,,,,5750,5540</t>
  </si>
  <si>
    <t>2025-05-05 01:10:00,20000,,,19900,20000,,20110,,,,,20000,19700</t>
  </si>
  <si>
    <t>2025-05-05 01:10:00,750747356.307891,-7167967493.89556,0,0,0,0,0,0</t>
  </si>
  <si>
    <t>2025-05-05 01:10:00,1112373496.64322,-2581916360.72321,0,0,0,0,0,0</t>
  </si>
  <si>
    <t>2025-05-05 01:10:00,242169415.63688,1847762.74439244,772.05,13,13580.924,206.49,0.0375520568412409,3.57</t>
  </si>
  <si>
    <t>2025-05-05 01:10:00,13495973.0189601,-122475.258227222,0,0,0,0,0,0</t>
  </si>
  <si>
    <t>2025-05-05 01:11:00,575,,,565,575,,567,,,,,570,560</t>
  </si>
  <si>
    <t>2025-05-05 01:11:00,490,,,485,490,,489.5,,,,,500,480</t>
  </si>
  <si>
    <t>2025-05-05 01:11:00,5700,,5700,,5600,,5662.5,,,,,5750,5540</t>
  </si>
  <si>
    <t>2025-05-05 01:11:00,20000,,,19900,20000,,20110,,,,,20000,19700</t>
  </si>
  <si>
    <t>2025-05-05 01:11:00,722689283.114022,-7498485944.31644,0,0,0,0,0,0</t>
  </si>
  <si>
    <t>2025-05-05 01:11:00,1094449683.26098,-2713640676.68005,0,0,0,0,0,0</t>
  </si>
  <si>
    <t>2025-05-05 01:11:00,243090508.768382,1730269.75030626,558.533333333333,14,13064.7023333333,192.91,0.01331986987393,3.64</t>
  </si>
  <si>
    <t>2025-05-05 01:11:00,13517031.7966188,-123056.52918511,0,0,0,0,0,0</t>
  </si>
  <si>
    <t>2025-05-05 01:12:00,575,,,565,575,,567,,,,,570,560</t>
  </si>
  <si>
    <t>2025-05-05 01:12:00,490,,,485,490,,489.5,,,,,500,480</t>
  </si>
  <si>
    <t>2025-05-05 01:12:00,5700,,5700,,5600,,5662.5,,,,,5750,5540</t>
  </si>
  <si>
    <t>2025-05-05 01:12:00,20000,,,19900,20000,,20110,,,,,20000,19700</t>
  </si>
  <si>
    <t>2025-05-05 01:12:00,725552239.539318,-7461865645.67704,0,0,0,0,0,0</t>
  </si>
  <si>
    <t>2025-05-05 01:12:00,1097733640.7759,-2689842574.91901,0,0,0,0,0,0</t>
  </si>
  <si>
    <t>2025-05-05 01:12:00,243572015.124272,1721410.13649276,128.033333333334,6,2638.03366666667,53.76,-0.000365825199526489,1.08</t>
  </si>
  <si>
    <t>2025-05-05 01:12:00,13514508.0115712,-123063.240904014,0,0,0,0,0,0</t>
  </si>
  <si>
    <t>2025-05-05 01:13:00,575,,,565,575,,567,,,,,570,560</t>
  </si>
  <si>
    <t>2025-05-05 01:13:00,490,,,485,490,,489.5,,,,,500,480</t>
  </si>
  <si>
    <t>2025-05-05 01:13:00,5700,,5700,,5600,,5662.5,,,,,5750,5540</t>
  </si>
  <si>
    <t>2025-05-05 01:13:00,20000,,,19900,20000,,20110,,,,,20000,19700</t>
  </si>
  <si>
    <t>2025-05-05 01:13:00,738205616.807424,-7316574650.79549,0,0,0,0,0,0</t>
  </si>
  <si>
    <t>2025-05-05 01:13:00,1099430415.87252,-2677855217.42228,0,0,0,0,0,0</t>
  </si>
  <si>
    <t>2025-05-05 01:13:00,242155589.253619,1851897.41640967,321.600000000001,9,2987.96600000001,50.78,-0.00651588916776844,0.95</t>
  </si>
  <si>
    <t>2025-05-05 01:13:00,13510626.6268368,-122782.308893534,0,0,0,0,0,0</t>
  </si>
  <si>
    <t>2025-05-05 01:14:00,575,,,565,575,,567,,,,,570,560</t>
  </si>
  <si>
    <t>2025-05-05 01:14:00,490,,,485,490,,489.5,,,,,500,480</t>
  </si>
  <si>
    <t>2025-05-05 01:14:00,5700,,5700,,5600,,5662.5,,,,,5750,5540</t>
  </si>
  <si>
    <t>2025-05-05 01:14:00,20000,,,19900,20000,,20110,,,,,20000,19700</t>
  </si>
  <si>
    <t>2025-05-05 01:14:00,766708055.220489,-6997033934.6635,0,0,0,0,0,0</t>
  </si>
  <si>
    <t>2025-05-05 01:14:00,1120675814.60336,-2524929330.96699,0,0,0,0,0,0</t>
  </si>
  <si>
    <t>2025-05-05 01:14:00,241561702.829543,1954494.38843198,1066.075,16,22127.6305833334,368.8,0.0627174164769957,7.56</t>
  </si>
  <si>
    <t>2025-05-05 01:14:00,13492990.1152759,-122326.646730602,0,0,0,0,0,0</t>
  </si>
  <si>
    <t>2025-05-05 01:15:00,575,,,565,575,,567,,,,,570,560</t>
  </si>
  <si>
    <t>2025-05-05 01:15:00,490,,,485,490,,489.5,,,,,500,480</t>
  </si>
  <si>
    <t>2025-05-05 01:15:00,5700,,5700,,5600,,5662.5,,,,,5750,5540</t>
  </si>
  <si>
    <t>2025-05-05 01:15:00,20000,,,19900,20000,,20110,,,,,20000,19700</t>
  </si>
  <si>
    <t>2025-05-05 01:15:00,788844408.361125,-6760729375.3725,0,0,0,0,0,0</t>
  </si>
  <si>
    <t>2025-05-05 01:15:00,1135496739.29421,-2424019789.52885,0,0,0,0,0,0</t>
  </si>
  <si>
    <t>2025-05-05 01:15:00,241279768.958133,2066027.00690623,415.416666666666,8,4551.51916666666,84.79,0.0139912652576758,1.42</t>
  </si>
  <si>
    <t>2025-05-05 01:15:00,13469381.1956034,-121734.523508096,0,0,0,0,0,0</t>
  </si>
  <si>
    <t>2025-05-05 01:16:00,575,,,565,575,,567,,,,,570,560</t>
  </si>
  <si>
    <t>2025-05-05 01:16:00,490,,,485,490,,489.5,,,,,500,480</t>
  </si>
  <si>
    <t>2025-05-05 01:16:00,5700,,5700,,5600,,5662.5,,,,,5750,5540</t>
  </si>
  <si>
    <t>2025-05-05 01:16:00,20000,,,19900,20000,,20110,,,,,20000,19700</t>
  </si>
  <si>
    <t>2025-05-05 01:16:00,798241567.78526,-6665525870.80625,0,0,0,0,0,0</t>
  </si>
  <si>
    <t>2025-05-05 01:16:00,1129001461.41085,-2468601506.05782,0,0,0,0,0,0</t>
  </si>
  <si>
    <t>2025-05-05 01:16:00,241398231.720818,2162091.21005196,1117.03333333333,13,21010.3886666667,255.48,0.0498896702019537,5.13</t>
  </si>
  <si>
    <t>2025-05-05 01:16:00,13486506.4388291,-122054.926674477,0,0,0,0,0,0</t>
  </si>
  <si>
    <t>2025-05-05 01:17:00,575,,,565,575,,567,,,,,570,560</t>
  </si>
  <si>
    <t>2025-05-05 01:17:00,490,,,485,490,,489.5,,,,,500,480</t>
  </si>
  <si>
    <t>2025-05-05 01:17:00,5700,,5700,,5600,,5662.5,,,,,5750,5540</t>
  </si>
  <si>
    <t>2025-05-05 01:17:00,20000,,,19900,20000,,20110,,,,,20000,19700</t>
  </si>
  <si>
    <t>2025-05-05 01:17:00,747687388.616765,-7211582369.93277,0,0,0,0,0,0</t>
  </si>
  <si>
    <t>2025-05-05 01:17:00,1102695683.31765,-2655231665.34897,0,0,0,0,0,0</t>
  </si>
  <si>
    <t>2025-05-05 01:17:00,241905277.666004,1916845.14814465,4151.23333333333,64,40843.9716666666,621.27,0.10502950259134,9.45</t>
  </si>
  <si>
    <t>2025-05-05 01:17:00,13503491.0620931,-122756.351843097,0,0,0,0,0,0</t>
  </si>
  <si>
    <t>2025-05-05 01:18:00,575,,,565,575,,567,,,,,570,560</t>
  </si>
  <si>
    <t>2025-05-05 01:18:00,490,,,485,490,,489.5,,,,,500,480</t>
  </si>
  <si>
    <t>2025-05-05 01:18:00,5700,,5700,,5600,,5662.5,,,,,5750,5540</t>
  </si>
  <si>
    <t>2025-05-05 01:18:00,20000,,,19900,20000,,20110,,,,,20000,19700</t>
  </si>
  <si>
    <t>2025-05-05 01:18:00,754118672.260101,-7141926295.26674,0,0,0,0,0,0</t>
  </si>
  <si>
    <t>2025-05-05 01:18:00,1109139268.58862,-2607814076.26736,0,0,0,0,0,0</t>
  </si>
  <si>
    <t>2025-05-05 01:18:00,241585953.085541,1952907.52062277,311,3,3377.725,51.6,0.015674416458264,0.75</t>
  </si>
  <si>
    <t>2025-05-05 01:18:00,13500535.1453249,-122589.104922587,0,0,0,0,0,0</t>
  </si>
  <si>
    <t>2025-05-05 01:19:00,575,,,565,575,,567,,,,,570,560</t>
  </si>
  <si>
    <t>2025-05-05 01:19:00,490,,,485,490,,489.5,,,,,500,480</t>
  </si>
  <si>
    <t>2025-05-05 01:19:00,5700,,5700,,5600,,5662.5,,,,,5750,5540</t>
  </si>
  <si>
    <t>2025-05-05 01:19:00,20000,,,19900,20000,,20110,,,,,20000,19700</t>
  </si>
  <si>
    <t>2025-05-05 01:19:00,772937114.739832,-6933295058.25735,0,0,0,0,0,0</t>
  </si>
  <si>
    <t>2025-05-05 01:19:00,1119066993.57373,-2537781620.07417,0,0,0,0,0,0</t>
  </si>
  <si>
    <t>2025-05-05 01:19:00,241993448.023028,2042563.6976324,401.983333333333,7,6956.16383333332,105.47,0.0204017869025234,1.83</t>
  </si>
  <si>
    <t>2025-05-05 01:19:00,13487737.5966004,-122245.228636946,0,0,0,0,0,0</t>
  </si>
  <si>
    <t>2025-05-05 01:20:00,575,,,565,575,,567,,,,,570,560</t>
  </si>
  <si>
    <t>2025-05-05 01:20:00,490,,,485,490,,489.5,,,,,500,480</t>
  </si>
  <si>
    <t>2025-05-05 01:20:00,5700,,5700,,5600,,5662.5,,,,,5750,5540</t>
  </si>
  <si>
    <t>2025-05-05 01:20:00,20000,,,19900,20000,,20110,,,,,20000,19700</t>
  </si>
  <si>
    <t>2025-05-05 01:20:00,760269939.782928,-7073923842.98119,0,0,0,0,0,0</t>
  </si>
  <si>
    <t>2025-05-05 01:20:00,1110931675.02967,-2596417742.63119,0,0,0,0,0,0</t>
  </si>
  <si>
    <t>2025-05-05 01:20:00,241075692.310516,1989555.05334696,393.433333333333,28,3621.80566666667,115.2,-0.0547963870634549,2.79</t>
  </si>
  <si>
    <t>2025-05-05 01:20:00,13498267.0172934,-122572.121011331,0,0,0,0,0,0</t>
  </si>
  <si>
    <t>2025-05-05 01:21:00,575,,,565,575,,567,,,,,570,560</t>
  </si>
  <si>
    <t>2025-05-05 01:21:00,490,,,485,490,,489.5,,,,,500,480</t>
  </si>
  <si>
    <t>2025-05-05 01:21:00,5700,,5700,,5600,,5662.5,,,,,5750,5540</t>
  </si>
  <si>
    <t>2025-05-05 01:21:00,20000,,,19900,20000,,20110,,,,,20000,19700</t>
  </si>
  <si>
    <t>2025-05-05 01:21:00,757168285.922917,-7108947266.83244,0,0,0,0,0,0</t>
  </si>
  <si>
    <t>2025-05-05 01:21:00,1102277327.42342,-2668055282.07618,0,0,0,0,0,0</t>
  </si>
  <si>
    <t>2025-05-05 01:21:00,241311551.453136,1948583.0683039,1083.35,24,14324.2545,239.86,-0.00106498634232663,4.78</t>
  </si>
  <si>
    <t>2025-05-05 01:21:00,13508668.5518952,-122812.984637375,0,0,0,0,0,0</t>
  </si>
  <si>
    <t>2025-05-05 01:22:00,575,,,565,575,,567,,,,,570,560</t>
  </si>
  <si>
    <t>2025-05-05 01:22:00,490,,,485,490,,489.5,,,,,500,480</t>
  </si>
  <si>
    <t>2025-05-05 01:22:00,5700,,5700,,5600,,5662.5,,,,,5750,5540</t>
  </si>
  <si>
    <t>2025-05-05 01:22:00,20000,,,19900,20000,,20110,,,,,20000,19700</t>
  </si>
  <si>
    <t>2025-05-05 01:22:00,769745459.161246,-6971093638.1338,0,0,0,0,0,0</t>
  </si>
  <si>
    <t>2025-05-05 01:22:00,1104359968.26809,-2644599293.89033,0,0,0,0,0,0</t>
  </si>
  <si>
    <t>2025-05-05 01:22:00,242128537.48734,2013638.09958298,248.581818181819,7,3439.77936363637,114.81,-0.00436380260396064,2.12</t>
  </si>
  <si>
    <t>2025-05-05 01:22:00,13505932.0343232,-122759.726275774,0,0,0,0,0,0</t>
  </si>
  <si>
    <t>2025-05-05 01:23:00,575,,,565,575,,567,,,,,570,560</t>
  </si>
  <si>
    <t>2025-05-05 01:23:00,490,,,485,490,,489.5,,,,,500,480</t>
  </si>
  <si>
    <t>2025-05-05 01:23:00,5700,,5700,,5600,,5662.5,,,,,5750,5540</t>
  </si>
  <si>
    <t>2025-05-05 01:23:00,20000,,,19900,20000,,20110,,,,,20000,19700</t>
  </si>
  <si>
    <t>2025-05-05 01:23:00,772991024.215823,-6938542378.36343,0,0,0,0,0,0</t>
  </si>
  <si>
    <t>2025-05-05 01:23:00,1110880072.06137,-2597423090.33552,0,0,0,0,0,0</t>
  </si>
  <si>
    <t>2025-05-05 01:23:00,241759788.04782,2101441.14735177,552.583333333333,9,18536.9883333333,251.24,0.0275113778152025,4.95</t>
  </si>
  <si>
    <t>2025-05-05 01:23:00,13504195.1212252,-122592.931319985,0,0,0,0,0,0</t>
  </si>
  <si>
    <t>2025-05-05 01:24:00,575,,,565,575,,567,,,,,570,560</t>
  </si>
  <si>
    <t>2025-05-05 01:24:00,490,,,485,490,,489.5,,,,,500,480</t>
  </si>
  <si>
    <t>2025-05-05 01:24:00,5700,,5700,,5600,,5662.5,,,,,5750,5540</t>
  </si>
  <si>
    <t>2025-05-05 01:24:00,20000,,,19900,20000,,20110,,,,,20000,19700</t>
  </si>
  <si>
    <t>2025-05-05 01:24:00,772905884.439096,-6939118296.3063,0,0,0,0,0,0</t>
  </si>
  <si>
    <t>2025-05-05 01:24:00,1112625899.46483,-2585664096.34763,0,0,0,0,0,0</t>
  </si>
  <si>
    <t>2025-05-05 01:24:00,241654447.578603,2139275.0580587,904.124999999998,13,16047.47675,270.1,0.0280072352171957,4.69</t>
  </si>
  <si>
    <t>2025-05-05 01:24:00,13502194.9616622,-122583.299804702,0,0,0,0,0,0</t>
  </si>
  <si>
    <t>2025-05-05 01:25:00,575,,,565,575,,567,,,,,570,560</t>
  </si>
  <si>
    <t>2025-05-05 01:25:00,490,,,485,490,,489.5,,,,,500,480</t>
  </si>
  <si>
    <t>2025-05-05 01:25:00,5700,,5700,,5600,,5662.5,,,,,5750,5540</t>
  </si>
  <si>
    <t>2025-05-05 01:25:00,20000,,,19900,20000,,20110,,,,,20000,19700</t>
  </si>
  <si>
    <t>2025-05-05 01:25:00,772959103.841114,-6940585743.31963,0,0,0,0,0,0</t>
  </si>
  <si>
    <t>2025-05-05 01:25:00,1106028054.75011,-2633513123.20032,0,0,0,0,0,0</t>
  </si>
  <si>
    <t>2025-05-05 01:25:00,241940035.922296,2105943.11177704,658.250000000001,6,8622.86450000002,82.84,0.0164095395778928,1.6</t>
  </si>
  <si>
    <t>2025-05-05 01:25:00,13500547.9463197,-122578.489862943,0,0,0,0,0,0</t>
  </si>
  <si>
    <t>2025-05-05 01:26:00,575,,,565,575,,567,,,,,570,560</t>
  </si>
  <si>
    <t>2025-05-05 01:26:00,490,,,485,490,,489.5,,,,,500,480</t>
  </si>
  <si>
    <t>2025-05-05 01:26:00,5700,,5700,,5600,,5662.5,,,,,5750,5540</t>
  </si>
  <si>
    <t>2025-05-05 01:26:00,20000,,,19900,20000,,20110,,,,,20000,19700</t>
  </si>
  <si>
    <t>2025-05-05 01:26:00,804546879.349159,-6612336123.5799,0,0,0,0,0,0</t>
  </si>
  <si>
    <t>2025-05-05 01:26:00,1117490027.08825,-2551479008.02303,0,0,0,0,0,0</t>
  </si>
  <si>
    <t>2025-05-05 01:26:00,240781945.789901,2254596.57692187,1382.425,29,15179.4362499999,324.44,-0.00491897170051517,6.78</t>
  </si>
  <si>
    <t>2025-05-05 01:26:00,13494856.7814371,-122249.872343734,0,0,0,0,0,0</t>
  </si>
  <si>
    <t>2025-05-05 01:27:00,575,,,565,575,,567,,,,,570,560</t>
  </si>
  <si>
    <t>2025-05-05 01:27:00,490,,,485,490,,489.5,,,,,500,480</t>
  </si>
  <si>
    <t>2025-05-05 01:27:00,5700,,5700,,5600,,5662.5,,,,,5750,5540</t>
  </si>
  <si>
    <t>2025-05-05 01:27:00,20000,,,19900,20000,,20110,,,,,20000,19700</t>
  </si>
  <si>
    <t>2025-05-05 01:27:00,798142717.620564,-6677226780.18972,0,0,0,0,0,0</t>
  </si>
  <si>
    <t>2025-05-05 01:27:00,1119213493.75142,-2539953888.39047,0,0,0,0,0,0</t>
  </si>
  <si>
    <t>2025-05-05 01:27:00,241167513.177498,2227083.36333295,793.833333333333,18,8210.53766666667,140.02,0.017345655768892,2.4</t>
  </si>
  <si>
    <t>2025-05-05 01:27:00,13487865.6577595,-122186.564857332,0,0,0,0,0,0</t>
  </si>
  <si>
    <t>2025-05-05 01:28:00,575,,,565,575,,567,,,,,570,560</t>
  </si>
  <si>
    <t>2025-05-05 01:28:00,490,,,485,490,,489.5,,,,,500,480</t>
  </si>
  <si>
    <t>2025-05-05 01:28:00,5700,,5700,,5600,,5662.5,,,,,5750,5540</t>
  </si>
  <si>
    <t>2025-05-05 01:28:00,20000,,,19900,20000,,20110,,,,,20000,19700</t>
  </si>
  <si>
    <t>2025-05-05 01:28:00,798174105.269197,-6677470503.91242,0,0,0,0,0,0</t>
  </si>
  <si>
    <t>2025-05-05 01:28:00,1122447559.45039,-2517495246.80924,0,0,0,0,0,0</t>
  </si>
  <si>
    <t>2025-05-05 01:28:00,241282677.717891,2227012.5643063,226.25,4,3397.8375,57.9,0.015528623553526,0.93</t>
  </si>
  <si>
    <t>2025-05-05 01:28:00,13490956.9832786,-122215.422325391,0,0,0,0,0,0</t>
  </si>
  <si>
    <t>2025-05-05 01:29:00,575,,,565,575,,567,,,,,570,560</t>
  </si>
  <si>
    <t>2025-05-05 01:29:00,490,,,485,490,,489.5,,,,,500,480</t>
  </si>
  <si>
    <t>2025-05-05 01:29:00,5700,,5700,,5600,,5662.5,,,,,5750,5540</t>
  </si>
  <si>
    <t>2025-05-05 01:29:00,20000,,,19900,20000,,20110,,,,,20000,19700</t>
  </si>
  <si>
    <t>2025-05-05 01:29:00,798151135.637987,-6678163692.73983,0,0,0,0,0,0</t>
  </si>
  <si>
    <t>2025-05-05 01:29:00,1114185136.11944,-2575490039.58993,0,0,0,0,0,0</t>
  </si>
  <si>
    <t>2025-05-05 01:29:00,241520349.649588,2232233.75927302,877.516666666668,10,13708.9218333333,174.47,0.0388004001029398,3.19</t>
  </si>
  <si>
    <t>2025-05-05 01:29:00,13497539.5597229,-122443.826184428,0,0,0,0,0,0</t>
  </si>
  <si>
    <t>2025-05-05 01:30:00,575,,,565,575,,567,,,,,570,560</t>
  </si>
  <si>
    <t>2025-05-05 01:30:00,490,,,485,490,,489.5,,,,,500,480</t>
  </si>
  <si>
    <t>2025-05-05 01:30:00,5700,,5700,,5600,,5662.5,,,,,5750,5540</t>
  </si>
  <si>
    <t>2025-05-05 01:30:00,20000,,,19900,20000,,20110,,,,,20000,19700</t>
  </si>
  <si>
    <t>2025-05-05 01:30:00,820201945.001042,-6459305821.67642,0,0,0,0,0,0</t>
  </si>
  <si>
    <t>2025-05-05 01:30:00,1132335288.17181,-2450669596.12378,0,0,0,0,0,0</t>
  </si>
  <si>
    <t>2025-05-05 01:30:00,239736716.399448,2381652.26908927,326.133333333333,7,3570.26166666667,66.18,0.0145970345261759,1.17</t>
  </si>
  <si>
    <t>2025-05-05 01:30:00,13476051.4666516,-121824.985303716,0,0,0,0,0,0</t>
  </si>
  <si>
    <t>2025-05-05 01:31:00,575,,,565,575,,567,,,,,570,560</t>
  </si>
  <si>
    <t>2025-05-05 01:31:00,490,,,485,490,,489.5,,,,,500,480</t>
  </si>
  <si>
    <t>2025-05-05 01:31:00,5700,,5700,,5600,,5662.5,,,,,5750,5540</t>
  </si>
  <si>
    <t>2025-05-05 01:31:00,20000,,,19900,20000,,20110,,,,,20000,19700</t>
  </si>
  <si>
    <t>2025-05-05 01:31:00,804452956.685892,-6615830317.47159,0,0,0,0,0,0</t>
  </si>
  <si>
    <t>2025-05-05 01:31:00,1122536644.37095,-2518320499.21606,0,0,0,0,0,0</t>
  </si>
  <si>
    <t>2025-05-05 01:31:00,241275623.039549,2264563.2267883,944.05,15,15931.6491666666,272.97,0.0564769600789872,4.79</t>
  </si>
  <si>
    <t>2025-05-05 01:31:00,13492243.9425865,-122275.7972366,0,0,0,0,0,0</t>
  </si>
  <si>
    <t>2025-05-05 01:32:00,575,,,565,575,,567,,,,,570,560</t>
  </si>
  <si>
    <t>2025-05-05 01:32:00,490,,,485,490,,489.5,,,,,500,480</t>
  </si>
  <si>
    <t>2025-05-05 01:32:00,5700,,5700,,5600,,5662.5,,,,,5750,5540</t>
  </si>
  <si>
    <t>2025-05-05 01:32:00,20000,,,19900,20000,,20110,,,,,20000,19700</t>
  </si>
  <si>
    <t>2025-05-05 01:32:00,851437371.741379,-6163895671.98579,0,0,0,0,0,0</t>
  </si>
  <si>
    <t>2025-05-05 01:32:00,1138992274.4772,-2407498789.05202,0,0,0,0,0,0</t>
  </si>
  <si>
    <t>2025-05-05 01:32:00,238727755.477971,2435604.8383227,917.983333333333,30,13120.9841666667,321.1,-0.0136351563514159,7.23</t>
  </si>
  <si>
    <t>2025-05-05 01:32:00,13464315.9981108,-121437.190150363,0,0,0,0,0,0</t>
  </si>
  <si>
    <t>2025-05-05 01:33:00,575,,,565,575,,567,,,,,570,560</t>
  </si>
  <si>
    <t>2025-05-05 01:33:00,490,,,485,490,,489.5,,,,,500,480</t>
  </si>
  <si>
    <t>2025-05-05 01:33:00,5700,,5700,,5600,,5662.5,,,,,5750,5540</t>
  </si>
  <si>
    <t>2025-05-05 01:33:00,20000,,,19900,20000,,20110,,,,,20000,19700</t>
  </si>
  <si>
    <t>2025-05-05 01:33:00,854630768.292501,-6135190136.40853,0,0,0,0,0,0</t>
  </si>
  <si>
    <t>2025-05-05 01:33:00,1145660318.34301,-2365102118.48745,0,0,0,0,0,0</t>
  </si>
  <si>
    <t>2025-05-05 01:33:00,238168978.568631,2494689.95265726,383.566666666667,8,4752.96033333334,117.61,0.00527581694703682,2.37</t>
  </si>
  <si>
    <t>2025-05-05 01:33:00,13465592.9962954,-121363.341784607,0,0,0,0,0,0</t>
  </si>
  <si>
    <t>2025-05-05 01:34:00,575,,,565,575,,567,,,,,570,560</t>
  </si>
  <si>
    <t>2025-05-05 01:34:00,490,,,485,490,,489.5,,,,,500,480</t>
  </si>
  <si>
    <t>2025-05-05 01:34:00,5700,,5700,,5600,,5662.5,,,,,5750,5540</t>
  </si>
  <si>
    <t>2025-05-05 01:34:00,20000,,,19900,20000,,20110,,,,,20000,19700</t>
  </si>
  <si>
    <t>2025-05-05 01:34:00,857667428.89005,-6109367332.60243,0,0,0,0,0,0</t>
  </si>
  <si>
    <t>2025-05-05 01:34:00,1150875167.25274,-2333581753.28414,0,0,0,0,0,0</t>
  </si>
  <si>
    <t>2025-05-05 01:34:00,239523802.271887,2512713.24383137,1154.23333333333,26,19777.1453333333,339.58,0.0470917543445468,6.51</t>
  </si>
  <si>
    <t>2025-05-05 01:34:00,13458973.8660218,-121258.918589884,0,0,0,0,0,0</t>
  </si>
  <si>
    <t>2025-05-05 01:35:00,575,,,565,575,,567,,,,,570,560</t>
  </si>
  <si>
    <t>2025-05-05 01:35:00,490,,,485,490,,489.5,,,,,500,480</t>
  </si>
  <si>
    <t>2025-05-05 01:35:00,5700,,5700,,5600,,5662.5,,,,,5750,5540</t>
  </si>
  <si>
    <t>2025-05-05 01:35:00,20000,,,19900,20000,,20110,,,,,20000,19700</t>
  </si>
  <si>
    <t>2025-05-05 01:35:00,857657846.29398,-6110194042.98174,0,0,0,0,0,0</t>
  </si>
  <si>
    <t>2025-05-05 01:35:00,1171496480.58223,-2430714480.06159,0,0,0,0,0,0</t>
  </si>
  <si>
    <t>2025-05-05 01:35:00,238066367.402903,2578267.83907344,1182.06666666667,21,19127.5606666667,401.37,0.063299945474435,7.26</t>
  </si>
  <si>
    <t>2025-05-05 01:35:00,13427408.5690566,-120463.249965587,0,0,0,0,0,0</t>
  </si>
  <si>
    <t>2025-05-05 01:36:00,575,,,565,575,,567,,,,,570,560</t>
  </si>
  <si>
    <t>2025-05-05 01:36:00,490,,,485,490,,489.5,,,,,500,480</t>
  </si>
  <si>
    <t>2025-05-05 01:36:00,5700,,5700,,5600,,5662.5,,,,,5750,5540</t>
  </si>
  <si>
    <t>2025-05-05 01:36:00,20000,,,19900,20000,,20110,,,,,20000,19700</t>
  </si>
  <si>
    <t>2025-05-05 01:36:00,857561970.97264,-6110842143.77724,0,0,0,0,0,0</t>
  </si>
  <si>
    <t>2025-05-05 01:36:00,1164864273.27351,-2466585504.98113,0,0,0,0,0,0</t>
  </si>
  <si>
    <t>2025-05-05 01:36:00,238937161.277619,2539051.16495662,66.9833333333335,1,775.755833333336,25.1,4.76270057964039E-05,0.56</t>
  </si>
  <si>
    <t>2025-05-05 01:36:00,13440711.2744782,-120762.2566462,0,0,0,0,0,0</t>
  </si>
  <si>
    <t>2025-05-05 01:37:00,575,,,565,575,,567,,,,,570,560</t>
  </si>
  <si>
    <t>2025-05-05 01:37:00,490,,,485,490,,489.5,,,,,500,480</t>
  </si>
  <si>
    <t>2025-05-05 01:37:00,5700,,5700,,5600,,5662.5,,,,,5750,5540</t>
  </si>
  <si>
    <t>2025-05-05 01:37:00,20000,,,19900,20000,,20110,,,,,20000,19700</t>
  </si>
  <si>
    <t>2025-05-05 01:37:00,857624600.75672,-6112015045.57989,0,0,0,0,0,0</t>
  </si>
  <si>
    <t>2025-05-05 01:37:00,1166475331.1819,-2459143706.36702,0,0,0,0,0,0</t>
  </si>
  <si>
    <t>2025-05-05 01:37:00,238358747.628983,2662615.06044394,1886.36666666666,31,41969.6754999999,643.13,0.120527512760746,12.16</t>
  </si>
  <si>
    <t>2025-05-05 01:37:00,13436690.4699788,-120597.232448187,0,0,0,0,0,0</t>
  </si>
  <si>
    <t>2025-05-05 01:38:00,575,,,565,575,,567,,,,,570,560</t>
  </si>
  <si>
    <t>2025-05-05 01:38:00,490,,,485,490,,489.5,,,,,500,480</t>
  </si>
  <si>
    <t>2025-05-05 01:38:00,5700,,5700,,5600,,5662.5,,,,,5750,5540</t>
  </si>
  <si>
    <t>2025-05-05 01:38:00,20000,,,19900,20000,,20110,,,,,20000,19700</t>
  </si>
  <si>
    <t>2025-05-05 01:38:00,857605436.005398,-6114417608.7709,0,0,0,0,0,0</t>
  </si>
  <si>
    <t>2025-05-05 01:38:00,1161588036.98534,-2478709783.33173,0,0,0,0,0,0</t>
  </si>
  <si>
    <t>2025-05-05 01:38:00,238210152.236811,2688513.32095236,3553.23333333333,30,43504.8229999998,356.06,0.0923210545990911,5.91</t>
  </si>
  <si>
    <t>2025-05-05 01:38:00,13446803.7824355,-120786.658544757,0,0,0,0,0,0</t>
  </si>
  <si>
    <t>2025-05-05 01:39:00,575,,,565,575,,567,,,,,570,560</t>
  </si>
  <si>
    <t>2025-05-05 01:39:00,490,,,485,490,,489.5,,,,,500,480</t>
  </si>
  <si>
    <t>2025-05-05 01:39:00,5700,,5700,,5600,,5662.5,,,,,5750,5540</t>
  </si>
  <si>
    <t>2025-05-05 01:39:00,20000,,,19900,20000,,20110,,,,,20000,19700</t>
  </si>
  <si>
    <t>2025-05-05 01:39:00,931783845.262453,-6412960013.96159,0,0,0,0,0,0</t>
  </si>
  <si>
    <t>2025-05-05 01:39:00,1193109043.86655,-2286380768.8026,0,0,0,0,0,0</t>
  </si>
  <si>
    <t>2025-05-05 01:39:00,237274692.900687,2965444.41765125,5294.96666666664,50,56198.0043333331,583.91,0.158253179771267,9.64</t>
  </si>
  <si>
    <t>2025-05-05 01:39:00,13402474.9601104,-119656.858369695,0,0,0,0,0,0</t>
  </si>
  <si>
    <t>2025-05-05 01:40:00,575,,,565,575,,567,,,,,570,560</t>
  </si>
  <si>
    <t>2025-05-05 01:40:00,490,,,485,490,,489.5,,,,,500,480</t>
  </si>
  <si>
    <t>2025-05-05 01:40:00,5700,,5700,,5600,,5662.5,,,,,5750,5540</t>
  </si>
  <si>
    <t>2025-05-05 01:40:00,20000,,,19900,20000,,20110,,,,,20000,19700</t>
  </si>
  <si>
    <t>2025-05-05 01:40:00,931773576.033085,-6414402702.75558,0,0,0,0,0,0</t>
  </si>
  <si>
    <t>2025-05-05 01:40:00,1191433586.81437,-2298561687.18438,0,0,0,0,0,0</t>
  </si>
  <si>
    <t>2025-05-05 01:40:00,237676560.624778,2932505.53947626,4654.84999999998,57,106606.5355,1399.03,0.394885270277432,26.21</t>
  </si>
  <si>
    <t>2025-05-05 01:40:00,13403578.1069158,-119767.699472272,0,0,0,0,0,0</t>
  </si>
  <si>
    <t>2025-05-05 01:41:00,575,,,565,575,,567,,,,,570,560</t>
  </si>
  <si>
    <t>2025-05-05 01:41:00,490,,,485,490,,489.5,,,,,500,480</t>
  </si>
  <si>
    <t>2025-05-05 01:41:00,5700,,5700,,5600,,5662.5,,,,,5750,5540</t>
  </si>
  <si>
    <t>2025-05-05 01:41:00,20000,,,19900,20000,,20110,,,,,20000,19700</t>
  </si>
  <si>
    <t>2025-05-05 01:41:00,934944902.274817,-6381415909.55479,0,0,0,0,0,0</t>
  </si>
  <si>
    <t>2025-05-05 01:41:00,1184773600.01705,-2344661631.69681,0,0,0,0,0,0</t>
  </si>
  <si>
    <t>2025-05-05 01:41:00,236356350.336292,3001075.1436444,2096.83333333333,27,48017.9111666667,714.96,0.179943426198143,13.72</t>
  </si>
  <si>
    <t>2025-05-05 01:41:00,13415224.7837096,-119956.713538671,0,0,0,0,0,0</t>
  </si>
  <si>
    <t>2025-05-05 01:42:00,575,,,565,575,,567,,,,,570,560</t>
  </si>
  <si>
    <t>2025-05-05 01:42:00,490,,,485,490,,489.5,,,,,500,480</t>
  </si>
  <si>
    <t>2025-05-05 01:42:00,5700,,5700,,5600,,5662.5,,,,,5750,5540</t>
  </si>
  <si>
    <t>2025-05-05 01:42:00,20000,,,19900,20000,,20110,,,,,20000,19700</t>
  </si>
  <si>
    <t>2025-05-05 01:42:00,953495677.511818,-6180235494.27724,0,0,0,0,0,0</t>
  </si>
  <si>
    <t>2025-05-05 01:42:00,1203230785.88149,-2217534569.87191,0,0,0,0,0,0</t>
  </si>
  <si>
    <t>2025-05-05 01:42:00,236937096.90077,3141030.88281367,2991.45,62,34212.2001666666,738.23,-0.0487222363671619,16.75</t>
  </si>
  <si>
    <t>2025-05-05 01:42:00,13394378.0932994,-119442.510049385,0,0,0,0,0,0</t>
  </si>
  <si>
    <t>2025-05-05 01:43:00,575,,,565,575,,567,,,,,570,560</t>
  </si>
  <si>
    <t>2025-05-05 01:43:00,490,,,485,490,,489.5,,,,,500,480</t>
  </si>
  <si>
    <t>2025-05-05 01:43:00,5700,,5700,,5600,,5662.5,,,,,5750,5540</t>
  </si>
  <si>
    <t>2025-05-05 01:43:00,20000,,,19900,20000,,20110,,,,,20000,19700</t>
  </si>
  <si>
    <t>2025-05-05 01:43:00,907077489.37438,-6686387569.22985,0,0,0,0,0,0</t>
  </si>
  <si>
    <t>2025-05-05 01:43:00,1168264874.81449,-2451263292.35009,0,0,0,0,0,0</t>
  </si>
  <si>
    <t>2025-05-05 01:43:00,237962817.015595,2869423.00527111,2093.56666666667,27,51594.3750000003,745.17,0.124218530103507,15.87</t>
  </si>
  <si>
    <t>2025-05-05 01:43:00,13438911.9372156,-120639.461256136,0,0,0,0,0,0</t>
  </si>
  <si>
    <t>2025-05-05 01:44:00,575,,,565,575,,567,,,,,570,560</t>
  </si>
  <si>
    <t>2025-05-05 01:44:00,490,,,485,490,,489.5,,,,,500,480</t>
  </si>
  <si>
    <t>2025-05-05 01:44:00,5700,,5700,,5600,,5662.5,,,,,5750,5540</t>
  </si>
  <si>
    <t>2025-05-05 01:44:00,20000,,,19900,20000,,20110,,,,,20000,19700</t>
  </si>
  <si>
    <t>2025-05-05 01:44:00,919382493.344149,-6552890888.95674,0,0,0,0,0,0</t>
  </si>
  <si>
    <t>2025-05-05 01:44:00,1183223983.79582,-2356539151.74579,0,0,0,0,0,0</t>
  </si>
  <si>
    <t>2025-05-05 01:44:00,237454010.488175,2942349.72058465,135.133333333333,7,1037.192,52.83,-0.0138920301758398,1.29</t>
  </si>
  <si>
    <t>2025-05-05 01:44:00,13416565.7862864,-120110.57822648,0,0,0,0,0,0</t>
  </si>
  <si>
    <t>2025-05-05 01:45:00,575,,,565,575,,567,,,,,570,560</t>
  </si>
  <si>
    <t>2025-05-05 01:45:00,490,,,485,490,,489.5,,,,,500,480</t>
  </si>
  <si>
    <t>2025-05-05 01:45:00,5700,,5700,,5600,,5662.5,,,,,5750,5540</t>
  </si>
  <si>
    <t>2025-05-05 01:45:00,20000,,,19900,20000,,20110,,,,,20000,19700</t>
  </si>
  <si>
    <t>2025-05-05 01:45:00,851351687.750047,-6178681253.68004,0,0,0,0,0,0</t>
  </si>
  <si>
    <t>2025-05-05 01:45:00,1144075799.8433,-2379140401.18815,0,0,0,0,0,0</t>
  </si>
  <si>
    <t>2025-05-05 01:45:00,241048488.161844,2666221.89677289,1885.35,38,26101.8915,498.23,0.119691713573845,8.09</t>
  </si>
  <si>
    <t>2025-05-05 01:45:00,13462673.4786094,-121492.695085507,0,0,0,0,0,0</t>
  </si>
  <si>
    <t>2025-05-05 01:46:00,575,,,565,575,,567,,,,,570,560</t>
  </si>
  <si>
    <t>2025-05-05 01:46:00,490,,,485,490,,489.5,,,,,500,480</t>
  </si>
  <si>
    <t>2025-05-05 01:46:00,5700,,5700,,5600,,5662.5,,,,,5750,5540</t>
  </si>
  <si>
    <t>2025-05-05 01:46:00,20000,,,19900,20000,,20110,,,,,20000,19700</t>
  </si>
  <si>
    <t>2025-05-05 01:46:00,845169527.045992,-6237960185.09478,0,0,0,0,0,0</t>
  </si>
  <si>
    <t>2025-05-05 01:46:00,1139243405.28212,-2411857667.79871,0,0,0,0,0,0</t>
  </si>
  <si>
    <t>2025-05-05 01:46:00,240680157.177628,2620614.07451134,531.417647058823,17,5326.81452941176,149.29,-0.0110880595443895,2.9</t>
  </si>
  <si>
    <t>2025-05-05 01:46:00,13469914.8832223,-121641.197368413,0,0,0,0,0,0</t>
  </si>
  <si>
    <t>2025-05-05 01:47:00,575,,,565,575,,567,,,,,570,560</t>
  </si>
  <si>
    <t>2025-05-05 01:47:00,490,,,485,490,,489.5,,,,,500,480</t>
  </si>
  <si>
    <t>2025-05-05 01:47:00,5700,,5700,,5600,,5662.5,,,,,5750,5540</t>
  </si>
  <si>
    <t>2025-05-05 01:47:00,20000,,,19900,20000,,20110,,,,,20000,19700</t>
  </si>
  <si>
    <t>2025-05-05 01:47:00,823325639.193272,-6448261717.68081,0,0,0,0,0,0</t>
  </si>
  <si>
    <t>2025-05-05 01:47:00,1125921150.59152,-2500340149.42507,0,0,0,0,0,0</t>
  </si>
  <si>
    <t>2025-05-05 01:47:00,241826825.188102,2525608.91689138,861,20,13948.66,301.74,-0.0084787417356658,6.58</t>
  </si>
  <si>
    <t>2025-05-05 01:47:00,13478888.5514619,-121970.445176879,0,0,0,0,0,0</t>
  </si>
  <si>
    <t>2025-05-05 01:48:00,575,,,565,575,,567,,,,,570,560</t>
  </si>
  <si>
    <t>2025-05-05 01:48:00,490,,,485,490,,489.5,,,,,500,480</t>
  </si>
  <si>
    <t>2025-05-05 01:48:00,5700,,5700,,5600,,5662.5,,,,,5750,5540</t>
  </si>
  <si>
    <t>2025-05-05 01:48:00,20000,,,19900,20000,,20110,,,,,20000,19700</t>
  </si>
  <si>
    <t>2025-05-05 01:48:00,794995894.308994,-6732629823.40915,0,0,0,0,0,0</t>
  </si>
  <si>
    <t>2025-05-05 01:48:00,1112798532.78077,-2592521177.94772,0,0,0,0,0,0</t>
  </si>
  <si>
    <t>2025-05-05 01:48:00,242234921.146093,2360800.44558874,1260.58333333333,31,22479.6336666667,409.99,0.038305126596134,7.59</t>
  </si>
  <si>
    <t>2025-05-05 01:48:00,13494980.0001989,-122443.782003104,0,0,0,0,0,0</t>
  </si>
  <si>
    <t>2025-05-05 01:49:00,575,,,565,575,,567,,,,,570,560</t>
  </si>
  <si>
    <t>2025-05-05 01:49:00,490,,,485,490,,489.5,,,,,500,480</t>
  </si>
  <si>
    <t>2025-05-05 01:49:00,5700,,5700,,5600,,5662.5,,,,,5750,5540</t>
  </si>
  <si>
    <t>2025-05-05 01:49:00,20000,,,19900,20000,,20110,,,,,20000,19700</t>
  </si>
  <si>
    <t>2025-05-05 01:49:00,791920836.767621,-6764827416.57546,0,0,0,0,0,0</t>
  </si>
  <si>
    <t>2025-05-05 01:49:00,1111189058.36362,-2604691100.08564,0,0,0,0,0,0</t>
  </si>
  <si>
    <t>2025-05-05 01:49:00,242279778.229092,2331470.7163573,1426.61666666667,17,21292.0365,294.18,0.0627024040463141,4.98</t>
  </si>
  <si>
    <t>2025-05-05 01:49:00,13496636.6102563,-122586.605674717,0,0,0,0,0,0</t>
  </si>
  <si>
    <t>2025-05-05 01:50:00,575,,,565,575,,567,,,,,570,560</t>
  </si>
  <si>
    <t>2025-05-05 01:50:00,490,,,485,490,,489.5,,,,,500,480</t>
  </si>
  <si>
    <t>2025-05-05 01:50:00,5700,,5700,,5600,,5662.5,,,,,5750,5540</t>
  </si>
  <si>
    <t>2025-05-05 01:50:00,20000,,,19900,20000,,20110,,,,,20000,19700</t>
  </si>
  <si>
    <t>2025-05-05 01:50:00,791840106.49164,-6767711124.22632,0,0,0,0,0,0</t>
  </si>
  <si>
    <t>2025-05-05 01:50:00,1093249961.53093,-2736039385.71144,0,0,0,0,0,0</t>
  </si>
  <si>
    <t>2025-05-05 01:50:00,241176624.076235,2256291.01512104,1239.3,29,15068.0351666667,309.77,0.00413256756273327,6.16</t>
  </si>
  <si>
    <t>2025-05-05 01:50:00,13510446.545181,-123071.217234193,0,0,0,0,0,0</t>
  </si>
  <si>
    <t>2025-05-05 01:51:00,575,,,565,575,,567,,,,,570,560</t>
  </si>
  <si>
    <t>2025-05-05 01:51:00,490,,,485,490,,489.5,,,,,500,480</t>
  </si>
  <si>
    <t>2025-05-05 01:51:00,5700,,5700,,5600,,5662.5,,,,,5750,5540</t>
  </si>
  <si>
    <t>2025-05-05 01:51:00,20000,,,19900,20000,,20110,,,,,20000,19700</t>
  </si>
  <si>
    <t>2025-05-05 01:51:00,769853768.229519,-7000997282.43042,0,0,0,0,0,0</t>
  </si>
  <si>
    <t>2025-05-05 01:51:00,1101409978.72254,-2676542506.10514,0,0,0,0,0,0</t>
  </si>
  <si>
    <t>2025-05-05 01:51:00,242146706.381047,2174851.0952153,1345.81666666666,16,21342.9681666666,271.74,0.0389649330500673,4.74</t>
  </si>
  <si>
    <t>2025-05-05 01:51:00,13506757.3420204,-122985.199400618,0,0,0,0,0,0</t>
  </si>
  <si>
    <t>2025-05-05 01:52:00,575,,,565,575,,567,,,,,570,560</t>
  </si>
  <si>
    <t>2025-05-05 01:52:00,490,,,485,490,,489.5,,,,,500,480</t>
  </si>
  <si>
    <t>2025-05-05 01:52:00,5700,,5700,,5600,,5662.5,,,,,5750,5540</t>
  </si>
  <si>
    <t>2025-05-05 01:52:00,20000,,,19900,20000,,20110,,,,,20000,19700</t>
  </si>
  <si>
    <t>2025-05-05 01:52:00,788623671.458321,-6802758120.62679,0,0,0,0,0,0</t>
  </si>
  <si>
    <t>2025-05-05 01:52:00,1111260689.51929,-2605502910.97683,0,0,0,0,0,0</t>
  </si>
  <si>
    <t>2025-05-05 01:52:00,242254486.776495,2279681.28199305,216.916666666667,2,2476.16816666667,52.25,0.00619086872245686,1.05</t>
  </si>
  <si>
    <t>2025-05-05 01:52:00,13491809.8711657,-122520.531175645,0,0,0,0,0,0</t>
  </si>
  <si>
    <t>2025-05-05 01:53:00,575,,,565,575,,567,,,,,570,560</t>
  </si>
  <si>
    <t>2025-05-05 01:53:00,490,,,485,490,,489.5,,,,,500,480</t>
  </si>
  <si>
    <t>2025-05-05 01:53:00,5700,,5700,,5600,,5662.5,,,,,5750,5540</t>
  </si>
  <si>
    <t>2025-05-05 01:53:00,20000,,,19900,20000,,20110,,,,,20000,19700</t>
  </si>
  <si>
    <t>2025-05-05 01:53:00,760282425.801363,-7107992121.74436,0,0,0,0,0,0</t>
  </si>
  <si>
    <t>2025-05-05 01:53:00,1096476552.90697,-2713171209.17247,0,0,0,0,0,0</t>
  </si>
  <si>
    <t>2025-05-05 01:53:00,242447073.562823,2131070.92486141,532.249999999999,7,19057.5874999999,310.85,0.0493826432646942,6.66</t>
  </si>
  <si>
    <t>2025-05-05 01:53:00,13509407.9930645,-123009.93493364,0,0,0,0,0,0</t>
  </si>
  <si>
    <t>2025-05-05 01:54:00,575,,,565,575,,567,,,,,570,560</t>
  </si>
  <si>
    <t>2025-05-05 01:54:00,490,,,485,490,,489.5,,,,,500,480</t>
  </si>
  <si>
    <t>2025-05-05 01:54:00,5700,,5700,,5600,,5662.5,,,,,5750,5540</t>
  </si>
  <si>
    <t>2025-05-05 01:54:00,20000,,,19900,20000,,20110,,,,,20000,19700</t>
  </si>
  <si>
    <t>2025-05-05 01:54:00,760270204.515074,-7110708060.09107,0,0,0,0,0,0</t>
  </si>
  <si>
    <t>2025-05-05 01:54:00,1093345257.77695,-2737200205.52637,0,0,0,0,0,0</t>
  </si>
  <si>
    <t>2025-05-05 01:54:00,242834712.443897,2062307.09984897,364.900000000001,41,1810.23800000001,173.74,-0.110857016052811,4.86</t>
  </si>
  <si>
    <t>2025-05-05 01:54:00,13509517.3988644,-123087.203347588,0,0,0,0,0,0</t>
  </si>
  <si>
    <t>2025-05-05 01:55:00,575,,,565,575,,567,,,,,570,560</t>
  </si>
  <si>
    <t>2025-05-05 01:55:00,490,,,485,490,,489.5,,,,,500,480</t>
  </si>
  <si>
    <t>2025-05-05 01:55:00,5700,,5700,,5600,,5662.5,,,,,5750,5540</t>
  </si>
  <si>
    <t>2025-05-05 01:55:00,20000,,,19900,20000,,20110,,,,,20000,19700</t>
  </si>
  <si>
    <t>2025-05-05 01:55:00,757168560.813887,-7145195636.3695,0,0,0,0,0,0</t>
  </si>
  <si>
    <t>2025-05-05 01:55:00,1094870531.63669,-2725743650.11017,0,0,0,0,0,0</t>
  </si>
  <si>
    <t>2025-05-05 01:55:00,242807752.374013,1994162.99883067,933.833333333336,123,6841.43166666668,443.09,-0.295348666057367,11.24</t>
  </si>
  <si>
    <t>2025-05-05 01:55:00,13502272.2286822,-122998.948070671,0,0,0,0,0,0</t>
  </si>
  <si>
    <t>2025-05-05 01:56:00,575,,,565,575,,567,,,,,570,560</t>
  </si>
  <si>
    <t>2025-05-05 01:56:00,490,,,485,490,,489.5,,,,,500,480</t>
  </si>
  <si>
    <t>2025-05-05 01:56:00,5700,,5700,,5600,,5662.5,,,,,5750,5540</t>
  </si>
  <si>
    <t>2025-05-05 01:56:00,20000,,,19900,20000,,20110,,,,,20000,19700</t>
  </si>
  <si>
    <t>2025-05-05 01:56:00,725363193.219263,-7508080756.83335,0,0,0,0,0,0</t>
  </si>
  <si>
    <t>2025-05-05 01:56:00,1083511215.67675,-2809823856.42067,0,0,0,0,0,0</t>
  </si>
  <si>
    <t>2025-05-05 01:56:00,244712546.033898,1804354.14233292,1981.13333333333,23,34883.9101666666,453.21,0.0664378889605112,8.75</t>
  </si>
  <si>
    <t>2025-05-05 01:56:00,13519972.1337458,-123550.388046622,0,0,0,0,0,0</t>
  </si>
  <si>
    <t>2025-05-05 01:57:00,575,,,565,575,,567,,,,,570,560</t>
  </si>
  <si>
    <t>2025-05-05 01:57:00,490,,,485,490,,489.5,,,,,500,480</t>
  </si>
  <si>
    <t>2025-05-05 01:57:00,5700,,5700,,5600,,5662.5,,,,,5750,5540</t>
  </si>
  <si>
    <t>2025-05-05 01:57:00,20000,,,19900,20000,,20110,,,,,20000,19700</t>
  </si>
  <si>
    <t>2025-05-05 01:57:00,731710314.389399,-7436223804.52938,0,0,0,0,0,0</t>
  </si>
  <si>
    <t>2025-05-05 01:57:00,1083425369.73302,-2810253102.332,0,0,0,0,0,0</t>
  </si>
  <si>
    <t>2025-05-05 01:57:00,243898929.17895,1859447.3954131,440.399999999999,5,5282.87899999999,71.42,0.0143372386702251,1.13</t>
  </si>
  <si>
    <t>2025-05-05 01:57:00,13515737.584136,-123441.726617352,0,0,0,0,0,0</t>
  </si>
  <si>
    <t>2025-05-05 01:58:00,575,,,565,575,,567,,,,,570,560</t>
  </si>
  <si>
    <t>2025-05-05 01:58:00,490,,,485,490,,489.5,,,,,500,480</t>
  </si>
  <si>
    <t>2025-05-05 01:58:00,5700,,5700,,5600,,5662.5,,,,,5750,5540</t>
  </si>
  <si>
    <t>2025-05-05 01:58:00,20000,,,19900,20000,,20110,,,,,20000,19700</t>
  </si>
  <si>
    <t>2025-05-05 01:58:00,725337523.71554,-7511153067.39757,0,0,0,0,0,0</t>
  </si>
  <si>
    <t>2025-05-05 01:58:00,1081853779.02896,-2822247857.63722,0,0,0,0,0,0</t>
  </si>
  <si>
    <t>2025-05-05 01:58:00,243553324.832774,1855007.48286761,668.883333333334,17,9421.15833333334,179.19,0.00920049573071762,3.27</t>
  </si>
  <si>
    <t>2025-05-05 01:58:00,13520275.9949441,-123494.625429887,0,0,0,0,0,0</t>
  </si>
  <si>
    <t>2025-05-05 01:59:00,575,,,565,575,,567,,,,,570,560</t>
  </si>
  <si>
    <t>2025-05-05 01:59:00,490,,,485,490,,489.5,,,,,500,480</t>
  </si>
  <si>
    <t>2025-05-05 01:59:00,5700,,5700,,5600,,5662.5,,,,,5750,5540</t>
  </si>
  <si>
    <t>2025-05-05 01:59:00,20000,,,19900,20000,,20110,,,,,20000,19700</t>
  </si>
  <si>
    <t>2025-05-05 01:59:00,725440261.827162,-7511337615.48158,0,0,0,0,0,0</t>
  </si>
  <si>
    <t>2025-05-05 01:59:00,1064220696.95713,-2923474122.83408,0,0,0,0,0,0</t>
  </si>
  <si>
    <t>2025-05-05 01:59:00,244605045.336488,1769332.09431201,767.750000000001,6,14310.6251666667,190.49,0.0484055224633749,2.98</t>
  </si>
  <si>
    <t>2025-05-05 01:59:00,13537282.5826287,-124052.708373214,0,0,0,0,0,0</t>
  </si>
  <si>
    <t>2025-05-05 02:00:00,575,,,564,575,,,,,,563,575,560</t>
  </si>
  <si>
    <t>2025-05-05 02:00:00,490,,,487,490,,499,,,,,500,480</t>
  </si>
  <si>
    <t>2025-05-05 02:00:00,5700,,5700,,5600,,5662.5,,,,,5750,5540</t>
  </si>
  <si>
    <t>2025-05-05 02:00:00,20000,,20010,,20000,,20070,,,,,19900,20000</t>
  </si>
  <si>
    <t>2025-05-05 02:00:00,699947506.016901,-2921227854.66937,405526.450695943,406833,812750.898559627,949714.39,-6859.69182231644,192258.68</t>
  </si>
  <si>
    <t>2025-05-05 02:00:00,1051930171.4333,-2283190995.28635,133585.342883333,124565,214491.861899029,327423.83,6026.70305379039,57953.23</t>
  </si>
  <si>
    <t>2025-05-05 02:00:00,246027102.738797,1633028.05531658,1232.08333333333,22,14964.0065,239.38,0.0303617743813904,3.49</t>
  </si>
  <si>
    <t>2025-05-05 02:00:00,13543611.7086312,56899.9395957508,1191.79898351098,395,56461.7369483644,25613.65,-0.315531921130166,127.96</t>
  </si>
  <si>
    <t>2025-05-05 02:01:00,575,,,,575,,,,,,,,</t>
  </si>
  <si>
    <t>2025-05-05 02:01:00,490,,,,490,,,,,,,,</t>
  </si>
  <si>
    <t>2025-05-05 02:01:00,5700,,5700,,5600,,5662.5,,,,,5750,5540</t>
  </si>
  <si>
    <t>2025-05-05 02:01:00,20000,,,,20000,,,,,,,,</t>
  </si>
  <si>
    <t>2025-05-05 02:01:00,709411991.477016,0,63822.9475840332,33802,251989.621981092,142268.96,-2953.89286985851,-6187.06</t>
  </si>
  <si>
    <t>2025-05-05 02:01:00,1067455991.80277,0,339845.140978292,165085,573253.18421992,264095.88,-4471.53860313151,55300.71</t>
  </si>
  <si>
    <t>2025-05-05 02:01:00,245832535.800922,1706367.38436591,1441.06666666667,32,23186.8165,381.35,0.00596906765665258,7.58</t>
  </si>
  <si>
    <t>2025-05-05 02:01:00,13529342.4923621,0,-1269.29019311452,-400,-258500.95959955,-52529.77,-0.173628900372054,-202.59</t>
  </si>
  <si>
    <t>2025-05-05 02:02:00,575,,,,575,,,,,,,,</t>
  </si>
  <si>
    <t>2025-05-05 02:02:00,490,,,,490,,,,,,,,</t>
  </si>
  <si>
    <t>2025-05-05 02:02:00,5700,,5700,,5600,,5662.5,,,,,5750,5540</t>
  </si>
  <si>
    <t>2025-05-05 02:02:00,20000,,,,20000,,,,,,,,</t>
  </si>
  <si>
    <t>2025-05-05 02:02:00,671718979.200336,0,0,0,0,0,0,0</t>
  </si>
  <si>
    <t>2025-05-05 02:02:00,1040877993.58229,0,0,0,0,0,0,0</t>
  </si>
  <si>
    <t>2025-05-05 02:02:00,248404271.193492,1548029.86275644,2486.59166666666,37,49214.3525833333,631.6,0.0297066659916123,12.2</t>
  </si>
  <si>
    <t>2025-05-05 02:02:00,13553952.4070351,0,0,0,0,0,0,0</t>
  </si>
  <si>
    <t>2025-05-05 02:03:00,575,,,,575,,,,,,,,</t>
  </si>
  <si>
    <t>2025-05-05 02:03:00,490,,,,490,,,,,,,,</t>
  </si>
  <si>
    <t>2025-05-05 02:03:00,5700,,5700,,5600,,5662.5,,,,,5750,5540</t>
  </si>
  <si>
    <t>2025-05-05 02:03:00,20000,,,,20000,,,,,,,,</t>
  </si>
  <si>
    <t>2025-05-05 02:03:00,671724205.41392,0,0,0,0,0,0,0</t>
  </si>
  <si>
    <t>2025-05-05 02:03:00,1042488666.2167,0,0,0,0,0,0,0</t>
  </si>
  <si>
    <t>2025-05-05 02:03:00,247763896.487624,1699212.71077015,901.166666666667,13,19610.3813333333,259.83,0.0279403670158201,4.87</t>
  </si>
  <si>
    <t>2025-05-05 02:03:00,13550249.8883695,0,0,0,0,0,0,0</t>
  </si>
  <si>
    <t>2025-05-05 02:04:00,575,,,,575,,,,,,,,</t>
  </si>
  <si>
    <t>2025-05-05 02:04:00,490,,,,490,,,,,,,,</t>
  </si>
  <si>
    <t>2025-05-05 02:04:00,5700,,5700,,5600,,5682.5,,,,,5750,5540</t>
  </si>
  <si>
    <t>2025-05-05 02:04:00,20000,,,,20000,,,,,,,,</t>
  </si>
  <si>
    <t>2025-05-05 02:04:00,677934654.420927,0,0,0,0,0,0,0</t>
  </si>
  <si>
    <t>2025-05-05 02:04:00,1059797909.99327,0,0,0,0,0,0,0</t>
  </si>
  <si>
    <t>2025-05-05 02:04:00,246176409.690266,1705808.17171407,537.966666666666,11,9809.19599999999,163.56,0.0203784433198693,2.66</t>
  </si>
  <si>
    <t>2025-05-05 02:04:00,13533237.8236552,0,0,0,0,0,0,0</t>
  </si>
  <si>
    <t>2025-05-05 02:05:00,575,,,,575,,,,,,,,</t>
  </si>
  <si>
    <t>2025-05-05 02:05:00,490,,,,490,,,,,,,,</t>
  </si>
  <si>
    <t>2025-05-05 02:05:00,5700,,5700,,5600,,5682.5,,,,,5750,5540</t>
  </si>
  <si>
    <t>2025-05-05 02:05:00,20000,,,,20000,,,,,,,,</t>
  </si>
  <si>
    <t>2025-05-05 02:05:00,677879363.398464,0,0,0,0,0,0,0</t>
  </si>
  <si>
    <t>2025-05-05 02:05:00,1061237607.87813,0,0,0,0,0,0,0</t>
  </si>
  <si>
    <t>2025-05-05 02:05:00,246295986.145364,1627039.45150645,505,20,4937.815,103.44,-0.0188498575400171,1.99</t>
  </si>
  <si>
    <t>2025-05-05 02:05:00,13527159.9648541,0,0,0,0,0,0,0</t>
  </si>
  <si>
    <t>2025-05-05 02:06:00,575,,,,575,,,,,,,,</t>
  </si>
  <si>
    <t>2025-05-05 02:06:00,490,,,,490,,,,,,,,</t>
  </si>
  <si>
    <t>2025-05-05 02:06:00,5700,,5700,,5600,,5682.5,,,,,5750,5540</t>
  </si>
  <si>
    <t>2025-05-05 02:06:00,20000,,,,20000,,,,,,,,</t>
  </si>
  <si>
    <t>2025-05-05 02:06:00,680995740.544052,0,0,0,0,0,0,0</t>
  </si>
  <si>
    <t>2025-05-05 02:06:00,1061290834.9584,0,0,0,0,0,0,0</t>
  </si>
  <si>
    <t>2025-05-05 02:06:00,246778455.62304,1735190.35072012,4438.08333333333,58,105931.3875,1291.85,0.19847597762411,24.33</t>
  </si>
  <si>
    <t>2025-05-05 02:06:00,13525628.9361552,0,0,0,0,0,0,0</t>
  </si>
  <si>
    <t>2025-05-05 02:07:00,575,,,,575,,,,,,,,</t>
  </si>
  <si>
    <t>2025-05-05 02:07:00,490,,,,490,,,,,,,,</t>
  </si>
  <si>
    <t>2025-05-05 02:07:00,5700,,5700,,5600,,5662.5,,,,,5750,5540</t>
  </si>
  <si>
    <t>2025-05-05 02:07:00,20000,,,,20000,,,,,,,,</t>
  </si>
  <si>
    <t>2025-05-05 02:07:00,665577071.069227,0,0,0,0,0,0,0</t>
  </si>
  <si>
    <t>2025-05-05 02:07:00,1044113241.04272,0,0,0,0,0,0,0</t>
  </si>
  <si>
    <t>2025-05-05 02:07:00,248119378.637842,1738852.40106513,458.708333333335,10,20666.7719166667,268.4,0.012552985189331,5.19</t>
  </si>
  <si>
    <t>2025-05-05 02:07:00,13543563.7888208,0,0,0,0,0,0,0</t>
  </si>
  <si>
    <t>2025-05-05 02:08:00,575,,,,575,,,,,,,,</t>
  </si>
  <si>
    <t>2025-05-05 02:08:00,490,,,,490,,,,,,,,</t>
  </si>
  <si>
    <t>2025-05-05 02:08:00,5700,,5700,,5600,,5662.5,,,,,5750,5540</t>
  </si>
  <si>
    <t>2025-05-05 02:08:00,20000,,,,20000,,,,,,,,</t>
  </si>
  <si>
    <t>2025-05-05 02:08:00,665638296.541952,0,0,0,0,0,0,0</t>
  </si>
  <si>
    <t>2025-05-05 02:08:00,1044142789.52448,0,0,0,0,0,0,0</t>
  </si>
  <si>
    <t>2025-05-05 02:08:00,248162513.886027,1737394.33963917,17.0909090909092,0,447.104545454548,22.95,-0.000729958213721887,0.46</t>
  </si>
  <si>
    <t>2025-05-05 02:08:00,13534430.3080268,0,0,0,0,0,0,0</t>
  </si>
  <si>
    <t>2025-05-05 02:09:00,575,,,,575,,,,,,,,</t>
  </si>
  <si>
    <t>2025-05-05 02:09:00,490,,,,490,,,,,,,,</t>
  </si>
  <si>
    <t>2025-05-05 02:09:00,5700,,5700,,5600,,5662.5,,,,,5750,5540</t>
  </si>
  <si>
    <t>2025-05-05 02:09:00,20000,,,,20000,,,,,,,,</t>
  </si>
  <si>
    <t>2025-05-05 02:09:00,677922631.197786,0,0,0,0,0,0,0</t>
  </si>
  <si>
    <t>2025-05-05 02:09:00,1061154634.77382,0,0,0,0,0,0,0</t>
  </si>
  <si>
    <t>2025-05-05 02:09:00,246084540.45141,1762635.44062909,792.133333333334,10,19546.325,210.92,0.0278064618062374,4.6</t>
  </si>
  <si>
    <t>2025-05-05 02:09:00,13526764.5796894,0,0,0,0,0,0,0</t>
  </si>
  <si>
    <t>2025-05-05 02:10:00,575,,,,575,,,,,,,,</t>
  </si>
  <si>
    <t>2025-05-05 02:10:00,490,,,,490,,,,,,,,</t>
  </si>
  <si>
    <t>2025-05-05 02:10:00,5700,,5700,,5600,,5662.5,,,,,5750,5540</t>
  </si>
  <si>
    <t>2025-05-05 02:10:00,20000,,,,20000,,,,,,,,</t>
  </si>
  <si>
    <t>2025-05-05 02:10:00,709543823.931783,0,0,0,0,0,0,0</t>
  </si>
  <si>
    <t>2025-05-05 02:10:00,1075481088.82075,0,0,0,0,0,0,0</t>
  </si>
  <si>
    <t>2025-05-05 02:10:00,245261082.107542,1953448.22281322,283.3,6,3331.706,51.23,0.00661668311440259,0.82</t>
  </si>
  <si>
    <t>2025-05-05 02:10:00,13513795.3538786,0,0,0,0,0,0,0</t>
  </si>
  <si>
    <t>2025-05-05 02:11:00,575,,,,575,,,,,,,,</t>
  </si>
  <si>
    <t>2025-05-05 02:11:00,490,,,,490,,,,,,,,</t>
  </si>
  <si>
    <t>2025-05-05 02:11:00,5700,,5700,,5600,,5662.5,,,,,5750,5540</t>
  </si>
  <si>
    <t>2025-05-05 02:11:00,20000,,,,20000,,,,,,,,</t>
  </si>
  <si>
    <t>2025-05-05 02:11:00,700030955.657054,0,0,0,0,0,0,0</t>
  </si>
  <si>
    <t>2025-05-05 02:11:00,1072364844.93427,0,0,0,0,0,0,0</t>
  </si>
  <si>
    <t>2025-05-05 02:11:00,245205885.348425,1906942.80408061,1096.9,14,16251.321,184.88,0.0163817964904068,3.77</t>
  </si>
  <si>
    <t>2025-05-05 02:11:00,13519460.8744122,0,0,0,0,0,0,0</t>
  </si>
  <si>
    <t>2025-05-05 02:12:00,575,,,,575,,,,,,,,</t>
  </si>
  <si>
    <t>2025-05-05 02:12:00,490,,,,490,,,,,,,,</t>
  </si>
  <si>
    <t>2025-05-05 02:12:00,5700,,5700,,5600,,5662.5,,,,,5750,5540</t>
  </si>
  <si>
    <t>2025-05-05 02:12:00,20000,,,,20000,,,,,,,,</t>
  </si>
  <si>
    <t>2025-05-05 02:12:00,693720881.483066,0,0,0,0,0,0,0</t>
  </si>
  <si>
    <t>2025-05-05 02:12:00,1065898186.64407,0,0,0,0,0,0,0</t>
  </si>
  <si>
    <t>2025-05-05 02:12:00,244603898.565498,1893596.64679159,767.530303030302,13,13438.8113636364,257.29,0.0291735612378071,3.81</t>
  </si>
  <si>
    <t>2025-05-05 02:12:00,13521516.9580518,0,0,0,0,0,0,0</t>
  </si>
  <si>
    <t>2025-05-05 02:13:00,575,,,,575,,,,,,,,</t>
  </si>
  <si>
    <t>2025-05-05 02:13:00,490,,,,490,,,,,,,,</t>
  </si>
  <si>
    <t>2025-05-05 02:13:00,5700,,5700,,5600,,5662.5,,,,,5750,5540</t>
  </si>
  <si>
    <t>2025-05-05 02:13:00,20000,,,,20000,,,,,,,,</t>
  </si>
  <si>
    <t>2025-05-05 02:13:00,712755245.17621,0,0,0,0,0,0,0</t>
  </si>
  <si>
    <t>2025-05-05 02:13:00,1065909945.92718,0,0,0,0,0,0,0</t>
  </si>
  <si>
    <t>2025-05-05 02:13:00,245162382.344328,1973591.13237899,793.833333333334,12,18473.9473333333,220.88,0.0311077213860009,4.22</t>
  </si>
  <si>
    <t>2025-05-05 02:13:00,13528535.4352384,0,0,0,0,0,0,0</t>
  </si>
  <si>
    <t>2025-05-05 02:14:00,575,,,,575,,,,,,,,</t>
  </si>
  <si>
    <t>2025-05-05 02:14:00,490,,,,490,,,,,,,,</t>
  </si>
  <si>
    <t>2025-05-05 02:14:00,5700,,5700,,5600,,5662.5,,,,,5750,5540</t>
  </si>
  <si>
    <t>2025-05-05 02:14:00,20000,,,,20000,,,,,,,,</t>
  </si>
  <si>
    <t>2025-05-05 02:14:00,706260256.563987,0,0,0,0,0,0,0</t>
  </si>
  <si>
    <t>2025-05-05 02:14:00,1061356490.19592,0,0,0,0,0,0,0</t>
  </si>
  <si>
    <t>2025-05-05 02:14:00,245257362.776329,1965160.9330203,723.400000000001,14,23724.2426666667,325.05,0.03562893499873,7.84</t>
  </si>
  <si>
    <t>2025-05-05 02:14:00,13530139.249538,0,0,0,0,0,0,0</t>
  </si>
  <si>
    <t>2025-05-05 02:15:00,575,,,,575,,,,,,,,</t>
  </si>
  <si>
    <t>2025-05-05 02:15:00,490,,,,490,,,,,,,,</t>
  </si>
  <si>
    <t>2025-05-05 02:15:00,5700,,5700,,5600,,5662.5,,,,,5750,5540</t>
  </si>
  <si>
    <t>2025-05-05 02:15:00,20000,,,,20000,,,,,,,,</t>
  </si>
  <si>
    <t>2025-05-05 02:15:00,671605800.532601,0,0,0,0,0,0,0</t>
  </si>
  <si>
    <t>2025-05-05 02:15:00,1037911049.93845,0,0,0,0,0,0,0</t>
  </si>
  <si>
    <t>2025-05-05 02:15:00,248805404.699226,1761977.66462706,1578.99999999999,29,38734.4079999997,465.05,0.0467488585858759,8.44</t>
  </si>
  <si>
    <t>2025-05-05 02:15:00,13547860.4045617,0,0,0,0,0,0,0</t>
  </si>
  <si>
    <t>2025-05-05 02:16:00,575,,,,575,,,,,,,,</t>
  </si>
  <si>
    <t>2025-05-05 02:16:00,490,,,,490,,,,,,,,</t>
  </si>
  <si>
    <t>2025-05-05 02:16:00,5600,,5700,,5600,,5662.5,,,,,5750,5540</t>
  </si>
  <si>
    <t>2025-05-05 02:16:00,20000,,,,20000,,,,,,,,</t>
  </si>
  <si>
    <t>2025-05-05 02:16:00,561266755.152832,0,0,0,0,0,0,0</t>
  </si>
  <si>
    <t>2025-05-05 02:16:00,983012261.020488,0,0,0,0,0,0,0</t>
  </si>
  <si>
    <t>2025-05-05 02:16:00,253964562.186352,1190623.89509312,5795.36666666667,129,93578.2045000001,1514.64,-0.170194734790096,35.23</t>
  </si>
  <si>
    <t>2025-05-05 02:16:00,13569641.6654823,0,0,0,0,0,0,0</t>
  </si>
  <si>
    <t>2025-05-05 02:17:00,575,,,,575,,,,,,,,</t>
  </si>
  <si>
    <t>2025-05-05 02:17:00,490,,,,490,,,,,,,,</t>
  </si>
  <si>
    <t>2025-05-05 02:17:00,5600,,5700,,5600,,5662.5,,,,,5750,5540</t>
  </si>
  <si>
    <t>2025-05-05 02:17:00,20000,,,,20000,,,,,,,,</t>
  </si>
  <si>
    <t>2025-05-05 02:17:00,557896509.456392,0,0,0,0,0,0,0</t>
  </si>
  <si>
    <t>2025-05-05 02:17:00,983057978.323105,0,0,0,0,0,0,0</t>
  </si>
  <si>
    <t>2025-05-05 02:17:00,254858216.88268,1173310.65124852,3924.99999999999,63,68420.6663333332,839.66,0.0328921708741144,15.71</t>
  </si>
  <si>
    <t>2025-05-05 02:17:00,13569091.0980652,0,0,0,0,0,0,0</t>
  </si>
  <si>
    <t>2025-05-05 02:18:00,575,,,,575,,,,,,,,</t>
  </si>
  <si>
    <t>2025-05-05 02:18:00,490,,,,490,,,,,,,,</t>
  </si>
  <si>
    <t>2025-05-05 02:18:00,5600,,5700,,5600,,5662.5,,,,,5750,5540</t>
  </si>
  <si>
    <t>2025-05-05 02:18:00,20000,,,,20000,,,,,,,,</t>
  </si>
  <si>
    <t>2025-05-05 02:18:00,550957955.402202,0,0,0,0,0,0,0</t>
  </si>
  <si>
    <t>2025-05-05 02:18:00,986421110.436814,0,0,0,0,0,0,0</t>
  </si>
  <si>
    <t>2025-05-05 02:18:00,254649232.26126,1158086.27533043,2650.45,55,55568.0148333332,736,0.0314440132356463,12.02</t>
  </si>
  <si>
    <t>2025-05-05 02:18:00,13569788.3202731,0,0,0,0,0,0,0</t>
  </si>
  <si>
    <t>2025-05-05 02:19:00,575,,,,575,,,,,,,,</t>
  </si>
  <si>
    <t>2025-05-05 02:19:00,490,,,,490,,,,,,,,</t>
  </si>
  <si>
    <t>2025-05-05 02:19:00,5600,,5700,,5600,,5662.5,,,,,5750,5540</t>
  </si>
  <si>
    <t>2025-05-05 02:19:00,20000,,,,20000,,,,,,,,</t>
  </si>
  <si>
    <t>2025-05-05 02:19:00,557903716.204922,0,0,0,0,0,0,0</t>
  </si>
  <si>
    <t>2025-05-05 02:19:00,991566883.791028,0,0,0,0,0,0,0</t>
  </si>
  <si>
    <t>2025-05-05 02:19:00,254223477.461988,1198608.45061487,1344.65833333334,20,22114.0517500001,265.39,0.00949418536712731,4.87</t>
  </si>
  <si>
    <t>2025-05-05 02:19:00,13564315.9055448,0,0,0,0,0,0,0</t>
  </si>
  <si>
    <t>2025-05-05 02:20:00,575,,,,575,,,,,,,,</t>
  </si>
  <si>
    <t>2025-05-05 02:20:00,490,,,,490,,,,,,,,</t>
  </si>
  <si>
    <t>2025-05-05 02:20:00,5700,,5700,,5600,,5662.5,,,,,5750,5540</t>
  </si>
  <si>
    <t>2025-05-05 02:20:00,20000,,,,20000,,,,,,,,</t>
  </si>
  <si>
    <t>2025-05-05 02:20:00,627071063.889443,0,0,0,0,0,0,0</t>
  </si>
  <si>
    <t>2025-05-05 02:20:00,1036452978.44878,0,0,0,0,0,0,0</t>
  </si>
  <si>
    <t>2025-05-05 02:20:00,248260992.798591,1643678.8375346,956.316666666666,27,23117.7958333333,335.11,-0.00395643008525261,6.85</t>
  </si>
  <si>
    <t>2025-05-05 02:20:00,13542517.0635187,0,0,0,0,0,0,0</t>
  </si>
  <si>
    <t>2025-05-05 02:21:00,575,,,,575,,,,,,,,</t>
  </si>
  <si>
    <t>2025-05-05 02:21:00,490,,,,490,,,,,,,,</t>
  </si>
  <si>
    <t>2025-05-05 02:21:00,5700,,5700,,5600,,5662.5,,,,,5750,5540</t>
  </si>
  <si>
    <t>2025-05-05 02:21:00,20000,,,,20000,,,,,,,,</t>
  </si>
  <si>
    <t>2025-05-05 02:21:00,661931351.20851,0,0,0,0,0,0,0</t>
  </si>
  <si>
    <t>2025-05-05 02:21:00,1055354393.68408,0,0,0,0,0,0,0</t>
  </si>
  <si>
    <t>2025-05-05 02:21:00,249457633.401462,1835884.64133434,813.391666666666,20,16626.9395833333,322.87,0.0323919268908673,5.47</t>
  </si>
  <si>
    <t>2025-05-05 02:21:00,13527048.0162669,0,0,0,0,0,0,0</t>
  </si>
  <si>
    <t>2025-05-05 02:22:00,575,,,,575,,,,,,,,</t>
  </si>
  <si>
    <t>2025-05-05 02:22:00,490,,,,490,,,,,,,,</t>
  </si>
  <si>
    <t>2025-05-05 02:22:00,5700,,5700,,5600,,5662.5,,,,,5750,5540</t>
  </si>
  <si>
    <t>2025-05-05 02:22:00,20000,,,,20000,,,,,,,,</t>
  </si>
  <si>
    <t>2025-05-05 02:22:00,658563981.038181,0,0,0,0,0,0,0</t>
  </si>
  <si>
    <t>2025-05-05 02:22:00,1045805179.38861,0,0,0,0,0,0,0</t>
  </si>
  <si>
    <t>2025-05-05 02:22:00,249606952.476328,1791018.05324714,1056.2,13,25975.0138333334,342.05,0.037029359714635,6.58</t>
  </si>
  <si>
    <t>2025-05-05 02:22:00,13536630.2170986,0,0,0,0,0,0,0</t>
  </si>
  <si>
    <t>2025-05-05 02:23:00,575,,,,575,,,,,,,,</t>
  </si>
  <si>
    <t>2025-05-05 02:23:00,490,,,,490,,,,,,,,</t>
  </si>
  <si>
    <t>2025-05-05 02:23:00,5700,,5700,,5600,,5662.5,,,,,5750,5540</t>
  </si>
  <si>
    <t>2025-05-05 02:23:00,20000,,,,20000,,,,,,,,</t>
  </si>
  <si>
    <t>2025-05-05 02:23:00,712695365.974658,0,0,0,0,0,0,0</t>
  </si>
  <si>
    <t>2025-05-05 02:23:00,1059978039.89694,0,0,0,0,0,0,0</t>
  </si>
  <si>
    <t>2025-05-05 02:23:00,244814118.297585,2115096.86032383,540.816666666669,9,13538.0905000001,180.77,0.0204518872531696,3.73</t>
  </si>
  <si>
    <t>2025-05-05 02:23:00,13522512.7272173,0,0,0,0,0,0,0</t>
  </si>
  <si>
    <t>2025-05-05 02:24:00,575,,,,575,,,,,,,,</t>
  </si>
  <si>
    <t>2025-05-05 02:24:00,490,,,,490,,,,,,,,</t>
  </si>
  <si>
    <t>2025-05-05 02:24:00,5700,,5700,,5600,,5662.5,,,,,5750,5540</t>
  </si>
  <si>
    <t>2025-05-05 02:24:00,20000,,,,20000,,,,,,,,</t>
  </si>
  <si>
    <t>2025-05-05 02:24:00,703181097.985085,0,0,0,0,0,0,0</t>
  </si>
  <si>
    <t>2025-05-05 02:24:00,1059947803.75708,0,0,0,0,0,0,0</t>
  </si>
  <si>
    <t>2025-05-05 02:24:00,246166129.007966,2026674.9308459,1207.3,15,18209.087,238.3,0.0374860087077266,3.81</t>
  </si>
  <si>
    <t>2025-05-05 02:24:00,13530034.4819376,0,0,0,0,0,0,0</t>
  </si>
  <si>
    <t>2025-05-05 02:25:00,575,,,,575,,,,,,,,</t>
  </si>
  <si>
    <t>2025-05-05 02:25:00,490,,,,490,,,,,,,,</t>
  </si>
  <si>
    <t>2025-05-05 02:25:00,5700,,5700,,5600,,5662.5,,,,,5750,5540</t>
  </si>
  <si>
    <t>2025-05-05 02:25:00,20000,,,,20000,,,,,,,,</t>
  </si>
  <si>
    <t>2025-05-05 02:25:00,719047374.575242,0,0,0,0,0,0,0</t>
  </si>
  <si>
    <t>2025-05-05 02:25:00,1062901690.1487,0,0,0,0,0,0,0</t>
  </si>
  <si>
    <t>2025-05-05 02:25:00,245745840.025749,2077524.74524278,608.033333333335,25,10549.7153333334,242.54,-0.0424822594706667,5.99</t>
  </si>
  <si>
    <t>2025-05-05 02:25:00,13525959.4397823,0,0,0,0,0,0,0</t>
  </si>
  <si>
    <t>2025-05-05 02:26:00,575,,,,575,,,,,,,,</t>
  </si>
  <si>
    <t>2025-05-05 02:26:00,490,,,,490,,,,,,,,</t>
  </si>
  <si>
    <t>2025-05-05 02:26:00,5700,,5700,,5600,,5662.5,,,,,5750,5540</t>
  </si>
  <si>
    <t>2025-05-05 02:26:00,20000,,,,20000,,,,,,,,</t>
  </si>
  <si>
    <t>2025-05-05 02:26:00,642991052.58651,0,0,0,0,0,0,0</t>
  </si>
  <si>
    <t>2025-05-05 02:26:00,1031893192.54213,0,0,0,0,0,0,0</t>
  </si>
  <si>
    <t>2025-05-05 02:26:00,249972346.793637,1642073.13643468,1965.18333333333,33,33039.4826666667,436.93,0.0271683004267079,7.73</t>
  </si>
  <si>
    <t>2025-05-05 02:26:00,13546954.2161477,0,0,0,0,0,0,0</t>
  </si>
  <si>
    <t>2025-05-05 02:27:00,575,,,,575,,,,,,,,</t>
  </si>
  <si>
    <t>2025-05-05 02:27:00,490,,,,490,,,,,,,,</t>
  </si>
  <si>
    <t>2025-05-05 02:27:00,5700,,5700,,5600,,5662.5,,,,,5750,5540</t>
  </si>
  <si>
    <t>2025-05-05 02:27:00,20000,,,,20000,,,,,,,,</t>
  </si>
  <si>
    <t>2025-05-05 02:27:00,655517199.755321,0,0,0,0,0,0,0</t>
  </si>
  <si>
    <t>2025-05-05 02:27:00,1042642401.57281,0,0,0,0,0,0,0</t>
  </si>
  <si>
    <t>2025-05-05 02:27:00,249840831.980259,1781629.76939354,1287.15,24,33249.4971666666,462.46,-0.000996172815470504,10.05</t>
  </si>
  <si>
    <t>2025-05-05 02:27:00,13535091.0105246,0,0,0,0,0,0,0</t>
  </si>
  <si>
    <t>2025-05-05 02:28:00,575,,,,575,,,,,,,,</t>
  </si>
  <si>
    <t>2025-05-05 02:28:00,490,,,,490,,,,,,,,</t>
  </si>
  <si>
    <t>2025-05-05 02:28:00,5700,,5700,,5600,,5662.5,,,,,5750,5540</t>
  </si>
  <si>
    <t>2025-05-05 02:28:00,20000,,,,20000,,,,,,,,</t>
  </si>
  <si>
    <t>2025-05-05 02:28:00,661849657.919168,0,0,0,0,0,0,0</t>
  </si>
  <si>
    <t>2025-05-05 02:28:00,1053744524.30308,0,0,0,0,0,0,0</t>
  </si>
  <si>
    <t>2025-05-05 02:28:00,248964101.757511,1828494.24857415,250.733333333333,2,5176.27799999999,64.13,0.0106840138436308,1.17</t>
  </si>
  <si>
    <t>2025-05-05 02:28:00,13529492.8802147,0,0,0,0,0,0,0</t>
  </si>
  <si>
    <t>2025-05-05 02:29:00,575,,,,575,,,,,,,,</t>
  </si>
  <si>
    <t>2025-05-05 02:29:00,490,,,,490,,,,,,,,</t>
  </si>
  <si>
    <t>2025-05-05 02:29:00,5700,,5700,,5600,,5662.5,,,,,5750,5540</t>
  </si>
  <si>
    <t>2025-05-05 02:29:00,20000,,,,20000,,,,,,,,</t>
  </si>
  <si>
    <t>2025-05-05 02:29:00,630285316.284939,0,0,0,0,0,0,0</t>
  </si>
  <si>
    <t>2025-05-05 02:29:00,1033356865.50108,0,0,0,0,0,0,0</t>
  </si>
  <si>
    <t>2025-05-05 02:29:00,250041601.894315,1572850.34847706,4958.38333333333,61,225019.389833333,2391.76,0.238206785534906,42.04</t>
  </si>
  <si>
    <t>2025-05-05 02:29:00,13543566.9335987,0,0,0,0,0,0,0</t>
  </si>
  <si>
    <t>2025-05-05 02:30:00,575,,,,575,,,,,,,,</t>
  </si>
  <si>
    <t>2025-05-05 02:30:00,490,,,,490,,,,,,,,</t>
  </si>
  <si>
    <t>2025-05-05 02:30:00,5700,,5700,,5600,,5662.5,,,,,5750,5540</t>
  </si>
  <si>
    <t>2025-05-05 02:30:00,20000,,,,20000,,,,,,,,</t>
  </si>
  <si>
    <t>2025-05-05 02:30:00,658918170.960912,0,0,0,0,0,0,0</t>
  </si>
  <si>
    <t>2025-05-05 02:30:00,1052184726.01679,0,0,0,0,0,0,0</t>
  </si>
  <si>
    <t>2025-05-05 02:30:00,250072018.880337,1866126.32722219,491.294444444443,6,21169.2131666665,259.16,0.017131884225293,4.71</t>
  </si>
  <si>
    <t>2025-05-05 02:30:00,13529111.737551,0,0,0,0,0,0,0</t>
  </si>
  <si>
    <t>2025-05-05 02:31:00,575,,,,575,,,,,,,,</t>
  </si>
  <si>
    <t>2025-05-05 02:31:00,490,,,,490,,,,,,,,</t>
  </si>
  <si>
    <t>2025-05-05 02:31:00,5700,,5700,,5600,,5662.5,,,,,5750,5540</t>
  </si>
  <si>
    <t>2025-05-05 02:31:00,20000,,,,20000,,,,,,,,</t>
  </si>
  <si>
    <t>2025-05-05 02:31:00,680975395.379987,0,0,0,0,0,0,0</t>
  </si>
  <si>
    <t>2025-05-05 02:31:00,1058659270.48897,0,0,0,0,0,0,0</t>
  </si>
  <si>
    <t>2025-05-05 02:31:00,249081700.09193,1996995.79369367,672.199999999998,1,10470.2333333333,83.61,0.0207952854197273,1.78</t>
  </si>
  <si>
    <t>2025-05-05 02:31:00,13523230.1525217,0,0,0,0,0,0,0</t>
  </si>
  <si>
    <t>2025-05-05 02:32:00,575,,,,575,,,,,,,,</t>
  </si>
  <si>
    <t>2025-05-05 02:32:00,490,,,,490,,,,,,,,</t>
  </si>
  <si>
    <t>2025-05-05 02:32:00,5700,,5700,,5600,,5662.5,,,,,5750,5540</t>
  </si>
  <si>
    <t>2025-05-05 02:32:00,20000,,,,20000,,,,,,,,</t>
  </si>
  <si>
    <t>2025-05-05 02:32:00,687529079.172237,0,0,0,0,0,0,0</t>
  </si>
  <si>
    <t>2025-05-05 02:32:00,1058537284.90366,0,0,0,0,0,0,0</t>
  </si>
  <si>
    <t>2025-05-05 02:32:00,248583113.041983,1973637.90049087,114.8,4,1230.24133333333,27.12,-0.001528217101023,0.44</t>
  </si>
  <si>
    <t>2025-05-05 02:32:00,13519898.5833147,0,0,0,0,0,0,0</t>
  </si>
  <si>
    <t>2025-05-05 02:33:00,575,,,,575,,,,,,,,</t>
  </si>
  <si>
    <t>2025-05-05 02:33:00,490,,,,490,,,,,,,,</t>
  </si>
  <si>
    <t>2025-05-05 02:33:00,5700,,5700,,5600,,5682.5,,,,,5750,5540</t>
  </si>
  <si>
    <t>2025-05-05 02:33:00,20000,,,,20000,,,,,,,,</t>
  </si>
  <si>
    <t>2025-05-05 02:33:00,728442936.029824,0,0,0,0,0,0,0</t>
  </si>
  <si>
    <t>2025-05-05 02:33:00,1066148990.04881,0,0,0,0,0,0,0</t>
  </si>
  <si>
    <t>2025-05-05 02:33:00,246279939.597332,2156970.25591237,1544.46666666667,17,36515.7733333335,382.7,0.0631919000168026,7.31</t>
  </si>
  <si>
    <t>2025-05-05 02:33:00,13505268.6805487,0,0,0,0,0,0,0</t>
  </si>
  <si>
    <t>2025-05-05 02:34:00,575,,,,575,,,,,,,,</t>
  </si>
  <si>
    <t>2025-05-05 02:34:00,490,,,,490,,,,,,,,</t>
  </si>
  <si>
    <t>2025-05-05 02:34:00,5700,,5700,,5600,,5662.5,,,,,5750,5540</t>
  </si>
  <si>
    <t>2025-05-05 02:34:00,20000,,,,20000,,,,,,,,</t>
  </si>
  <si>
    <t>2025-05-05 02:34:00,712615846.143593,0,0,0,0,0,0,0</t>
  </si>
  <si>
    <t>2025-05-05 02:34:00,1070846205.77077,0,0,0,0,0,0,0</t>
  </si>
  <si>
    <t>2025-05-05 02:34:00,245263054.69979,2137403.91609743,2477.63333333334,29,47784.1256666668,641,0.107885841309479,11.47</t>
  </si>
  <si>
    <t>2025-05-05 02:34:00,13506422.0306267,0,0,0,0,0,0,0</t>
  </si>
  <si>
    <t>2025-05-05 02:35:00,575,,,,575,,,,,,,,</t>
  </si>
  <si>
    <t>2025-05-05 02:35:00,490,,,,490,,,,,,,,</t>
  </si>
  <si>
    <t>2025-05-05 02:35:00,5700,,5700,,5600,,5662.5,,,,,5750,5540</t>
  </si>
  <si>
    <t>2025-05-05 02:35:00,20000,,,,20000,,,,,,,,</t>
  </si>
  <si>
    <t>2025-05-05 02:35:00,684177638.401869,0,0,0,0,0,0,0</t>
  </si>
  <si>
    <t>2025-05-05 02:35:00,1062944421.00178,0,0,0,0,0,0,0</t>
  </si>
  <si>
    <t>2025-05-05 02:35:00,249100042.502744,2020196.85854578,2861.43333333333,32,101329.374333333,1132.31,0.144607220977285,22.02</t>
  </si>
  <si>
    <t>2025-05-05 02:35:00,13519852.8258017,0,0,0,0,0,0,0</t>
  </si>
  <si>
    <t>2025-05-05 02:36:00,575,,,,575,,,,,,,,</t>
  </si>
  <si>
    <t>2025-05-05 02:36:00,490,,,,490,,,,,,,,</t>
  </si>
  <si>
    <t>2025-05-05 02:36:00,5700,,5700,,5600,,5662.5,,,,,5750,5540</t>
  </si>
  <si>
    <t>2025-05-05 02:36:00,20000,,,,20000,,,,,,,,</t>
  </si>
  <si>
    <t>2025-05-05 02:36:00,680925524.837669,0,0,0,0,0,0,0</t>
  </si>
  <si>
    <t>2025-05-05 02:36:00,1061509968.76127,0,0,0,0,0,0,0</t>
  </si>
  <si>
    <t>2025-05-05 02:36:00,249004978.928784,2004840.42315902,1609,33,18042.803,374.09,-0.0512050115340532,8.67</t>
  </si>
  <si>
    <t>2025-05-05 02:36:00,13520611.7160465,0,0,0,0,0,0,0</t>
  </si>
  <si>
    <t>2025-05-05 02:37:00,575,,,,575,,,,,,,,</t>
  </si>
  <si>
    <t>2025-05-05 02:37:00,490,,,,490,,,,,,,,</t>
  </si>
  <si>
    <t>2025-05-05 02:37:00,5700,,5700,,5600,,5662.5,,,,,5750,5540</t>
  </si>
  <si>
    <t>2025-05-05 02:37:00,20000,,,,20000,,,,,,,,</t>
  </si>
  <si>
    <t>2025-05-05 02:37:00,601895092.487924,0,0,0,0,0,0,0</t>
  </si>
  <si>
    <t>2025-05-05 02:37:00,1001902839.7702,0,0,0,0,0,0,0</t>
  </si>
  <si>
    <t>2025-05-05 02:37:00,252708705.752879,1460564.68410011,1830.46666666667,42,30854.4123333334,523.87,-0.0161820089191315,10.3</t>
  </si>
  <si>
    <t>2025-05-05 02:37:00,13555105.6138571,0,0,0,0,0,0,0</t>
  </si>
  <si>
    <t>2025-05-05 02:38:00,575,,,,575,,,,,,,,</t>
  </si>
  <si>
    <t>2025-05-05 02:38:00,490,,,,490,,,,,,,,</t>
  </si>
  <si>
    <t>2025-05-05 02:38:00,5700,,5700,,5600,,5662.5,,,,,5750,5540</t>
  </si>
  <si>
    <t>2025-05-05 02:38:00,20000,,,,20000,,,,,,,,</t>
  </si>
  <si>
    <t>2025-05-05 02:38:00,649049707.844053,0,0,0,0,0,0,0</t>
  </si>
  <si>
    <t>2025-05-05 02:38:00,1036540184.83905,0,0,0,0,0,0,0</t>
  </si>
  <si>
    <t>2025-05-05 02:38:00,248535044.817543,1737066.58732182,1216.21666666667,14,22016.2353333334,270.53,0.0253010668710216,5.07</t>
  </si>
  <si>
    <t>2025-05-05 02:38:00,13532700.4108058,0,0,0,0,0,0,0</t>
  </si>
  <si>
    <t>2025-05-05 02:39:00,575,,,,575,,,,,,,,</t>
  </si>
  <si>
    <t>2025-05-05 02:39:00,490,,,,490,,,,,,,,</t>
  </si>
  <si>
    <t>2025-05-05 02:39:00,5700,,5700,,5600,,5662.5,,,,,5750,5540</t>
  </si>
  <si>
    <t>2025-05-05 02:39:00,20000,,,,20000,,,,,,,,</t>
  </si>
  <si>
    <t>2025-05-05 02:39:00,639817462.856609,0,0,0,0,0,0,0</t>
  </si>
  <si>
    <t>2025-05-05 02:39:00,1035096051.74796,0,0,0,0,0,0,0</t>
  </si>
  <si>
    <t>2025-05-05 02:39:00,248804836.290594,1727013.79094593,433.766666666667,7,11533.6606666667,137.55,0.0126586254660391,2.61</t>
  </si>
  <si>
    <t>2025-05-05 02:39:00,13535797.7090864,0,0,0,0,0,0,0</t>
  </si>
  <si>
    <t>2025-05-05 02:40:00,575,,,,575,,,,,,,,</t>
  </si>
  <si>
    <t>2025-05-05 02:40:00,490,,,,490,,,,,,,,</t>
  </si>
  <si>
    <t>2025-05-05 02:40:00,5700,,5700,,5600,,5662.5,,,,,5750,5540</t>
  </si>
  <si>
    <t>2025-05-05 02:40:00,20000,,,,20000,,,,,,,,</t>
  </si>
  <si>
    <t>2025-05-05 02:40:00,661949988.672729,0,0,0,0,0,0,0</t>
  </si>
  <si>
    <t>2025-05-05 02:40:00,1055447373.86533,0,0,0,0,0,0,0</t>
  </si>
  <si>
    <t>2025-05-05 02:40:00,249775574.521542,1932645.79290082,429.277272727272,23,3969.34695454545,131.83,-0.0424920561851038,2.87</t>
  </si>
  <si>
    <t>2025-05-05 02:40:00,13517661.4880349,0,0,0,0,0,0,0</t>
  </si>
  <si>
    <t>2025-05-05 02:41:00,575,,,,575,,,,,,,,</t>
  </si>
  <si>
    <t>2025-05-05 02:41:00,490,,,,490,,,,,,,,</t>
  </si>
  <si>
    <t>2025-05-05 02:41:00,5700,,5700,,5600,,5662.5,,,,,5750,5540</t>
  </si>
  <si>
    <t>2025-05-05 02:41:00,20000,,,,20000,,,,,,,,</t>
  </si>
  <si>
    <t>2025-05-05 02:41:00,671677632.873078,0,0,0,0,0,0,0</t>
  </si>
  <si>
    <t>2025-05-05 02:41:00,1055467674.50146,0,0,0,0,0,0,0</t>
  </si>
  <si>
    <t>2025-05-05 02:41:00,249614149.310934,1959633.07696976,45.5666666666666,2,451.093666666666,16.33,-0.00639377917298723,0.48</t>
  </si>
  <si>
    <t>2025-05-05 02:41:00,13525579.0734842,0,0,0,0,0,0,0</t>
  </si>
  <si>
    <t>2025-05-05 02:42:00,575,,,,575,,,,,,,,</t>
  </si>
  <si>
    <t>2025-05-05 02:42:00,490,,,,490,,,,,,,,</t>
  </si>
  <si>
    <t>2025-05-05 02:42:00,5700,,5700,,5600,,5662.5,,,,,5750,5540</t>
  </si>
  <si>
    <t>2025-05-05 02:42:00,20000,,,,20000,,,,,,,,</t>
  </si>
  <si>
    <t>2025-05-05 02:42:00,668605863.881253,0,0,0,0,0,0,0</t>
  </si>
  <si>
    <t>2025-05-05 02:42:00,1049094835.09288,0,0,0,0,0,0,0</t>
  </si>
  <si>
    <t>2025-05-05 02:42:00,249673345.428673,1960300.69584394,259.266666666666,4,4774.23333333333,63.34,0.00590127756681462,1.46</t>
  </si>
  <si>
    <t>2025-05-05 02:42:00,13528705.4162884,0,0,0,0,0,0,0</t>
  </si>
  <si>
    <t>2025-05-05 02:43:00,575,,,,575,,,,,,,,</t>
  </si>
  <si>
    <t>2025-05-05 02:43:00,490,,,,490,,,,,,,,</t>
  </si>
  <si>
    <t>2025-05-05 02:43:00,5700,,5700,,5600,,5682.5,,,,,5750,5540</t>
  </si>
  <si>
    <t>2025-05-05 02:43:00,20000,,,,20000,,,,,,,,</t>
  </si>
  <si>
    <t>2025-05-05 02:43:00,693706275.81732,0,0,0,0,0,0,0</t>
  </si>
  <si>
    <t>2025-05-05 02:43:00,1061542145.37531,0,0,0,0,0,0,0</t>
  </si>
  <si>
    <t>2025-05-05 02:43:00,246647762.865678,2045618.49449401,597.831818181818,12,12901.3585909091,214.78,0.0155079170652264,4.17</t>
  </si>
  <si>
    <t>2025-05-05 02:43:00,13519471.2812778,0,0,0,0,0,0,0</t>
  </si>
  <si>
    <t>2025-05-05 02:44:00,575,,,,575,,,,,,,,</t>
  </si>
  <si>
    <t>2025-05-05 02:44:00,490,,,,490,,,,,,,,</t>
  </si>
  <si>
    <t>2025-05-05 02:44:00,5700,,5700,,5600,,5662.5,,,,,5750,5540</t>
  </si>
  <si>
    <t>2025-05-05 02:44:00,20000,,,,20000,,,,,,,,</t>
  </si>
  <si>
    <t>2025-05-05 02:44:00,656418013.31672,0,0,0,0,0,0,0</t>
  </si>
  <si>
    <t>2025-05-05 02:44:00,1035019965.77621,0,0,0,0,0,0,0</t>
  </si>
  <si>
    <t>2025-05-05 02:44:00,248202495.210299,1867344.09684879,496.316666666666,8,8044.83316666666,107.63,0.0120972310311334,1.87</t>
  </si>
  <si>
    <t>2025-05-05 02:44:00,13539310.1448311,0,0,0,0,0,0,0</t>
  </si>
  <si>
    <t>2025-05-05 02:45:00,575,,,,575,,,,,,,,</t>
  </si>
  <si>
    <t>2025-05-05 02:45:00,490,,,,490,,,,,,,,</t>
  </si>
  <si>
    <t>2025-05-05 02:45:00,5700,,5700,,5600,,5662.5,,,,,5750,5540</t>
  </si>
  <si>
    <t>2025-05-05 02:45:00,20000,,,,20000,,,,,,,,</t>
  </si>
  <si>
    <t>2025-05-05 02:45:00,677846201.613017,0,0,0,0,0,0,0</t>
  </si>
  <si>
    <t>2025-05-05 02:45:00,1055397552.34553,0,0,0,0,0,0,0</t>
  </si>
  <si>
    <t>2025-05-05 02:45:00,247810107.365109,1904748.96807222,519.066666666668,8,10378.608,119.21,-0.00169142761297258,2.56</t>
  </si>
  <si>
    <t>2025-05-05 02:45:00,13537723.8923128,0,0,0,0,0,0,0</t>
  </si>
  <si>
    <t>2025-05-05 02:46:00,575,,,,575,,,,,,,,</t>
  </si>
  <si>
    <t>2025-05-05 02:46:00,490,,,,490,,,,,,,,</t>
  </si>
  <si>
    <t>2025-05-05 02:46:00,5700,,5700,,5600,,5662.5,,,,,5750,5540</t>
  </si>
  <si>
    <t>2025-05-05 02:46:00,20000,,,,20000,,,,,,,,</t>
  </si>
  <si>
    <t>2025-05-05 02:46:00,687106518.828848,0,0,0,0,0,0,0</t>
  </si>
  <si>
    <t>2025-05-05 02:46:00,1069432978.35206,0,0,0,0,0,0,0</t>
  </si>
  <si>
    <t>2025-05-05 02:46:00,248595897.094921,2116050.00658467,371.049999999999,-3,10047.8495,106.92,0.0302144974018501,2.24</t>
  </si>
  <si>
    <t>2025-05-05 02:46:00,13509931.8309669,0,0,0,0,0,0,0</t>
  </si>
  <si>
    <t>2025-05-05 02:47:00,575,,,,575,,,,,,,,</t>
  </si>
  <si>
    <t>2025-05-05 02:47:00,490,,,,490,,,,,,,,</t>
  </si>
  <si>
    <t>2025-05-05 02:47:00,5700,,5700,,5600,,5662.5,,,,,5750,5540</t>
  </si>
  <si>
    <t>2025-05-05 02:47:00,20000,,,,20000,,,,,,,,</t>
  </si>
  <si>
    <t>2025-05-05 02:47:00,649267644.842535,0,0,0,0,0,0,0</t>
  </si>
  <si>
    <t>2025-05-05 02:47:00,1039734158.00565,0,0,0,0,0,0,0</t>
  </si>
  <si>
    <t>2025-05-05 02:47:00,248431377.58481,1775829.00284268,490.166666666667,5,13856.6433333334,165.53,0.023915517272253,3.57</t>
  </si>
  <si>
    <t>2025-05-05 02:47:00,13533788.3598182,0,0,0,0,0,0,0</t>
  </si>
  <si>
    <t>2025-05-05 02:48:00,575,,,,575,,,,,,,,</t>
  </si>
  <si>
    <t>2025-05-05 02:48:00,490,,,,490,,,,,,,,</t>
  </si>
  <si>
    <t>2025-05-05 02:48:00,5700,,5700,,5600,,5662.5,,,,,5750,5540</t>
  </si>
  <si>
    <t>2025-05-05 02:48:00,20000,,,,20000,,,,,,,,</t>
  </si>
  <si>
    <t>2025-05-05 02:48:00,665606134.983906,0,0,0,0,0,0,0</t>
  </si>
  <si>
    <t>2025-05-05 02:48:00,1046008129.06255,0,0,0,0,0,0,0</t>
  </si>
  <si>
    <t>2025-05-05 02:48:00,249809833.235914,1916366.58617653,20.7333333333333,1,123.133666666666,8.78,-0.00411716997337311,0.28</t>
  </si>
  <si>
    <t>2025-05-05 02:48:00,13531491.5582861,0,0,0,0,0,0,0</t>
  </si>
  <si>
    <t>2025-05-05 02:49:00,575,,,,575,,,,,,,,</t>
  </si>
  <si>
    <t>2025-05-05 02:49:00,490,,,,490,,,,,,,,</t>
  </si>
  <si>
    <t>2025-05-05 02:49:00,5700,,5700,,5600,,5682.5,,,,,5750,5540</t>
  </si>
  <si>
    <t>2025-05-05 02:49:00,20000,,,,20000,,,,,,,,</t>
  </si>
  <si>
    <t>2025-05-05 02:49:00,703196652.869815,0,0,0,0,0,0,0</t>
  </si>
  <si>
    <t>2025-05-05 02:49:00,1058704878.7304,0,0,0,0,0,0,0</t>
  </si>
  <si>
    <t>2025-05-05 02:49:00,246690501.555625,2070882.31447762,87.0999999999999,1,930.625999999999,12.76,0.00106838920124882,0.22</t>
  </si>
  <si>
    <t>2025-05-05 02:49:00,13518175.6906169,0,0,0,0,0,0,0</t>
  </si>
  <si>
    <t>2025-05-05 02:50:00,575,,,,575,,,,,,,,</t>
  </si>
  <si>
    <t>2025-05-05 02:50:00,490,,,,490,,,,,,,,</t>
  </si>
  <si>
    <t>2025-05-05 02:50:00,5700,,5700,,5600,,5662.5,,,,,5750,5540</t>
  </si>
  <si>
    <t>2025-05-05 02:50:00,20000,,,,20000,,,,,,,,</t>
  </si>
  <si>
    <t>2025-05-05 02:50:00,656326780.737379,0,0,0,0,0,0,0</t>
  </si>
  <si>
    <t>2025-05-05 02:50:00,1032130983.5893,0,0,0,0,0,0,0</t>
  </si>
  <si>
    <t>2025-05-05 02:50:00,248252309.239316,1852706.28017667,156.85,2,2296.8985,30.06,0.00468480216025374,0.45</t>
  </si>
  <si>
    <t>2025-05-05 02:50:00,13539052.4375345,0,0,0,0,0,0,0</t>
  </si>
  <si>
    <t>2025-05-05 02:51:00,575,,,,575,,,,,,,,</t>
  </si>
  <si>
    <t>2025-05-05 02:51:00,490,,,,490,,,,,,,,</t>
  </si>
  <si>
    <t>2025-05-05 02:51:00,5700,,5700,,5600,,5662.5,,,,,5750,5540</t>
  </si>
  <si>
    <t>2025-05-05 02:51:00,20000,,,,20000,,,,,,,,</t>
  </si>
  <si>
    <t>2025-05-05 02:51:00,623837753.298603,0,0,0,0,0,0,0</t>
  </si>
  <si>
    <t>2025-05-05 02:51:00,998569464.493096,0,0,0,0,0,0,0</t>
  </si>
  <si>
    <t>2025-05-05 02:51:00,250922723.616118,1617755.94053847,1978.35,32,31158.4025,471.83,0.0377243720775182,7.96</t>
  </si>
  <si>
    <t>2025-05-05 02:51:00,13554430.9627021,0,0,0,0,0,0,0</t>
  </si>
  <si>
    <t>2025-05-05 02:52:00,575,,,,575,,,,,,,,</t>
  </si>
  <si>
    <t>2025-05-05 02:52:00,490,,,,490,,,,,,,,</t>
  </si>
  <si>
    <t>2025-05-05 02:52:00,5700,,5700,,5600,,5662.5,,,,,5750,5540</t>
  </si>
  <si>
    <t>2025-05-05 02:52:00,20000,,,,20000,,,,,,,,</t>
  </si>
  <si>
    <t>2025-05-05 02:52:00,696837405.091238,0,0,0,0,0,0,0</t>
  </si>
  <si>
    <t>2025-05-05 02:52:00,1055538864.01495,0,0,0,0,0,0,0</t>
  </si>
  <si>
    <t>2025-05-05 02:52:00,248546840.179407,2145531.3985247,185.699999999999,-1,3816.42399999999,34.07,0.0134873687812,0.58</t>
  </si>
  <si>
    <t>2025-05-05 02:52:00,13524889.0165817,0,0,0,0,0,0,0</t>
  </si>
  <si>
    <t>2025-05-05 02:53:00,575,,,,575,,,,,,,,</t>
  </si>
  <si>
    <t>2025-05-05 02:53:00,490,,,,490,,,,,,,,</t>
  </si>
  <si>
    <t>2025-05-05 02:53:00,5700,,5700,,5600,,5662.5,,,,,5750,5540</t>
  </si>
  <si>
    <t>2025-05-05 02:53:00,20000,,,,20000,,,,,,,,</t>
  </si>
  <si>
    <t>2025-05-05 02:53:00,696817952.465945,0,0,0,0,0,0,0</t>
  </si>
  <si>
    <t>2025-05-05 02:53:00,1060194427.41879,0,0,0,0,0,0,0</t>
  </si>
  <si>
    <t>2025-05-05 02:53:00,248738774.709681,2139650.93990052,154.3,3,2353.181,46.57,0.0022089581691755,0.86</t>
  </si>
  <si>
    <t>2025-05-05 02:53:00,13517035.9797679,0,0,0,0,0,0,0</t>
  </si>
  <si>
    <t>2025-05-05 02:54:00,575,,,,575,,,,,,,,</t>
  </si>
  <si>
    <t>2025-05-05 02:54:00,490,,,,490,,,,,,,,</t>
  </si>
  <si>
    <t>2025-05-05 02:54:00,5700,,5700,,5600,,5662.5,,,,,5750,5540</t>
  </si>
  <si>
    <t>2025-05-05 02:54:00,20000,,,,20000,,,,,,,,</t>
  </si>
  <si>
    <t>2025-05-05 02:54:00,696876254.255779,0,0,0,0,0,0,0</t>
  </si>
  <si>
    <t>2025-05-05 02:54:00,1053951344.30403,0,0,0,0,0,0,0</t>
  </si>
  <si>
    <t>2025-05-05 02:54:00,248322713.848188,2156437.00873279,571.277777777778,13,9084.70922222222,190.03,0.00125564076700337,3.48</t>
  </si>
  <si>
    <t>2025-05-05 02:54:00,13519862.6268887,0,0,0,0,0,0,0</t>
  </si>
  <si>
    <t>2025-05-05 02:55:00,575,,,,575,,,,,,,,</t>
  </si>
  <si>
    <t>2025-05-05 02:55:00,490,,,,490,,,,,,,,</t>
  </si>
  <si>
    <t>2025-05-05 02:55:00,5700,,5700,,5600,,5652.5,,,,,5750,5540</t>
  </si>
  <si>
    <t>2025-05-05 02:55:00,20000,,,,20000,,,,,,,,</t>
  </si>
  <si>
    <t>2025-05-05 02:55:00,696910384.345975,0,0,0,0,0,0,0</t>
  </si>
  <si>
    <t>2025-05-05 02:55:00,1057187739.44539,0,0,0,0,0,0,0</t>
  </si>
  <si>
    <t>2025-05-05 02:55:00,248566533.000314,2206510.03080173,925.533333333335,14,20559.4246666667,278.68,0.0317861073118347,5.48</t>
  </si>
  <si>
    <t>2025-05-05 02:55:00,13516507.4552106,0,0,0,0,0,0,0</t>
  </si>
  <si>
    <t>2025-05-05 02:56:00,575,,,,575,,,,,,,,</t>
  </si>
  <si>
    <t>2025-05-05 02:56:00,490,,,,490,,,,,,,,</t>
  </si>
  <si>
    <t>2025-05-05 02:56:00,5700,,5700,,5600,,5652.5,,,,,5750,5540</t>
  </si>
  <si>
    <t>2025-05-05 02:56:00,20000,,,,20000,,,,,,,,</t>
  </si>
  <si>
    <t>2025-05-05 02:56:00,690603405.462682,0,0,0,0,0,0,0</t>
  </si>
  <si>
    <t>2025-05-05 02:56:00,1053924737.26968,0,0,0,0,0,0,0</t>
  </si>
  <si>
    <t>2025-05-05 02:56:00,249095352.005437,2183492.50612915,523.833333333333,11,9602.55966666665,163.48,0.0183036565636216,3.01</t>
  </si>
  <si>
    <t>2025-05-05 02:56:00,13517285.0248422,0,0,0,0,0,0,0</t>
  </si>
  <si>
    <t>2025-05-05 02:57:00,575,,,,575,,,,,,,,</t>
  </si>
  <si>
    <t>2025-05-05 02:57:00,490,,,,490,,,,,,,,</t>
  </si>
  <si>
    <t>2025-05-05 02:57:00,5700,,5700,,5600,,5652.5,,,,,5750,5540</t>
  </si>
  <si>
    <t>2025-05-05 02:57:00,20000,,,,20000,,,,,,,,</t>
  </si>
  <si>
    <t>2025-05-05 02:57:00,677783299.282118,0,0,0,0,0,0,0</t>
  </si>
  <si>
    <t>2025-05-05 02:57:00,1045997215.33712,0,0,0,0,0,0,0</t>
  </si>
  <si>
    <t>2025-05-05 02:57:00,248038169.532599,2012943.29385132,82.4999999999999,2,625.299999999999,14.4,-0.00253653939791663,0.3</t>
  </si>
  <si>
    <t>2025-05-05 02:57:00,13530848.8515697,0,0,0,0,0,0,0</t>
  </si>
  <si>
    <t>2025-05-05 02:58:00,575,,,,575,,,,,,,,</t>
  </si>
  <si>
    <t>2025-05-05 02:58:00,490,,,,490,,,,,,,,</t>
  </si>
  <si>
    <t>2025-05-05 02:58:00,5700,,5700,,5600,,5672.5,,,,,5750,5540</t>
  </si>
  <si>
    <t>2025-05-05 02:58:00,20000,,,,20000,,,,,,,,</t>
  </si>
  <si>
    <t>2025-05-05 02:58:00,703145568.830976,0,0,0,0,0,0,0</t>
  </si>
  <si>
    <t>2025-05-05 02:58:00,1061798405.98254,0,0,0,0,0,0,0</t>
  </si>
  <si>
    <t>2025-05-05 02:58:00,247406080.631429,2144413.44174671,345.7,4,7783.76600000002,72.86,0.0100371935113108,1.42</t>
  </si>
  <si>
    <t>2025-05-05 02:58:00,13514196.8626541,0,0,0,0,0,0,0</t>
  </si>
  <si>
    <t>2025-05-05 02:59:00,575,,,,575,,,,,,,,</t>
  </si>
  <si>
    <t>2025-05-05 02:59:00,490,,,,490,,,,,,,,</t>
  </si>
  <si>
    <t>2025-05-05 02:59:00,5700,,5700,,5600,,5652.5,,,,,5750,5540</t>
  </si>
  <si>
    <t>2025-05-05 02:59:00,20000,,,,20000,,,,,,,,</t>
  </si>
  <si>
    <t>2025-05-05 02:59:00,674849988.51358,0,0,0,0,0,0,0</t>
  </si>
  <si>
    <t>2025-05-05 02:59:00,1049308062.96877,0,0,0,0,0,0,0</t>
  </si>
  <si>
    <t>2025-05-05 02:59:00,250118302.593816,1986651.1547852,927.199999999999,33,9283.72166666666,218.54,-0.0739109422034105,5.42</t>
  </si>
  <si>
    <t>2025-05-05 02:59:00,13524450.2031245,0,0,0,0,0,0,0</t>
  </si>
  <si>
    <t>2025-05-05 03:00:00,575,,,,575,,,,,,,,</t>
  </si>
  <si>
    <t>2025-05-05 03:00:00,490,,,,490,,,,,,,,</t>
  </si>
  <si>
    <t>2025-05-05 03:00:00,5700,,5700,,5600,,5652.5,,,,,5750,5540</t>
  </si>
  <si>
    <t>2025-05-05 03:00:00,20000,,,,20000,,,,,,,,</t>
  </si>
  <si>
    <t>2025-05-05 03:00:00,671719566.433221,0,0,0,0,0,0,0</t>
  </si>
  <si>
    <t>2025-05-05 03:00:00,1044565736.26577,0,0,0,0,0,0,0</t>
  </si>
  <si>
    <t>2025-05-05 03:00:00,250177608.142814,2100610.27821742,673.183333333334,5,15095.2681666667,162.62,0.0307648939817322,3.11</t>
  </si>
  <si>
    <t>2025-05-05 03:00:00,13524691.6690964,0,0,0,0,0,0,0</t>
  </si>
  <si>
    <t>2025-05-05 03:01:00,575,,,,575,,,,,,,,</t>
  </si>
  <si>
    <t>2025-05-05 03:01:00,490,,,,490,,,,,,,,</t>
  </si>
  <si>
    <t>2025-05-05 03:01:00,5700,,5700,,5600,,5652.5,,,,,5750,5540</t>
  </si>
  <si>
    <t>2025-05-05 03:01:00,20000,,,,20000,,,,,,,,</t>
  </si>
  <si>
    <t>2025-05-05 03:01:00,712778168.696422,0,0,0,0,0,0,0</t>
  </si>
  <si>
    <t>2025-05-05 03:01:00,1077597811.5442,0,0,0,0,0,0,0</t>
  </si>
  <si>
    <t>2025-05-05 03:01:00,245472611.990493,2323115.48257421,774.45,8,13275.6685,162.66,0.0273078333985669,3.04</t>
  </si>
  <si>
    <t>2025-05-05 03:01:00,13491112.1711868,0,0,0,0,0,0,0</t>
  </si>
  <si>
    <t>2025-05-05 03:02:00,575,,,,575,,,,,,,,</t>
  </si>
  <si>
    <t>2025-05-05 03:02:00,490,,,,490,,,,,,,,</t>
  </si>
  <si>
    <t>2025-05-05 03:02:00,5700,,5700,,5600,,5652.5,,,,,5750,5540</t>
  </si>
  <si>
    <t>2025-05-05 03:02:00,20000,,,,20000,,,,,,,,</t>
  </si>
  <si>
    <t>2025-05-05 03:02:00,750562422.869541,0,0,0,0,0,0,0</t>
  </si>
  <si>
    <t>2025-05-05 03:02:00,1095555442.97135,0,0,0,0,0,0,0</t>
  </si>
  <si>
    <t>2025-05-05 03:02:00,244081474.840764,2619647.53935295,1163.8,12,28364.5023333333,327.56,0.0257309993452637,7.24</t>
  </si>
  <si>
    <t>2025-05-05 03:02:00,13476961.0735369,0,0,0,0,0,0,0</t>
  </si>
  <si>
    <t>2025-05-05 03:03:00,575,,,,575,,,,,,,,</t>
  </si>
  <si>
    <t>2025-05-05 03:03:00,490,,,,490,,,,,,,,</t>
  </si>
  <si>
    <t>2025-05-05 03:03:00,5700,,5700,,5600,,5652.5,,,,,5750,5540</t>
  </si>
  <si>
    <t>2025-05-05 03:03:00,20000,,,,20000,,,,,,,,</t>
  </si>
  <si>
    <t>2025-05-05 03:03:00,763389173.685494,0,0,0,0,0,0,0</t>
  </si>
  <si>
    <t>2025-05-05 03:03:00,1102062920.66334,0,0,0,0,0,0,0</t>
  </si>
  <si>
    <t>2025-05-05 03:03:00,243226840.086728,2725471.93287378,1721.25,25,38065.6514999998,439.04,0.0540754947195713,8.49</t>
  </si>
  <si>
    <t>2025-05-05 03:03:00,13478351.1516333,0,0,0,0,0,0,0</t>
  </si>
  <si>
    <t>2025-05-05 03:04:00,575,,,,575,,,,,,,,</t>
  </si>
  <si>
    <t>2025-05-05 03:04:00,490,,,,490,,,,,,,,</t>
  </si>
  <si>
    <t>2025-05-05 03:04:00,5700,,5700,,5600,,5652.5,,,,,5750,5540</t>
  </si>
  <si>
    <t>2025-05-05 03:04:00,20000,,,,20000,,,,,,,,</t>
  </si>
  <si>
    <t>2025-05-05 03:04:00,779124619.779242,0,0,0,0,0,0,0</t>
  </si>
  <si>
    <t>2025-05-05 03:04:00,1103725129.4884,0,0,0,0,0,0,0</t>
  </si>
  <si>
    <t>2025-05-05 03:04:00,243135263.33539,2837349.05428937,1652.45,18,33900.5345,487.37,0.0803521937028104,8.29</t>
  </si>
  <si>
    <t>2025-05-05 03:04:00,13471497.2608741,0,0,0,0,0,0,0</t>
  </si>
  <si>
    <t>2025-05-05 03:05:00,575,,,,575,,,,,,,,</t>
  </si>
  <si>
    <t>2025-05-05 03:05:00,490,,,,490,,,,,,,,</t>
  </si>
  <si>
    <t>2025-05-05 03:05:00,5700,,5700,,5600,,5652.5,,,,,5750,5540</t>
  </si>
  <si>
    <t>2025-05-05 03:05:00,20000,,,,20000,,,,,,,,</t>
  </si>
  <si>
    <t>2025-05-05 03:05:00,757104559.624285,0,0,0,0,0,0,0</t>
  </si>
  <si>
    <t>2025-05-05 03:05:00,1092338339.36161,0,0,0,0,0,0,0</t>
  </si>
  <si>
    <t>2025-05-05 03:05:00,243211576.431489,2670473.44656451,5213.45000000003,78,167095.091833335,2238.03,0.215260809702507,45.41</t>
  </si>
  <si>
    <t>2025-05-05 03:05:00,13484288.0086189,0,0,0,0,0,0,0</t>
  </si>
  <si>
    <t>2025-05-05 03:06:00,575,,,,575,,,,,,,,</t>
  </si>
  <si>
    <t>2025-05-05 03:06:00,490,,,,490,,,,,,,,</t>
  </si>
  <si>
    <t>2025-05-05 03:06:00,5700,,5700,,5600,,5672.5,,,,,5750,5540</t>
  </si>
  <si>
    <t>2025-05-05 03:06:00,20000,,,,20000,,,,,,,,</t>
  </si>
  <si>
    <t>2025-05-05 03:06:00,728513730.557675,0,0,0,0,0,0,0</t>
  </si>
  <si>
    <t>2025-05-05 03:06:00,1061818299.12038,0,0,0,0,0,0,0</t>
  </si>
  <si>
    <t>2025-05-05 03:06:00,246540416.247571,2348453.29467434,2582.65,54,61950.5725000001,843.78,-0.00999554946867197,18.98</t>
  </si>
  <si>
    <t>2025-05-05 03:06:00,13510614.199848,0,0,0,0,0,0,0</t>
  </si>
  <si>
    <t>2025-05-05 03:07:00,575,,,,575,,,,,,,,</t>
  </si>
  <si>
    <t>2025-05-05 03:07:00,490,,,,490,,,,,,,,</t>
  </si>
  <si>
    <t>2025-05-05 03:07:00,5700,,5700,,5600,,5652.5,,,,,5750,5540</t>
  </si>
  <si>
    <t>2025-05-05 03:07:00,20000,,,,20000,,,,,,,,</t>
  </si>
  <si>
    <t>2025-05-05 03:07:00,702970543.699245,0,0,0,0,0,0,0</t>
  </si>
  <si>
    <t>2025-05-05 03:07:00,1052450491.60534,0,0,0,0,0,0,0</t>
  </si>
  <si>
    <t>2025-05-05 03:07:00,249219353.665816,2291807.24751012,596.233333333332,10,13793.075,205.57,0.0117734581569094,3.99</t>
  </si>
  <si>
    <t>2025-05-05 03:07:00,13519313.567688,0,0,0,0,0,0,0</t>
  </si>
  <si>
    <t>2025-05-05 03:08:00,575,,,,575,,,,,,,,</t>
  </si>
  <si>
    <t>2025-05-05 03:08:00,490,,,,490,,,,,,,,</t>
  </si>
  <si>
    <t>2025-05-05 03:08:00,5700,,5700,,5600,,5652.5,,,,,5750,5540</t>
  </si>
  <si>
    <t>2025-05-05 03:08:00,20000,,,,20000,,,,,,,,</t>
  </si>
  <si>
    <t>2025-05-05 03:08:00,696853628.165226,0,0,0,0,0,0,0</t>
  </si>
  <si>
    <t>2025-05-05 03:08:00,1047675881.74202,0,0,0,0,0,0,0</t>
  </si>
  <si>
    <t>2025-05-05 03:08:00,249206080.842862,2295567.75602934,1059.83333333333,19,24263.5566666666,359.66,0.0186223001598899,7.45</t>
  </si>
  <si>
    <t>2025-05-05 03:08:00,13529000.8947211,0,0,0,0,0,0,0</t>
  </si>
  <si>
    <t>2025-05-05 03:09:00,575,,,,575,,,,,,,,</t>
  </si>
  <si>
    <t>2025-05-05 03:09:00,490,,,,490,,,,,,,,</t>
  </si>
  <si>
    <t>2025-05-05 03:09:00,5700,,5700,,5600,,5652.5,,,,,5750,5540</t>
  </si>
  <si>
    <t>2025-05-05 03:09:00,20000,,,,20000,,,,,,,,</t>
  </si>
  <si>
    <t>2025-05-05 03:09:00,706167117.671744,0,0,0,0,0,0,0</t>
  </si>
  <si>
    <t>2025-05-05 03:09:00,1055616050.92784,0,0,0,0,0,0,0</t>
  </si>
  <si>
    <t>2025-05-05 03:09:00,248230227.941379,2358122.22478125,908.016666666666,23,12174.0988333333,247.8,0.0282383284710391,4.32</t>
  </si>
  <si>
    <t>2025-05-05 03:09:00,13517885.2258812,0,0,0,0,0,0,0</t>
  </si>
  <si>
    <t>2025-05-05 03:10:00,575,,,,575,,,,,,,,</t>
  </si>
  <si>
    <t>2025-05-05 03:10:00,490,,,,490,,,,,,,,</t>
  </si>
  <si>
    <t>2025-05-05 03:10:00,5700,,5700,,5600,,5652.5,,,,,5750,5540</t>
  </si>
  <si>
    <t>2025-05-05 03:10:00,20000,,,,20000,,,,,,,,</t>
  </si>
  <si>
    <t>2025-05-05 03:10:00,747485685.574816,0,0,0,0,0,0,0</t>
  </si>
  <si>
    <t>2025-05-05 03:10:00,1071227721.34815,0,0,0,0,0,0,0</t>
  </si>
  <si>
    <t>2025-05-05 03:10:00,245146894.266891,2473173.13464162,303.663333333333,7,2869.11576666667,74,0.00421510506359232,1.17</t>
  </si>
  <si>
    <t>2025-05-05 03:10:00,13502163.8329408,0,0,0,0,0,0,0</t>
  </si>
  <si>
    <t>2025-05-05 03:11:00,575,,,,575,,,,,,,,</t>
  </si>
  <si>
    <t>2025-05-05 03:11:00,490,,,,490,,,,,,,,</t>
  </si>
  <si>
    <t>2025-05-05 03:11:00,5700,,5700,,5600,,5652.5,,,,,5750,5540</t>
  </si>
  <si>
    <t>2025-05-05 03:11:00,20000,,,,20000,,,,,,,,</t>
  </si>
  <si>
    <t>2025-05-05 03:11:00,747537501.355956,0,0,0,0,0,0,0</t>
  </si>
  <si>
    <t>2025-05-05 03:11:00,1071232380.33412,0,0,0,0,0,0,0</t>
  </si>
  <si>
    <t>2025-05-05 03:11:00,245070166.504806,2571024.23558883,656.183333333334,6,17040.4528333334,197.07,0.0469240873503267,3.78</t>
  </si>
  <si>
    <t>2025-05-05 03:11:00,13502675.7801127,0,0,0,0,0,0,0</t>
  </si>
  <si>
    <t>2025-05-05 03:12:00,575,,,,575,,,,,,,,</t>
  </si>
  <si>
    <t>2025-05-05 03:12:00,490,,,,490,,,,,,,,</t>
  </si>
  <si>
    <t>2025-05-05 03:12:00,5700,,5700,,5600,,5652.5,,,,,5750,5540</t>
  </si>
  <si>
    <t>2025-05-05 03:12:00,20000,,,,20000,,,,,,,,</t>
  </si>
  <si>
    <t>2025-05-05 03:12:00,750744987.80635,0,0,0,0,0,0,0</t>
  </si>
  <si>
    <t>2025-05-05 03:12:00,1069547042.31397,0,0,0,0,0,0,0</t>
  </si>
  <si>
    <t>2025-05-05 03:12:00,244265491.352282,2657590.23161527,615.133333333333,9,8938.12499999999,141.29,0.018064158013569,2.38</t>
  </si>
  <si>
    <t>2025-05-05 03:12:00,13503223.648337,0,0,0,0,0,0,0</t>
  </si>
  <si>
    <t>2025-05-05 03:13:00,575,,,,575,,,,,,,,</t>
  </si>
  <si>
    <t>2025-05-05 03:13:00,490,,,,490,,,,,,,,</t>
  </si>
  <si>
    <t>2025-05-05 03:13:00,5700,,5700,,5600,,5652.5,,,,,5750,5540</t>
  </si>
  <si>
    <t>2025-05-05 03:13:00,20000,,,,20000,,,,,,,,</t>
  </si>
  <si>
    <t>2025-05-05 03:13:00,734798436.547947,0,0,0,0,0,0,0</t>
  </si>
  <si>
    <t>2025-05-05 03:13:00,1064876099.04863,0,0,0,0,0,0,0</t>
  </si>
  <si>
    <t>2025-05-05 03:13:00,245114216.201741,2497220.65893596,183.233333333334,3,3603.75066666667,52.31,0.00438665984208013,1.06</t>
  </si>
  <si>
    <t>2025-05-05 03:13:00,13505973.1959502,0,0,0,0,0,0,0</t>
  </si>
  <si>
    <t>2025-05-05 03:14:00,575,,,,575,,,,,,,,</t>
  </si>
  <si>
    <t>2025-05-05 03:14:00,490,,,,490,,,,,,,,</t>
  </si>
  <si>
    <t>2025-05-05 03:14:00,5700,,5700,,5600,,5652.5,,,,,5750,5540</t>
  </si>
  <si>
    <t>2025-05-05 03:14:00,20000,,,,20000,,,,,,,,</t>
  </si>
  <si>
    <t>2025-05-05 03:14:00,744401146.56426,0,0,0,0,0,0,0</t>
  </si>
  <si>
    <t>2025-05-05 03:14:00,1076012751.33548,0,0,0,0,0,0,0</t>
  </si>
  <si>
    <t>2025-05-05 03:14:00,244475516.2881,2537657.57278593,112.1,0,1345.199,21.38,0.00751700197222289,0.31</t>
  </si>
  <si>
    <t>2025-05-05 03:14:00,13498374.3422795,0,0,0,0,0,0,0</t>
  </si>
  <si>
    <t>2025-05-05 03:15:00,575,,,,575,,,,,,,,</t>
  </si>
  <si>
    <t>2025-05-05 03:15:00,490,,,,490,,,,,,,,</t>
  </si>
  <si>
    <t>2025-05-05 03:15:00,5700,,5700,,5600,,5652.5,,,,,5750,5540</t>
  </si>
  <si>
    <t>2025-05-05 03:15:00,20000,,,,20000,,,,,,,,</t>
  </si>
  <si>
    <t>2025-05-05 03:15:00,699955321.410675,0,0,0,0,0,0,0</t>
  </si>
  <si>
    <t>2025-05-05 03:15:00,1041383830.92026,0,0,0,0,0,0,0</t>
  </si>
  <si>
    <t>2025-05-05 03:15:00,248542647.585563,2343635.5280014,2012.18732193732,31,41773.3338646723,923.31,0.107200127015233,12.01</t>
  </si>
  <si>
    <t>2025-05-05 03:15:00,13526254.5653993,0,0,0,0,0,0,0</t>
  </si>
  <si>
    <t>2025-05-05 03:16:00,575,,,,575,,,,,,,,</t>
  </si>
  <si>
    <t>2025-05-05 03:16:00,490,,,,490,,,,,,,,</t>
  </si>
  <si>
    <t>2025-05-05 03:16:00,5700,,5700,,5600,,5652.5,,,,,5750,5540</t>
  </si>
  <si>
    <t>2025-05-05 03:16:00,20000,,,,20000,,,,,,,,</t>
  </si>
  <si>
    <t>2025-05-05 03:16:00,757025975.391722,0,0,0,0,0,0,0</t>
  </si>
  <si>
    <t>2025-05-05 03:16:00,1076087410.50127,0,0,0,0,0,0,0</t>
  </si>
  <si>
    <t>2025-05-05 03:16:00,244229191.111435,2706848.14277647,1209.95454545455,13,20895.8907272728,258.1,0.0466663033270762,4.43</t>
  </si>
  <si>
    <t>2025-05-05 03:16:00,13499248.6326324,0,0,0,0,0,0,0</t>
  </si>
  <si>
    <t>2025-05-05 03:17:00,575,,,,575,,,,,,,,</t>
  </si>
  <si>
    <t>2025-05-05 03:17:00,490,,,,490,,,,,,,,</t>
  </si>
  <si>
    <t>2025-05-05 03:17:00,5700,,5700,,5600,,5652.5,,,,,5750,5540</t>
  </si>
  <si>
    <t>2025-05-05 03:17:00,20000,,,,20000,,,,,,,,</t>
  </si>
  <si>
    <t>2025-05-05 03:17:00,734958078.216467,0,0,0,0,0,0,0</t>
  </si>
  <si>
    <t>2025-05-05 03:17:00,1061864902.42245,0,0,0,0,0,0,0</t>
  </si>
  <si>
    <t>2025-05-05 03:17:00,245140855.674232,2461083.71509129,217.183333333333,15,2935.7465,120.54,-0.0349018691471543,2.89</t>
  </si>
  <si>
    <t>2025-05-05 03:17:00,13510527.2615453,0,0,0,0,0,0,0</t>
  </si>
  <si>
    <t>2025-05-05 03:18:00,575,,,,575,,,,,,,,</t>
  </si>
  <si>
    <t>2025-05-05 03:18:00,490,,,,490,,,,,,,,</t>
  </si>
  <si>
    <t>2025-05-05 03:18:00,5700,,5700,,5600,,5652.5,,,,,5750,5540</t>
  </si>
  <si>
    <t>2025-05-05 03:18:00,20000,,,,20000,,,,,,,,</t>
  </si>
  <si>
    <t>2025-05-05 03:18:00,753739268.405293,0,0,0,0,0,0,0</t>
  </si>
  <si>
    <t>2025-05-05 03:18:00,1077693881.42057,0,0,0,0,0,0,0</t>
  </si>
  <si>
    <t>2025-05-05 03:18:00,244498561.694678,2720180.81161604,286.966666666667,18,4884.94933333333,143.69,-0.032739283438563,3.14</t>
  </si>
  <si>
    <t>2025-05-05 03:18:00,13496835.1233539,0,0,0,0,0,0,0</t>
  </si>
  <si>
    <t>2025-05-05 03:19:00,575,,,,575,,,,,,,,</t>
  </si>
  <si>
    <t>2025-05-05 03:19:00,490,,,,490,,,,,,,,</t>
  </si>
  <si>
    <t>2025-05-05 03:19:00,5700,,5700,,5600,,5652.5,,,,,5750,5540</t>
  </si>
  <si>
    <t>2025-05-05 03:19:00,20000,,,,20000,,,,,,,,</t>
  </si>
  <si>
    <t>2025-05-05 03:19:00,747567849.564983,0,0,0,0,0,0,0</t>
  </si>
  <si>
    <t>2025-05-05 03:19:00,1072866187.07287,0,0,0,0,0,0,0</t>
  </si>
  <si>
    <t>2025-05-05 03:19:00,244982292.81656,2568463.90450212,371.433333333334,13,5547.97716666668,167.3,-0.0232045659568639,3.94</t>
  </si>
  <si>
    <t>2025-05-05 03:19:00,13502595.5497277,0,0,0,0,0,0,0</t>
  </si>
  <si>
    <t>2025-05-05 03:20:00,575,,,,575,,,,,,,,</t>
  </si>
  <si>
    <t>2025-05-05 03:20:00,490,,,,490,,,,,,,,</t>
  </si>
  <si>
    <t>2025-05-05 03:20:00,5700,,5700,,5600,,5652.5,,,,,5750,5540</t>
  </si>
  <si>
    <t>2025-05-05 03:20:00,20000,,,,20000,,,,,,,,</t>
  </si>
  <si>
    <t>2025-05-05 03:20:00,794843224.780759,0,0,0,0,0,0,0</t>
  </si>
  <si>
    <t>2025-05-05 03:20:00,1097193260.66841,0,0,0,0,0,0,0</t>
  </si>
  <si>
    <t>2025-05-05 03:20:00,243929770.537048,2962245.83985151,472.483333333333,5,6998.70916666666,87.49,0.0188605658019889,1.69</t>
  </si>
  <si>
    <t>2025-05-05 03:20:00,13482442.908814,0,0,0,0,0,0,0</t>
  </si>
  <si>
    <t>2025-05-05 03:21:00,575,,,,575,,,,,,,,</t>
  </si>
  <si>
    <t>2025-05-05 03:21:00,490,,,,490,,,,,,,,</t>
  </si>
  <si>
    <t>2025-05-05 03:21:00,5700,,5700,,5600,,5672.5,,,,,5750,5540</t>
  </si>
  <si>
    <t>2025-05-05 03:21:00,20000,,,,20000,,,,,,,,</t>
  </si>
  <si>
    <t>2025-05-05 03:21:00,725308740.557653,0,0,0,0,0,0,0</t>
  </si>
  <si>
    <t>2025-05-05 03:21:00,1057284776.77572,0,0,0,0,0,0,0</t>
  </si>
  <si>
    <t>2025-05-05 03:21:00,246270588.629117,2369027.14897464,3919.71666666665,37,60996.6968333332,636.6,0.0816556537853114,11.68</t>
  </si>
  <si>
    <t>2025-05-05 03:21:00,13513236.5401662,0,0,0,0,0,0,0</t>
  </si>
  <si>
    <t>2025-05-05 03:22:00,575,,,,575,,,,,,,,</t>
  </si>
  <si>
    <t>2025-05-05 03:22:00,490,,,,490,,,,,,,,</t>
  </si>
  <si>
    <t>2025-05-05 03:22:00,5700,,5700,,5600,,5652.5,,,,,5750,5540</t>
  </si>
  <si>
    <t>2025-05-05 03:22:00,20000,,,,20000,,,,,,,,</t>
  </si>
  <si>
    <t>2025-05-05 03:22:00,776003262.617037,0,0,0,0,0,0,0</t>
  </si>
  <si>
    <t>2025-05-05 03:22:00,1085895483.56928,0,0,0,0,0,0,0</t>
  </si>
  <si>
    <t>2025-05-05 03:22:00,244045290.711556,2841157.46593903,985.2,29,13348.937,357.12,-0.0669220215382649,8.18</t>
  </si>
  <si>
    <t>2025-05-05 03:22:00,13487599.6912319,0,0,0,0,0,0,0</t>
  </si>
  <si>
    <t>2025-05-05 03:23:00,575,,,,575,,,,,,,,</t>
  </si>
  <si>
    <t>2025-05-05 03:23:00,490,,,,490,,,,,,,,</t>
  </si>
  <si>
    <t>2025-05-05 03:23:00,5700,,5700,,5600,,5652.5,,,,,5750,5540</t>
  </si>
  <si>
    <t>2025-05-05 03:23:00,20000,,,,20000,,,,,,,,</t>
  </si>
  <si>
    <t>2025-05-05 03:23:00,779121180.913339,0,0,0,0,0,0,0</t>
  </si>
  <si>
    <t>2025-05-05 03:23:00,1085803900.75108,0,0,0,0,0,0,0</t>
  </si>
  <si>
    <t>2025-05-05 03:23:00,244653340.258564,2814364.42918135,44.75,0,726.162500000001,13.3,0.0044961777394089,0.22</t>
  </si>
  <si>
    <t>2025-05-05 03:23:00,13486234.8938086,0,0,0,0,0,0,0</t>
  </si>
  <si>
    <t>2025-05-05 03:24:00,575,,,,575,,,,,,,,</t>
  </si>
  <si>
    <t>2025-05-05 03:24:00,490,,,,490,,,,,,,,</t>
  </si>
  <si>
    <t>2025-05-05 03:24:00,5700,,5700,,5600,,5652.5,,,,,5750,5540</t>
  </si>
  <si>
    <t>2025-05-05 03:24:00,20000,,,,20000,,,,,,,,</t>
  </si>
  <si>
    <t>2025-05-05 03:24:00,772834060.813421,0,0,0,0,0,0,0</t>
  </si>
  <si>
    <t>2025-05-05 03:24:00,1082677521.69556,0,0,0,0,0,0,0</t>
  </si>
  <si>
    <t>2025-05-05 03:24:00,244889194.874914,2759590.3521262,359.533333333333,6,5015.69066666666,95.67,0.00244509236826742,2.11</t>
  </si>
  <si>
    <t>2025-05-05 03:24:00,13487824.9197107,0,0,0,0,0,0,0</t>
  </si>
  <si>
    <t>2025-05-05 03:25:00,575,,,,575,,,,,,,,</t>
  </si>
  <si>
    <t>2025-05-05 03:25:00,490,,,,490,,,,,,,,</t>
  </si>
  <si>
    <t>2025-05-05 03:25:00,5700,,5700,,5600,,5652.5,,,,,5750,5540</t>
  </si>
  <si>
    <t>2025-05-05 03:25:00,20000,,,,20000,,,,,,,,</t>
  </si>
  <si>
    <t>2025-05-05 03:25:00,722252397.151826,0,0,0,0,0,0,0</t>
  </si>
  <si>
    <t>2025-05-05 03:25:00,1046185695.9591,0,0,0,0,0,0,0</t>
  </si>
  <si>
    <t>2025-05-05 03:25:00,246104196.419173,2361613.00420255,774.383333333335,13,20937.3135,291.64,0.0110288183539903,6.19</t>
  </si>
  <si>
    <t>2025-05-05 03:25:00,13523144.3538785,0,0,0,0,0,0,0</t>
  </si>
  <si>
    <t>2025-05-05 03:26:00,575,,,,575,,,,,,,,</t>
  </si>
  <si>
    <t>2025-05-05 03:26:00,490,,,,490,,,,,,,,</t>
  </si>
  <si>
    <t>2025-05-05 03:26:00,5700,,5700,,5600,,5672.5,,,,,5750,5540</t>
  </si>
  <si>
    <t>2025-05-05 03:26:00,20000,,,,20000,,,,,,,,</t>
  </si>
  <si>
    <t>2025-05-05 03:26:00,731617632.286561,0,0,0,0,0,0,0</t>
  </si>
  <si>
    <t>2025-05-05 03:26:00,1065061332.68022,0,0,0,0,0,0,0</t>
  </si>
  <si>
    <t>2025-05-05 03:26:00,246253133.925142,2365774.63892475,374.133333333334,8,6791.95066666667,113.47,0.00646343921886846,2.5</t>
  </si>
  <si>
    <t>2025-05-05 03:26:00,13504903.6897035,0,0,0,0,0,0,0</t>
  </si>
  <si>
    <t>2025-05-05 03:27:00,575,,,,575,,,,,,,,</t>
  </si>
  <si>
    <t>2025-05-05 03:27:00,490,,,,490,,,,,,,,</t>
  </si>
  <si>
    <t>2025-05-05 03:27:00,5700,,5700,,5600,,5652.5,,,,,5750,5540</t>
  </si>
  <si>
    <t>2025-05-05 03:27:00,20000,,,,20000,,,,,,,,</t>
  </si>
  <si>
    <t>2025-05-05 03:27:00,750715435.405907,0,0,0,0,0,0,0</t>
  </si>
  <si>
    <t>2025-05-05 03:27:00,1063393810.99569,0,0,0,0,0,0,0</t>
  </si>
  <si>
    <t>2025-05-05 03:27:00,245418835.375833,2573025.56169006,0,0,0,0,0,0</t>
  </si>
  <si>
    <t>2025-05-05 03:27:00,13506550.1441319,0,0,0,0,0,0,0</t>
  </si>
  <si>
    <t>2025-05-05 03:28:00,575,,,,575,,,,,,,,</t>
  </si>
  <si>
    <t>2025-05-05 03:28:00,490,,,,490,,,,,,,,</t>
  </si>
  <si>
    <t>2025-05-05 03:28:00,5700,,5700,,5600,,5652.5,,,,,5750,5540</t>
  </si>
  <si>
    <t>2025-05-05 03:28:00,20000,,,,20000,,,,,,,,</t>
  </si>
  <si>
    <t>2025-05-05 03:28:00,753790584.360291,0,0,0,0,0,0,0</t>
  </si>
  <si>
    <t>2025-05-05 03:28:00,1061978893.13598,0,0,0,0,0,0,0</t>
  </si>
  <si>
    <t>2025-05-05 03:28:00,245514274.017722,2556252.08249519,38,-1,427.15,4.9,0.00600668424657116,0.02</t>
  </si>
  <si>
    <t>2025-05-05 03:28:00,13505862.4505527,0,0,0,0,0,0,0</t>
  </si>
  <si>
    <t>2025-05-05 03:29:00,575,,,,575,,,,,,,,</t>
  </si>
  <si>
    <t>2025-05-05 03:29:00,490,,,,490,,,,,,,,</t>
  </si>
  <si>
    <t>2025-05-05 03:29:00,5700,,5700,,5600,,5652.5,,,,,5750,5540</t>
  </si>
  <si>
    <t>2025-05-05 03:29:00,20000,,,,20000,,,,,,,,</t>
  </si>
  <si>
    <t>2025-05-05 03:29:00,718918337.077861,0,0,0,0,0,0,0</t>
  </si>
  <si>
    <t>2025-05-05 03:29:00,1044678992.30536,0,0,0,0,0,0,0</t>
  </si>
  <si>
    <t>2025-05-05 03:29:00,245562599.666881,2346255.80084588,974.35,19,11058.4895,210.3,0.0367170128216486,3.14</t>
  </si>
  <si>
    <t>2025-05-05 03:29:00,13521056.0160699,0,0,0,0,0,0,0</t>
  </si>
  <si>
    <t>2025-05-05 03:30:00,575,,,,575,,,,,,,,</t>
  </si>
  <si>
    <t>2025-05-05 03:30:00,490,,,,490,,,,,,,,</t>
  </si>
  <si>
    <t>2025-05-05 03:30:00,5700,,5700,,5600,,5652.5,,,,,5750,5540</t>
  </si>
  <si>
    <t>2025-05-05 03:30:00,20000,,,,20000,,,,,,,,</t>
  </si>
  <si>
    <t>2025-05-05 03:30:00,655220020.190476,0,0,0,0,0,0,0</t>
  </si>
  <si>
    <t>2025-05-05 03:30:00,983434088.62516,0,0,0,0,0,0,0</t>
  </si>
  <si>
    <t>2025-05-05 03:30:00,250446459.992232,1870965.16918684,3347.04772727273,74,85593.7362196973,1175.81,0.0050345911414995,24.05</t>
  </si>
  <si>
    <t>2025-05-05 03:30:00,13561596.4244899,0,0,0,0,0,0,0</t>
  </si>
  <si>
    <t>2025-05-05 03:31:00,575,,,,575,,,,,,,,</t>
  </si>
  <si>
    <t>2025-05-05 03:31:00,490,,,,490,,,,,,,,</t>
  </si>
  <si>
    <t>2025-05-05 03:31:00,5700,,5700,,5600,,5652.5,,,,,5750,5540</t>
  </si>
  <si>
    <t>2025-05-05 03:31:00,20000,,,,20000,,,,,,,,</t>
  </si>
  <si>
    <t>2025-05-05 03:31:00,623778993.23252,0,0,0,0,0,0,0</t>
  </si>
  <si>
    <t>2025-05-05 03:31:00,963039302.257392,0,0,0,0,0,0,0</t>
  </si>
  <si>
    <t>2025-05-05 03:31:00,254060800.129219,1711867.98080331,5100.35000000001,81,91634.6885000002,975.51,0.0481230895508596,18.37</t>
  </si>
  <si>
    <t>2025-05-05 03:31:00,13566156.3696551,0,0,0,0,0,0,0</t>
  </si>
  <si>
    <t>2025-05-05 03:32:00,575,,,,575,,,,,,,,</t>
  </si>
  <si>
    <t>2025-05-05 03:32:00,490,,,,490,,,,,,,,</t>
  </si>
  <si>
    <t>2025-05-05 03:32:00,5600,,5700,,5600,,5652.5,,,,,5750,5540</t>
  </si>
  <si>
    <t>2025-05-05 03:32:00,20000,,,,20000,,,,,,,,</t>
  </si>
  <si>
    <t>2025-05-05 03:32:00,525136024.884333,0,0,0,0,0,0,0</t>
  </si>
  <si>
    <t>2025-05-05 03:32:00,913955005.097353,0,0,0,0,0,0,0</t>
  </si>
  <si>
    <t>2025-05-05 03:32:00,261050863.732724,1103456.0010288,4046.49166666666,63,78356.1124166666,883.98,-0.00120643979075918,17.02</t>
  </si>
  <si>
    <t>2025-05-05 03:32:00,13576173.983078,0,0,0,0,0,0,0</t>
  </si>
  <si>
    <t>2025-05-05 03:33:00,575,,,,575,,,,,,,,</t>
  </si>
  <si>
    <t>2025-05-05 03:33:00,490,,,,490,,,,,,,,</t>
  </si>
  <si>
    <t>2025-05-05 03:33:00,5700,,5700,,5600,,5652.5,,,,,5750,5540</t>
  </si>
  <si>
    <t>2025-05-05 03:33:00,20000,,,,20000,,,,,,,,</t>
  </si>
  <si>
    <t>2025-05-05 03:33:00,620472942.470743,0,0,0,0,0,0,0</t>
  </si>
  <si>
    <t>2025-05-05 03:33:00,968087039.007656,0,0,0,0,0,0,0</t>
  </si>
  <si>
    <t>2025-05-05 03:33:00,253273520.894629,1713989.7720791,2960.56295454546,59,69818.1313977273,1908.69,0.0842143566987889,24.57</t>
  </si>
  <si>
    <t>2025-05-05 03:33:00,13559281.0742082,0,0,0,0,0,0,0</t>
  </si>
  <si>
    <t>2025-05-05 03:34:00,575,,,,575,,,,,,,,</t>
  </si>
  <si>
    <t>2025-05-05 03:34:00,490,,,,490,,,,,,,,</t>
  </si>
  <si>
    <t>2025-05-05 03:34:00,5700,,5700,,5600,,5652.5,,,,,5750,5540</t>
  </si>
  <si>
    <t>2025-05-05 03:34:00,20000,,,,20000,,,,,,,,</t>
  </si>
  <si>
    <t>2025-05-05 03:34:00,611204070.318162,0,0,0,0,0,0,0</t>
  </si>
  <si>
    <t>2025-05-05 03:34:00,969843080.475468,0,0,0,0,0,0,0</t>
  </si>
  <si>
    <t>2025-05-05 03:34:00,253675018.522071,1624843.03956829,1072,28,20939.2213333333,319.77,-0.0207351737724817,6.71</t>
  </si>
  <si>
    <t>2025-05-05 03:34:00,13561937.0227941,0,0,0,0,0,0,0</t>
  </si>
  <si>
    <t>2025-05-05 03:35:00,575,,,,575,,,,,,,,</t>
  </si>
  <si>
    <t>2025-05-05 03:35:00,490,,,,490,,,,,,,,</t>
  </si>
  <si>
    <t>2025-05-05 03:35:00,5600,,5700,,5600,,5652.5,,,,,5750,5540</t>
  </si>
  <si>
    <t>2025-05-05 03:35:00,20000,,,,20000,,,,,,,,</t>
  </si>
  <si>
    <t>2025-05-05 03:35:00,554021115.284535,0,0,0,0,0,0,0</t>
  </si>
  <si>
    <t>2025-05-05 03:35:00,939858364.114595,0,0,0,0,0,0,0</t>
  </si>
  <si>
    <t>2025-05-05 03:35:00,259031854.177783,1288285.30606949,887.35,9,27066.8376666667,335.53,0.0316164515375201,6.04</t>
  </si>
  <si>
    <t>2025-05-05 03:35:00,13567117.0032412,0,0,0,0,0,0,0</t>
  </si>
  <si>
    <t>2025-05-05 03:36:00,575,,,,575,,,,,,,,</t>
  </si>
  <si>
    <t>2025-05-05 03:36:00,490,,,,490,,,,,,,,</t>
  </si>
  <si>
    <t>2025-05-05 03:36:00,5600,,5700,,5600,,5652.5,,,,,5750,5540</t>
  </si>
  <si>
    <t>2025-05-05 03:36:00,20000,,,,20000,,,,,,,,</t>
  </si>
  <si>
    <t>2025-05-05 03:36:00,554039289.557373,0,0,0,0,0,0,0</t>
  </si>
  <si>
    <t>2025-05-05 03:36:00,944965330.323342,0,0,0,0,0,0,0</t>
  </si>
  <si>
    <t>2025-05-05 03:36:00,257863785.810071,1281822.34532763,4688.04393939395,53,128545.684833334,1337.09,0.045919612607166,30.58</t>
  </si>
  <si>
    <t>2025-05-05 03:36:00,13561351.5990324,0,0,0,0,0,0,0</t>
  </si>
  <si>
    <t>2025-05-05 03:37:00,575,,,,575,,,,,,,,</t>
  </si>
  <si>
    <t>2025-05-05 03:37:00,490,,,,490,,,,,,,,</t>
  </si>
  <si>
    <t>2025-05-05 03:37:00,5600,,5700,,5600,,5652.5,,,,,5750,5540</t>
  </si>
  <si>
    <t>2025-05-05 03:37:00,20000,,,,20000,,,,,,,,</t>
  </si>
  <si>
    <t>2025-05-05 03:37:00,577345003.398521,0,0,0,0,0,0,0</t>
  </si>
  <si>
    <t>2025-05-05 03:37:00,950112214.819974,0,0,0,0,0,0,0</t>
  </si>
  <si>
    <t>2025-05-05 03:37:00,257194908.877249,1395104.0695,827.583333333335,12,11562.3208333334,158.4,0.005117907789344,2.73</t>
  </si>
  <si>
    <t>2025-05-05 03:37:00,13561974.3660983,0,0,0,0,0,0,0</t>
  </si>
  <si>
    <t>2025-05-05 03:38:00,575,,,,575,,,,,,,,</t>
  </si>
  <si>
    <t>2025-05-05 03:38:00,490,,,,490,,,,,,,,</t>
  </si>
  <si>
    <t>2025-05-05 03:38:00,5700,,,5540,5600,,5677.5,,,,,5750,5540</t>
  </si>
  <si>
    <t>2025-05-05 03:38:00,20000,,,,20000,,,,,,,,</t>
  </si>
  <si>
    <t>2025-05-05 03:38:00,482583392.832574,0,0,0,0,0,0,0</t>
  </si>
  <si>
    <t>2025-05-05 03:38:00,910497296.897766,0,0,0,0,0,0,0</t>
  </si>
  <si>
    <t>2025-05-05 03:38:00,247317683.050341,912405.61886118,5209.49166666667,74,103546.777083333,1067.08,-0.0209747431665312,21.77</t>
  </si>
  <si>
    <t>2025-05-05 03:38:00,13565509.0687305,0,0,0,0,0,0,0</t>
  </si>
  <si>
    <t>2025-05-05 03:39:00,575,,,,575,,,,,,,,</t>
  </si>
  <si>
    <t>2025-05-05 03:39:00,490,,,,490,,,,,,,,</t>
  </si>
  <si>
    <t>2025-05-05 03:39:00,5700,,,5540,5600,,5652.5,,,,,5750,5540</t>
  </si>
  <si>
    <t>2025-05-05 03:39:00,20000,,,,20000,,,,,,,,</t>
  </si>
  <si>
    <t>2025-05-05 03:39:00,511120398.423684,0,0,0,0,0,0,0</t>
  </si>
  <si>
    <t>2025-05-05 03:39:00,920938546.683511,0,0,0,0,0,0,0</t>
  </si>
  <si>
    <t>2025-05-05 03:39:00,246420894.396706,1076271.2004443,8124.33333333331,114,173451.969833333,1832.31,0.0188071186568704,38.53</t>
  </si>
  <si>
    <t>2025-05-05 03:39:00,13571251.830623,0,0,0,0,0,0,0</t>
  </si>
  <si>
    <t>2025-05-05 03:40:00,575,,,,575,,,,,,,,</t>
  </si>
  <si>
    <t>2025-05-05 03:40:00,490,,,,490,,,,,,,,</t>
  </si>
  <si>
    <t>2025-05-05 03:40:00,5700,,,5540,5600,,5677.5,,,,,5750,5540</t>
  </si>
  <si>
    <t>2025-05-05 03:40:00,20000,,,,20000,,,,,,,,</t>
  </si>
  <si>
    <t>2025-05-05 03:40:00,471670558.5755,0,0,0,0,0,0,0</t>
  </si>
  <si>
    <t>2025-05-05 03:40:00,894808087.65398,0,0,0,0,0,0,0</t>
  </si>
  <si>
    <t>2025-05-05 03:40:00,248758877.250109,859249.357719546,1650.73333333334,24,22224.3733333333,212.35,-0.0139860345827043,4.75</t>
  </si>
  <si>
    <t>2025-05-05 03:40:00,13573231.9304032,0,0,0,0,0,0,0</t>
  </si>
  <si>
    <t>2025-05-05 03:41:00,575,,,,575,,,,,,,,</t>
  </si>
  <si>
    <t>2025-05-05 03:41:00,490,,,,490,,,,,,,,</t>
  </si>
  <si>
    <t>2025-05-05 03:41:00,5700,,,5540,5600,,5677.5,,,,,5750,5540</t>
  </si>
  <si>
    <t>2025-05-05 03:41:00,20000,,,,20000,,,,,,,,</t>
  </si>
  <si>
    <t>2025-05-05 03:41:00,429974437.555756,0,0,0,0,0,0,0</t>
  </si>
  <si>
    <t>2025-05-05 03:41:00,873706983.232105,0,0,0,0,0,0,0</t>
  </si>
  <si>
    <t>2025-05-05 03:41:00,250274075.516358,708128.890833973,14186.15,139,223103.9225,2087.33,0.0708471529899365,36.19</t>
  </si>
  <si>
    <t>2025-05-05 03:41:00,13572584.0838561,0,0,0,0,0,0,0</t>
  </si>
  <si>
    <t>2025-05-05 03:42:00,575,,,,575,,,,,,,,</t>
  </si>
  <si>
    <t>2025-05-05 03:42:00,490,,,,490,,,,,,,,</t>
  </si>
  <si>
    <t>2025-05-05 03:42:00,5700,,,5540,5600,,5677.5,,,,,5750,5540</t>
  </si>
  <si>
    <t>2025-05-05 03:42:00,20000,,,,20000,,,,,,,,</t>
  </si>
  <si>
    <t>2025-05-05 03:42:00,457371990.962532,0,0,0,0,0,0,0</t>
  </si>
  <si>
    <t>2025-05-05 03:42:00,891244341.088753,0,0,0,0,0,0,0</t>
  </si>
  <si>
    <t>2025-05-05 03:42:00,249301695.14294,822094.774377206,2344.775,35,37492.1715833334,380.35,-0.0116590876959029,7.38</t>
  </si>
  <si>
    <t>2025-05-05 03:42:00,13570728.5916162,0,0,0,0,0,0,0</t>
  </si>
  <si>
    <t>2025-05-05 03:43:00,575,,,,575,,,,,,,,</t>
  </si>
  <si>
    <t>2025-05-05 03:43:00,490,,,,490,,,,,,,,</t>
  </si>
  <si>
    <t>2025-05-05 03:43:00,5700,,,5540,5600,,5677.5,,,,,5750,5540</t>
  </si>
  <si>
    <t>2025-05-05 03:43:00,20000,,,,20000,,,,,,,,</t>
  </si>
  <si>
    <t>2025-05-05 03:43:00,464519729.199369,0,0,0,0,0,0,0</t>
  </si>
  <si>
    <t>2025-05-05 03:43:00,894814023.489824,0,0,0,0,0,0,0</t>
  </si>
  <si>
    <t>2025-05-05 03:43:00,248809574.934307,860442.67773528,5982.43484848486,90,130551.298151516,1431.5,0.0180210889601623,22.06</t>
  </si>
  <si>
    <t>2025-05-05 03:43:00,13567904.2249467,0,0,0,0,0,0,0</t>
  </si>
  <si>
    <t>2025-05-05 03:44:00,575,,,,575,,,,,,,,</t>
  </si>
  <si>
    <t>2025-05-05 03:44:00,490,,,,490,,,,,,,,</t>
  </si>
  <si>
    <t>2025-05-05 03:44:00,5700,,,5540,5600,,5675,,,,,5750,5540</t>
  </si>
  <si>
    <t>2025-05-05 03:44:00,20000,,,,20000,,,,,,,,</t>
  </si>
  <si>
    <t>2025-05-05 03:44:00,496777362.861881,0,0,0,0,0,0,0</t>
  </si>
  <si>
    <t>2025-05-05 03:44:00,910647885.268273,0,0,0,0,0,0,0</t>
  </si>
  <si>
    <t>2025-05-05 03:44:00,247364897.060285,975085.498198272,1740,53,43463.8184999999,606.2,-0.0282053912731248,10.99</t>
  </si>
  <si>
    <t>2025-05-05 03:44:00,13572664.6539067,0,0,0,0,0,0,0</t>
  </si>
  <si>
    <t>2025-05-05 03:45:00,575,,,,575,,,,,,,,</t>
  </si>
  <si>
    <t>2025-05-05 03:45:00,490,,,,490,,,,,,,,</t>
  </si>
  <si>
    <t>2025-05-05 03:45:00,5700,,,5540,5600,,5677.5,,,,,5750,5540</t>
  </si>
  <si>
    <t>2025-05-05 03:45:00,20000,,,,20000,,,,,,,,</t>
  </si>
  <si>
    <t>2025-05-05 03:45:00,468257481.077694,0,0,0,0,0,0,0</t>
  </si>
  <si>
    <t>2025-05-05 03:45:00,894797864.508,0,0,0,0,0,0,0</t>
  </si>
  <si>
    <t>2025-05-05 03:45:00,248901090.741074,856757.33717132,3288.13333333334,55,66990.6963333334,765.33,0.000741236508201014,15.14</t>
  </si>
  <si>
    <t>2025-05-05 03:45:00,13572469.3249113,0,0,0,0,0,0,0</t>
  </si>
  <si>
    <t>2025-05-05 03:46:00,575,,,,575,,,,,,,,</t>
  </si>
  <si>
    <t>2025-05-05 03:46:00,490,,,,490,,,,,,,,</t>
  </si>
  <si>
    <t>2025-05-05 03:46:00,5700,,,5540,5600,,5677.5,,,,,5750,5540</t>
  </si>
  <si>
    <t>2025-05-05 03:46:00,20000,,,,20000,,,,,,,,</t>
  </si>
  <si>
    <t>2025-05-05 03:46:00,464567692.936959,0,0,0,0,0,0,0</t>
  </si>
  <si>
    <t>2025-05-05 03:46:00,877018316.437636,0,0,0,0,0,0,0</t>
  </si>
  <si>
    <t>2025-05-05 03:46:00,249416277.532231,798144.228286321,2033.3,48,24091.5756666666,256.24,-0.0732483225297757,4.8</t>
  </si>
  <si>
    <t>2025-05-05 03:46:00,13573552.7307407,0,0,0,0,0,0,0</t>
  </si>
  <si>
    <t>2025-05-05 03:47:00,575,,,,575,,,,,,,,</t>
  </si>
  <si>
    <t>2025-05-05 03:47:00,490,,,,490,,,,,,,,</t>
  </si>
  <si>
    <t>2025-05-05 03:47:00,5700,,,5540,5600,,5677.5,,,,,5750,5540</t>
  </si>
  <si>
    <t>2025-05-05 03:47:00,20000,,,,20000,,,,,,,,</t>
  </si>
  <si>
    <t>2025-05-05 03:47:00,453778223.928132,0,0,0,0,0,0,0</t>
  </si>
  <si>
    <t>2025-05-05 03:47:00,871953313.872282,0,0,0,0,0,0,0</t>
  </si>
  <si>
    <t>2025-05-05 03:47:00,250569128.296394,765303.378554007,1865.16666666666,29,35196.2946666666,441.92,0.0144533066680522,7.45</t>
  </si>
  <si>
    <t>2025-05-05 03:47:00,13571716.9365631,0,0,0,0,0,0,0</t>
  </si>
  <si>
    <t>2025-05-05 03:48:00,575,,,,575,,,,,,,,</t>
  </si>
  <si>
    <t>2025-05-05 03:48:00,490,,,,490,,,,,,,,</t>
  </si>
  <si>
    <t>2025-05-05 03:48:00,5700,,,5540,5600,,5677.5,,,,,5700,5540</t>
  </si>
  <si>
    <t>2025-05-05 03:48:00,20000,,,,20000,,,,,,,,</t>
  </si>
  <si>
    <t>2025-05-05 03:48:00,430096772.702006,0,0,0,0,0,0,0</t>
  </si>
  <si>
    <t>2025-05-05 03:48:00,872007053.230508,0,0,0,0,0,0,0</t>
  </si>
  <si>
    <t>2025-05-05 03:48:00,252513957.7968,668503.92400076,5802.08333333333,55,108069.4965,832.24,0.0166356905304198,14.76</t>
  </si>
  <si>
    <t>2025-05-05 03:48:00,13566965.2018499,0,0,0,0,0,0,0</t>
  </si>
  <si>
    <t>2025-05-05 03:49:00,575,,,,575,,,,,,,,</t>
  </si>
  <si>
    <t>2025-05-05 03:49:00,490,,,,490,,,,,,,,</t>
  </si>
  <si>
    <t>2025-05-05 03:49:00,5700,,,5540,5600,,5677.5,,,,,5700,5540</t>
  </si>
  <si>
    <t>2025-05-05 03:49:00,20000,,,,20000,,,,,,,,</t>
  </si>
  <si>
    <t>2025-05-05 03:49:00,456031788.377689,0,0,0,0,0,0,0</t>
  </si>
  <si>
    <t>2025-05-05 03:49:00,862953774.345093,0,0,0,0,0,0,0</t>
  </si>
  <si>
    <t>2025-05-05 03:49:00,251959907.089888,593050.147322113,3388.43333333333,40,69770.285,616.81,0.00895960243368962,11.21</t>
  </si>
  <si>
    <t>2025-05-05 03:49:00,13563820.2319036,0,0,0,0,0,0,0</t>
  </si>
  <si>
    <t>2025-05-05 03:50:00,575,,,,575,,,,,,,,</t>
  </si>
  <si>
    <t>2025-05-05 03:50:00,490,,,,490,,,,,,,,</t>
  </si>
  <si>
    <t>2025-05-05 03:50:00,5700,,,5540,5600,,5677.5,,,,,5700,5540</t>
  </si>
  <si>
    <t>2025-05-05 03:50:00,20000,,,,20000,,,,,,,,</t>
  </si>
  <si>
    <t>2025-05-05 03:50:00,429525622.787768,0,0,0,0,0,0,0</t>
  </si>
  <si>
    <t>2025-05-05 03:50:00,842992237.410983,0,0,0,0,0,0,0</t>
  </si>
  <si>
    <t>2025-05-05 03:50:00,254033342.080037,540496.869970645,6059.42094474152,111,162653.803323529,1809.57,0.00197846054344693,31.83</t>
  </si>
  <si>
    <t>2025-05-05 03:50:00,13570011.7574289,0,0,0,0,0,0,0</t>
  </si>
  <si>
    <t>2025-05-05 03:51:00,575,,,,575,,,,,,,,</t>
  </si>
  <si>
    <t>2025-05-05 03:51:00,490,,,,490,,,,,,,,</t>
  </si>
  <si>
    <t>2025-05-05 03:51:00,5700,,,5540,5600,,5677.5,,,,,5700,5540</t>
  </si>
  <si>
    <t>2025-05-05 03:51:00,20000,,,,20000,,,,,,,,</t>
  </si>
  <si>
    <t>2025-05-05 03:51:00,383162337.631625,0,0,0,0,0,0,0</t>
  </si>
  <si>
    <t>2025-05-05 03:51:00,840805046.113052,0,0,0,0,0,0,0</t>
  </si>
  <si>
    <t>2025-05-05 03:51:00,256983076.356156,393193.038614966,4208.85,95,66054.4855000001,842.66,-0.108713849298746,15.5</t>
  </si>
  <si>
    <t>2025-05-05 03:51:00,13563462.2104079,0,0,0,0,0,0,0</t>
  </si>
  <si>
    <t>2025-05-05 03:52:00,575,,,,575,,,,,,,,</t>
  </si>
  <si>
    <t>2025-05-05 03:52:00,490,,,,490,,,,,,,,</t>
  </si>
  <si>
    <t>2025-05-05 03:52:00,5700,,,5540,5600,,5677.5,,,,,5700,5540</t>
  </si>
  <si>
    <t>2025-05-05 03:52:00,20000,,,,20000,,,,,,,,</t>
  </si>
  <si>
    <t>2025-05-05 03:52:00,376539573.557397,0,0,0,0,0,0,0</t>
  </si>
  <si>
    <t>2025-05-05 03:52:00,837525134.646332,0,0,0,0,0,0,0</t>
  </si>
  <si>
    <t>2025-05-05 03:52:00,257629932.939287,351592.684914562,2183.06666666667,44,29217.532,338.26,-0.0710912761572595,7.18</t>
  </si>
  <si>
    <t>2025-05-05 03:52:00,13560501.9638477,0,0,0,0,0,0,0</t>
  </si>
  <si>
    <t>2025-05-05 03:53:00,575,,,,575,,,,,,,,</t>
  </si>
  <si>
    <t>2025-05-05 03:53:00,490,,,,490,,,,,,,,</t>
  </si>
  <si>
    <t>2025-05-05 03:53:00,5700,,,5540,5600,,5677.5,,,,,5700,5540</t>
  </si>
  <si>
    <t>2025-05-05 03:53:00,20000,,,,20000,,,,,,,,</t>
  </si>
  <si>
    <t>2025-05-05 03:53:00,292606000.57533,0,0,0,0,0,0,0</t>
  </si>
  <si>
    <t>2025-05-05 03:53:00,800525461.072994,0,0,0,0,0,0,0</t>
  </si>
  <si>
    <t>2025-05-05 03:53:00,261066452.70849,135328.542010049,8467.88235294117,126,176047.606352941,1758.4,-0.0655720309665459,38.27</t>
  </si>
  <si>
    <t>2025-05-05 03:53:00,13548424.7947986,0,0,0,0,0,0,0</t>
  </si>
  <si>
    <t>2025-05-05 03:54:00,575,,,,575,,,,,,,,</t>
  </si>
  <si>
    <t>2025-05-05 03:54:00,490,,,,490,,,,,,,,</t>
  </si>
  <si>
    <t>2025-05-05 03:54:00,5620,,,5540,5600,,5677.5,,,,,5700,5540</t>
  </si>
  <si>
    <t>2025-05-05 03:54:00,20000,,,,20000,,,,,,,,</t>
  </si>
  <si>
    <t>2025-05-05 03:54:00,225902188.945111,0,0,0,0,0,0,0</t>
  </si>
  <si>
    <t>2025-05-05 03:54:00,755389509.338611,0,0,0,0,0,0,0</t>
  </si>
  <si>
    <t>2025-05-05 03:54:00,266305097.375718,457975.439863643,21679.0217948717,327,807925.149038453,6628.23,0.209027839345528,92.29</t>
  </si>
  <si>
    <t>2025-05-05 03:54:00,13527916.4012003,0,0,0,0,0,0,0</t>
  </si>
  <si>
    <t>2025-05-05 03:55:00,575,,,,575,,,,,,,,</t>
  </si>
  <si>
    <t>2025-05-05 03:55:00,490,,,,490,,,,,,,,</t>
  </si>
  <si>
    <t>2025-05-05 03:55:00,5620,,,5540,5600,,5677.5,,,,,5700,5540</t>
  </si>
  <si>
    <t>2025-05-05 03:55:00,20000,,,,20000,,,,,,,,</t>
  </si>
  <si>
    <t>2025-05-05 03:55:00,205339451.581836,0,0,0,0,0,0,0</t>
  </si>
  <si>
    <t>2025-05-05 03:55:00,755414794.04064,0,0,0,0,0,0,0</t>
  </si>
  <si>
    <t>2025-05-05 03:55:00,268150933.68531,415056.678468653,4845.54215686274,103,100362.334323529,1185.19,-0.0830100315481864,23.38</t>
  </si>
  <si>
    <t>2025-05-05 03:55:00,13524675.9013017,0,0,0,0,0,0,0</t>
  </si>
  <si>
    <t>2025-05-05 03:56:00,575,,,,575,,,,,,,,</t>
  </si>
  <si>
    <t>2025-05-05 03:56:00,490,,,,490,,,,,,,,</t>
  </si>
  <si>
    <t>2025-05-05 03:56:00,5700,,,5540,5600,,5677.5,,,,,5700,5540</t>
  </si>
  <si>
    <t>2025-05-05 03:56:00,20000,,,,20000,,,,,,,,</t>
  </si>
  <si>
    <t>2025-05-05 03:56:00,331479163.842093,0,0,0,0,0,0,0</t>
  </si>
  <si>
    <t>2025-05-05 03:56:00,815983057.097706,0,0,0,0,0,0,0</t>
  </si>
  <si>
    <t>2025-05-05 03:56:00,257376537.498955,242491.87580358,5957.875,132,153744.819416667,1722.54,-0.102648996554452,31.41</t>
  </si>
  <si>
    <t>2025-05-05 03:56:00,13557002.5269474,0,0,0,0,0,0,0</t>
  </si>
  <si>
    <t>2025-05-05 03:57:00,575,,,,575,,,,,,,,</t>
  </si>
  <si>
    <t>2025-05-05 03:57:00,490,,,,490,,,,,,,,</t>
  </si>
  <si>
    <t>2025-05-05 03:57:00,5700,,,5540,5600,,5677.5,,,,,5700,5540</t>
  </si>
  <si>
    <t>2025-05-05 03:57:00,20000,,,,20000,,,,,,,,</t>
  </si>
  <si>
    <t>2025-05-05 03:57:00,324658380.424363,0,0,0,0,0,0,0</t>
  </si>
  <si>
    <t>2025-05-05 03:57:00,800422069.598616,0,0,0,0,0,0,0</t>
  </si>
  <si>
    <t>2025-05-05 03:57:00,258379622.677354,324884.946424734,5841.24999999999,85,167304.878333333,1657.69,0.0179084380181643,29.96</t>
  </si>
  <si>
    <t>2025-05-05 03:57:00,13552111.8354891,0,0,0,0,0,0,0</t>
  </si>
  <si>
    <t>2025-05-05 03:58:00,575,,,,575,,,,,,,,</t>
  </si>
  <si>
    <t>2025-05-05 03:58:00,490,,,,490,,,,,,,,</t>
  </si>
  <si>
    <t>2025-05-05 03:58:00,5700,,,5540,5600,,5677.5,,,,,5700,5540</t>
  </si>
  <si>
    <t>2025-05-05 03:58:00,20000,,,,20000,,,,,,,,</t>
  </si>
  <si>
    <t>2025-05-05 03:58:00,369543978.088078,0,0,0,0,0,0,0</t>
  </si>
  <si>
    <t>2025-05-05 03:58:00,832526887.521112,0,0,0,0,0,0,0</t>
  </si>
  <si>
    <t>2025-05-05 03:58:00,255236843.476353,403290.366014979,4145.14166666667,61,82290.8850833332,757.61,-0.0362824979439775,15.75</t>
  </si>
  <si>
    <t>2025-05-05 03:58:00,13556694.683915,0,0,0,0,0,0,0</t>
  </si>
  <si>
    <t>2025-05-05 03:59:00,575,,,,575,,,,,,,,</t>
  </si>
  <si>
    <t>2025-05-05 03:59:00,490,,,,490,,,,,,,,</t>
  </si>
  <si>
    <t>2025-05-05 03:59:00,5700,,,5540,5600,,5677.5,,,,,5700,5540</t>
  </si>
  <si>
    <t>2025-05-05 03:59:00,20000,,,,20000,,,,,,,,</t>
  </si>
  <si>
    <t>2025-05-05 03:59:00,335041654.323119,0,0,0,0,0,0,0</t>
  </si>
  <si>
    <t>2025-05-05 03:59:00,822642534.525347,0,0,0,0,0,0,0</t>
  </si>
  <si>
    <t>2025-05-05 03:59:00,256921303.174082,309851.210590309,5064.85833333334,79,116528.916916667,1627.49,-0.00620097691045264,35.34</t>
  </si>
  <si>
    <t>2025-05-05 03:59:00,13550791.8815587,0,0,0,0,0,0,0</t>
  </si>
  <si>
    <t>2025-05-05 04:00:00,575,,,,575,,,,,,,,</t>
  </si>
  <si>
    <t>2025-05-05 04:00:00,490,,,,490,,,,,,,,</t>
  </si>
  <si>
    <t>2025-05-05 04:00:00,5700,,,5540,5600,,5677.5,,,,,5700,5540</t>
  </si>
  <si>
    <t>2025-05-05 04:00:00,20000,,,,20000,,,,,,,,</t>
  </si>
  <si>
    <t>2025-05-05 04:00:00,338548056.765978,0,0,0,0,0,0,0</t>
  </si>
  <si>
    <t>2025-05-05 04:00:00,832560123.124602,0,0,0,0,0,0,0</t>
  </si>
  <si>
    <t>2025-05-05 04:00:00,257831861.531948,353798.235194056,6236.98333333334,78,196347.0555,1914.56,0.119524311769493,45.05</t>
  </si>
  <si>
    <t>2025-05-05 04:00:00,13550383.0760782,0,0,0,0,0,0,0</t>
  </si>
  <si>
    <t>2025-05-05 04:01:00,575,,,,575,,,,,,,,</t>
  </si>
  <si>
    <t>2025-05-05 04:01:00,490,,,,490,,,,,,,,</t>
  </si>
  <si>
    <t>2025-05-05 04:01:00,5700,,,5540,5600,,5677.5,,,,,5700,5540</t>
  </si>
  <si>
    <t>2025-05-05 04:01:00,20000,,,,20000,,,,,,,,</t>
  </si>
  <si>
    <t>2025-05-05 04:01:00,331523257.648628,0,0,0,0,0,0,0</t>
  </si>
  <si>
    <t>2025-05-05 04:01:00,824239116.354123,0,0,0,0,0,0,0</t>
  </si>
  <si>
    <t>2025-05-05 04:01:00,258656982.012914,302979.111528532,1642.33333333333,36,25908.029,351.64,-0.039977120591524,6.49</t>
  </si>
  <si>
    <t>2025-05-05 04:01:00,13553321.9046871,0,0,0,0,0,0,0</t>
  </si>
  <si>
    <t>2025-05-05 04:02:00,575,,,,575,,,,,,,,</t>
  </si>
  <si>
    <t>2025-05-05 04:02:00,490,,,,490,,,,,,,,</t>
  </si>
  <si>
    <t>2025-05-05 04:02:00,5700,,,5540,5600,,5677.5,,,,,5700,5540</t>
  </si>
  <si>
    <t>2025-05-05 04:02:00,20000,,,,20000,,,,,,,,</t>
  </si>
  <si>
    <t>2025-05-05 04:02:00,317528233.686967,0,0,0,0,0,0,0</t>
  </si>
  <si>
    <t>2025-05-05 04:02:00,819284380.499742,0,0,0,0,0,0,0</t>
  </si>
  <si>
    <t>2025-05-05 04:02:00,259310304.911591,375008.408425793,2063.58333333333,30,42679.1661666666,417.24,-0.00188424571695827,7.74</t>
  </si>
  <si>
    <t>2025-05-05 04:02:00,13550636.0763017,0,0,0,0,0,0,0</t>
  </si>
  <si>
    <t>2025-05-05 04:03:00,575,,,,575,,,,,,,,</t>
  </si>
  <si>
    <t>2025-05-05 04:03:00,490,,,,490,,,,,,,,</t>
  </si>
  <si>
    <t>2025-05-05 04:03:00,5700,,,5540,5600,,5677.5,,,,,5700,5540</t>
  </si>
  <si>
    <t>2025-05-05 04:03:00,20000,,,,20000,,,,,,,,</t>
  </si>
  <si>
    <t>2025-05-05 04:03:00,379708206.572217,0,0,0,0,0,0,0</t>
  </si>
  <si>
    <t>2025-05-05 04:03:00,831993273.160666,0,0,0,0,0,0,0</t>
  </si>
  <si>
    <t>2025-05-05 04:03:00,258297789.186508,527886.976868535,4087.05757575757,107,50181.3303787878,1328.68,-0.271945742516002,33.58</t>
  </si>
  <si>
    <t>2025-05-05 04:03:00,13556532.112963,0,0,0,0,0,0,0</t>
  </si>
  <si>
    <t>2025-05-05 04:04:00,575,,,,575,,,,,,,,</t>
  </si>
  <si>
    <t>2025-05-05 04:04:00,490,,,,490,,,,,,,,</t>
  </si>
  <si>
    <t>2025-05-05 04:04:00,5700,,,5540,5600,,5677.5,,,,,5700,5540</t>
  </si>
  <si>
    <t>2025-05-05 04:04:00,20000,,,,20000,,,,,,,,</t>
  </si>
  <si>
    <t>2025-05-05 04:04:00,393183346.83028,0,0,0,0,0,0,0</t>
  </si>
  <si>
    <t>2025-05-05 04:04:00,836448896.009333,0,0,0,0,0,0,0</t>
  </si>
  <si>
    <t>2025-05-05 04:04:00,257525382.701834,573504.842396862,2575.19230769231,45,35743.3912307692,451.13,-0.0271230853807354,7.05</t>
  </si>
  <si>
    <t>2025-05-05 04:04:00,13555192.8542043,0,0,0,0,0,0,0</t>
  </si>
  <si>
    <t>2025-05-05 04:05:00,575,,,,575,,,,,,,,</t>
  </si>
  <si>
    <t>2025-05-05 04:05:00,490,,,,490,,,,,,,,</t>
  </si>
  <si>
    <t>2025-05-05 04:05:00,5700,,,5540,5600,,5677.5,,,,,5700,5540</t>
  </si>
  <si>
    <t>2025-05-05 04:05:00,20000,,,,20000,,,,,,,,</t>
  </si>
  <si>
    <t>2025-05-05 04:05:00,369416186.024197,0,0,0,0,0,0,0</t>
  </si>
  <si>
    <t>2025-05-05 04:05:00,839169375.655603,0,0,0,0,0,0,0</t>
  </si>
  <si>
    <t>2025-05-05 04:05:00,254731116.982242,489607.829947687,2879.3137254902,68,125461.27972549,1582.67,-0.044804749086791,27.34</t>
  </si>
  <si>
    <t>2025-05-05 04:05:00,13551278.2382025,0,0,0,0,0,0,0</t>
  </si>
  <si>
    <t>2025-05-05 04:06:00,575,,,,575,,,,,,,,</t>
  </si>
  <si>
    <t>2025-05-05 04:06:00,490,,,,490,,,,,,,,</t>
  </si>
  <si>
    <t>2025-05-05 04:06:00,5700,,,5540,5600,,5677.5,,,,,5700,5540</t>
  </si>
  <si>
    <t>2025-05-05 04:06:00,20000,,,,20000,,,,,,,,</t>
  </si>
  <si>
    <t>2025-05-05 04:06:00,313722339.222328,0,0,0,0,0,0,0</t>
  </si>
  <si>
    <t>2025-05-05 04:06:00,809460036.416383,0,0,0,0,0,0,0</t>
  </si>
  <si>
    <t>2025-05-05 04:06:00,259754035.239749,313297.709518062,2205.62083333333,38,39835.7718333333,455.29,-0.0148498692124484,9.56</t>
  </si>
  <si>
    <t>2025-05-05 04:06:00,13541352.946287,0,0,0,0,0,0,0</t>
  </si>
  <si>
    <t>2025-05-05 04:07:00,575,,,,575,,,,,,,,</t>
  </si>
  <si>
    <t>2025-05-05 04:07:00,490,,,,490,,,,,,,,</t>
  </si>
  <si>
    <t>2025-05-05 04:07:00,5700,,,5540,5600,,5677.5,,,,,5700,5540</t>
  </si>
  <si>
    <t>2025-05-05 04:07:00,20000,,,,20000,,,,,,,,</t>
  </si>
  <si>
    <t>2025-05-05 04:07:00,284924508.117837,0,0,0,0,0,0,0</t>
  </si>
  <si>
    <t>2025-05-05 04:07:00,798787391.444517,0,0,0,0,0,0,0</t>
  </si>
  <si>
    <t>2025-05-05 04:07:00,262917167.405988,277372.393064546,1980.13,37,40198.0262333333,518.41,-0.0257247196420069,9.8</t>
  </si>
  <si>
    <t>2025-05-05 04:07:00,13541981.3307528,0,0,0,0,0,0,0</t>
  </si>
  <si>
    <t>2025-05-05 04:08:00,575,,,,575,,,,,,,,</t>
  </si>
  <si>
    <t>2025-05-05 04:08:00,490,,,,490,,,,,,,,</t>
  </si>
  <si>
    <t>2025-05-05 04:08:00,5620,,,5540,5600,,5677.5,,,,,5700,5540</t>
  </si>
  <si>
    <t>2025-05-05 04:08:00,20000,,,,20000,,,,,,,,</t>
  </si>
  <si>
    <t>2025-05-05 04:08:00,270411638.849911,0,0,0,0,0,0,0</t>
  </si>
  <si>
    <t>2025-05-05 04:08:00,791975672.533456,0,0,0,0,0,0,0</t>
  </si>
  <si>
    <t>2025-05-05 04:08:00,263644297.202516,263002.786911345,3555.83333333333,43,44025.8216666666,404.45,-0.00364448952453204,7.13</t>
  </si>
  <si>
    <t>2025-05-05 04:08:00,13537680.6381416,0,0,0,0,0,0,0</t>
  </si>
  <si>
    <t>2025-05-05 04:09:00,575,,,,575,,,,,,,,</t>
  </si>
  <si>
    <t>2025-05-05 04:09:00,490,,,,490,,,,,,,,</t>
  </si>
  <si>
    <t>2025-05-05 04:09:00,5620,,,5540,5600,,5677.5,,,,,5700,5540</t>
  </si>
  <si>
    <t>2025-05-05 04:09:00,20000,,,,20000,,,,,,,,</t>
  </si>
  <si>
    <t>2025-05-05 04:09:00,233277976.745806,0,0,0,0,0,0,0</t>
  </si>
  <si>
    <t>2025-05-05 04:09:00,769497709.983925,0,0,0,0,0,0,0</t>
  </si>
  <si>
    <t>2025-05-05 04:09:00,267523604.246452,612448.238820292,8337.09166666668,122,155338.69875,1918.27,-0.0151151115473954,31.08</t>
  </si>
  <si>
    <t>2025-05-05 04:09:00,13527469.0401699,0,0,0,0,0,0,0</t>
  </si>
  <si>
    <t>2025-05-05 04:10:00,575,,,,575,,,,,,,,</t>
  </si>
  <si>
    <t>2025-05-05 04:10:00,490,,,,490,,,,,,,,</t>
  </si>
  <si>
    <t>2025-05-05 04:10:00,5620,,,5540,5600,,5680,,,,,5700,5540</t>
  </si>
  <si>
    <t>2025-05-05 04:10:00,20000,,,,20000,,,,,,,,</t>
  </si>
  <si>
    <t>2025-05-05 04:10:00,205136523.895743,0,0,0,0,0,0,0</t>
  </si>
  <si>
    <t>2025-05-05 04:10:00,765970584.935752,0,0,0,0,0,0,0</t>
  </si>
  <si>
    <t>2025-05-05 04:10:00,271047336.583941,515435.55893547,3907.11666666666,59,45753.6904999999,398.96,-0.106867057688628,8.48</t>
  </si>
  <si>
    <t>2025-05-05 04:10:00,13520081.8468075,0,0,0,0,0,0,0</t>
  </si>
  <si>
    <t>2025-05-05 04:11:00,575,,,,575,,,,,,,,</t>
  </si>
  <si>
    <t>2025-05-05 04:11:00,490,,,,490,,,,,,,,</t>
  </si>
  <si>
    <t>2025-05-05 04:11:00,5620,,,5540,5600,,5677.5,,,,,5700,5540</t>
  </si>
  <si>
    <t>2025-05-05 04:11:00,20000,,,,20000,,,,,,,,</t>
  </si>
  <si>
    <t>2025-05-05 04:11:00,236834977.952646,0,0,0,0,0,0,0</t>
  </si>
  <si>
    <t>2025-05-05 04:11:00,776474282.677168,0,0,0,0,0,0,0</t>
  </si>
  <si>
    <t>2025-05-05 04:11:00,266634023.901398,572190.867537622,2841.45,46,39838.026,345.38,-0.0695371653185684,7.18</t>
  </si>
  <si>
    <t>2025-05-05 04:11:00,13525272.6337992,0,0,0,0,0,0,0</t>
  </si>
  <si>
    <t>2025-05-05 04:12:00,575,,,,575,,,,,,,,</t>
  </si>
  <si>
    <t>2025-05-05 04:12:00,490,,,,490,,,,,,,,</t>
  </si>
  <si>
    <t>2025-05-05 04:12:00,5700,,,5540,5600,,5677.5,,,,,5700,5540</t>
  </si>
  <si>
    <t>2025-05-05 04:12:00,20000,,,,20000,,,,,,,,</t>
  </si>
  <si>
    <t>2025-05-05 04:12:00,306515022.142992,0,0,0,0,0,0,0</t>
  </si>
  <si>
    <t>2025-05-05 04:12:00,807208890.057859,0,0,0,0,0,0,0</t>
  </si>
  <si>
    <t>2025-05-05 04:12:00,260743058.266141,279788.734157325,7130.16666666667,94,140830.713166667,1382.7,-0.00685658269006444,29.94</t>
  </si>
  <si>
    <t>2025-05-05 04:12:00,13536237.2650259,0,0,0,0,0,0,0</t>
  </si>
  <si>
    <t>2025-05-05 04:13:00,575,,,,575,,,,,,,,</t>
  </si>
  <si>
    <t>2025-05-05 04:13:00,490,,,,490,,,,,,,,</t>
  </si>
  <si>
    <t>2025-05-05 04:13:00,5620,,,5540,5600,,5677.5,,,,,5700,5540</t>
  </si>
  <si>
    <t>2025-05-05 04:13:00,20000,,,,20000,,,,,,,,</t>
  </si>
  <si>
    <t>2025-05-05 04:13:00,225679775.720278,0,0,0,0,0,0,0</t>
  </si>
  <si>
    <t>2025-05-05 04:13:00,765938239.144748,0,0,0,0,0,0,0</t>
  </si>
  <si>
    <t>2025-05-05 04:13:00,268174199.437947,550776.256525709,5315.48333333334,47,91373.6555000002,700.85,0.00459661351374813,11.68</t>
  </si>
  <si>
    <t>2025-05-05 04:13:00,13524080.0260122,0,0,0,0,0,0,0</t>
  </si>
  <si>
    <t>2025-05-05 04:14:00,575,,,,575,,,,,,,,</t>
  </si>
  <si>
    <t>2025-05-05 04:14:00,490,,,,490,,,,,,,,</t>
  </si>
  <si>
    <t>2025-05-05 04:14:00,5620,,,5540,5600,,5677.5,,,,,5700,5540</t>
  </si>
  <si>
    <t>2025-05-05 04:14:00,20000,,,,20000,,,,,,,,</t>
  </si>
  <si>
    <t>2025-05-05 04:14:00,255505526.767147,0,0,0,0,0,0,0</t>
  </si>
  <si>
    <t>2025-05-05 04:14:00,779942313.501135,0,0,0,0,0,0,0</t>
  </si>
  <si>
    <t>2025-05-05 04:14:00,265048710.850605,172411.990198634,1165.71666666667,27,17448.9081666667,231.33,-0.0371916692231961,4.76</t>
  </si>
  <si>
    <t>2025-05-05 04:14:00,13529625.3155841,0,0,0,0,0,0,0</t>
  </si>
  <si>
    <t>2025-05-05 04:15:00,575,,,,575,,,,,,,,</t>
  </si>
  <si>
    <t>2025-05-05 04:15:00,490,,,,490,,,,,,,,</t>
  </si>
  <si>
    <t>2025-05-05 04:15:00,5620,,,5540,5600,,5677.5,,,,,5700,5540</t>
  </si>
  <si>
    <t>2025-05-05 04:15:00,20000,,,,20000,,,,,,,,</t>
  </si>
  <si>
    <t>2025-05-05 04:15:00,240416529.212646,0,0,0,0,0,0,0</t>
  </si>
  <si>
    <t>2025-05-05 04:15:00,769447278.698679,0,0,0,0,0,0,0</t>
  </si>
  <si>
    <t>2025-05-05 04:15:00,267303825.978824,574417.697292694,737.816666666666,23,15256.5531666667,160.62,-0.0438897064114862,3.81</t>
  </si>
  <si>
    <t>2025-05-05 04:15:00,13523994.5875241,0,0,0,0,0,0,0</t>
  </si>
  <si>
    <t>2025-05-05 04:16:00,575,,,,575,,,,,,,,</t>
  </si>
  <si>
    <t>2025-05-05 04:16:00,490,,,,490,,,,,,,,</t>
  </si>
  <si>
    <t>2025-05-05 04:16:00,5700,,,5540,5600,,5677.5,,,,,5700,5540</t>
  </si>
  <si>
    <t>2025-05-05 04:16:00,20000,,,,20000,,,,,,,,</t>
  </si>
  <si>
    <t>2025-05-05 04:16:00,295631065.200476,0,0,0,0,0,0,0</t>
  </si>
  <si>
    <t>2025-05-05 04:16:00,802170814.033901,0,0,0,0,0,0,0</t>
  </si>
  <si>
    <t>2025-05-05 04:16:00,261804741.494877,243814.392030978,2149.3,41,51788.187,600.88,-0.00885198545517733,9.99</t>
  </si>
  <si>
    <t>2025-05-05 04:16:00,13534577.4907619,0,0,0,0,0,0,0</t>
  </si>
  <si>
    <t>2025-05-05 04:17:00,575,,,,575,,,,,,,,</t>
  </si>
  <si>
    <t>2025-05-05 04:17:00,490,,,,490,,,,,,,,</t>
  </si>
  <si>
    <t>2025-05-05 04:17:00,5700,,,5540,5600,,5677.5,,,,,5700,5540</t>
  </si>
  <si>
    <t>2025-05-05 04:17:00,20000,,,,20000,,,,,,,,</t>
  </si>
  <si>
    <t>2025-05-05 04:17:00,338096964.251291,0,0,0,0,0,0,0</t>
  </si>
  <si>
    <t>2025-05-05 04:17:00,822543444.316547,0,0,0,0,0,0,0</t>
  </si>
  <si>
    <t>2025-05-05 04:17:00,257552343.210961,374422.095860327,2939.95833333334,41,79800.9517500005,838.42,0.0390495148902791,16.51</t>
  </si>
  <si>
    <t>2025-05-05 04:17:00,13540217.1585699,0,0,0,0,0,0,0</t>
  </si>
  <si>
    <t>2025-05-05 04:18:00,575,,,,575,,,,,,,,</t>
  </si>
  <si>
    <t>2025-05-05 04:18:00,490,,,,490,,,,,,,,</t>
  </si>
  <si>
    <t>2025-05-05 04:18:00,5700,,,5540,5600,,5677.5,,,,,5700,5540</t>
  </si>
  <si>
    <t>2025-05-05 04:18:00,20000,,,,20000,,,,,,,,</t>
  </si>
  <si>
    <t>2025-05-05 04:18:00,351981697.118869,0,0,0,0,0,0,0</t>
  </si>
  <si>
    <t>2025-05-05 04:18:00,832480882.530889,0,0,0,0,0,0,0</t>
  </si>
  <si>
    <t>2025-05-05 04:18:00,256423851.425655,427030.354312481,1894.89666666666,32,37332.9969,437.03,-0.0185737570905886,8.28</t>
  </si>
  <si>
    <t>2025-05-05 04:18:00,13548027.6257469,0,0,0,0,0,0,0</t>
  </si>
  <si>
    <t>2025-05-05 04:19:00,575,,,,575,,,,,,,,</t>
  </si>
  <si>
    <t>2025-05-05 04:19:00,490,,,,490,,,,,,,,</t>
  </si>
  <si>
    <t>2025-05-05 04:19:00,5700,,,5540,5600,,5677.5,,,,,5700,5540</t>
  </si>
  <si>
    <t>2025-05-05 04:19:00,20000,,,,20000,,,,,,,,</t>
  </si>
  <si>
    <t>2025-05-05 04:19:00,358870503.107544,0,0,0,0,0,0,0</t>
  </si>
  <si>
    <t>2025-05-05 04:19:00,815903624.899837,0,0,0,0,0,0,0</t>
  </si>
  <si>
    <t>2025-05-05 04:19:00,257359101.768761,434751.197343982,7581.16666666666,128,159563.627333333,2024.82,-0.0283418902406862,47.01</t>
  </si>
  <si>
    <t>2025-05-05 04:19:00,13546883.2108491,0,0,0,0,0,0,0</t>
  </si>
  <si>
    <t>2025-05-05 04:20:00,575,,,,575,,,,,,,,</t>
  </si>
  <si>
    <t>2025-05-05 04:20:00,490,,,,490,,,,,,,,</t>
  </si>
  <si>
    <t>2025-05-05 04:20:00,5700,,,5540,5600,,5677.5,,,,,5700,5540</t>
  </si>
  <si>
    <t>2025-05-05 04:20:00,20000,,,,20000,,,,,,,,</t>
  </si>
  <si>
    <t>2025-05-05 04:20:00,379287327.073194,0,0,0,0,0,0,0</t>
  </si>
  <si>
    <t>2025-05-05 04:20:00,827491593.510062,0,0,0,0,0,0,0</t>
  </si>
  <si>
    <t>2025-05-05 04:20:00,258559022.953519,482255.979649867,2902.10000000001,37,59314.0480000001,548.61,-0.0290700427743759,11.48</t>
  </si>
  <si>
    <t>2025-05-05 04:20:00,13546451.8507377,0,0,0,0,0,0,0</t>
  </si>
  <si>
    <t>2025-05-05 04:21:00,575,,,,575,,,,,,,,</t>
  </si>
  <si>
    <t>2025-05-05 04:21:00,490,,,,490,,,,,,,,</t>
  </si>
  <si>
    <t>2025-05-05 04:21:00,5700,,,5540,5600,,5677.5,,,,,5700,5540</t>
  </si>
  <si>
    <t>2025-05-05 04:21:00,20000,,,,20000,,,,,,,,</t>
  </si>
  <si>
    <t>2025-05-05 04:21:00,432085051.082487,0,0,0,0,0,0,0</t>
  </si>
  <si>
    <t>2025-05-05 04:21:00,848539211.936319,0,0,0,0,0,0,0</t>
  </si>
  <si>
    <t>2025-05-05 04:21:00,253538193.682273,718212.066419101,4360.94166666666,66,85581.1989999999,817.49,-0.0468183380270111,15.14</t>
  </si>
  <si>
    <t>2025-05-05 04:21:00,13550826.5699576,0,0,0,0,0,0,0</t>
  </si>
  <si>
    <t>2025-05-05 04:22:00,575,,,,575,,,,,,,,</t>
  </si>
  <si>
    <t>2025-05-05 04:22:00,490,,,,490,,,,,,,,</t>
  </si>
  <si>
    <t>2025-05-05 04:22:00,5700,,,5540,5600,,5677.5,,,,,5700,5540</t>
  </si>
  <si>
    <t>2025-05-05 04:22:00,20000,,,,20000,,,,,,,,</t>
  </si>
  <si>
    <t>2025-05-05 04:22:00,429906693.777483,0,0,0,0,0,0,0</t>
  </si>
  <si>
    <t>2025-05-05 04:22:00,868455338.25542,0,0,0,0,0,0,0</t>
  </si>
  <si>
    <t>2025-05-05 04:22:00,251064066.393763,812987.492398552,10346.45,173,211364.796166667,2184.75,-0.113662026213946,47.94</t>
  </si>
  <si>
    <t>2025-05-05 04:22:00,13551090.4854314,0,0,0,0,0,0,0</t>
  </si>
  <si>
    <t>2025-05-05 04:23:00,575,,,,575,,,,,,,,</t>
  </si>
  <si>
    <t>2025-05-05 04:23:00,490,,,,490,,,,,,,,</t>
  </si>
  <si>
    <t>2025-05-05 04:23:00,5700,,,5540,5600,,5677.5,,,,,5700,5540</t>
  </si>
  <si>
    <t>2025-05-05 04:23:00,20000,,,,20000,,,,,,,,</t>
  </si>
  <si>
    <t>2025-05-05 04:23:00,471646532.926813,0,0,0,0,0,0,0</t>
  </si>
  <si>
    <t>2025-05-05 04:23:00,877188297.131074,0,0,0,0,0,0,0</t>
  </si>
  <si>
    <t>2025-05-05 04:23:00,249904322.176945,1010381.63439105,3306.76666666666,56,84944.8876666664,803.43,0.012759943535768,20.5</t>
  </si>
  <si>
    <t>2025-05-05 04:23:00,13553589.8730815,0,0,0,0,0,0,0</t>
  </si>
  <si>
    <t>2025-05-05 04:24:00,575,,,,575,,,,,,,,</t>
  </si>
  <si>
    <t>2025-05-05 04:24:00,490,,,,490,,,,,,,,</t>
  </si>
  <si>
    <t>2025-05-05 04:24:00,5700,,,5540,5600,,5677.5,,,,,5700,5540</t>
  </si>
  <si>
    <t>2025-05-05 04:24:00,20000,,,,20000,,,,,,,,</t>
  </si>
  <si>
    <t>2025-05-05 04:24:00,507254363.568787,0,0,0,0,0,0,0</t>
  </si>
  <si>
    <t>2025-05-05 04:24:00,889582389.402085,0,0,0,0,0,0,0</t>
  </si>
  <si>
    <t>2025-05-05 04:24:00,248110257.087496,1148266.94495661,6317.61666666667,69,162628.253166667,1477.3,0.128256216301099,36.66</t>
  </si>
  <si>
    <t>2025-05-05 04:24:00,13559433.7019592,0,0,0,0,0,0,0</t>
  </si>
  <si>
    <t>2025-05-05 04:25:00,575,,,,575,,,,,,,,</t>
  </si>
  <si>
    <t>2025-05-05 04:25:00,490,,,,490,,,,,,,,</t>
  </si>
  <si>
    <t>2025-05-05 04:25:00,5700,,,5540,5600,,5677.5,,,,,5700,5540</t>
  </si>
  <si>
    <t>2025-05-05 04:25:00,20000,,,,20000,,,,,,,,</t>
  </si>
  <si>
    <t>2025-05-05 04:25:00,471638887.040202,0,0,0,0,0,0,0</t>
  </si>
  <si>
    <t>2025-05-05 04:25:00,872182461.59908,0,0,0,0,0,0,0</t>
  </si>
  <si>
    <t>2025-05-05 04:25:00,250514856.06365,913972.061432067,1940.525,35,33463.1110833333,442.32,-0.0225275223332937,8.77</t>
  </si>
  <si>
    <t>2025-05-05 04:25:00,13557731.9048849,0,0,0,0,0,0,0</t>
  </si>
  <si>
    <t>2025-05-05 04:26:00,575,,,,575,,,,,,,,</t>
  </si>
  <si>
    <t>2025-05-05 04:26:00,490,,,,490,,,,,,,,</t>
  </si>
  <si>
    <t>2025-05-05 04:26:00,5700,,,5540,5600,,5677.5,,,,,5700,5540</t>
  </si>
  <si>
    <t>2025-05-05 04:26:00,20000,,,,20000,,,,,,,,</t>
  </si>
  <si>
    <t>2025-05-05 04:26:00,457079646.933011,0,0,0,0,0,0,0</t>
  </si>
  <si>
    <t>2025-05-05 04:26:00,864878127.738053,0,0,0,0,0,0,0</t>
  </si>
  <si>
    <t>2025-05-05 04:26:00,251158672.399792,858975.750762034,917.399999999999,19,30058.0609999999,347.43,-0.000896096761650308,7.42</t>
  </si>
  <si>
    <t>2025-05-05 04:26:00,13557382.9955006,0,0,0,0,0,0,0</t>
  </si>
  <si>
    <t>2025-05-05 04:27:00,575,,,,575,,,,,,,,</t>
  </si>
  <si>
    <t>2025-05-05 04:27:00,490,,,,490,,,,,,,,</t>
  </si>
  <si>
    <t>2025-05-05 04:27:00,5700,,,5540,5600,,5677.5,,,,,5700,5540</t>
  </si>
  <si>
    <t>2025-05-05 04:27:00,20000,,,,20000,,,,,,,,</t>
  </si>
  <si>
    <t>2025-05-05 04:27:00,460711447.301665,0,0,0,0,0,0,0</t>
  </si>
  <si>
    <t>2025-05-05 04:27:00,864874257.917537,0,0,0,0,0,0,0</t>
  </si>
  <si>
    <t>2025-05-05 04:27:00,251402569.081436,845713.825388472,1165.4,18,28567.5913333333,345.63,0.0120726776239033,7.58</t>
  </si>
  <si>
    <t>2025-05-05 04:27:00,13555182.8022122,0,0,0,0,0,0,0</t>
  </si>
  <si>
    <t>2025-05-05 04:28:00,575,,,,575,,,,,,,,</t>
  </si>
  <si>
    <t>2025-05-05 04:28:00,490,,,,490,,,,,,,,</t>
  </si>
  <si>
    <t>2025-05-05 04:28:00,5700,,,5540,5600,,5677.5,,,,,5700,5540</t>
  </si>
  <si>
    <t>2025-05-05 04:28:00,20000,,,,20000,,,,,,,,</t>
  </si>
  <si>
    <t>2025-05-05 04:28:00,429861275.585614,0,0,0,0,0,0,0</t>
  </si>
  <si>
    <t>2025-05-05 04:28:00,850391339.020087,0,0,0,0,0,0,0</t>
  </si>
  <si>
    <t>2025-05-05 04:28:00,251984296.416848,737734.713947516,1017.16666666667,15,20201.0416666666,227.89,0.0159154147315326,3.58</t>
  </si>
  <si>
    <t>2025-05-05 04:28:00,13552642.7617665,0,0,0,0,0,0,0</t>
  </si>
  <si>
    <t>2025-05-05 04:29:00,575,,,,575,,,,,,,,</t>
  </si>
  <si>
    <t>2025-05-05 04:29:00,490,,,,490,,,,,,,,</t>
  </si>
  <si>
    <t>2025-05-05 04:29:00,5700,,,5540,5600,,5677.5,,,,,5700,5540</t>
  </si>
  <si>
    <t>2025-05-05 04:29:00,20000,,,,20000,,,,,,,,</t>
  </si>
  <si>
    <t>2025-05-05 04:29:00,482279915.752388,0,0,0,0,0,0,0</t>
  </si>
  <si>
    <t>2025-05-05 04:29:00,873902607.375255,0,0,0,0,0,0,0</t>
  </si>
  <si>
    <t>2025-05-05 04:29:00,249136590.801545,976022.19112372,2861.75,48,31346.3565,353.98,-0.0752976851052102,7.05</t>
  </si>
  <si>
    <t>2025-05-05 04:29:00,13561150.3552977,0,0,0,0,0,0,0</t>
  </si>
  <si>
    <t>2025-05-05 04:30:00,575,,,,575,,,,,,,,</t>
  </si>
  <si>
    <t>2025-05-05 04:30:00,490,,,,490,,,,,,,,</t>
  </si>
  <si>
    <t>2025-05-05 04:30:00,5700,,,5540,5600,,5677.5,,,,,5700,5540</t>
  </si>
  <si>
    <t>2025-05-05 04:30:00,20000,,,,20000,,,,,,,,</t>
  </si>
  <si>
    <t>2025-05-05 04:30:00,489513937.706076,0,0,0,0,0,0,0</t>
  </si>
  <si>
    <t>2025-05-05 04:30:00,875500223.806236,0,0,0,0,0,0,0</t>
  </si>
  <si>
    <t>2025-05-05 04:30:00,248738418.766038,999448.101649267,583.883333333332,5,17977.0398333333,159.77,0.018076542708273,3.58</t>
  </si>
  <si>
    <t>2025-05-05 04:30:00,13559453.0125345,0,0,0,0,0,0,0</t>
  </si>
  <si>
    <t>2025-05-05 04:31:00,575,,,,575,,,,,,,,</t>
  </si>
  <si>
    <t>2025-05-05 04:31:00,490,,,,490,,,,,,,,</t>
  </si>
  <si>
    <t>2025-05-05 04:31:00,5700,,,5540,5600,,5677.5,,,,,5700,5540</t>
  </si>
  <si>
    <t>2025-05-05 04:31:00,20000,,,,20000,,,,,,,,</t>
  </si>
  <si>
    <t>2025-05-05 04:31:00,500113144.510501,0,0,0,0,0,0,0</t>
  </si>
  <si>
    <t>2025-05-05 04:31:00,880860577.32319,0,0,0,0,0,0,0</t>
  </si>
  <si>
    <t>2025-05-05 04:31:00,248382345.701118,1151053.68543357,9930.05000000002,78,147289.006166667,1205.31,0.0956346306912561,19.14</t>
  </si>
  <si>
    <t>2025-05-05 04:31:00,13557542.2949033,0,0,0,0,0,0,0</t>
  </si>
  <si>
    <t>2025-05-05 04:32:00,575,,,,575,,,,,,,,</t>
  </si>
  <si>
    <t>2025-05-05 04:32:00,490,,,,490,,,,,,,,</t>
  </si>
  <si>
    <t>2025-05-05 04:32:00,5600,,5700,,5600,,5652.5,,,,,5700,5540</t>
  </si>
  <si>
    <t>2025-05-05 04:32:00,20000,,,,20000,,,,,,,,</t>
  </si>
  <si>
    <t>2025-05-05 04:32:00,580178524.665267,0,0,0,0,0,0,0</t>
  </si>
  <si>
    <t>2025-05-05 04:32:00,910752789.115733,0,0,0,0,0,0,0</t>
  </si>
  <si>
    <t>2025-05-05 04:32:00,260071774.253624,1649294.94031548,3086.03333333333,36,50793.0306666667,597.45,0.0296348947934279,11.01</t>
  </si>
  <si>
    <t>2025-05-05 04:32:00,13553926.8953125,0,0,0,0,0,0,0</t>
  </si>
  <si>
    <t>2025-05-05 04:33:00,575,,,,575,,,,,,,,</t>
  </si>
  <si>
    <t>2025-05-05 04:33:00,490,,,,490,,,,,,,,</t>
  </si>
  <si>
    <t>2025-05-05 04:33:00,5600,,5700,,5600,,5652.5,,,,,5700,5540</t>
  </si>
  <si>
    <t>2025-05-05 04:33:00,20000,,,,20000,,,,,,,,</t>
  </si>
  <si>
    <t>2025-05-05 04:33:00,535329544.787628,0,0,0,0,0,0,0</t>
  </si>
  <si>
    <t>2025-05-05 04:33:00,887959529.226557,0,0,0,0,0,0,0</t>
  </si>
  <si>
    <t>2025-05-05 04:33:00,260027785.044002,1386969.16333959,2135.05,29,58965.1194999999,671.52,0.0614566665513927,12.88</t>
  </si>
  <si>
    <t>2025-05-05 04:33:00,13556155.1142899,0,0,0,0,0,0,0</t>
  </si>
  <si>
    <t>2025-05-05 04:34:00,575,,,,575,,,,,,,,</t>
  </si>
  <si>
    <t>2025-05-05 04:34:00,490,,,,490,,,,,,,,</t>
  </si>
  <si>
    <t>2025-05-05 04:34:00,5700,,,5540,5600,,5677.5,,,,,5700,5540</t>
  </si>
  <si>
    <t>2025-05-05 04:34:00,20000,,,,20000,,,,,,,,</t>
  </si>
  <si>
    <t>2025-05-05 04:34:00,496594293.372246,0,0,0,0,0,0,0</t>
  </si>
  <si>
    <t>2025-05-05 04:34:00,870306195.998153,0,0,0,0,0,0,0</t>
  </si>
  <si>
    <t>2025-05-05 04:34:00,248667111.115868,1097244.69482857,3649.99999999999,32,94973.2313333331,744.98,0.0871528715992586,13.47</t>
  </si>
  <si>
    <t>2025-05-05 04:34:00,13552607.5467827,0,0,0,0,0,0,0</t>
  </si>
  <si>
    <t>2025-05-05 04:35:00,575,,,,575,,,,,,,,</t>
  </si>
  <si>
    <t>2025-05-05 04:35:00,490,,,,490,,,,,,,,</t>
  </si>
  <si>
    <t>2025-05-05 04:35:00,5700,,,5540,5600,,5677.5,,,,,5700,5540</t>
  </si>
  <si>
    <t>2025-05-05 04:35:00,20000,,,,20000,,,,,,,,</t>
  </si>
  <si>
    <t>2025-05-05 04:35:00,489414128.496277,0,0,0,0,0,0,0</t>
  </si>
  <si>
    <t>2025-05-05 04:35:00,863129048.125342,0,0,0,0,0,0,0</t>
  </si>
  <si>
    <t>2025-05-05 04:35:00,249465125.371413,1054229.2783824,1169.43333333333,16,18520.8175,219.84,0.00282416553554367,3.67</t>
  </si>
  <si>
    <t>2025-05-05 04:35:00,13558051.5142249,0,0,0,0,0,0,0</t>
  </si>
  <si>
    <t>2025-05-05 04:36:00,575,,,,575,,,,,,,,</t>
  </si>
  <si>
    <t>2025-05-05 04:36:00,490,,,,490,,,,,,,,</t>
  </si>
  <si>
    <t>2025-05-05 04:36:00,5700,,,5540,5600,,5677.5,,,,,5700,5540</t>
  </si>
  <si>
    <t>2025-05-05 04:36:00,20000,,,,20000,,,,,,,,</t>
  </si>
  <si>
    <t>2025-05-05 04:36:00,489452778.645647,0,0,0,0,0,0,0</t>
  </si>
  <si>
    <t>2025-05-05 04:36:00,855846864.467508,0,0,0,0,0,0,0</t>
  </si>
  <si>
    <t>2025-05-05 04:36:00,249953031.687076,1054093.56033467,1096.45,30,13291.6426666667,332.33,-0.0852643135356024,8.97</t>
  </si>
  <si>
    <t>2025-05-05 04:36:00,13557015.0691255,0,0,0,0,0,0,0</t>
  </si>
  <si>
    <t>2025-05-05 04:37:00,575,,,,575,,,,,,,,</t>
  </si>
  <si>
    <t>2025-05-05 04:37:00,490,,,,490,,,,,,,,</t>
  </si>
  <si>
    <t>2025-05-05 04:37:00,5700,,,5540,5600,,5677.5,,,,,5700,5540</t>
  </si>
  <si>
    <t>2025-05-05 04:37:00,20000,,,,20000,,,,,,,,</t>
  </si>
  <si>
    <t>2025-05-05 04:37:00,443064073.694699,0,0,0,0,0,0,0</t>
  </si>
  <si>
    <t>2025-05-05 04:37:00,834991438.612351,0,0,0,0,0,0,0</t>
  </si>
  <si>
    <t>2025-05-05 04:37:00,251240471.367136,827156.421131247,2996.16818181819,49,73023.0832575759,759.35,-0.0513530305090618,17.78</t>
  </si>
  <si>
    <t>2025-05-05 04:37:00,13552886.2319873,0,0,0,0,0,0,0</t>
  </si>
  <si>
    <t>2025-05-05 04:38:00,575,,,,575,,,,,,,,</t>
  </si>
  <si>
    <t>2025-05-05 04:38:00,490,,,,490,,,,,,,,</t>
  </si>
  <si>
    <t>2025-05-05 04:38:00,5700,,,5540,5600,,5677.5,,,,,5700,5540</t>
  </si>
  <si>
    <t>2025-05-05 04:38:00,20000,,,,20000,,,,,,,,</t>
  </si>
  <si>
    <t>2025-05-05 04:38:00,422369283.416676,0,0,0,0,0,0,0</t>
  </si>
  <si>
    <t>2025-05-05 04:38:00,840620178.363173,0,0,0,0,0,0,0</t>
  </si>
  <si>
    <t>2025-05-05 04:38:00,253940588.705765,674671.758587157,4960.6,81,67124.0386666666,827.27,-0.0520604553072066,14.08</t>
  </si>
  <si>
    <t>2025-05-05 04:38:00,13548686.1815606,0,0,0,0,0,0,0</t>
  </si>
  <si>
    <t>2025-05-05 04:39:00,575,,,,575,,,,,,,,</t>
  </si>
  <si>
    <t>2025-05-05 04:39:00,490,,,,490,,,,,,,,</t>
  </si>
  <si>
    <t>2025-05-05 04:39:00,5700,,,5540,5600,,5677.5,,,,,5700,5540</t>
  </si>
  <si>
    <t>2025-05-05 04:39:00,20000,,,,20000,,,,,,,,</t>
  </si>
  <si>
    <t>2025-05-05 04:39:00,467981021.453059,0,0,0,0,0,0,0</t>
  </si>
  <si>
    <t>2025-05-05 04:39:00,850325666.929371,0,0,0,0,0,0,0</t>
  </si>
  <si>
    <t>2025-05-05 04:39:00,250699942.518788,934862.912557587,1304.78333333333,50,51652.0185,620.67,-0.0569386849474752,11.24</t>
  </si>
  <si>
    <t>2025-05-05 04:39:00,13551063.2626204,0,0,0,0,0,0,0</t>
  </si>
  <si>
    <t>2025-05-05 04:40:00,575,,,,575,,,,,,,,</t>
  </si>
  <si>
    <t>2025-05-05 04:40:00,490,,,,490,,,,,,,,</t>
  </si>
  <si>
    <t>2025-05-05 04:40:00,5700,,,5540,5600,,5677.5,,,,,5700,5540</t>
  </si>
  <si>
    <t>2025-05-05 04:40:00,20000,,,,20000,,,,,,,,</t>
  </si>
  <si>
    <t>2025-05-05 04:40:00,467976496.771207,0,0,0,0,0,0,0</t>
  </si>
  <si>
    <t>2025-05-05 04:40:00,855832903.98164,0,0,0,0,0,0,0</t>
  </si>
  <si>
    <t>2025-05-05 04:40:00,251200645.65343,926648.908370726,1257.76666666666,14,37602.9239999999,335.17,0.0227323470341055,7.31</t>
  </si>
  <si>
    <t>2025-05-05 04:40:00,13555932.2564866,0,0,0,0,0,0,0</t>
  </si>
  <si>
    <t>2025-05-05 04:41:00,575,,,,575,,,,,,,,</t>
  </si>
  <si>
    <t>2025-05-05 04:41:00,490,,,,490,,,,,,,,</t>
  </si>
  <si>
    <t>2025-05-05 04:41:00,5700,,,5540,5600,,5677.5,,,,,5700,5540</t>
  </si>
  <si>
    <t>2025-05-05 04:41:00,20000,,,,20000,,,,,,,,</t>
  </si>
  <si>
    <t>2025-05-05 04:41:00,444832678.611577,0,0,0,0,0,0,0</t>
  </si>
  <si>
    <t>2025-05-05 04:41:00,832274580.606703,0,0,0,0,0,0,0</t>
  </si>
  <si>
    <t>2025-05-05 04:41:00,253418923.714719,624724.57075671,5607.04999999999,89,160076.069333332,1599.36,-0.0599609146422591,27.66</t>
  </si>
  <si>
    <t>2025-05-05 04:41:00,13548187.9874008,0,0,0,0,0,0,0</t>
  </si>
  <si>
    <t>2025-05-05 04:42:00,575,,,,575,,,,,,,,</t>
  </si>
  <si>
    <t>2025-05-05 04:42:00,490,,,,490,,,,,,,,</t>
  </si>
  <si>
    <t>2025-05-05 04:42:00,5700,,,5540,5600,,5677.5,,,,,5700,5540</t>
  </si>
  <si>
    <t>2025-05-05 04:42:00,20000,,,,20000,,,,,,,,</t>
  </si>
  <si>
    <t>2025-05-05 04:42:00,436247195.365991,0,0,0,0,0,0,0</t>
  </si>
  <si>
    <t>2025-05-05 04:42:00,852232018.800716,0,0,0,0,0,0,0</t>
  </si>
  <si>
    <t>2025-05-05 04:42:00,252545892.326187,790004.676546913,632.733333333334,16,10335.0206666667,138.98,-0.0241686052051093,3.07</t>
  </si>
  <si>
    <t>2025-05-05 04:42:00,13547140.2438355,0,0,0,0,0,0,0</t>
  </si>
  <si>
    <t>2025-05-05 04:43:00,575,,,,575,,,,,,,,</t>
  </si>
  <si>
    <t>2025-05-05 04:43:00,490,,,,490,,,,,,,,</t>
  </si>
  <si>
    <t>2025-05-05 04:43:00,5700,,,5540,5600,,5677.5,,,,,5700,5540</t>
  </si>
  <si>
    <t>2025-05-05 04:43:00,20000,,,,20000,,,,,,,,</t>
  </si>
  <si>
    <t>2025-05-05 04:43:00,436233235.994682,0,0,0,0,0,0,0</t>
  </si>
  <si>
    <t>2025-05-05 04:43:00,854072294.094429,0,0,0,0,0,0,0</t>
  </si>
  <si>
    <t>2025-05-05 04:43:00,251568700.596622,956425.983425697,2622.00000000001,44,78406.8936666672,879.69,-0.0158917841893226,18.26</t>
  </si>
  <si>
    <t>2025-05-05 04:43:00,13544980.0464464,0,0,0,0,0,0,0</t>
  </si>
  <si>
    <t>2025-05-05 04:44:00,575,,,,575,,,,,,,,</t>
  </si>
  <si>
    <t>2025-05-05 04:44:00,490,,,,490,,,,,,,,</t>
  </si>
  <si>
    <t>2025-05-05 04:44:00,5700,,,5540,5600,,5677.5,,,,,5700,5540</t>
  </si>
  <si>
    <t>2025-05-05 04:44:00,20000,,,,20000,,,,,,,,</t>
  </si>
  <si>
    <t>2025-05-05 04:44:00,451820831.66909,0,0,0,0,0,0,0</t>
  </si>
  <si>
    <t>2025-05-05 04:44:00,850432686.578284,0,0,0,0,0,0,0</t>
  </si>
  <si>
    <t>2025-05-05 04:44:00,253112580.720861,830041.24122308,1043.7,18,16157.894,193.59,-0.00663353918431581,3.94</t>
  </si>
  <si>
    <t>2025-05-05 04:44:00,13540624.0055377,0,0,0,0,0,0,0</t>
  </si>
  <si>
    <t>2025-05-05 04:45:00,575,,,,575,,,,,,,,</t>
  </si>
  <si>
    <t>2025-05-05 04:45:00,490,,,,490,,,,,,,,</t>
  </si>
  <si>
    <t>2025-05-05 04:45:00,5700,,,5540,5600,,5677.5,,,,,5700,5540</t>
  </si>
  <si>
    <t>2025-05-05 04:45:00,20000,,,,20000,,,,,,,,</t>
  </si>
  <si>
    <t>2025-05-05 04:45:00,460835030.403317,0,0,0,0,0,0,0</t>
  </si>
  <si>
    <t>2025-05-05 04:45:00,872270706.119027,0,0,0,0,0,0,0</t>
  </si>
  <si>
    <t>2025-05-05 04:45:00,249866624.023172,1128103.77269517,1372.20000000001,18,53372.6220000005,551.31,0.058299786949687,10.93</t>
  </si>
  <si>
    <t>2025-05-05 04:45:00,13549337.6758862,0,0,0,0,0,0,0</t>
  </si>
  <si>
    <t>2025-05-05 04:46:00,575,,,,575,,,,,,,,</t>
  </si>
  <si>
    <t>2025-05-05 04:46:00,490,,,,490,,,,,,,,</t>
  </si>
  <si>
    <t>2025-05-05 04:46:00,5700,,,5540,5600,,5677.5,,,,,5700,5540</t>
  </si>
  <si>
    <t>2025-05-05 04:46:00,20000,,,,20000,,,,,,,,</t>
  </si>
  <si>
    <t>2025-05-05 04:46:00,478612313.526829,0,0,0,0,0,0,0</t>
  </si>
  <si>
    <t>2025-05-05 04:46:00,877189808.732933,0,0,0,0,0,0,0</t>
  </si>
  <si>
    <t>2025-05-05 04:46:00,249997283.01752,1201919.24624915,1361.01666666667,21,36465.9095,354.58,0.0116899464026673,7.83</t>
  </si>
  <si>
    <t>2025-05-05 04:46:00,13548243.1187796,0,0,0,0,0,0,0</t>
  </si>
  <si>
    <t>2025-05-05 04:47:00,575,,,,575,,,,,,,,</t>
  </si>
  <si>
    <t>2025-05-05 04:47:00,490,,,,490,,,,,,,,</t>
  </si>
  <si>
    <t>2025-05-05 04:47:00,5700,,,5540,5600,,5677.5,,,,,5700,5540</t>
  </si>
  <si>
    <t>2025-05-05 04:47:00,20000,,,,20000,,,,,,,,</t>
  </si>
  <si>
    <t>2025-05-05 04:47:00,450095648.632296,0,0,0,0,0,0,0</t>
  </si>
  <si>
    <t>2025-05-05 04:47:00,854043047.096193,0,0,0,0,0,0,0</t>
  </si>
  <si>
    <t>2025-05-05 04:47:00,251213983.954754,1024490.38957791,1907.14999999999,42,29978.1174999999,533.24,-0.0641562984407761,11.54</t>
  </si>
  <si>
    <t>2025-05-05 04:47:00,13547151.3044433,0,0,0,0,0,0,0</t>
  </si>
  <si>
    <t>2025-05-05 04:48:00,575,,,,575,,,,,,,,</t>
  </si>
  <si>
    <t>2025-05-05 04:48:00,490,,,,490,,,,,,,,</t>
  </si>
  <si>
    <t>2025-05-05 04:48:00,5700,,,5540,5600,,5677.5,,,,,5700,5540</t>
  </si>
  <si>
    <t>2025-05-05 04:48:00,20000,,,,20000,,,,,,,,</t>
  </si>
  <si>
    <t>2025-05-05 04:48:00,475015049.558646,0,0,0,0,0,0,0</t>
  </si>
  <si>
    <t>2025-05-05 04:48:00,859530573.760951,0,0,0,0,0,0,0</t>
  </si>
  <si>
    <t>2025-05-05 04:48:00,249971142.756345,1141884.59206474,947.999999999999,19,18425.6103333333,262.83,0.00622581729661743,4.3</t>
  </si>
  <si>
    <t>2025-05-05 04:48:00,13545727.471018,0,0,0,0,0,0,0</t>
  </si>
  <si>
    <t>2025-05-05 04:49:00,575,,,,575,,,,,,,,</t>
  </si>
  <si>
    <t>2025-05-05 04:49:00,490,,,,490,,,,,,,,</t>
  </si>
  <si>
    <t>2025-05-05 04:49:00,5600,,5700,,5600,,5652.5,,,,,5700,5540</t>
  </si>
  <si>
    <t>2025-05-05 04:49:00,20000,,,,20000,,,,,,,,</t>
  </si>
  <si>
    <t>2025-05-05 04:49:00,514140585.148415,0,0,0,0,0,0,0</t>
  </si>
  <si>
    <t>2025-05-05 04:49:00,893222474.985258,0,0,0,0,0,0,0</t>
  </si>
  <si>
    <t>2025-05-05 04:49:00,260892465.902571,1596876.78491033,1233.03958333333,56,23337.4788541666,430.34,-0.0903068347009551,9.29</t>
  </si>
  <si>
    <t>2025-05-05 04:49:00,13544891.2329681,0,0,0,0,0,0,0</t>
  </si>
  <si>
    <t>2025-05-05 04:50:00,575,,,,575,,,,,,,,</t>
  </si>
  <si>
    <t>2025-05-05 04:50:00,490,,,,490,,,,,,,,</t>
  </si>
  <si>
    <t>2025-05-05 04:50:00,5600,,5700,,5600,,5652.5,,,,,5700,5540</t>
  </si>
  <si>
    <t>2025-05-05 04:50:00,20000,,,,20000,,,,,,,,</t>
  </si>
  <si>
    <t>2025-05-05 04:50:00,540389805.530468,0,0,0,0,0,0,0</t>
  </si>
  <si>
    <t>2025-05-05 04:50:00,900310682.864069,0,0,0,0,0,0,0</t>
  </si>
  <si>
    <t>2025-05-05 04:50:00,261722648.123178,1659067.84981355,538.070833333333,11,8695.98475,155.28,-0.00750491766890802,2.98</t>
  </si>
  <si>
    <t>2025-05-05 04:50:00,13544554.354076,0,0,0,0,0,0,0</t>
  </si>
  <si>
    <t>2025-05-05 04:51:00,575,,,,575,,,,,,,,</t>
  </si>
  <si>
    <t>2025-05-05 04:51:00,490,,,,490,,,,,,,,</t>
  </si>
  <si>
    <t>2025-05-05 04:51:00,5600,,5700,,5600,,5650,,,,,5700,5540</t>
  </si>
  <si>
    <t>2025-05-05 04:51:00,20000,,,,20000,,,,,,,,</t>
  </si>
  <si>
    <t>2025-05-05 04:51:00,540397984.065215,0,0,0,0,0,0,0</t>
  </si>
  <si>
    <t>2025-05-05 04:51:00,903856092.232395,0,0,0,0,0,0,0</t>
  </si>
  <si>
    <t>2025-05-05 04:51:00,259521001.84324,2237309.12792225,26959.8111807732,448,1599021.68396133,36824.88,1.92935148210126,409.34</t>
  </si>
  <si>
    <t>2025-05-05 04:51:00,13549631.2972999,0,0,0,0,0,0,0</t>
  </si>
  <si>
    <t>2025-05-05 04:52:00,575,,,,575,,,,,,,,</t>
  </si>
  <si>
    <t>2025-05-05 04:52:00,490,,,,490,,,,,,,,</t>
  </si>
  <si>
    <t>2025-05-05 04:52:00,5700,,,5540,5600,,5677.5,,,,,5700,5540</t>
  </si>
  <si>
    <t>2025-05-05 04:52:00,20000,,,,20000,,,,,,,,</t>
  </si>
  <si>
    <t>2025-05-05 04:52:00,503645766.056328,0,0,0,0,0,0,0</t>
  </si>
  <si>
    <t>2025-05-05 04:52:00,882586978.658768,0,0,0,0,0,0,0</t>
  </si>
  <si>
    <t>2025-05-05 04:52:00,248360756.730604,1826044.57655741,2014.2,31,79170.4720000002,784,0.0448245196860363,15.63</t>
  </si>
  <si>
    <t>2025-05-05 04:52:00,13548377.5646194,0,0,0,0,0,0,0</t>
  </si>
  <si>
    <t>2025-05-05 04:53:00,575,,,,575,,,,,,,,</t>
  </si>
  <si>
    <t>2025-05-05 04:53:00,490,,,,490,,,,,,,,</t>
  </si>
  <si>
    <t>2025-05-05 04:53:00,5700,,5700,,5600,,5650,,,,,5700,5540</t>
  </si>
  <si>
    <t>2025-05-05 04:53:00,20000,,,,20000,,,,,,,,</t>
  </si>
  <si>
    <t>2025-05-05 04:53:00,531709585.011296,0,0,0,0,0,0,0</t>
  </si>
  <si>
    <t>2025-05-05 04:53:00,902027593.222538,0,0,0,0,0,0,0</t>
  </si>
  <si>
    <t>2025-05-05 04:53:00,246500787.755594,2012598.85416049,208.883333333333,3,2488.44883333333,42.98,0.00147577189054361,0.76</t>
  </si>
  <si>
    <t>2025-05-05 04:53:00,13544252.0785982,0,0,0,0,0,0,0</t>
  </si>
  <si>
    <t>2025-05-05 04:54:00,575,,,,575,,,,,,,,</t>
  </si>
  <si>
    <t>2025-05-05 04:54:00,490,,,,490,,,,,,,,</t>
  </si>
  <si>
    <t>2025-05-05 04:54:00,5700,,5700,,5600,,5677.5,,,,,5700,5540</t>
  </si>
  <si>
    <t>2025-05-05 04:54:00,20000,,,,20000,,,,,,,,</t>
  </si>
  <si>
    <t>2025-05-05 04:54:00,521217651.535087,0,0,0,0,0,0,0</t>
  </si>
  <si>
    <t>2025-05-05 04:54:00,891507700.762198,0,0,0,0,0,0,0</t>
  </si>
  <si>
    <t>2025-05-05 04:54:00,246968796.036944,1966563.26031113,1039.5,22,29560.9383333333,396.92,-0.00629779068614969,9.11</t>
  </si>
  <si>
    <t>2025-05-05 04:54:00,13543810.0573077,0,0,0,0,0,0,0</t>
  </si>
  <si>
    <t>2025-05-05 04:55:00,575,,,,575,,,,,,,,</t>
  </si>
  <si>
    <t>2025-05-05 04:55:00,490,,,,490,,,,,,,,</t>
  </si>
  <si>
    <t>2025-05-05 04:55:00,5700,,,5540,5600,,5677.5,,,,,5700,5540</t>
  </si>
  <si>
    <t>2025-05-05 04:55:00,20000,,,,20000,,,,,,,,</t>
  </si>
  <si>
    <t>2025-05-05 04:55:00,471367928.614678,0,0,0,0,0,0,0</t>
  </si>
  <si>
    <t>2025-05-05 04:55:00,857690144.694572,0,0,0,0,0,0,0</t>
  </si>
  <si>
    <t>2025-05-05 04:55:00,250733133.577113,1554128.85445003,386.499999999998,7,10757.5499999999,103.75,0.002025890321355,1.9</t>
  </si>
  <si>
    <t>2025-05-05 04:55:00,13542266.6509387,0,0,0,0,0,0,0</t>
  </si>
  <si>
    <t>2025-05-05 04:56:00,575,,,,575,,,,,,,,</t>
  </si>
  <si>
    <t>2025-05-05 04:56:00,490,,,,490,,,,,,,,</t>
  </si>
  <si>
    <t>2025-05-05 04:56:00,5700,,,5540,5600,,5677.5,,,,,5700,5540</t>
  </si>
  <si>
    <t>2025-05-05 04:56:00,20000,,,,20000,,,,,,,,</t>
  </si>
  <si>
    <t>2025-05-05 04:56:00,482181005.42592,0,0,0,0,0,0,0</t>
  </si>
  <si>
    <t>2025-05-05 04:56:00,868626302.05635,0,0,0,0,0,0,0</t>
  </si>
  <si>
    <t>2025-05-05 04:56:00,248303909.195425,1672437.44570528,485.033333333334,14,6341.40933333334,118.99,-0.018666528928426,2.39</t>
  </si>
  <si>
    <t>2025-05-05 04:56:00,13548716.5243814,0,0,0,0,0,0,0</t>
  </si>
  <si>
    <t>2025-05-05 04:57:00,575,,,,575,,,,,,,,</t>
  </si>
  <si>
    <t>2025-05-05 04:57:00,490,,,,490,,,,,,,,</t>
  </si>
  <si>
    <t>2025-05-05 04:57:00,5700,,,5540,5600,,5677.5,,,,,5700,5540</t>
  </si>
  <si>
    <t>2025-05-05 04:57:00,20000,,,,20000,,,,,,,,</t>
  </si>
  <si>
    <t>2025-05-05 04:57:00,478632638.89844,0,0,0,0,0,0,0</t>
  </si>
  <si>
    <t>2025-05-05 04:57:00,872166612.815564,0,0,0,0,0,0,0</t>
  </si>
  <si>
    <t>2025-05-05 04:57:00,249761053.250047,1587786.52904077,457.933333333333,7,9729.90866666665,120.62,0.0158095003301047,2.67</t>
  </si>
  <si>
    <t>2025-05-05 04:57:00,13544197.0641899,0,0,0,0,0,0,0</t>
  </si>
  <si>
    <t>2025-05-05 04:58:00,575,,,,575,,,,,,,,</t>
  </si>
  <si>
    <t>2025-05-05 04:58:00,490,,,,490,,,,,,,,</t>
  </si>
  <si>
    <t>2025-05-05 04:58:00,5700,,,5540,5600,,5677.5,,,,,5700,5540</t>
  </si>
  <si>
    <t>2025-05-05 04:58:00,20000,,,,20000,,,,,,,,</t>
  </si>
  <si>
    <t>2025-05-05 04:58:00,464187853.219564,0,0,0,0,0,0,0</t>
  </si>
  <si>
    <t>2025-05-05 04:58:00,859527074.458813,0,0,0,0,0,0,0</t>
  </si>
  <si>
    <t>2025-05-05 04:58:00,250924818.244931,1542188.74635019,168.6,3,1696.986,22.16,-0.000568372046242816,0.28</t>
  </si>
  <si>
    <t>2025-05-05 04:58:00,13543552.1603386,0,0,0,0,0,0,0</t>
  </si>
  <si>
    <t>2025-05-05 04:59:00,575,,,,575,,,,,,,,</t>
  </si>
  <si>
    <t>2025-05-05 04:59:00,490,,,,490,,,,,,,,</t>
  </si>
  <si>
    <t>2025-05-05 04:59:00,5700,,,5540,5600,,5677.5,,,,,5700,5540</t>
  </si>
  <si>
    <t>2025-05-05 04:59:00,20000,,,,20000,,,,,,,,</t>
  </si>
  <si>
    <t>2025-05-05 04:59:00,453519863.275387,0,0,0,0,0,0,0</t>
  </si>
  <si>
    <t>2025-05-05 04:59:00,855837649.386489,0,0,0,0,0,0,0</t>
  </si>
  <si>
    <t>2025-05-05 04:59:00,251560635.711,1463694.60781348,499.785057471264,18,30665.1812183908,1372.97,0.0295963691208995,12.75</t>
  </si>
  <si>
    <t>2025-05-05 04:59:00,13538886.756637,0,0,0,0,0,0,0</t>
  </si>
  <si>
    <t>2025-05-05 05:00:00,575,,,,575,,,,,,,,</t>
  </si>
  <si>
    <t>2025-05-05 05:00:00,490,,,,490,,,,,,,,</t>
  </si>
  <si>
    <t>2025-05-05 05:00:00,5700,,,5540,5600,,5677.5,,,,,5700,5540</t>
  </si>
  <si>
    <t>2025-05-05 05:00:00,20000,,,,20000,,,,,,,,</t>
  </si>
  <si>
    <t>2025-05-05 05:00:00,453543397.598618,0,0,0,0,0,0,0</t>
  </si>
  <si>
    <t>2025-05-05 05:00:00,855836826.110878,0,0,0,0,0,0,0</t>
  </si>
  <si>
    <t>2025-05-05 05:00:00,251483976.806252,1483463.92916026,3497.93333333333,53,98035.1436666666,1076.92,0.0844716900398931,16.83</t>
  </si>
  <si>
    <t>2025-05-05 05:00:00,13536479.7920553,0,0,0,0,0,0,0</t>
  </si>
  <si>
    <t>2025-05-05 05:01:00,575,,,,575,,,,,,,,</t>
  </si>
  <si>
    <t>2025-05-05 05:01:00,490,,,,490,,,,,,,,</t>
  </si>
  <si>
    <t>2025-05-05 05:01:00,5700,,,5540,5600,,5677.5,,,,,5700,5540</t>
  </si>
  <si>
    <t>2025-05-05 05:01:00,20000,,,,20000,,,,,,,,</t>
  </si>
  <si>
    <t>2025-05-05 05:01:00,446417866.20205,0,0,0,0,0,0,0</t>
  </si>
  <si>
    <t>2025-05-05 05:01:00,846821836.391515,0,0,0,0,0,0,0</t>
  </si>
  <si>
    <t>2025-05-05 05:01:00,252247654.088107,1452986.15956113,1322.5,31,21758.8856666667,308.81,-0.0318241993685573,6.27</t>
  </si>
  <si>
    <t>2025-05-05 05:01:00,13536355.6306559,0,0,0,0,0,0,0</t>
  </si>
  <si>
    <t>2025-05-05 05:02:00,575,,,,575,,,,,,,,</t>
  </si>
  <si>
    <t>2025-05-05 05:02:00,490,,,,490,,,,,,,,</t>
  </si>
  <si>
    <t>2025-05-05 05:02:00,5700,,,5540,5600,,5677.5,,,,,5700,5540</t>
  </si>
  <si>
    <t>2025-05-05 05:02:00,20000,,,,20000,,,,,,,,</t>
  </si>
  <si>
    <t>2025-05-05 05:02:00,471387923.20683,0,0,0,0,0,0,0</t>
  </si>
  <si>
    <t>2025-05-05 05:02:00,861339312.41121,0,0,0,0,0,0,0</t>
  </si>
  <si>
    <t>2025-05-05 05:02:00,250663740.729026,1574033.24301504,503.850000000002,9,8295.2621666667,98.85,-0.0134831301633726,2.11</t>
  </si>
  <si>
    <t>2025-05-05 05:02:00,13541924.6825674,0,0,0,0,0,0,0</t>
  </si>
  <si>
    <t>2025-05-05 05:03:00,575,,,,575,,,,,,,,</t>
  </si>
  <si>
    <t>2025-05-05 05:03:00,490,,,,490,,,,,,,,</t>
  </si>
  <si>
    <t>2025-05-05 05:03:00,5700,,,5540,5600,,5677.5,,,,,5700,5540</t>
  </si>
  <si>
    <t>2025-05-05 05:03:00,20000,,,,20000,,,,,,,,</t>
  </si>
  <si>
    <t>2025-05-05 05:03:00,482243938.660827,0,0,0,0,0,0,0</t>
  </si>
  <si>
    <t>2025-05-05 05:03:00,870373155.308138,0,0,0,0,0,0,0</t>
  </si>
  <si>
    <t>2025-05-05 05:03:00,249224361.055432,1683856.60124557,1302.26666666666,29,32972.5606666666,398.79,-0.0141529135444245,8.97</t>
  </si>
  <si>
    <t>2025-05-05 05:03:00,13540463.854894,0,0,0,0,0,0,0</t>
  </si>
  <si>
    <t>2025-05-05 05:04:00,575,,,,575,,,,,,,,</t>
  </si>
  <si>
    <t>2025-05-05 05:04:00,490,,,,490,,,,,,,,</t>
  </si>
  <si>
    <t>2025-05-05 05:04:00,5700,,,5540,5600,,5677.5,,,,,5700,5540</t>
  </si>
  <si>
    <t>2025-05-05 05:04:00,20000,,,,20000,,,,,,,,</t>
  </si>
  <si>
    <t>2025-05-05 05:04:00,442981639.974065,0,0,0,0,0,0,0</t>
  </si>
  <si>
    <t>2025-05-05 05:04:00,835018718.392854,0,0,0,0,0,0,0</t>
  </si>
  <si>
    <t>2025-05-05 05:04:00,252184171.919139,1678949.73589457,866.508333333333,17,13750.3589166667,193.74,-0.00375798291826147,4.31</t>
  </si>
  <si>
    <t>2025-05-05 05:04:00,13539183.7972411,0,0,0,0,0,0,0</t>
  </si>
  <si>
    <t>2025-05-05 05:05:00,575,,,,575,,,,,,,,</t>
  </si>
  <si>
    <t>2025-05-05 05:05:00,490,,,,490,,,,,,,,</t>
  </si>
  <si>
    <t>2025-05-05 05:05:00,5700,,,5540,5600,,5677.5,,,,,5700,5540</t>
  </si>
  <si>
    <t>2025-05-05 05:05:00,20000,,,,20000,,,,,,,,</t>
  </si>
  <si>
    <t>2025-05-05 05:05:00,422674678.320407,0,0,0,0,0,0,0</t>
  </si>
  <si>
    <t>2025-05-05 05:05:00,835529102.380986,0,0,0,0,0,0,0</t>
  </si>
  <si>
    <t>2025-05-05 05:05:00,253332404.096943,1553947.37860442,3814.70555555554,78,92903.3904999998,1071.54,-0.0917661871302581,21.6</t>
  </si>
  <si>
    <t>2025-05-05 05:05:00,13536708.3163985,0,0,0,0,0,0,0</t>
  </si>
  <si>
    <t>2025-05-05 05:06:00,575,,,,575,,,,,,,,</t>
  </si>
  <si>
    <t>2025-05-05 05:06:00,490,,,,490,,,,,,,,</t>
  </si>
  <si>
    <t>2025-05-05 05:06:00,5700,,,5540,5600,,5677.5,,,,,5700,5540</t>
  </si>
  <si>
    <t>2025-05-05 05:06:00,20000,,,,20000,,,,,,,,</t>
  </si>
  <si>
    <t>2025-05-05 05:06:00,429800936.056787,0,0,0,0,0,0,0</t>
  </si>
  <si>
    <t>2025-05-05 05:06:00,842024433.642158,0,0,0,0,0,0,0</t>
  </si>
  <si>
    <t>2025-05-05 05:06:00,252091308.276315,1614344.67353044,1916.95,51,53337.0985000001,701.03,-0.0544442576941219,14.37</t>
  </si>
  <si>
    <t>2025-05-05 05:06:00,13536295.5718654,0,0,0,0,0,0,0</t>
  </si>
  <si>
    <t>2025-05-05 05:07:00,575,,,,575,,,,,,,,</t>
  </si>
  <si>
    <t>2025-05-05 05:07:00,490,,,,490,,,,,,,,</t>
  </si>
  <si>
    <t>2025-05-05 05:07:00,5700,,,5540,5600,,5677.5,,,,,5700,5540</t>
  </si>
  <si>
    <t>2025-05-05 05:07:00,20000,,,,20000,,,,,,,,</t>
  </si>
  <si>
    <t>2025-05-05 05:07:00,449885049.718969,0,0,0,0,0,0,0</t>
  </si>
  <si>
    <t>2025-05-05 05:07:00,836563497.030695,0,0,0,0,0,0,0</t>
  </si>
  <si>
    <t>2025-05-05 05:07:00,251893142.898587,1701133.19183275,2332.96666666667,48,121672.536166667,1237.51,-0.0137919803147557,20.47</t>
  </si>
  <si>
    <t>2025-05-05 05:07:00,13543446.4318578,0,0,0,0,0,0,0</t>
  </si>
  <si>
    <t>2025-05-05 05:08:00,575,,,,575,,,,,,,,</t>
  </si>
  <si>
    <t>2025-05-05 05:08:00,490,,,,490,,,,,,,,</t>
  </si>
  <si>
    <t>2025-05-05 05:08:00,5700,,,5540,5600,,5677.5,,,,,5700,5540</t>
  </si>
  <si>
    <t>2025-05-05 05:08:00,20000,,,,20000,,,,,,,,</t>
  </si>
  <si>
    <t>2025-05-05 05:08:00,460740623.146911,0,0,0,0,0,0,0</t>
  </si>
  <si>
    <t>2025-05-05 05:08:00,841568809.301503,0,0,0,0,0,0,0</t>
  </si>
  <si>
    <t>2025-05-05 05:08:00,251006383.082068,1802616.94983364,806.483333333339,13,26449.2995000001,287.29,-0.00538341536283675,6.48</t>
  </si>
  <si>
    <t>2025-05-05 05:08:00,13543257.7614513,0,0,0,0,0,0,0</t>
  </si>
  <si>
    <t>2025-05-05 05:09:00,575,,,,575,,,,,,,,</t>
  </si>
  <si>
    <t>2025-05-05 05:09:00,490,,,,490,,,,,,,,</t>
  </si>
  <si>
    <t>2025-05-05 05:09:00,5700,,,5540,5600,,5677.5,,,,,5700,5540</t>
  </si>
  <si>
    <t>2025-05-05 05:09:00,20000,,,,20000,,,,,,,,</t>
  </si>
  <si>
    <t>2025-05-05 05:09:00,485590676.311495,0,0,0,0,0,0,0</t>
  </si>
  <si>
    <t>2025-05-05 05:09:00,854075695.284407,0,0,0,0,0,0,0</t>
  </si>
  <si>
    <t>2025-05-05 05:09:00,249209476.329374,1954249.64468755,3817.78333333333,58,202128.140833333,2005.14,0.105204271935221,35.22</t>
  </si>
  <si>
    <t>2025-05-05 05:09:00,13541020.7496038,0,0,0,0,0,0,0</t>
  </si>
  <si>
    <t>2025-05-05 05:10:00,575,,,,575,,,,,,,,</t>
  </si>
  <si>
    <t>2025-05-05 05:10:00,490,,,,490,,,,,,,,</t>
  </si>
  <si>
    <t>2025-05-05 05:10:00,5700,,,5540,5600,,5677.5,,,,,5700,5540</t>
  </si>
  <si>
    <t>2025-05-05 05:10:00,20000,,,,20000,,,,,,,,</t>
  </si>
  <si>
    <t>2025-05-05 05:10:00,460693838.734378,0,0,0,0,0,0,0</t>
  </si>
  <si>
    <t>2025-05-05 05:10:00,845040855.230356,0,0,0,0,0,0,0</t>
  </si>
  <si>
    <t>2025-05-05 05:10:00,250913583.514076,1791484.74499738,1652.33333333334,21,74209.2376666673,690.14,0.0548505411045389,12.7</t>
  </si>
  <si>
    <t>2025-05-05 05:10:00,13535833.472648,0,0,0,0,0,0,0</t>
  </si>
  <si>
    <t>2025-05-05 05:11:00,575,,,,575,,,,,,,,</t>
  </si>
  <si>
    <t>2025-05-05 05:11:00,490,,,,490,,,,,,,,</t>
  </si>
  <si>
    <t>2025-05-05 05:11:00,5600,,5700,,5600,,5650,,,,,5700,5540</t>
  </si>
  <si>
    <t>2025-05-05 05:11:00,20000,,,,20000,,,,,,,,</t>
  </si>
  <si>
    <t>2025-05-05 05:11:00,543454971.789057,0,0,0,0,0,0,0</t>
  </si>
  <si>
    <t>2025-05-05 05:11:00,886122658.933024,0,0,0,0,0,0,0</t>
  </si>
  <si>
    <t>2025-05-05 05:11:00,261827706.997642,2361999.57567183,979.808585858586,46,35815.7329040404,1400.9,-0.0426868407384525,14.69</t>
  </si>
  <si>
    <t>2025-05-05 05:11:00,13538456.9232254,0,0,0,0,0,0,0</t>
  </si>
  <si>
    <t>2025-05-05 05:12:00,575,,,,575,,,,,,,,</t>
  </si>
  <si>
    <t>2025-05-05 05:12:00,490,,,,490,,,,,,,,</t>
  </si>
  <si>
    <t>2025-05-05 05:12:00,5700,,,5540,5600,,5677.5,,,,,5700,5540</t>
  </si>
  <si>
    <t>2025-05-05 05:12:00,20000,,,,20000,,,,,,,,</t>
  </si>
  <si>
    <t>2025-05-05 05:12:00,489363477.598109,0,0,0,0,0,0,0</t>
  </si>
  <si>
    <t>2025-05-05 05:12:00,852195703.650403,0,0,0,0,0,0,0</t>
  </si>
  <si>
    <t>2025-05-05 05:12:00,249259817.841226,1942141.3374737,2955.30000000001,26,113777.033,1144.86,0.119552978776026,22.41</t>
  </si>
  <si>
    <t>2025-05-05 05:12:00,13535375.9682,0,0,0,0,0,0,0</t>
  </si>
  <si>
    <t>2025-05-05 05:13:00,575,,,,575,,,,,,,,</t>
  </si>
  <si>
    <t>2025-05-05 05:13:00,490,,,,490,,,,,,,,</t>
  </si>
  <si>
    <t>2025-05-05 05:13:00,5700,,,5540,5600,,5677.5,,,,,5700,5540</t>
  </si>
  <si>
    <t>2025-05-05 05:13:00,20000,,,,20000,,,,,,,,</t>
  </si>
  <si>
    <t>2025-05-05 05:13:00,474958938.593169,0,0,0,0,0,0,0</t>
  </si>
  <si>
    <t>2025-05-05 05:13:00,848612511.297091,0,0,0,0,0,0,0</t>
  </si>
  <si>
    <t>2025-05-05 05:13:00,250295942.47708,1839459.50659685,1446.51666666666,27,59702.7028333329,804.1,0.026443287180016,14.54</t>
  </si>
  <si>
    <t>2025-05-05 05:13:00,13539571.5062224,0,0,0,0,0,0,0</t>
  </si>
  <si>
    <t>2025-05-05 05:14:00,575,,,,575,,,,,,,,</t>
  </si>
  <si>
    <t>2025-05-05 05:14:00,490,,,,490,,,,,,,,</t>
  </si>
  <si>
    <t>2025-05-05 05:14:00,5700,,,5540,5600,,5677.5,,,,,5700,5540</t>
  </si>
  <si>
    <t>2025-05-05 05:14:00,20000,,,,20000,,,,,,,,</t>
  </si>
  <si>
    <t>2025-05-05 05:14:00,460658625.907806,0,0,0,0,0,0,0</t>
  </si>
  <si>
    <t>2025-05-05 05:14:00,838162133.901289,0,0,0,0,0,0,0</t>
  </si>
  <si>
    <t>2025-05-05 05:14:00,251329881.191138,1770476.91657362,311.016666666666,6,10762.4685,114.53,0.000793946526817109,2.15</t>
  </si>
  <si>
    <t>2025-05-05 05:14:00,13537865.3799876,0,0,0,0,0,0,0</t>
  </si>
  <si>
    <t>2025-05-05 05:15:00,575,,,,575,,,,,,,,</t>
  </si>
  <si>
    <t>2025-05-05 05:15:00,490,,,,490,,,,,,,,</t>
  </si>
  <si>
    <t>2025-05-05 05:15:00,5700,,,5540,5600,,5677.5,,,,,5700,5540</t>
  </si>
  <si>
    <t>2025-05-05 05:15:00,20000,,,,20000,,,,,,,,</t>
  </si>
  <si>
    <t>2025-05-05 05:15:00,524608360.25773,0,0,0,0,0,0,0</t>
  </si>
  <si>
    <t>2025-05-05 05:15:00,868606284.668211,0,0,0,0,0,0,0</t>
  </si>
  <si>
    <t>2025-05-05 05:15:00,246652326.889913,2087772.79630818,2104.08333333332,21,133959.011333332,1303.09,0.0798454822861913,18.92</t>
  </si>
  <si>
    <t>2025-05-05 05:15:00,13537102.9407381,0,0,0,0,0,0,0</t>
  </si>
  <si>
    <t>2025-05-05 05:16:00,575,,,,575,,,,,,,,</t>
  </si>
  <si>
    <t>2025-05-05 05:16:00,490,,,,490,,,,,,,,</t>
  </si>
  <si>
    <t>2025-05-05 05:16:00,5700,,,5540,5600,,5677.5,,,,,5700,5540</t>
  </si>
  <si>
    <t>2025-05-05 05:16:00,20000,,,,20000,,,,,,,,</t>
  </si>
  <si>
    <t>2025-05-05 05:16:00,503462907.833371,0,0,0,0,0,0,0</t>
  </si>
  <si>
    <t>2025-05-05 05:16:00,861426199.483432,0,0,0,0,0,0,0</t>
  </si>
  <si>
    <t>2025-05-05 05:16:00,248910606.017034,1977421.95312011,210.05,4,2817.10116666667,49.54,-0.00383984579096117,1</t>
  </si>
  <si>
    <t>2025-05-05 05:16:00,13535380.332625,0,0,0,0,0,0,0</t>
  </si>
  <si>
    <t>2025-05-05 05:17:00,575,,,,575,,,,,,,,</t>
  </si>
  <si>
    <t>2025-05-05 05:17:00,490,,,,490,,,,,,,,</t>
  </si>
  <si>
    <t>2025-05-05 05:17:00,5700,,,5540,5600,,5677.5,,,,,5700,5540</t>
  </si>
  <si>
    <t>2025-05-05 05:17:00,20000,,,,20000,,,,,,,,</t>
  </si>
  <si>
    <t>2025-05-05 05:17:00,489307310.283188,0,0,0,0,0,0,0</t>
  </si>
  <si>
    <t>2025-05-05 05:17:00,859549665.609435,0,0,0,0,0,0,0</t>
  </si>
  <si>
    <t>2025-05-05 05:17:00,249171380.692577,1934747.76559004,213.5,5,2822.95,46.9,-0.0067956520796796,0.96</t>
  </si>
  <si>
    <t>2025-05-05 05:17:00,13534736.8889854,0,0,0,0,0,0,0</t>
  </si>
  <si>
    <t>2025-05-05 05:18:00,575,,,,575,,,,,,,,</t>
  </si>
  <si>
    <t>2025-05-05 05:18:00,490,,,,490,,,,,,,,</t>
  </si>
  <si>
    <t>2025-05-05 05:18:00,5700,,,5540,5600,,5677.5,,,,,5700,5540</t>
  </si>
  <si>
    <t>2025-05-05 05:18:00,20000,,,,20000,,,,,,,,</t>
  </si>
  <si>
    <t>2025-05-05 05:18:00,471300950.307016,0,0,0,0,0,0,0</t>
  </si>
  <si>
    <t>2025-05-05 05:18:00,846826226.051893,0,0,0,0,0,0,0</t>
  </si>
  <si>
    <t>2025-05-05 05:18:00,250612846.882943,1825172.61300716,2429.86666666666,33,125143.034333333,1176.16,0.10798331528248,20.48</t>
  </si>
  <si>
    <t>2025-05-05 05:18:00,13534492.2866528,0,0,0,0,0,0,0</t>
  </si>
  <si>
    <t>2025-05-05 05:19:00,575,,,,575,,,,,,,,</t>
  </si>
  <si>
    <t>2025-05-05 05:19:00,490,,,,490,,,,,,,,</t>
  </si>
  <si>
    <t>2025-05-05 05:19:00,5700,,,5540,5600,,5677.5,,,,,5700,5540</t>
  </si>
  <si>
    <t>2025-05-05 05:19:00,20000,,,,20000,,,,,,,,</t>
  </si>
  <si>
    <t>2025-05-05 05:19:00,467727931.401478,0,0,0,0,0,0,0</t>
  </si>
  <si>
    <t>2025-05-05 05:19:00,845047442.634991,0,0,0,0,0,0,0</t>
  </si>
  <si>
    <t>2025-05-05 05:19:00,250827992.964529,1810543.37193955,48.3999999999999,6,495.190333333332,25.08,-0.0159051780494513,0.7</t>
  </si>
  <si>
    <t>2025-05-05 05:19:00,13538484.4975933,0,0,0,0,0,0,0</t>
  </si>
  <si>
    <t>2025-05-05 05:20:00,575,,,,575,,,,,,,,</t>
  </si>
  <si>
    <t>2025-05-05 05:20:00,490,,,,490,,,,,,,,</t>
  </si>
  <si>
    <t>2025-05-05 05:20:00,5700,,,5540,5600,,5677.5,,,,,5700,5540</t>
  </si>
  <si>
    <t>2025-05-05 05:20:00,20000,,,,20000,,,,,,,,</t>
  </si>
  <si>
    <t>2025-05-05 05:20:00,440615965.05193,0,0,0,0,0,0,0</t>
  </si>
  <si>
    <t>2025-05-05 05:20:00,828715786.806894,0,0,0,0,0,0,0</t>
  </si>
  <si>
    <t>2025-05-05 05:20:00,255414104.679302,1436606.78648483,3137.2537037037,43,68453.217425926,1665.2,0.00859078556450433,17.17</t>
  </si>
  <si>
    <t>2025-05-05 05:20:00,13528010.2180319,0,0,0,0,0,0,0</t>
  </si>
  <si>
    <t>2025-05-05 05:21:00,575,,,,575,,,,,,,,</t>
  </si>
  <si>
    <t>2025-05-05 05:21:00,490,,,,490,,,,,,,,</t>
  </si>
  <si>
    <t>2025-05-05 05:21:00,5700,,,5540,5600,,5677.5,,,,,5700,5540</t>
  </si>
  <si>
    <t>2025-05-05 05:21:00,20000,,,,20000,,,,,,,,</t>
  </si>
  <si>
    <t>2025-05-05 05:21:00,426869245.022852,0,0,0,0,0,0,0</t>
  </si>
  <si>
    <t>2025-05-05 05:21:00,838625006.030519,0,0,0,0,0,0,0</t>
  </si>
  <si>
    <t>2025-05-05 05:21:00,253231005.883042,1524659.64521374,1692.85,57,31480.6775000001,432.9,-0.0706281234231627,9.8</t>
  </si>
  <si>
    <t>2025-05-05 05:21:00,13528628.6978658,0,0,0,0,0,0,0</t>
  </si>
  <si>
    <t>2025-05-05 05:22:00,575,,,,575,,,,,,,,</t>
  </si>
  <si>
    <t>2025-05-05 05:22:00,490,,,,490,,,,,,,,</t>
  </si>
  <si>
    <t>2025-05-05 05:22:00,5700,,,5540,5600,,5677.5,,,,,5700,5540</t>
  </si>
  <si>
    <t>2025-05-05 05:22:00,20000,,,,20000,,,,,,,,</t>
  </si>
  <si>
    <t>2025-05-05 05:22:00,429809313.677638,0,0,0,0,0,0,0</t>
  </si>
  <si>
    <t>2025-05-05 05:22:00,838642048.630885,0,0,0,0,0,0,0</t>
  </si>
  <si>
    <t>2025-05-05 05:22:00,253524000.805649,1573283.7802384,4140.58333333332,62,203594.090499999,1825.65,0.112497002894881,33.62</t>
  </si>
  <si>
    <t>2025-05-05 05:22:00,13526645.4679785,0,0,0,0,0,0,0</t>
  </si>
  <si>
    <t>2025-05-05 05:23:00,575,,,,575,,,,,,,,</t>
  </si>
  <si>
    <t>2025-05-05 05:23:00,490,,,,490,,,,,,,,</t>
  </si>
  <si>
    <t>2025-05-05 05:23:00,5700,,,5540,5600,,5677.5,,,,,5700,5540</t>
  </si>
  <si>
    <t>2025-05-05 05:23:00,20000,,,,20000,,,,,,,,</t>
  </si>
  <si>
    <t>2025-05-05 05:23:00,443746352.769514,0,0,0,0,0,0,0</t>
  </si>
  <si>
    <t>2025-05-05 05:23:00,830359435.308384,0,0,0,0,0,0,0</t>
  </si>
  <si>
    <t>2025-05-05 05:23:00,255030336.424312,1482894.1385144,1980.25,31,34970.1455000001,427.21,-0.0194711682131091,8.45</t>
  </si>
  <si>
    <t>2025-05-05 05:23:00,13522859.2243835,0,0,0,0,0,0,0</t>
  </si>
  <si>
    <t>2025-05-05 05:24:00,575,,,,575,,,,,,,,</t>
  </si>
  <si>
    <t>2025-05-05 05:24:00,490,,,,490,,,,,,,,</t>
  </si>
  <si>
    <t>2025-05-05 05:24:00,5700,,,5540,5600,,5677.5,,,,,5700,5540</t>
  </si>
  <si>
    <t>2025-05-05 05:24:00,20000,,,,20000,,,,,,,,</t>
  </si>
  <si>
    <t>2025-05-05 05:24:00,449934467.312539,0,0,0,0,0,0,0</t>
  </si>
  <si>
    <t>2025-05-05 05:24:00,835201816.318136,0,0,0,0,0,0,0</t>
  </si>
  <si>
    <t>2025-05-05 05:24:00,251937650.949397,1698339.62503986,1103.36,30,34300.675733333,593.27,-0.0337886451923166,7.76</t>
  </si>
  <si>
    <t>2025-05-05 05:24:00,13533596.2848878,0,0,0,0,0,0,0</t>
  </si>
  <si>
    <t>2025-05-05 05:25:00,575,,,,575,,,,,,,,</t>
  </si>
  <si>
    <t>2025-05-05 05:25:00,490,,,,490,,,,,,,,</t>
  </si>
  <si>
    <t>2025-05-05 05:25:00,5700,,,5540,5600,,5677.5,,,,,5700,5540</t>
  </si>
  <si>
    <t>2025-05-05 05:25:00,20000,,,,20000,,,,,,,,</t>
  </si>
  <si>
    <t>2025-05-05 05:25:00,510486215.597763,0,0,0,0,0,0,0</t>
  </si>
  <si>
    <t>2025-05-05 05:25:00,859530283.697988,0,0,0,0,0,0,0</t>
  </si>
  <si>
    <t>2025-05-05 05:25:00,249361671.475083,1990738.62222933,1314.24074074074,32,41179.2155185185,1484.67,0.0112200453326511,17.23</t>
  </si>
  <si>
    <t>2025-05-05 05:25:00,13534529.471021,0,0,0,0,0,0,0</t>
  </si>
  <si>
    <t>2025-05-05 05:26:00,575,,,,575,,,,,,,,</t>
  </si>
  <si>
    <t>2025-05-05 05:26:00,490,,,,490,,,,,,,,</t>
  </si>
  <si>
    <t>2025-05-05 05:26:00,5700,,,5540,5600,,5677.5,,,,,5700,5540</t>
  </si>
  <si>
    <t>2025-05-05 05:26:00,20000,,,,20000,,,,,,,,</t>
  </si>
  <si>
    <t>2025-05-05 05:26:00,433909634.247578,0,0,0,0,0,0,0</t>
  </si>
  <si>
    <t>2025-05-05 05:26:00,815582463.334202,0,0,0,0,0,0,0</t>
  </si>
  <si>
    <t>2025-05-05 05:26:00,256799267.25212,1739644.6459178,2307.75000000001,28,92652.6868333337,672.08,0.0363986422345528,13.75</t>
  </si>
  <si>
    <t>2025-05-05 05:26:00,13519873.5754723,0,0,0,0,0,0,0</t>
  </si>
  <si>
    <t>2025-05-05 05:27:00,575,,,,575,,,,,,,,</t>
  </si>
  <si>
    <t>2025-05-05 05:27:00,490,,,,490,,,,,,,,</t>
  </si>
  <si>
    <t>2025-05-05 05:27:00,5700,,,5540,5600,,5677.5,,,,,5700,5540</t>
  </si>
  <si>
    <t>2025-05-05 05:27:00,20000,,,,20000,,,,,,,,</t>
  </si>
  <si>
    <t>2025-05-05 05:27:00,433867421.706415,0,0,0,0,0,0,0</t>
  </si>
  <si>
    <t>2025-05-05 05:27:00,825496857.827171,0,0,0,0,0,0,0</t>
  </si>
  <si>
    <t>2025-05-05 05:27:00,256297619.112516,1738218.1673062,1913.83333333333,23,30216.65,318.69,-0.0023236052291315,5.85</t>
  </si>
  <si>
    <t>2025-05-05 05:27:00,13518867.5874355,0,0,0,0,0,0,0</t>
  </si>
  <si>
    <t>2025-05-05 05:28:00,575,,,,575,,,,,,,,</t>
  </si>
  <si>
    <t>2025-05-05 05:28:00,490,,,,490,,,,,,,,</t>
  </si>
  <si>
    <t>2025-05-05 05:28:00,5700,,,5540,5600,,5677.5,,,,,5700,5540</t>
  </si>
  <si>
    <t>2025-05-05 05:28:00,20000,,,,20000,,,,,,,,</t>
  </si>
  <si>
    <t>2025-05-05 05:28:00,433768128.290083,0,0,0,0,0,0,0</t>
  </si>
  <si>
    <t>2025-05-05 05:28:00,822117309.967164,0,0,0,0,0,0,0</t>
  </si>
  <si>
    <t>2025-05-05 05:28:00,256575963.596893,1772068.28555028,3570.65000000002,40,160595.498500001,1437.23,0.123705332740207,24.42</t>
  </si>
  <si>
    <t>2025-05-05 05:28:00,13516647.7080376,0,0,0,0,0,0,0</t>
  </si>
  <si>
    <t>2025-05-05 05:29:00,575,,,,575,,,,,,,,</t>
  </si>
  <si>
    <t>2025-05-05 05:29:00,490,,,,490,,,,,,,,</t>
  </si>
  <si>
    <t>2025-05-05 05:29:00,5700,,,5540,5600,,5677.5,,,,,5700,5540</t>
  </si>
  <si>
    <t>2025-05-05 05:29:00,20000,,,,20000,,,,,,,,</t>
  </si>
  <si>
    <t>2025-05-05 05:29:00,443671196.044462,0,0,0,0,0,0,0</t>
  </si>
  <si>
    <t>2025-05-05 05:29:00,820469073.097617,0,0,0,0,0,0,0</t>
  </si>
  <si>
    <t>2025-05-05 05:29:00,255676825.424047,1829511.06526315,2323.75,33,66214.3384999999,753.4,-0.0110079984687452,17.58</t>
  </si>
  <si>
    <t>2025-05-05 05:29:00,13518081.4552651,0,0,0,0,0,0,0</t>
  </si>
  <si>
    <t>2025-05-05 05:30:00,,560,,,575,,,,,,,,</t>
  </si>
  <si>
    <t>2025-05-05 05:30:00,,485,,,470,,,,,,,,</t>
  </si>
  <si>
    <t>2025-05-05 05:30:00,5700,,,5540,5600,,5677.5,,,,,5700,5540</t>
  </si>
  <si>
    <t>2025-05-05 05:30:00,,19890,,,20000,,,,,,,,</t>
  </si>
  <si>
    <t>2025-05-05 05:30:00,-1384907732.81355,0,0,0,0,0,0,0</t>
  </si>
  <si>
    <t>2025-05-05 05:30:00,-537053479.27332,0,0,0,0,0,0,0</t>
  </si>
  <si>
    <t>2025-05-05 05:30:00,260533366.498461,1801842.65218059,110.5,1,1446.445,13.2,0.000714303064690017,0.15</t>
  </si>
  <si>
    <t>2025-05-05 05:30:00,-695195.565302091,0,0,0,0,0,0,0</t>
  </si>
  <si>
    <t>2025-05-05 05:31:00,,560,,,575,,,,,,,,</t>
  </si>
  <si>
    <t>2025-05-05 05:31:00,,485,,,470,,,,,,,,</t>
  </si>
  <si>
    <t>2025-05-05 05:31:00,5700,,,5540,5600,,5677.5,,,,,5700,5540</t>
  </si>
  <si>
    <t>2025-05-05 05:31:00,,,,,20000,,,,,,,,</t>
  </si>
  <si>
    <t>2025-05-05 05:31:00,-1391428890.1028,0,0,0,0,0,0,0</t>
  </si>
  <si>
    <t>2025-05-05 05:31:00,-537154164.228824,0,0,0,0,0,0,0</t>
  </si>
  <si>
    <t>2025-05-05 05:31:00,272987034.835966,1813597.08087432,4037.40000000001,57,108941.592666667,1174.71,0.0507295558068668,20.27</t>
  </si>
  <si>
    <t>2025-05-05 05:31:00,-3575612.00084219,0,0,0,0,0,0,0</t>
  </si>
  <si>
    <t>2025-05-05 05:32:00,,560,,,575,,,,,,,,</t>
  </si>
  <si>
    <t>2025-05-05 05:32:00,,485,,,470,,,,,,,,</t>
  </si>
  <si>
    <t>2025-05-05 05:32:00,5700,,,5540,5600,,5677.5,,,,,5700,5540</t>
  </si>
  <si>
    <t>2025-05-05 05:32:00,,,,,20000,,,,,,,,</t>
  </si>
  <si>
    <t>2025-05-05 05:32:00,-1512123783.58339,0,0,0,0,0,0,0</t>
  </si>
  <si>
    <t>2025-05-05 05:32:00,-696958651.259098,0,0,0,0,0,0,0</t>
  </si>
  <si>
    <t>2025-05-05 05:32:00,273700767.951702,1552471.20195013,3184.03888888889,61,89048.2413888889,871.53,-0.0333071839031703,17.07</t>
  </si>
  <si>
    <t>2025-05-05 05:32:00,-3616663.04517405,0,0,0,0,0,0,0</t>
  </si>
  <si>
    <t>2025-05-05 05:33:00,,560,,,575,,,,,,,,</t>
  </si>
  <si>
    <t>2025-05-05 05:33:00,,485,,,470,,,,,,,,</t>
  </si>
  <si>
    <t>2025-05-05 05:33:00,5700,,,5540,5600,,5677.5,,,,,5700,5540</t>
  </si>
  <si>
    <t>2025-05-05 05:33:00,,,,,20000,,,,,,,,</t>
  </si>
  <si>
    <t>2025-05-05 05:33:00,-1478810829.32324,0,0,0,0,0,0,0</t>
  </si>
  <si>
    <t>2025-05-05 05:33:00,-667177160.97347,0,0,0,0,0,0,0</t>
  </si>
  <si>
    <t>2025-05-05 05:33:00,272493218.008563,1599005.47536835,5757.19999999999,80,142904.294999999,1439.61,0.0304794747577742,20.76</t>
  </si>
  <si>
    <t>2025-05-05 05:33:00,-3612502.53404502,0,0,0,0,0,0,0</t>
  </si>
  <si>
    <t>2025-05-05 05:34:00,,560,,,575,,,,,,,,</t>
  </si>
  <si>
    <t>2025-05-05 05:34:00,,485,,,470,,,,,,,,</t>
  </si>
  <si>
    <t>2025-05-05 05:34:00,5700,,,5540,5600,,5677.5,,,,,5700,5540</t>
  </si>
  <si>
    <t>2025-05-05 05:34:00,,,,,20000,,,,,,,,</t>
  </si>
  <si>
    <t>2025-05-05 05:34:00,-1423236000.8818,0,0,0,0,0,0,0</t>
  </si>
  <si>
    <t>2025-05-05 05:34:00,-624830988.956662,0,0,0,0,0,0,0</t>
  </si>
  <si>
    <t>2025-05-05 05:34:00,274665311.623905,1711182.48941024,1597.4,34,71170.8429999998,679.97,0.0192354208495693,12.39</t>
  </si>
  <si>
    <t>2025-05-05 05:34:00,-3599791.60844018,0,0,0,0,0,0,0</t>
  </si>
  <si>
    <t>2025-05-05 05:35:00,,560,,,575,,,,,,,,</t>
  </si>
  <si>
    <t>2025-05-05 05:35:00,,485,,,470,,,,,,,,</t>
  </si>
  <si>
    <t>2025-05-05 05:35:00,5700,,,5540,5600,,5677.5,,,,,5700,5540</t>
  </si>
  <si>
    <t>2025-05-05 05:35:00,,,,,20000,,,,,,,,</t>
  </si>
  <si>
    <t>2025-05-05 05:35:00,-1497130774.86633,0,0,0,0,0,0,0</t>
  </si>
  <si>
    <t>2025-05-05 05:35:00,-525524059.367019,0,0,0,0,0,0,0</t>
  </si>
  <si>
    <t>2025-05-05 05:35:00,270101321.338583,1996481.43737009,2426.61666666667,30,48175.0061666667,488.75,0.0168354152138733,7.58</t>
  </si>
  <si>
    <t>2025-05-05 05:35:00,-3567061.99185362,0,0,0,0,0,0,0</t>
  </si>
  <si>
    <t>2025-05-05 05:36:00,,560,,,575,,,,,,,,</t>
  </si>
  <si>
    <t>2025-05-05 05:36:00,,485,,,470,,,,,,,,</t>
  </si>
  <si>
    <t>2025-05-05 05:36:00,5700,,,5540,5600,,5677.5,,,,,5700,5540</t>
  </si>
  <si>
    <t>2025-05-05 05:36:00,,,,,20000,,,,,,,,</t>
  </si>
  <si>
    <t>2025-05-05 05:36:00,-1471618554.27758,0,0,0,0,0,0,0</t>
  </si>
  <si>
    <t>2025-05-05 05:36:00,-502504717.807135,0,0,0,0,0,0,0</t>
  </si>
  <si>
    <t>2025-05-05 05:36:00,270045674.988886,2081945.44988011,2613.78333333334,23,124433.666833334,818.89,0.070619060292799,14.96</t>
  </si>
  <si>
    <t>2025-05-05 05:36:00,-3566084.75108822,0,0,0,0,0,0,0</t>
  </si>
  <si>
    <t>2025-05-05 05:37:00,,560,,,575,,,,,,,,</t>
  </si>
  <si>
    <t>2025-05-05 05:37:00,,485,,,470,,,,,,,,</t>
  </si>
  <si>
    <t>2025-05-05 05:37:00,5700,,,5540,5600,,5677.5,,,,,5700,5540</t>
  </si>
  <si>
    <t>2025-05-05 05:37:00,,,,,20000,,,,,,,,</t>
  </si>
  <si>
    <t>2025-05-05 05:37:00,-1367162837.32943,0,0,0,0,0,0,0</t>
  </si>
  <si>
    <t>2025-05-05 05:37:00,-561679418.271911,0,0,0,0,0,0,0</t>
  </si>
  <si>
    <t>2025-05-05 05:37:00,272558479.90754,1861584.98351773,486.3,8,7031.06233333333,104.47,-0.00956663891071185,2.12</t>
  </si>
  <si>
    <t>2025-05-05 05:37:00,-3586450.29652612,0,0,0,0,0,0,0</t>
  </si>
  <si>
    <t>2025-05-05 05:38:00,,560,,,575,,,,,,,,</t>
  </si>
  <si>
    <t>2025-05-05 05:38:00,,485,,,470,,,,,,,,</t>
  </si>
  <si>
    <t>2025-05-05 05:38:00,5700,,,5540,5600,,5677.5,,,,,5700,5540</t>
  </si>
  <si>
    <t>2025-05-05 05:38:00,,,,,20000,,,,,,,,</t>
  </si>
  <si>
    <t>2025-05-05 05:38:00,-1367337717.36483,0,0,0,0,0,0,0</t>
  </si>
  <si>
    <t>2025-05-05 05:38:00,-567939685.29285,0,0,0,0,0,0,0</t>
  </si>
  <si>
    <t>2025-05-05 05:38:00,272694796.720202,1891214.70739032,154.650000000001,3,5576.89750000002,46.85,0.000563805209213628,1.23</t>
  </si>
  <si>
    <t>2025-05-05 05:38:00,-3587739.28452596,0,0,0,0,0,0,0</t>
  </si>
  <si>
    <t>2025-05-05 05:39:00,,560,,,575,,,,,,,,</t>
  </si>
  <si>
    <t>2025-05-05 05:39:00,,485,,,470,,,,,,,,</t>
  </si>
  <si>
    <t>2025-05-05 05:39:00,5700,,,5540,5600,,5677.5,,,,,5700,5540</t>
  </si>
  <si>
    <t>2025-05-05 05:39:00,,,,,20000,,,,,,,,</t>
  </si>
  <si>
    <t>2025-05-05 05:39:00,-1373833125.16339,0,0,0,0,0,0,0</t>
  </si>
  <si>
    <t>2025-05-05 05:39:00,-549533448.92368,0,0,0,0,0,0,0</t>
  </si>
  <si>
    <t>2025-05-05 05:39:00,272850252.272746,1863300.5530795,49.2,1,274.044,5.57,0.000424845561553406,0.05</t>
  </si>
  <si>
    <t>2025-05-05 05:39:00,-3576283.77852663,0,0,0,0,0,0,0</t>
  </si>
  <si>
    <t>2025-05-05 05:40:00,,560,,,575,,,,,,,,</t>
  </si>
  <si>
    <t>2025-05-05 05:40:00,,485,,,470,,,,,,,,</t>
  </si>
  <si>
    <t>2025-05-05 05:40:00,5700,,,5540,5600,,5677.5,,,,,5700,5540</t>
  </si>
  <si>
    <t>2025-05-05 05:40:00,,,,,20000,,,,,,,,</t>
  </si>
  <si>
    <t>2025-05-05 05:40:00,-1424661385.57949,0,0,0,0,0,0,0</t>
  </si>
  <si>
    <t>2025-05-05 05:40:00,-611322993.728906,0,0,0,0,0,0,0</t>
  </si>
  <si>
    <t>2025-05-05 05:40:00,275151564.76458,1727098.96625725,869.433333333334,13,21795.9136666667,190.72,-0.00575843193504082,3.74</t>
  </si>
  <si>
    <t>2025-05-05 05:40:00,-3589854.79580175,0,0,0,0,0,0,0</t>
  </si>
  <si>
    <t>2025-05-05 05:41:00,,560,,,575,,,,,,,,</t>
  </si>
  <si>
    <t>2025-05-05 05:41:00,,485,,,470,,,,,,,,</t>
  </si>
  <si>
    <t>2025-05-05 05:41:00,5700,,,5540,5600,,5677.5,,,,,5700,5540</t>
  </si>
  <si>
    <t>2025-05-05 05:41:00,,,,,20000,,,,,,,,</t>
  </si>
  <si>
    <t>2025-05-05 05:41:00,-1418676982.34744,0,0,0,0,0,0,0</t>
  </si>
  <si>
    <t>2025-05-05 05:41:00,-652697625.878849,0,0,0,0,0,0,0</t>
  </si>
  <si>
    <t>2025-05-05 05:41:00,275693606.446182,1731550.44568624,531.866666666667,6,13942.247,120.16,0.00457259609479001,2.01</t>
  </si>
  <si>
    <t>2025-05-05 05:41:00,-3604147.32719506,0,0,0,0,0,0,0</t>
  </si>
  <si>
    <t>2025-05-05 05:42:00,,560,,,575,,,,,,,,</t>
  </si>
  <si>
    <t>2025-05-05 05:42:00,,485,,,470,,,,,,,,</t>
  </si>
  <si>
    <t>2025-05-05 05:42:00,5700,,,5540,5600,,5677.5,,,,,5700,5540</t>
  </si>
  <si>
    <t>2025-05-05 05:42:00,,,,,20000,,,,,,,,</t>
  </si>
  <si>
    <t>2025-05-05 05:42:00,-1461168279.21195,0,0,0,0,0,0,0</t>
  </si>
  <si>
    <t>2025-05-05 05:42:00,-697002592.594867,0,0,0,0,0,0,0</t>
  </si>
  <si>
    <t>2025-05-05 05:42:00,273628518.728741,1637540.60717563,885.044444444444,21,14955.4184444444,242.57,-0.0258329488473838,3.92</t>
  </si>
  <si>
    <t>2025-05-05 05:42:00,-3617706.62845018,0,0,0,0,0,0,0</t>
  </si>
  <si>
    <t>2025-05-05 05:43:00,,560,,,575,,,,,,,,</t>
  </si>
  <si>
    <t>2025-05-05 05:43:00,,485,,,470,,,,,,,,</t>
  </si>
  <si>
    <t>2025-05-05 05:43:00,5700,,,5540,5600,,5677.5,,,,,5700,5540</t>
  </si>
  <si>
    <t>2025-05-05 05:43:00,,,,,20000,,,,,,,,</t>
  </si>
  <si>
    <t>2025-05-05 05:43:00,-1455129478.5063,0,0,0,0,0,0,0</t>
  </si>
  <si>
    <t>2025-05-05 05:43:00,-659882598.210897,0,0,0,0,0,0,0</t>
  </si>
  <si>
    <t>2025-05-05 05:43:00,277375123.076137,1645461.00312153,820.533333333334,21,18502.0196666667,192.2,-0.0160701604616779,4.06</t>
  </si>
  <si>
    <t>2025-05-05 05:43:00,-3609710.38685173,0,0,0,0,0,0,0</t>
  </si>
  <si>
    <t>2025-05-05 05:44:00,,560,,,575,,,,,,,,</t>
  </si>
  <si>
    <t>2025-05-05 05:44:00,,485,,,470,,,,,,,,</t>
  </si>
  <si>
    <t>2025-05-05 05:44:00,5700,,,5540,5600,,5677.5,,,,,5700,5540</t>
  </si>
  <si>
    <t>2025-05-05 05:44:00,,,,,20000,,,,,,,,</t>
  </si>
  <si>
    <t>2025-05-05 05:44:00,-1461574560.41752,0,0,0,0,0,0,0</t>
  </si>
  <si>
    <t>2025-05-05 05:44:00,-667088501.929639,0,0,0,0,0,0,0</t>
  </si>
  <si>
    <t>2025-05-05 05:44:00,273692734.900424,1694849.41938573,1523.21666666665,24,106338.488333332,802.05,0.0267437638967687,10.37</t>
  </si>
  <si>
    <t>2025-05-05 05:44:00,-3603417.91726245,0,0,0,0,0,0,0</t>
  </si>
  <si>
    <t>2025-05-05 05:45:00,,560,,,575,,,,,,,,</t>
  </si>
  <si>
    <t>2025-05-05 05:45:00,,485,,,470,,,,,,,,</t>
  </si>
  <si>
    <t>2025-05-05 05:45:00,5700,,,5540,5600,,5677.5,,,,,5700,5540</t>
  </si>
  <si>
    <t>2025-05-05 05:45:00,,,,,20000,,,,,,,,</t>
  </si>
  <si>
    <t>2025-05-05 05:45:00,-1501456015.50878,0,0,0,0,0,0,0</t>
  </si>
  <si>
    <t>2025-05-05 05:45:00,-736659442.881708,0,0,0,0,0,0,0</t>
  </si>
  <si>
    <t>2025-05-05 05:45:00,275541869.490895,2112461.87416718,938.859770114943,23,34029.4967931034,1253.97,0.015887554089234,11.64</t>
  </si>
  <si>
    <t>2025-05-05 05:45:00,-3618044.63249005,0,0,0,0,0,0,0</t>
  </si>
  <si>
    <t>2025-05-05 05:46:00,,560,,,575,,,,,,,,</t>
  </si>
  <si>
    <t>2025-05-05 05:46:00,,485,,,470,,,,,,,,</t>
  </si>
  <si>
    <t>2025-05-05 05:46:00,5700,,,5540,5600,,5677.5,,,,,5700,5540</t>
  </si>
  <si>
    <t>2025-05-05 05:46:00,,,,,20000,,,,,,,,</t>
  </si>
  <si>
    <t>2025-05-05 05:46:00,-1438521356.32718,0,0,0,0,0,0,0</t>
  </si>
  <si>
    <t>2025-05-05 05:46:00,-652829822.837711,0,0,0,0,0,0,0</t>
  </si>
  <si>
    <t>2025-05-05 05:46:00,276657005.670857,1716642.18810212,3406.01666666666,50,129215.993333333,1258.58,0.0498336383538596,20.76</t>
  </si>
  <si>
    <t>2025-05-05 05:46:00,-3599294.4452589,0,0,0,0,0,0,0</t>
  </si>
  <si>
    <t>2025-05-05 05:47:00,,560,,,575,,,,,,,,</t>
  </si>
  <si>
    <t>2025-05-05 05:47:00,,485,,,470,,,,,,,,</t>
  </si>
  <si>
    <t>2025-05-05 05:47:00,5700,,,5540,5600,,5677.5,,,,,5700,5540</t>
  </si>
  <si>
    <t>2025-05-05 05:47:00,,,,,20000,,,,,,,,</t>
  </si>
  <si>
    <t>2025-05-05 05:47:00,-1382685130.06971,0,0,0,0,0,0,0</t>
  </si>
  <si>
    <t>2025-05-05 05:47:00,-604909920.652241,0,0,0,0,0,0,0</t>
  </si>
  <si>
    <t>2025-05-05 05:47:00,273356448.825587,1843685.42069845,1190.80114942529,36,38802.664362069,1447.27,0.0153445710202386,15.19</t>
  </si>
  <si>
    <t>2025-05-05 05:47:00,-3595541.70086854,0,0,0,0,0,0,0</t>
  </si>
  <si>
    <t>2025-05-05 05:48:00,,560,,,575,,,,,,,,</t>
  </si>
  <si>
    <t>2025-05-05 05:48:00,,485,,,470,,,,,,,,</t>
  </si>
  <si>
    <t>2025-05-05 05:48:00,5700,,,5540,5600,,5677.5,,,,,5700,5540</t>
  </si>
  <si>
    <t>2025-05-05 05:48:00,,,,,20000,,,,,,,,</t>
  </si>
  <si>
    <t>2025-05-05 05:48:00,-1383117825.31383,0,0,0,0,0,0,0</t>
  </si>
  <si>
    <t>2025-05-05 05:48:00,-587264858.736983,0,0,0,0,0,0,0</t>
  </si>
  <si>
    <t>2025-05-05 05:48:00,273611363.818439,1808995.11830121,1897.77500000001,62,54477.0582500003,730.46,-0.0929379922082207,15.28</t>
  </si>
  <si>
    <t>2025-05-05 05:48:00,-3590038.60902348,0,0,0,0,0,0,0</t>
  </si>
  <si>
    <t>2025-05-05 05:49:00,,560,,,575,,,,,,,,</t>
  </si>
  <si>
    <t>2025-05-05 05:49:00,,485,,,470,,,,,,,,</t>
  </si>
  <si>
    <t>2025-05-05 05:49:00,5700,,,5540,5600,,5677.5,,,,,5700,5540</t>
  </si>
  <si>
    <t>2025-05-05 05:49:00,,,,,20000,,,,,,,,</t>
  </si>
  <si>
    <t>2025-05-05 05:49:00,-1426560841.29261,0,0,0,0,0,0,0</t>
  </si>
  <si>
    <t>2025-05-05 05:49:00,-624930830.345612,0,0,0,0,0,0,0</t>
  </si>
  <si>
    <t>2025-05-05 05:49:00,275814719.646943,1708215.18112438,158.583333333334,7,1780.59633333334,63.32,-0.0164550986251744,1.52</t>
  </si>
  <si>
    <t>2025-05-05 05:49:00,-3595259.45077464,0,0,0,0,0,0,0</t>
  </si>
  <si>
    <t>2025-05-05 05:50:00,,560,,,575,,,,,,,,</t>
  </si>
  <si>
    <t>2025-05-05 05:50:00,,485,,,470,,,,,,,,</t>
  </si>
  <si>
    <t>2025-05-05 05:50:00,5700,,,5540,5600,,5677.5,,,,,5700,5540</t>
  </si>
  <si>
    <t>2025-05-05 05:50:00,,,,,20000,,,,,,,,</t>
  </si>
  <si>
    <t>2025-05-05 05:50:00,-1395712273.90224,0,0,0,0,0,0,0</t>
  </si>
  <si>
    <t>2025-05-05 05:50:00,-587046663.959867,0,0,0,0,0,0,0</t>
  </si>
  <si>
    <t>2025-05-05 05:50:00,274789782.560292,1788812.75456836,1060.55,15,16192.3205,157.49,-0.00100039283720254,2.69</t>
  </si>
  <si>
    <t>2025-05-05 05:50:00,-3587972.19663563,0,0,0,0,0,0,0</t>
  </si>
  <si>
    <t>2025-05-05 05:51:00,,560,,,575,,,,,,,,</t>
  </si>
  <si>
    <t>2025-05-05 05:51:00,,485,,,470,,,,,,,,</t>
  </si>
  <si>
    <t>2025-05-05 05:51:00,5700,,,5540,5600,,5677.5,,,,,5700,5540</t>
  </si>
  <si>
    <t>2025-05-05 05:51:00,,,,,20000,,,,,,,,</t>
  </si>
  <si>
    <t>2025-05-05 05:51:00,-1414891072.97636,0,0,0,0,0,0,0</t>
  </si>
  <si>
    <t>2025-05-05 05:51:00,-510315975.286689,0,0,0,0,0,0,0</t>
  </si>
  <si>
    <t>2025-05-05 05:51:00,270635156.564364,2147258.5823454,3236.07916666668,64,59343.3368333334,920,-0.069724338394945,19.48</t>
  </si>
  <si>
    <t>2025-05-05 05:51:00,-3532538.84112243,0,0,0,0,0,0,0</t>
  </si>
  <si>
    <t>2025-05-05 05:52:00,,560,,,575,,,,,,,,</t>
  </si>
  <si>
    <t>2025-05-05 05:52:00,,485,,,470,,,,,,,,</t>
  </si>
  <si>
    <t>2025-05-05 05:52:00,5700,,,5540,5600,,5677.5,,,,,5700,5540</t>
  </si>
  <si>
    <t>2025-05-05 05:52:00,,,,,20000,,,,,,,,</t>
  </si>
  <si>
    <t>2025-05-05 05:52:00,-1430061954.78274,0,0,0,0,0,0,0</t>
  </si>
  <si>
    <t>2025-05-05 05:52:00,-464527984.087267,0,0,0,0,0,0,0</t>
  </si>
  <si>
    <t>2025-05-05 05:52:00,269381019.168393,2054851.01013753,2700.31666666667,26,49094.9748333334,501.3,0.0333485798107319,7.9</t>
  </si>
  <si>
    <t>2025-05-05 05:52:00,-3537809.35948088,0,0,0,0,0,0,0</t>
  </si>
  <si>
    <t>2025-05-05 05:53:00,,560,,,575,,,,,,,,</t>
  </si>
  <si>
    <t>2025-05-05 05:53:00,,485,,,470,,,,,,,,</t>
  </si>
  <si>
    <t>2025-05-05 05:53:00,5700,,,5540,5600,,5677.5,,,,,5700,5540</t>
  </si>
  <si>
    <t>2025-05-05 05:53:00,,,,,20000,,,,,,,,</t>
  </si>
  <si>
    <t>2025-05-05 05:53:00,-1370107564.78644,0,0,0,0,0,0,0</t>
  </si>
  <si>
    <t>2025-05-05 05:53:00,-489040636.976614,0,0,0,0,0,0,0</t>
  </si>
  <si>
    <t>2025-05-05 05:53:00,269023362.00079,2190426.34369277,2484.55378787879,65,81382.6116439393,1137.19,-0.0277400038093552,25.57</t>
  </si>
  <si>
    <t>2025-05-05 05:53:00,-3522974.82746507,0,0,0,0,0,0,0</t>
  </si>
  <si>
    <t>2025-05-05 05:54:00,,560,,,575,,,,,,,,</t>
  </si>
  <si>
    <t>2025-05-05 05:54:00,,485,,,470,,,,,,,,</t>
  </si>
  <si>
    <t>2025-05-05 05:54:00,5700,,,5540,5600,,5677.5,,,,,5700,5540</t>
  </si>
  <si>
    <t>2025-05-05 05:54:00,,,,,20000,,,,,,,,</t>
  </si>
  <si>
    <t>2025-05-05 05:54:00,-1311828052.50214,0,0,0,0,0,0,0</t>
  </si>
  <si>
    <t>2025-05-05 05:54:00,-472542355.04818,0,0,0,0,0,0,0</t>
  </si>
  <si>
    <t>2025-05-05 05:54:00,267102879.119905,2362913.50090104,1993.38333333333,63,41999.9838333333,701.52,-0.105130095235011,16.05</t>
  </si>
  <si>
    <t>2025-05-05 05:54:00,-3520878.73107752,0,0,0,0,0,0,0</t>
  </si>
  <si>
    <t>2025-05-05 05:55:00,,560,,,575,,,,,,,,</t>
  </si>
  <si>
    <t>2025-05-05 05:55:00,,485,,,470,,,,,,,,</t>
  </si>
  <si>
    <t>2025-05-05 05:55:00,5700,,,5540,5600,,5677.5,,,,,5700,5540</t>
  </si>
  <si>
    <t>2025-05-05 05:55:00,,,,,20000,,,,,,,,</t>
  </si>
  <si>
    <t>2025-05-05 05:55:00,-1355818272.37742,0,0,0,0,0,0,0</t>
  </si>
  <si>
    <t>2025-05-05 05:55:00,-507539857.080125,0,0,0,0,0,0,0</t>
  </si>
  <si>
    <t>2025-05-05 05:55:00,269150577.030952,2244989.70310409,3477.18333333333,30,158402.697833333,1489.53,0.152972648589453,26.96</t>
  </si>
  <si>
    <t>2025-05-05 05:55:00,-3530082.82015097,0,0,0,0,0,0,0</t>
  </si>
  <si>
    <t>2025-05-05 05:56:00,,560,,,575,,,,,,,,</t>
  </si>
  <si>
    <t>2025-05-05 05:56:00,,485,,,470,,,,,,,,</t>
  </si>
  <si>
    <t>2025-05-05 05:56:00,5700,,,5540,5600,,5662.5,,,,,5700,5540</t>
  </si>
  <si>
    <t>2025-05-05 05:56:00,,,,,20000,,,,,,,,</t>
  </si>
  <si>
    <t>2025-05-05 05:56:00,-1333985224.77221,0,0,0,0,0,0,0</t>
  </si>
  <si>
    <t>2025-05-05 05:56:00,-483797453.336769,0,0,0,0,0,0,0</t>
  </si>
  <si>
    <t>2025-05-05 05:56:00,268767716.019946,2303700.38294921,56.1333333333332,9,580.672666666665,37.6,-0.0249605208193336,1.04</t>
  </si>
  <si>
    <t>2025-05-05 05:56:00,-3520614.78352434,0,0,0,0,0,0,0</t>
  </si>
  <si>
    <t>2025-05-05 05:57:00,,560,,,575,,,,,,,,</t>
  </si>
  <si>
    <t>2025-05-05 05:57:00,,485,,,470,,,,,,,,</t>
  </si>
  <si>
    <t>2025-05-05 05:57:00,5700,,,5540,5600,,5660,,,,,5700,5540</t>
  </si>
  <si>
    <t>2025-05-05 05:57:00,,,,,20000,,,,,,,,</t>
  </si>
  <si>
    <t>2025-05-05 05:57:00,-1312460873.82545,0,0,0,0,0,0,0</t>
  </si>
  <si>
    <t>2025-05-05 05:57:00,-467088032.407336,0,0,0,0,0,0,0</t>
  </si>
  <si>
    <t>2025-05-05 05:57:00,267960267.37282,2462231.67649859,2474.15000000001,23,113007.856500001,934.13,0.105887895265752,18.55</t>
  </si>
  <si>
    <t>2025-05-05 05:57:00,-3514936.96958099,0,0,0,0,0,0,0</t>
  </si>
  <si>
    <t>2025-05-05 05:58:00,,560,,,575,,,,,,,,</t>
  </si>
  <si>
    <t>2025-05-05 05:58:00,,485,,,470,,,,,,,,</t>
  </si>
  <si>
    <t>2025-05-05 05:58:00,5700,,,5540,5600,,5660,,,,,5700,5540</t>
  </si>
  <si>
    <t>2025-05-05 05:58:00,,,,,20000,,,,,,,,</t>
  </si>
  <si>
    <t>2025-05-05 05:58:00,-1378442320.49757,0,0,0,0,0,0,0</t>
  </si>
  <si>
    <t>2025-05-05 05:58:00,-510332361.544579,0,0,0,0,0,0,0</t>
  </si>
  <si>
    <t>2025-05-05 05:58:00,270001636.288433,2210839.6457867,3033.13333333335,30,128469.720333334,1072.57,0.105182274744915,20.96</t>
  </si>
  <si>
    <t>2025-05-05 05:58:00,-3536481.21235026,0,0,0,0,0,0,0</t>
  </si>
  <si>
    <t>2025-05-05 05:59:00,,560,,,575,,,,,,,,</t>
  </si>
  <si>
    <t>2025-05-05 05:59:00,,485,,,470,,,,,,,,</t>
  </si>
  <si>
    <t>2025-05-05 05:59:00,5700,,,5540,5600,,5660,,,,,5700,5540</t>
  </si>
  <si>
    <t>2025-05-05 05:59:00,,,,,20000,,,,,,,,</t>
  </si>
  <si>
    <t>2025-05-05 05:59:00,-1363955669.38152,0,0,0,0,0,0,0</t>
  </si>
  <si>
    <t>2025-05-05 05:59:00,-478311926.573707,0,0,0,0,0,0,0</t>
  </si>
  <si>
    <t>2025-05-05 05:59:00,270368693.378004,2367740.26791887,4226.93333333334,59,174809.088333335,1790.87,0.0701016325229127,34.9</t>
  </si>
  <si>
    <t>2025-05-05 05:59:00,-3521305.75349646,0,0,0,0,0,0,0</t>
  </si>
  <si>
    <t>2025-05-05 06:00:00,,560,,,575,,,,,,,,</t>
  </si>
  <si>
    <t>2025-05-05 06:00:00,,485,,,470,,,,,,,,</t>
  </si>
  <si>
    <t>2025-05-05 06:00:00,5700,,,5540,5600,,5660,,,,,5700,5540</t>
  </si>
  <si>
    <t>2025-05-05 06:00:00,,,,,20000,,,,,,,,</t>
  </si>
  <si>
    <t>2025-05-05 06:00:00,-1364037050.6624,0,0,0,0,0,0,0</t>
  </si>
  <si>
    <t>2025-05-05 06:00:00,-439192004.892913,0,0,0,0,0,0,0</t>
  </si>
  <si>
    <t>2025-05-05 06:00:00,270140771.703021,2301915.4578783,2387.5,29,90964.1849999995,965.08,0.04612406692192,15.43</t>
  </si>
  <si>
    <t>2025-05-05 06:00:00,-3504058.10723158,0,0,0,0,0,0,0</t>
  </si>
  <si>
    <t>2025-05-05 06:01:00,,560,,,575,,,,,,,,</t>
  </si>
  <si>
    <t>2025-05-05 06:01:00,,485,,,470,,,,,,,,</t>
  </si>
  <si>
    <t>2025-05-05 06:01:00,5700,,,5540,5600,,5660,,,,,5700,5540</t>
  </si>
  <si>
    <t>2025-05-05 06:01:00,,,,,20000,,,,,,,,</t>
  </si>
  <si>
    <t>2025-05-05 06:01:00,-1334866127.798,0,0,0,0,0,0,0</t>
  </si>
  <si>
    <t>2025-05-05 06:01:00,-428018562.795126,0,0,0,0,0,0,0</t>
  </si>
  <si>
    <t>2025-05-05 06:01:00,269427796.725164,2360312.62237678,999.433333333333,13,27064.5486666666,237.9,0.0136569592706939,5.59</t>
  </si>
  <si>
    <t>2025-05-05 06:01:00,-3499098.16842713,0,0,0,0,0,0,0</t>
  </si>
  <si>
    <t>2025-05-05 06:02:00,,560,,,575,,,,,,,,</t>
  </si>
  <si>
    <t>2025-05-05 06:02:00,,485,,,470,,,,,,,,</t>
  </si>
  <si>
    <t>2025-05-05 06:02:00,5700,,,5540,5600,,5660,,,,,5700,5540</t>
  </si>
  <si>
    <t>2025-05-05 06:02:00,,,,,20000,,,,,,,,</t>
  </si>
  <si>
    <t>2025-05-05 06:02:00,-1327611199.09321,0,0,0,0,0,0,0</t>
  </si>
  <si>
    <t>2025-05-05 06:02:00,-417280938.859726,0,0,0,0,0,0,0</t>
  </si>
  <si>
    <t>2025-05-05 06:02:00,268374115.111724,2400994.46537389,356.633333333333,26,4090.171,119.93,-0.0514403027016891,2.3</t>
  </si>
  <si>
    <t>2025-05-05 06:02:00,-3491398.31556823,0,0,0,0,0,0,0</t>
  </si>
  <si>
    <t>2025-05-05 06:03:00,,560,,,575,,,,,,,,</t>
  </si>
  <si>
    <t>2025-05-05 06:03:00,,485,,,470,,,,,,,,</t>
  </si>
  <si>
    <t>2025-05-05 06:03:00,5700,,,5540,5600,,5660,,,,,5700,5540</t>
  </si>
  <si>
    <t>2025-05-05 06:03:00,,,,,20000,,,,,,,,</t>
  </si>
  <si>
    <t>2025-05-05 06:03:00,-1401900257.34333,0,0,0,0,0,0,0</t>
  </si>
  <si>
    <t>2025-05-05 06:03:00,-478286883.070741,0,0,0,0,0,0,0</t>
  </si>
  <si>
    <t>2025-05-05 06:03:00,269997881.534976,2211528.64253923,2152.81666666667,24,45914.2428333334,475.21,0.0290246505502487,9.01</t>
  </si>
  <si>
    <t>2025-05-05 06:03:00,-3513904.24390684,0,0,0,0,0,0,0</t>
  </si>
  <si>
    <t>2025-05-05 06:04:00,,560,,,575,,,,,,,,</t>
  </si>
  <si>
    <t>2025-05-05 06:04:00,,485,,,470,,,,,,,,</t>
  </si>
  <si>
    <t>2025-05-05 06:04:00,5700,,,5540,5600,,5660,,,,,5700,5540</t>
  </si>
  <si>
    <t>2025-05-05 06:04:00,,,,,20000,,,,,,,,</t>
  </si>
  <si>
    <t>2025-05-05 06:04:00,-1379539938.19152,0,0,0,0,0,0,0</t>
  </si>
  <si>
    <t>2025-05-05 06:04:00,-483735767.272216,0,0,0,0,0,0,0</t>
  </si>
  <si>
    <t>2025-05-05 06:04:00,270575821.988074,2270253.92214609,4171.33333333331,47,155804.895999999,1209.38,0.0525563408877193,21.27</t>
  </si>
  <si>
    <t>2025-05-05 06:04:00,-3528927.47115731,0,0,0,0,0,0,0</t>
  </si>
  <si>
    <t>2025-05-05 06:05:00,,560,,,575,,,,,,,,</t>
  </si>
  <si>
    <t>2025-05-05 06:05:00,,485,,,470,,,,,,,,</t>
  </si>
  <si>
    <t>2025-05-05 06:05:00,5700,,,5540,5600,,5660,,,,,5700,5540</t>
  </si>
  <si>
    <t>2025-05-05 06:05:00,,,,,20000,,,,,,,,</t>
  </si>
  <si>
    <t>2025-05-05 06:05:00,-1372397209.06337,0,0,0,0,0,0,0</t>
  </si>
  <si>
    <t>2025-05-05 06:05:00,-472759539.017938,0,0,0,0,0,0,0</t>
  </si>
  <si>
    <t>2025-05-05 06:05:00,270346094.16676,2287117.322526,841.450000000002,12,17352.7485,214.25,0.013521126481521,3.6</t>
  </si>
  <si>
    <t>2025-05-05 06:05:00,-3514095.42385696,0,0,0,0,0,0,0</t>
  </si>
  <si>
    <t>2025-05-05 06:06:00,,560,,,575,,,,,,,,</t>
  </si>
  <si>
    <t>2025-05-05 06:06:00,,485,,,470,,,,,,,,</t>
  </si>
  <si>
    <t>2025-05-05 06:06:00,5700,,,5540,5600,,5660,,,,,5700,5540</t>
  </si>
  <si>
    <t>2025-05-05 06:06:00,,,,,20000,,,,,,,,</t>
  </si>
  <si>
    <t>2025-05-05 06:06:00,-1321329446.17071,0,0,0,0,0,0,0</t>
  </si>
  <si>
    <t>2025-05-05 06:06:00,-422799280.081227,0,0,0,0,0,0,0</t>
  </si>
  <si>
    <t>2025-05-05 06:06:00,269820167.205734,2575069.47924104,8118.19999999997,89,461909.465999998,4811.04,0.549970488557159,81.92</t>
  </si>
  <si>
    <t>2025-05-05 06:06:00,-3494196.08819521,0,0,0,0,0,0,0</t>
  </si>
  <si>
    <t>2025-05-05 06:07:00,,560,,,575,,,,,,,,</t>
  </si>
  <si>
    <t>2025-05-05 06:07:00,,485,,,470,,,,,,,,</t>
  </si>
  <si>
    <t>2025-05-05 06:07:00,5700,,,5540,5600,,5660,,,,,5700,5540</t>
  </si>
  <si>
    <t>2025-05-05 06:07:00,,,,,20000,,,,,,,,</t>
  </si>
  <si>
    <t>2025-05-05 06:07:00,-1328768325.1978,0,0,0,0,0,0,0</t>
  </si>
  <si>
    <t>2025-05-05 06:07:00,-444816979.18827,0,0,0,0,0,0,0</t>
  </si>
  <si>
    <t>2025-05-05 06:07:00,269281260.622084,2529209.94196129,901.4,12,18158.179,216.32,0.0016421004675429,4.46</t>
  </si>
  <si>
    <t>2025-05-05 06:07:00,-3495161.28900539,0,0,0,0,0,0,0</t>
  </si>
  <si>
    <t>2025-05-05 06:08:00,,560,,,575,,,,,,,,</t>
  </si>
  <si>
    <t>2025-05-05 06:08:00,,485,,,470,,,,,,,,</t>
  </si>
  <si>
    <t>2025-05-05 06:08:00,5700,,,5540,5600,,5660,,,,,5700,5540</t>
  </si>
  <si>
    <t>2025-05-05 06:08:00,,,,,20000,,,,,,,,</t>
  </si>
  <si>
    <t>2025-05-05 06:08:00,-1300422209.89215,0,0,0,0,0,0,0</t>
  </si>
  <si>
    <t>2025-05-05 06:08:00,-411919905.706025,0,0,0,0,0,0,0</t>
  </si>
  <si>
    <t>2025-05-05 06:08:00,269024769.44567,2591342.81433878,1990.38333333333,31,32341.6463333333,365.48,-0.00408314568538724,5.99</t>
  </si>
  <si>
    <t>2025-05-05 06:08:00,-3483813.07413536,0,0,0,0,0,0,0</t>
  </si>
  <si>
    <t>2025-05-05 06:09:00,,560,,,575,,,,,,,,</t>
  </si>
  <si>
    <t>2025-05-05 06:09:00,,485,,,470,,,,,,,,</t>
  </si>
  <si>
    <t>2025-05-05 06:09:00,5700,,,5540,5600,,5660,,,,,5700,5540</t>
  </si>
  <si>
    <t>2025-05-05 06:09:00,,,,,20000,,,,,,,,</t>
  </si>
  <si>
    <t>2025-05-05 06:09:00,-1336407890.80647,0,0,0,0,0,0,0</t>
  </si>
  <si>
    <t>2025-05-05 06:09:00,-433562136.019924,0,0,0,0,0,0,0</t>
  </si>
  <si>
    <t>2025-05-05 06:09:00,269689005.424113,2583460.62710797,1568.2,24,24468.698,264.22,-0.0141585563745025,4.31</t>
  </si>
  <si>
    <t>2025-05-05 06:09:00,-3499047.08886169,0,0,0,0,0,0,0</t>
  </si>
  <si>
    <t>2025-05-05 06:10:00,,560,,,575,,,,,,,,</t>
  </si>
  <si>
    <t>2025-05-05 06:10:00,,485,,,470,,,,,,,,</t>
  </si>
  <si>
    <t>2025-05-05 06:10:00,5700,,,5540,5600,,5660,,,,,5700,5540</t>
  </si>
  <si>
    <t>2025-05-05 06:10:00,,,,,20000,,,,,,,,</t>
  </si>
  <si>
    <t>2025-05-05 06:10:00,-1314900448.32977,0,0,0,0,0,0,0</t>
  </si>
  <si>
    <t>2025-05-05 06:10:00,-401046312.302283,0,0,0,0,0,0,0</t>
  </si>
  <si>
    <t>2025-05-05 06:10:00,268513367.588709,2693262.31589078,3538.00000000002,30,154161.850000001,1373.45,0.155256527140475,22.31</t>
  </si>
  <si>
    <t>2025-05-05 06:10:00,-3487859.23809534,0,0,0,0,0,0,0</t>
  </si>
  <si>
    <t>2025-05-05 06:11:00,,560,,,575,,,,,,,,</t>
  </si>
  <si>
    <t>2025-05-05 06:11:00,,485,,,470,,,,,,,,</t>
  </si>
  <si>
    <t>2025-05-05 06:11:00,5700,,,5540,5600,,5660,,,,,5700,5540</t>
  </si>
  <si>
    <t>2025-05-05 06:11:00,,,,,20000,,,,,,,,</t>
  </si>
  <si>
    <t>2025-05-05 06:11:00,-1329402965.93024,0,0,0,0,0,0,0</t>
  </si>
  <si>
    <t>2025-05-05 06:11:00,-411894661.459449,0,0,0,0,0,0,0</t>
  </si>
  <si>
    <t>2025-05-05 06:11:00,268403308.587928,2588076.61051565,1747.7,27,25901.138,366.08,-0.052726391675592,8.85</t>
  </si>
  <si>
    <t>2025-05-05 06:11:00,-3492852.01874612,0,0,0,0,0,0,0</t>
  </si>
  <si>
    <t>2025-05-05 06:12:00,,560,,,575,,,,,,,,</t>
  </si>
  <si>
    <t>2025-05-05 06:12:00,,485,,,470,,,,,,,,</t>
  </si>
  <si>
    <t>2025-05-05 06:12:00,5700,,,5540,5600,,5660,,,,,5700,5540</t>
  </si>
  <si>
    <t>2025-05-05 06:12:00,,,,,20000,,,,,,,,</t>
  </si>
  <si>
    <t>2025-05-05 06:12:00,-1293877267.40504,0,0,0,0,0,0,0</t>
  </si>
  <si>
    <t>2025-05-05 06:12:00,-390526919.855051,0,0,0,0,0,0,0</t>
  </si>
  <si>
    <t>2025-05-05 06:12:00,268329087.741966,2716451.95105529,1065.88333333334,13,23529.2545000001,239.66,0.000219632351553094,4.82</t>
  </si>
  <si>
    <t>2025-05-05 06:12:00,-3480752.82835015,0,0,0,0,0,0,0</t>
  </si>
  <si>
    <t>2025-05-05 06:13:00,,560,,,575,,,,,,,,</t>
  </si>
  <si>
    <t>2025-05-05 06:13:00,,485,,,470,,,,,,,,</t>
  </si>
  <si>
    <t>2025-05-05 06:13:00,5700,,,5540,5600,,5660,,,,,5700,5540</t>
  </si>
  <si>
    <t>2025-05-05 06:13:00,,,,,20000,,,,,,,,</t>
  </si>
  <si>
    <t>2025-05-05 06:13:00,-1359037461.49549,0,0,0,0,0,0,0</t>
  </si>
  <si>
    <t>2025-05-05 06:13:00,-450304880.88034,0,0,0,0,0,0,0</t>
  </si>
  <si>
    <t>2025-05-05 06:13:00,269282351.477471,2592375.19555039,2880.15,33,83702.2024999998,769.31,0.0596897220067704,12.55</t>
  </si>
  <si>
    <t>2025-05-05 06:13:00,-3504262.10685385,0,0,0,0,0,0,0</t>
  </si>
  <si>
    <t>2025-05-05 06:14:00,,560,,,575,,,,,,,,</t>
  </si>
  <si>
    <t>2025-05-05 06:14:00,,485,,,470,,,,,,,,</t>
  </si>
  <si>
    <t>2025-05-05 06:14:00,5700,,,5540,5600,,5660,,,,,5700,5540</t>
  </si>
  <si>
    <t>2025-05-05 06:14:00,,,,,20000,,,,,,,,</t>
  </si>
  <si>
    <t>2025-05-05 06:14:00,-1249814489.0871,0,0,0,0,0,0,0</t>
  </si>
  <si>
    <t>2025-05-05 06:14:00,-350039550.6908,0,0,0,0,0,0,0</t>
  </si>
  <si>
    <t>2025-05-05 06:14:00,267142186.428965,2931742.89138493,3089.33333333334,45,57652.4150000001,807.7,0.0463670988856886,13.06</t>
  </si>
  <si>
    <t>2025-05-05 06:14:00,-3456501.49025909,0,0,0,0,0,0,0</t>
  </si>
  <si>
    <t>2025-05-05 06:15:00,,560,,,575,,,,,,,,</t>
  </si>
  <si>
    <t>2025-05-05 06:15:00,,485,,,470,,,,,,,,</t>
  </si>
  <si>
    <t>2025-05-05 06:15:00,5700,,,5540,5600,,5660,,,,,5700,5540</t>
  </si>
  <si>
    <t>2025-05-05 06:15:00,,,,,20000,,,,,,,,</t>
  </si>
  <si>
    <t>2025-05-05 06:15:00,-1330196077.37513,0,0,0,0,0,0,0</t>
  </si>
  <si>
    <t>2025-05-05 06:15:00,-422888569.519931,0,0,0,0,0,0,0</t>
  </si>
  <si>
    <t>2025-05-05 06:15:00,269567818.567947,2678284.8039193,1365.55,16,26822.7225,261.25,0.0145287367706089,4.5</t>
  </si>
  <si>
    <t>2025-05-05 06:15:00,-3496158.86797982,0,0,0,0,0,0,0</t>
  </si>
  <si>
    <t>2025-05-05 06:16:00,,560,,,575,,,,,,,,</t>
  </si>
  <si>
    <t>2025-05-05 06:16:00,,485,,,470,,,,,,,,</t>
  </si>
  <si>
    <t>2025-05-05 06:16:00,5700,,,5540,5600,,5660,,,,,5700,5540</t>
  </si>
  <si>
    <t>2025-05-05 06:16:00,,,,,20000,,,,,,,,</t>
  </si>
  <si>
    <t>2025-05-05 06:16:00,-1308914192.84831,0,0,0,0,0,0,0</t>
  </si>
  <si>
    <t>2025-05-05 06:16:00,-433720698.712868,0,0,0,0,0,0,0</t>
  </si>
  <si>
    <t>2025-05-05 06:16:00,268982496.012777,2689427.60895095,1931.55,19,34673.7195,361.77,0.035678801669773,6.38</t>
  </si>
  <si>
    <t>2025-05-05 06:16:00,-3501836.1398822,0,0,0,0,0,0,0</t>
  </si>
  <si>
    <t>2025-05-05 06:17:00,,560,,,575,,,,,,,,</t>
  </si>
  <si>
    <t>2025-05-05 06:17:00,,485,,,470,,,,,,,,</t>
  </si>
  <si>
    <t>2025-05-05 06:17:00,5700,,,5540,5600,,5687.5,,,,,5700,5540</t>
  </si>
  <si>
    <t>2025-05-05 06:17:00,,,,,20000,,,,,,,,</t>
  </si>
  <si>
    <t>2025-05-05 06:17:00,-1396871472.50862,0,0,0,0,0,0,0</t>
  </si>
  <si>
    <t>2025-05-05 06:17:00,-503736363.709938,0,0,0,0,0,0,0</t>
  </si>
  <si>
    <t>2025-05-05 06:17:00,270346573.361325,2357662.1213109,3621.02102991058,228,148375.984150478,12871.73,-0.320682487425187,134.63</t>
  </si>
  <si>
    <t>2025-05-05 06:17:00,-3526361.01869316,0,0,0,0,0,0,0</t>
  </si>
  <si>
    <t>2025-05-05 06:18:00,,560,,,575,,,,,,,,</t>
  </si>
  <si>
    <t>2025-05-05 06:18:00,,485,,,470,,,,,,,,</t>
  </si>
  <si>
    <t>2025-05-05 06:18:00,5700,,,5540,5600,,5687.5,,,,,5700,5540</t>
  </si>
  <si>
    <t>2025-05-05 06:18:00,,,,,20000,,,,,,,,</t>
  </si>
  <si>
    <t>2025-05-05 06:18:00,-1345269939.46637,0,0,0,0,0,0,0</t>
  </si>
  <si>
    <t>2025-05-05 06:18:00,-483814796.777846,0,0,0,0,0,0,0</t>
  </si>
  <si>
    <t>2025-05-05 06:18:00,270176402.777362,2509839.03819999,511.416666666667,12,8522.37383333334,140.83,-0.0139580885734881,2.73</t>
  </si>
  <si>
    <t>2025-05-05 06:18:00,-3516397.86115342,0,0,0,0,0,0,0</t>
  </si>
  <si>
    <t>2025-05-05 06:19:00,,560,,,575,,,,,,,,</t>
  </si>
  <si>
    <t>2025-05-05 06:19:00,,485,,,470,,,,,,,,</t>
  </si>
  <si>
    <t>2025-05-05 06:19:00,5700,,,5540,5600,,5687.5,,,,,5700,5540</t>
  </si>
  <si>
    <t>2025-05-05 06:19:00,,,,,20000,,,,,,,,</t>
  </si>
  <si>
    <t>2025-05-05 06:19:00,-1316556782.30599,0,0,0,0,0,0,0</t>
  </si>
  <si>
    <t>2025-05-05 06:19:00,-450517152.19256,0,0,0,0,0,0,0</t>
  </si>
  <si>
    <t>2025-05-05 06:19:00,269080526.316187,2602275.24686018,2114.45,45,52344.5288333333,707.82,0.00116080442235886,12.51</t>
  </si>
  <si>
    <t>2025-05-05 06:19:00,-3505478.32025225,0,0,0,0,0,0,0</t>
  </si>
  <si>
    <t>2025-05-05 06:20:00,,560,,,575,,,,,,,,</t>
  </si>
  <si>
    <t>2025-05-05 06:20:00,,485,,,470,,,,,,,,</t>
  </si>
  <si>
    <t>2025-05-05 06:20:00,5700,,,5540,5600,,5687.5,,,,,5700,5540</t>
  </si>
  <si>
    <t>2025-05-05 06:20:00,,,,,20000,,,,,,,,</t>
  </si>
  <si>
    <t>2025-05-05 06:20:00,-1382565247.37646,0,0,0,0,0,0,0</t>
  </si>
  <si>
    <t>2025-05-05 06:20:00,-499489801.827695,0,0,0,0,0,0,0</t>
  </si>
  <si>
    <t>2025-05-05 06:20:00,271109464.239863,2337066.93012177,985.812056737589,120,35491.4042198582,5099.1,-0.255506146361082,62.5</t>
  </si>
  <si>
    <t>2025-05-05 06:20:00,-3527351.20143934,0,0,0,0,0,0,0</t>
  </si>
  <si>
    <t>2025-05-05 06:21:00,,560,,,575,,,,,,,,</t>
  </si>
  <si>
    <t>2025-05-05 06:21:00,,485,,,470,,,,,,,,</t>
  </si>
  <si>
    <t>2025-05-05 06:21:00,5700,,,5540,5600,,5692.5,,,,,5700,5540</t>
  </si>
  <si>
    <t>2025-05-05 06:21:00,,,,,20000,,,,,,,,</t>
  </si>
  <si>
    <t>2025-05-05 06:21:00,-1464880992.27273,0,0,0,0,0,0,0</t>
  </si>
  <si>
    <t>2025-05-05 06:21:00,-482073685.260124,0,0,0,0,0,0,0</t>
  </si>
  <si>
    <t>2025-05-05 06:21:00,272166497.824538,2100280.99265723,3541.60505050505,222,134043.965979798,12706.27,-0.337548209144862,129.44</t>
  </si>
  <si>
    <t>2025-05-05 06:21:00,-3546043.92025231,0,0,0,0,0,0,0</t>
  </si>
  <si>
    <t>2025-05-05 06:22:00,,560,,,575,,,,,,,,</t>
  </si>
  <si>
    <t>2025-05-05 06:22:00,,485,,,470,,,,,,,,</t>
  </si>
  <si>
    <t>2025-05-05 06:22:00,5700,,,5540,5600,,5692.5,,,,,5700,5540</t>
  </si>
  <si>
    <t>2025-05-05 06:22:00,,,,,20000,,,,,,,,</t>
  </si>
  <si>
    <t>2025-05-05 06:22:00,-1435285526.2988,0,0,0,0,0,0,0</t>
  </si>
  <si>
    <t>2025-05-05 06:22:00,-510280697.565752,0,0,0,0,0,0,0</t>
  </si>
  <si>
    <t>2025-05-05 06:22:00,271929415.621781,2127436.3220736,4848.56666666666,62,51703.8586666667,531.97,0.0306731380593361,7.55</t>
  </si>
  <si>
    <t>2025-05-05 06:22:00,-3536145.80410217,0,0,0,0,0,0,0</t>
  </si>
  <si>
    <t>2025-05-05 06:23:00,,560,,,575,,,,,,,,</t>
  </si>
  <si>
    <t>2025-05-05 06:23:00,,485,,,470,,,,,,,,</t>
  </si>
  <si>
    <t>2025-05-05 06:23:00,5700,,,5540,5600,,5692.5,,,,,5700,5540</t>
  </si>
  <si>
    <t>2025-05-05 06:23:00,,,,,20000,,,,,,,,</t>
  </si>
  <si>
    <t>2025-05-05 06:23:00,-1442866615.0698,0,0,0,0,0,0,0</t>
  </si>
  <si>
    <t>2025-05-05 06:23:00,-503839922.362947,0,0,0,0,0,0,0</t>
  </si>
  <si>
    <t>2025-05-05 06:23:00,272307785.869682,2092056.56794744,1660.48333333333,33,41269.8098333332,542.74,-0.0219015368677652,12.3</t>
  </si>
  <si>
    <t>2025-05-05 06:23:00,-3522445.26687254,0,0,0,0,0,0,0</t>
  </si>
  <si>
    <t>2025-05-05 06:24:00,,560,,,575,,,,,,,,</t>
  </si>
  <si>
    <t>2025-05-05 06:24:00,,485,,,470,,,,,,,,</t>
  </si>
  <si>
    <t>2025-05-05 06:24:00,5700,,,5540,5600,,5692.5,,,,,5700,5540</t>
  </si>
  <si>
    <t>2025-05-05 06:24:00,,,,,20000,,,,,,,,</t>
  </si>
  <si>
    <t>2025-05-05 06:24:00,-1465420822.18416,0,0,0,0,0,0,0</t>
  </si>
  <si>
    <t>2025-05-05 06:24:00,-460385717.947675,0,0,0,0,0,0,0</t>
  </si>
  <si>
    <t>2025-05-05 06:24:00,272757675.461633,2027931.30327746,1263.58333333333,10,29023.8098333333,270.81,0.0262792447316079,5.13</t>
  </si>
  <si>
    <t>2025-05-05 06:24:00,-3531605.60326478,0,0,0,0,0,0,0</t>
  </si>
  <si>
    <t>2025-05-05 06:25:00,,560,,,575,,,,,,,,</t>
  </si>
  <si>
    <t>2025-05-05 06:25:00,,485,,,470,,,,,,,,</t>
  </si>
  <si>
    <t>2025-05-05 06:25:00,5700,,,5540,5600,,5692.5,,,,,5700,5540</t>
  </si>
  <si>
    <t>2025-05-05 06:25:00,,,,,20000,,,,,,,,</t>
  </si>
  <si>
    <t>2025-05-05 06:25:00,-1479929182.8258,0,0,0,0,0,0,0</t>
  </si>
  <si>
    <t>2025-05-05 06:25:00,-510133387.045051,0,0,0,0,0,0,0</t>
  </si>
  <si>
    <t>2025-05-05 06:25:00,273299342.581151,1980037.32533318,2828.30217391305,121,123833.287528986,5667.85,-0.141676599946003,70.1</t>
  </si>
  <si>
    <t>2025-05-05 06:25:00,-3537939.58807367,0,0,0,0,0,0,0</t>
  </si>
  <si>
    <t>2025-05-05 06:26:00,,560,,,575,,,,,,,,</t>
  </si>
  <si>
    <t>2025-05-05 06:26:00,,485,,,470,,,,,,,,</t>
  </si>
  <si>
    <t>2025-05-05 06:26:00,5700,,,5540,5600,,5692.5,,,,,5700,5540</t>
  </si>
  <si>
    <t>2025-05-05 06:26:00,,,,,20000,,,,,,,,</t>
  </si>
  <si>
    <t>2025-05-05 06:26:00,-1499629076.89924,0,0,0,0,0,0,0</t>
  </si>
  <si>
    <t>2025-05-05 06:26:00,-504232735.155452,0,0,0,0,0,0,0</t>
  </si>
  <si>
    <t>2025-05-05 06:26:00,274520818.815227,1888122.45173536,2179.96666666667,22,41331.9866666667,323.81,-0.0043418216301369,5.63</t>
  </si>
  <si>
    <t>2025-05-05 06:26:00,-3552856.49946622,0,0,0,0,0,0,0</t>
  </si>
  <si>
    <t>2025-05-05 06:27:00,,560,,,575,,,,,,,,</t>
  </si>
  <si>
    <t>2025-05-05 06:27:00,,485,,,470,,,,,,,,</t>
  </si>
  <si>
    <t>2025-05-05 06:27:00,5700,,,5540,5600,,5692.5,,,,,5700,5540</t>
  </si>
  <si>
    <t>2025-05-05 06:27:00,,,,,20000,,,,,,,,</t>
  </si>
  <si>
    <t>2025-05-05 06:27:00,-1505222087.67593,0,0,0,0,0,0,0</t>
  </si>
  <si>
    <t>2025-05-05 06:27:00,-510107215.102154,0,0,0,0,0,0,0</t>
  </si>
  <si>
    <t>2025-05-05 06:27:00,275422732.466569,1890299.52513491,2237.33333333335,40,121077.943333334,998.48,0.00892380725118852,16.61</t>
  </si>
  <si>
    <t>2025-05-05 06:27:00,-3550903.17044218,0,0,0,0,0,0,0</t>
  </si>
  <si>
    <t>2025-05-05 06:28:00,,560,,,575,,,,,,,,</t>
  </si>
  <si>
    <t>2025-05-05 06:28:00,,485,,,470,,,,,,,,</t>
  </si>
  <si>
    <t>2025-05-05 06:28:00,5700,,,5540,5600,,5692.5,,,,,5700,5540</t>
  </si>
  <si>
    <t>2025-05-05 06:28:00,,,,,20000,,,,,,,,</t>
  </si>
  <si>
    <t>2025-05-05 06:28:00,-1379664694.76521,0,0,0,0,0,0,0</t>
  </si>
  <si>
    <t>2025-05-05 06:28:00,-539276034.150729,0,0,0,0,0,0,0</t>
  </si>
  <si>
    <t>2025-05-05 06:28:00,275303583.801696,1866805.56374342,2186.05,32,35448.4745,380.02,-0.00735085533039426,5.77</t>
  </si>
  <si>
    <t>2025-05-05 06:28:00,-3558587.43902242,0,0,0,0,0,0,0</t>
  </si>
  <si>
    <t>2025-05-05 06:29:00,,560,,,575,,,,,,,,</t>
  </si>
  <si>
    <t>2025-05-05 06:29:00,,485,,,470,,,,,,,,</t>
  </si>
  <si>
    <t>2025-05-05 06:29:00,5700,,,5540,5600,,5692.5,,,,,5700,5540</t>
  </si>
  <si>
    <t>2025-05-05 06:29:00,,,,,20000,,,,,,,,</t>
  </si>
  <si>
    <t>2025-05-05 06:29:00,-1466069389.79691,0,0,0,0,0,0,0</t>
  </si>
  <si>
    <t>2025-05-05 06:29:00,-487801400.488287,0,0,0,0,0,0,0</t>
  </si>
  <si>
    <t>2025-05-05 06:29:00,273113060.643742,1957708.1550337,4778.91666666667,94,119568.3935,1342.86,-0.0401892249708441,23.98</t>
  </si>
  <si>
    <t>2025-05-05 06:29:00,-3540782.71012604,0,0,0,0,0,0,0</t>
  </si>
  <si>
    <t>2025-05-05 06:30:00,,560,,,575,,,,,,,,</t>
  </si>
  <si>
    <t>2025-05-05 06:30:00,,485,,,470,,,,,,,,</t>
  </si>
  <si>
    <t>2025-05-05 06:30:00,5700,,,5540,5600,,5692.5,,,,,5700,5540</t>
  </si>
  <si>
    <t>2025-05-05 06:30:00,,,,,20000,,,,,,,,</t>
  </si>
  <si>
    <t>2025-05-05 06:30:00,-1386048289.32537,0,0,0,0,0,0,0</t>
  </si>
  <si>
    <t>2025-05-05 06:30:00,-545117413.71358,0,0,0,0,0,0,0</t>
  </si>
  <si>
    <t>2025-05-05 06:30:00,274041915.13191,1847673.28681788,5393.73333333335,61,268605.421000001,2394.14,0.191542096187006,40.73</t>
  </si>
  <si>
    <t>2025-05-05 06:30:00,-3555279.99937285,0,0,0,0,0,0,0</t>
  </si>
  <si>
    <t>2025-05-05 06:31:00,,560,,,575,,,,,,,,</t>
  </si>
  <si>
    <t>2025-05-05 06:31:00,,485,,,470,,,,,,,,</t>
  </si>
  <si>
    <t>2025-05-05 06:31:00,5700,,,5540,5600,,5692.5,,,,,5700,5540</t>
  </si>
  <si>
    <t>2025-05-05 06:31:00,,,,,20000,,,,,,,,</t>
  </si>
  <si>
    <t>2025-05-05 06:31:00,-1491486586.39244,0,0,0,0,0,0,0</t>
  </si>
  <si>
    <t>2025-05-05 06:31:00,-705479439.326027,0,0,0,0,0,0,0</t>
  </si>
  <si>
    <t>2025-05-05 06:31:00,277568982.010548,2173283.5010885,10795.0833333334,158,236847.220833334,1979.65,-0.0935227875224953,37.63</t>
  </si>
  <si>
    <t>2025-05-05 06:31:00,-3601997.3323848,0,0,0,0,0,0,0</t>
  </si>
  <si>
    <t>2025-05-05 06:32:00,,560,,,575,,,,,,,,</t>
  </si>
  <si>
    <t>2025-05-05 06:32:00,,485,,,470,,,,,,,,</t>
  </si>
  <si>
    <t>2025-05-05 06:32:00,5700,,,5540,5600,,5692.5,,,,,5700,5540</t>
  </si>
  <si>
    <t>2025-05-05 06:32:00,,,,,20000,,,,,,,,</t>
  </si>
  <si>
    <t>2025-05-05 06:32:00,-1412013310.12473,0,0,0,0,0,0,0</t>
  </si>
  <si>
    <t>2025-05-05 06:32:00,-575912857.344174,0,0,0,0,0,0,0</t>
  </si>
  <si>
    <t>2025-05-05 06:32:00,273845810.572165,1753311.83650996,1654.51666666667,27,31491.848,339.94,-0.0161036849578146,6.05</t>
  </si>
  <si>
    <t>2025-05-05 06:32:00,-3573214.16223862,0,0,0,0,0,0,0</t>
  </si>
  <si>
    <t>2025-05-05 06:33:00,,560,,,575,,,,,,,,</t>
  </si>
  <si>
    <t>2025-05-05 06:33:00,,485,,,470,,,,,,,,</t>
  </si>
  <si>
    <t>2025-05-05 06:33:00,5700,,,5540,5600,,5692.5,,,,,5700,5540</t>
  </si>
  <si>
    <t>2025-05-05 06:33:00,,,,,20000,,,,,,,,</t>
  </si>
  <si>
    <t>2025-05-05 06:33:00,-1422053628.04658,0,0,0,0,0,0,0</t>
  </si>
  <si>
    <t>2025-05-05 06:33:00,-494426342.489437,0,0,0,0,0,0,0</t>
  </si>
  <si>
    <t>2025-05-05 06:33:00,272367581.480915,2154096.38719084,2940.65000000001,45,94291.4498333333,1044.44,-0.0130462497587533,23.1</t>
  </si>
  <si>
    <t>2025-05-05 06:33:00,-3517694.71048603,0,0,0,0,0,0,0</t>
  </si>
  <si>
    <t>2025-05-05 06:34:00,,560,,,575,,,,,,,,</t>
  </si>
  <si>
    <t>2025-05-05 06:34:00,,485,,,470,,,,,,,,</t>
  </si>
  <si>
    <t>2025-05-05 06:34:00,5700,,,5540,5600,,5692.5,,,,,5700,5540</t>
  </si>
  <si>
    <t>2025-05-05 06:34:00,,,,,20000,,,,,,,,</t>
  </si>
  <si>
    <t>2025-05-05 06:34:00,-1466928843.84055,0,0,0,0,0,0,0</t>
  </si>
  <si>
    <t>2025-05-05 06:34:00,-477128939.593959,0,0,0,0,0,0,0</t>
  </si>
  <si>
    <t>2025-05-05 06:34:00,273022082.316944,2005182.32154969,7664.77474747474,190,172136.853040404,6607.07,-0.122188710679901,86.62</t>
  </si>
  <si>
    <t>2025-05-05 06:34:00,-3536359.33244791,0,0,0,0,0,0,0</t>
  </si>
  <si>
    <t>2025-05-05 06:35:00,,560,,,575,,,,,,,,</t>
  </si>
  <si>
    <t>2025-05-05 06:35:00,,485,,,470,,,,,,,,</t>
  </si>
  <si>
    <t>2025-05-05 06:35:00,5700,,,5540,5600,,5692.5,,,,,5700,5540</t>
  </si>
  <si>
    <t>2025-05-05 06:35:00,,,,,20000,,,,,,,,</t>
  </si>
  <si>
    <t>2025-05-05 06:35:00,-1467253714.80134,0,0,0,0,0,0,0</t>
  </si>
  <si>
    <t>2025-05-05 06:35:00,-493580010.022416,0,0,0,0,0,0,0</t>
  </si>
  <si>
    <t>2025-05-05 06:35:00,273338909.84912,1915723.25349562,518.027777777779,9,15442.5475000001,179.59,0.00942404994173712,4.17</t>
  </si>
  <si>
    <t>2025-05-05 06:35:00,-3535618.53974245,0,0,0,0,0,0,0</t>
  </si>
  <si>
    <t>2025-05-05 06:36:00,,560,,,575,,,,,,,,</t>
  </si>
  <si>
    <t>2025-05-05 06:36:00,,485,,,470,,,,,,,,</t>
  </si>
  <si>
    <t>2025-05-05 06:36:00,5700,,,5540,5600,,5692.5,,,,,5700,5540</t>
  </si>
  <si>
    <t>2025-05-05 06:36:00,,,,,20000,,,,,,,,</t>
  </si>
  <si>
    <t>2025-05-05 06:36:00,-1394418778.70686,0,0,0,0,0,0,0</t>
  </si>
  <si>
    <t>2025-05-05 06:36:00,-605961382.681357,0,0,0,0,0,0,0</t>
  </si>
  <si>
    <t>2025-05-05 06:36:00,277366658.524509,1745827.42253172,1384.27843137255,27,24741.5955980392,316.24,-0.0453168991487876,6.32</t>
  </si>
  <si>
    <t>2025-05-05 06:36:00,-3570204.12584316,0,0,0,0,0,0,0</t>
  </si>
  <si>
    <t>2025-05-05 06:37:00,,560,,,575,,,,,,,,</t>
  </si>
  <si>
    <t>2025-05-05 06:37:00,,485,,,470,,,,,,,,</t>
  </si>
  <si>
    <t>2025-05-05 06:37:00,5700,,,5540,5600,,5692.5,,,,,5700,5540</t>
  </si>
  <si>
    <t>2025-05-05 06:37:00,,,,,20000,,,,,,,,</t>
  </si>
  <si>
    <t>2025-05-05 06:37:00,-1467152536.12039,0,0,0,0,0,0,0</t>
  </si>
  <si>
    <t>2025-05-05 06:37:00,-654020781.516148,0,0,0,0,0,0,0</t>
  </si>
  <si>
    <t>2025-05-05 06:37:00,277200109.384118,2242447.73629639,3361.85882352942,33,75364.9448235295,628.09,-0.000614184753347134,11.7</t>
  </si>
  <si>
    <t>2025-05-05 06:37:00,-3585623.39168793,0,0,0,0,0,0,0</t>
  </si>
  <si>
    <t>2025-05-05 06:38:00,,560,,,575,,,,,,,,</t>
  </si>
  <si>
    <t>2025-05-05 06:38:00,,485,,,470,,,,,,,,</t>
  </si>
  <si>
    <t>2025-05-05 06:38:00,5700,,,5540,5600,,5692.5,,,,,5700,5540</t>
  </si>
  <si>
    <t>2025-05-05 06:38:00,,,,,20000,,,,,,,,</t>
  </si>
  <si>
    <t>2025-05-05 06:38:00,-1593729462.77099,0,0,0,0,0,0,0</t>
  </si>
  <si>
    <t>2025-05-05 06:38:00,-744871345.074517,0,0,0,0,0,0,0</t>
  </si>
  <si>
    <t>2025-05-05 06:38:00,280356585.832778,2274355.04018244,8628.89302721086,86,217883.688586734,1448.6,0.00966663407077212,30.28</t>
  </si>
  <si>
    <t>2025-05-05 06:38:00,-3604139.22895654,0,0,0,0,0,0,0</t>
  </si>
  <si>
    <t>2025-05-05 06:39:00,,560,,,575,,,,,,,,</t>
  </si>
  <si>
    <t>2025-05-05 06:39:00,,485,,,470,,,,,,,,</t>
  </si>
  <si>
    <t>2025-05-05 06:39:00,5700,,,5540,5600,,5692.5,,,,,5700,5540</t>
  </si>
  <si>
    <t>2025-05-05 06:39:00,,,,,20000,,,,,,,,</t>
  </si>
  <si>
    <t>2025-05-05 06:39:00,-1636453257.48398,0,0,0,0,0,0,0</t>
  </si>
  <si>
    <t>2025-05-05 06:39:00,-832022898.724725,0,0,0,0,0,0,0</t>
  </si>
  <si>
    <t>2025-05-05 06:39:00,283308557.474263,2265650.57199181,10303.4333333333,122,256740.608666666,2254.67,0.0516425271060427,44.96</t>
  </si>
  <si>
    <t>2025-05-05 06:39:00,-3617507.82459843,0,0,0,0,0,0,0</t>
  </si>
  <si>
    <t>2025-05-05 06:40:00,,560,,,575,,,,,,,,</t>
  </si>
  <si>
    <t>2025-05-05 06:40:00,,485,,,470,,,,,,,,</t>
  </si>
  <si>
    <t>2025-05-05 06:40:00,5700,,,5540,5600,,5692.5,,,,,5700,5540</t>
  </si>
  <si>
    <t>2025-05-05 06:40:00,,,,,20000,,,,,,,,</t>
  </si>
  <si>
    <t>2025-05-05 06:40:00,-1673098876.87104,0,0,0,0,0,0,0</t>
  </si>
  <si>
    <t>2025-05-05 06:40:00,-831957266.111342,0,0,0,0,0,0,0</t>
  </si>
  <si>
    <t>2025-05-05 06:40:00,284786581.11124,2269725.655704,6460.43333333333,80,146847.251166666,1286.05,0.0420451195688344,25.44</t>
  </si>
  <si>
    <t>2025-05-05 06:40:00,-3613845.43778764,0,0,0,0,0,0,0</t>
  </si>
  <si>
    <t>2025-05-05 06:41:00,,560,,,575,,,,,,,,</t>
  </si>
  <si>
    <t>2025-05-05 06:41:00,,485,,,470,,,,,,,,</t>
  </si>
  <si>
    <t>2025-05-05 06:41:00,5700,,,5540,5600,,5692.5,,,,,5700,5540</t>
  </si>
  <si>
    <t>2025-05-05 06:41:00,,,,,20000,,,,,,,,</t>
  </si>
  <si>
    <t>2025-05-05 06:41:00,-1757355713.38431,0,0,0,0,0,0,0</t>
  </si>
  <si>
    <t>2025-05-05 06:41:00,-985153613.762196,0,0,0,0,0,0,0</t>
  </si>
  <si>
    <t>2025-05-05 06:41:00,286359474.959512,2097261.93354437,8277.43833333333,159,166190.92215,1902.84,-0.17685018714596,41.6</t>
  </si>
  <si>
    <t>2025-05-05 06:41:00,-3641841.64006373,0,0,0,0,0,0,0</t>
  </si>
  <si>
    <t>2025-05-05 06:42:00,,560,,,575,,,,,,,,</t>
  </si>
  <si>
    <t>2025-05-05 06:42:00,,485,,,470,,,,,,,,</t>
  </si>
  <si>
    <t>2025-05-05 06:42:00,5700,,,5540,5600,,5692.5,,,,,5700,5540</t>
  </si>
  <si>
    <t>2025-05-05 06:42:00,,,,,20000,,,,,,,,</t>
  </si>
  <si>
    <t>2025-05-05 06:42:00,-1726363145.65264,0,0,0,0,0,0,0</t>
  </si>
  <si>
    <t>2025-05-05 06:42:00,-987486022.555645,0,0,0,0,0,0,0</t>
  </si>
  <si>
    <t>2025-05-05 06:42:00,286466250.359495,2121200.90041827,3360.52727272727,72,43042.8388333333,568.37,-0.138460365795552,12.31</t>
  </si>
  <si>
    <t>2025-05-05 06:42:00,-3644231.51164197,0,0,0,0,0,0,0</t>
  </si>
  <si>
    <t>2025-05-05 06:43:00,,560,,,575,,,,,,,,</t>
  </si>
  <si>
    <t>2025-05-05 06:43:00,,485,,,470,,,,,,,,</t>
  </si>
  <si>
    <t>2025-05-05 06:43:00,5700,,,5540,5600,,5692.5,,,,,5700,5540</t>
  </si>
  <si>
    <t>2025-05-05 06:43:00,,,,,20000,,,,,,,,</t>
  </si>
  <si>
    <t>2025-05-05 06:43:00,-1733912602.86135,0,0,0,0,0,0,0</t>
  </si>
  <si>
    <t>2025-05-05 06:43:00,-980139978.791922,0,0,0,0,0,0,0</t>
  </si>
  <si>
    <t>2025-05-05 06:43:00,285562065.679434,2117170.05911136,5220.94999999999,77,217418.961166666,1889.28,0.0891987471870689,33.02</t>
  </si>
  <si>
    <t>2025-05-05 06:43:00,-3636221.06953002,0,0,0,0,0,0,0</t>
  </si>
  <si>
    <t>2025-05-05 06:44:00,,560,,,575,,,,,,,,</t>
  </si>
  <si>
    <t>2025-05-05 06:44:00,,485,,,470,,,,,,,,</t>
  </si>
  <si>
    <t>2025-05-05 06:44:00,5700,,,5540,5600,,5692.5,,,,,5700,5540</t>
  </si>
  <si>
    <t>2025-05-05 06:44:00,,,,,20000,,,,,,,,</t>
  </si>
  <si>
    <t>2025-05-05 06:44:00,-1681387989.52486,0,0,0,0,0,0,0</t>
  </si>
  <si>
    <t>2025-05-05 06:44:00,-956004695.911947,0,0,0,0,0,0,0</t>
  </si>
  <si>
    <t>2025-05-05 06:44:00,282929624.874452,2205140.10938242,3282.28333333334,41,130183.627166667,1187.65,0.0423889763079136,15.51</t>
  </si>
  <si>
    <t>2025-05-05 06:44:00,-3634320.60383631,0,0,0,0,0,0,0</t>
  </si>
  <si>
    <t>2025-05-05 06:45:00,,560,,,575,,,,,,,,</t>
  </si>
  <si>
    <t>2025-05-05 06:45:00,,485,,,470,,,,,,,,</t>
  </si>
  <si>
    <t>2025-05-05 06:45:00,5700,,,5540,5600,,5692.5,,,,,5700,5540</t>
  </si>
  <si>
    <t>2025-05-05 06:45:00,,,,,20000,,,,,,,,</t>
  </si>
  <si>
    <t>2025-05-05 06:45:00,-1609091733.95743,0,0,0,0,0,0,0</t>
  </si>
  <si>
    <t>2025-05-05 06:45:00,-831813758.26956,0,0,0,0,0,0,0</t>
  </si>
  <si>
    <t>2025-05-05 06:45:00,281537824.678826,2276629.15857129,2506.06111111111,40,45713.4361666666,545.4,-0.0401509114764693,10.01</t>
  </si>
  <si>
    <t>2025-05-05 06:45:00,-3614134.10242898,0,0,0,0,0,0,0</t>
  </si>
  <si>
    <t>2025-05-05 06:46:00,,560,,,575,,,,,,,,</t>
  </si>
  <si>
    <t>2025-05-05 06:46:00,,485,,,470,,,,,,,,</t>
  </si>
  <si>
    <t>2025-05-05 06:46:00,5700,,,5540,5600,,5692.5,,,,,5700,5540</t>
  </si>
  <si>
    <t>2025-05-05 06:46:00,,,,,20000,,,,,,,,</t>
  </si>
  <si>
    <t>2025-05-05 06:46:00,-1469012884.84332,0,0,0,0,0,0,0</t>
  </si>
  <si>
    <t>2025-05-05 06:46:00,-675532091.951488,0,0,0,0,0,0,0</t>
  </si>
  <si>
    <t>2025-05-05 06:46:00,275875214.048372,2497818.84413629,5272.6914141414,155,186267.783540403,6242.22,-0.122263426732545,80.89</t>
  </si>
  <si>
    <t>2025-05-05 06:46:00,-3585367.38238815,0,0,0,0,0,0,0</t>
  </si>
  <si>
    <t>2025-05-05 06:47:00,,560,,,575,,,,,,,,</t>
  </si>
  <si>
    <t>2025-05-05 06:47:00,,485,,,470,,,,,,,,</t>
  </si>
  <si>
    <t>2025-05-05 06:47:00,5700,,,5540,5600,,5692.5,,,,,5700,5540</t>
  </si>
  <si>
    <t>2025-05-05 06:47:00,,,,,20000,,,,,,,,</t>
  </si>
  <si>
    <t>2025-05-05 06:47:00,-1514600754.11935,0,0,0,0,0,0,0</t>
  </si>
  <si>
    <t>2025-05-05 06:47:00,-753354402.716579,0,0,0,0,0,0,0</t>
  </si>
  <si>
    <t>2025-05-05 06:47:00,276632995.775645,2420029.75035401,4014.54999999999,66,72131.5094999998,638.76,-0.0581686762938277,10.6</t>
  </si>
  <si>
    <t>2025-05-05 06:47:00,-3608855.96484055,0,0,0,0,0,0,0</t>
  </si>
  <si>
    <t>2025-05-05 06:48:00,,560,,,575,,,,,,,,</t>
  </si>
  <si>
    <t>2025-05-05 06:48:00,,485,,,470,,,,,,,,</t>
  </si>
  <si>
    <t>2025-05-05 06:48:00,5700,,,5540,5600,,5692.5,,,,,5700,5540</t>
  </si>
  <si>
    <t>2025-05-05 06:48:00,,,,,20000,,,,,,,,</t>
  </si>
  <si>
    <t>2025-05-05 06:48:00,-1505862201.88034,0,0,0,0,0,0,0</t>
  </si>
  <si>
    <t>2025-05-05 06:48:00,-712747065.645968,0,0,0,0,0,0,0</t>
  </si>
  <si>
    <t>2025-05-05 06:48:00,276476791.465901,2455140.87705921,1516.98333333333,20,31980.3398333333,328.22,0.0148279646225666,5.36</t>
  </si>
  <si>
    <t>2025-05-05 06:48:00,-3600618.91501531,0,0,0,0,0,0,0</t>
  </si>
  <si>
    <t>2025-05-05 06:49:00,,560,,,575,,,,,,,,</t>
  </si>
  <si>
    <t>2025-05-05 06:49:00,,485,,,470,,,,,,,,</t>
  </si>
  <si>
    <t>2025-05-05 06:49:00,5700,,,5540,5600,,5692.5,,,,,5700,5540</t>
  </si>
  <si>
    <t>2025-05-05 06:49:00,,,,,20000,,,,,,,,</t>
  </si>
  <si>
    <t>2025-05-05 06:49:00,-1548002828.28021,0,0,0,0,0,0,0</t>
  </si>
  <si>
    <t>2025-05-05 06:49:00,-761652078.700402,0,0,0,0,0,0,0</t>
  </si>
  <si>
    <t>2025-05-05 06:49:00,278956162.295667,2336569.80412228,731.433333333335,8,16895.7493333334,148.22,0.00381418519793484,3.5</t>
  </si>
  <si>
    <t>2025-05-05 06:49:00,-3602218.29987923,0,0,0,0,0,0,0</t>
  </si>
  <si>
    <t>2025-05-05 06:50:00,,560,,,575,,,,,,,,</t>
  </si>
  <si>
    <t>2025-05-05 06:50:00,,485,,,470,,,,,,,,</t>
  </si>
  <si>
    <t>2025-05-05 06:50:00,5700,,,5540,5600,,5692.5,,,,,5700,5540</t>
  </si>
  <si>
    <t>2025-05-05 06:50:00,,,,,20000,,,,,,,,</t>
  </si>
  <si>
    <t>2025-05-05 06:50:00,-1585781511.5977,0,0,0,0,0,0,0</t>
  </si>
  <si>
    <t>2025-05-05 06:50:00,-831656855.511275,0,0,0,0,0,0,0</t>
  </si>
  <si>
    <t>2025-05-05 06:50:00,280032502.88014,2275096.43561169,231.64705882353,6,2798.57205882353,55.7,-0.00930253609254697,0.98</t>
  </si>
  <si>
    <t>2025-05-05 06:50:00,-3610025.52389366,0,0,0,0,0,0,0</t>
  </si>
  <si>
    <t>2025-05-05 06:51:00,,560,,,575,,,,,,,,</t>
  </si>
  <si>
    <t>2025-05-05 06:51:00,,485,,,470,,,,,,,,</t>
  </si>
  <si>
    <t>2025-05-05 06:51:00,5700,,,5540,5600,,5692.5,,,,,5700,5540</t>
  </si>
  <si>
    <t>2025-05-05 06:51:00,,,,,20000,,,,,,,,</t>
  </si>
  <si>
    <t>2025-05-05 06:51:00,-1568754950.79989,0,0,0,0,0,0,0</t>
  </si>
  <si>
    <t>2025-05-05 06:51:00,-786973408.464118,0,0,0,0,0,0,0</t>
  </si>
  <si>
    <t>2025-05-05 06:51:00,279453693.396729,2345457.66449421,2377.9,31,78480.1083333332,732.33,0.0623921932283607,14.42</t>
  </si>
  <si>
    <t>2025-05-05 06:51:00,-3601894.27742995,0,0,0,0,0,0,0</t>
  </si>
  <si>
    <t>2025-05-05 06:52:00,,560,,,575,,,,,,,,</t>
  </si>
  <si>
    <t>2025-05-05 06:52:00,,485,,,470,,,,,,,,</t>
  </si>
  <si>
    <t>2025-05-05 06:52:00,5700,,,5540,5600,,5692.5,,,,,5700,5540</t>
  </si>
  <si>
    <t>2025-05-05 06:52:00,,,,,20000,,,,,,,,</t>
  </si>
  <si>
    <t>2025-05-05 06:52:00,-1522223836.47907,0,0,0,0,0,0,0</t>
  </si>
  <si>
    <t>2025-05-05 06:52:00,-778374333.899386,0,0,0,0,0,0,0</t>
  </si>
  <si>
    <t>2025-05-05 06:52:00,277501394.024785,2366325.07924804,2857.66666666666,58,117462.572666665,1053.17,-0.0502912160695028,17.53</t>
  </si>
  <si>
    <t>2025-05-05 06:52:00,-3609374.91720591,0,0,0,0,0,0,0</t>
  </si>
  <si>
    <t>2025-05-05 06:53:00,,560,,,575,,,,,,,,</t>
  </si>
  <si>
    <t>2025-05-05 06:53:00,,485,,,470,,,,,,,,</t>
  </si>
  <si>
    <t>2025-05-05 06:53:00,5700,,,5540,5600,,5692.5,,,,,5700,5540</t>
  </si>
  <si>
    <t>2025-05-05 06:53:00,,,,,20000,,,,,,,,</t>
  </si>
  <si>
    <t>2025-05-05 06:53:00,-1535620961.90891,0,0,0,0,0,0,0</t>
  </si>
  <si>
    <t>2025-05-05 06:53:00,-822404505.612204,0,0,0,0,0,0,0</t>
  </si>
  <si>
    <t>2025-05-05 06:53:00,278400295.612449,2367759.44829564,4874.87083333333,72,67906.7254166667,735.19,-0.0627155714625231,13.35</t>
  </si>
  <si>
    <t>2025-05-05 06:53:00,-3611405.96162999,0,0,0,0,0,0,0</t>
  </si>
  <si>
    <t>2025-05-05 06:54:00,,560,,,575,,,,,,,,</t>
  </si>
  <si>
    <t>2025-05-05 06:54:00,,485,,,470,,,,,,,,</t>
  </si>
  <si>
    <t>2025-05-05 06:54:00,5700,,,5540,5600,,5692.5,,,,,5700,5540</t>
  </si>
  <si>
    <t>2025-05-05 06:54:00,,,,,20000,,,,,,,,</t>
  </si>
  <si>
    <t>2025-05-05 06:54:00,-1576218574.15704,0,0,0,0,0,0,0</t>
  </si>
  <si>
    <t>2025-05-05 06:54:00,-918053448.641349,0,0,0,0,0,0,0</t>
  </si>
  <si>
    <t>2025-05-05 06:54:00,280273453.722738,2337115.45438847,1904.36666666667,40,17650.3653333333,245.09,-0.0211390499492816,2.67</t>
  </si>
  <si>
    <t>2025-05-05 06:54:00,-3625118.14493708,0,0,0,0,0,0,0</t>
  </si>
  <si>
    <t>2025-05-05 06:55:00,,560,,,575,,,,,,,,</t>
  </si>
  <si>
    <t>2025-05-05 06:55:00,,485,,,470,,,,,,,,</t>
  </si>
  <si>
    <t>2025-05-05 06:55:00,5700,,,5540,5600,,5692.5,,,,,5700,5540</t>
  </si>
  <si>
    <t>2025-05-05 06:55:00,,,,,20000,,,,,,,,</t>
  </si>
  <si>
    <t>2025-05-05 06:55:00,-1639360007.10743,0,0,0,0,0,0,0</t>
  </si>
  <si>
    <t>2025-05-05 06:55:00,-988779431.893511,0,0,0,0,0,0,0</t>
  </si>
  <si>
    <t>2025-05-05 06:55:00,282816767.369606,2284200.16729486,3407.8,62,81011.2933333337,848.13,-0.0520292446161855,14.16</t>
  </si>
  <si>
    <t>2025-05-05 06:55:00,-3634664.44105475,0,0,0,0,0,0,0</t>
  </si>
  <si>
    <t>2025-05-05 06:56:00,,560,,,575,,,,,,,,</t>
  </si>
  <si>
    <t>2025-05-05 06:56:00,,485,,,470,,,,,,,,</t>
  </si>
  <si>
    <t>2025-05-05 06:56:00,5700,,,5540,5600,,5692.5,,,,,5700,5540</t>
  </si>
  <si>
    <t>2025-05-05 06:56:00,,,,,20000,,,,,,,,</t>
  </si>
  <si>
    <t>2025-05-05 06:56:00,-1668528391.73816,0,0,0,0,0,0,0</t>
  </si>
  <si>
    <t>2025-05-05 06:56:00,-456558330.45406,0,0,0,0,0,0,0</t>
  </si>
  <si>
    <t>2025-05-05 06:56:00,284439445.934374,2220999.54679681,6960.96666666668,85,221831.923333334,1285.79,0.020473119220314,17.99</t>
  </si>
  <si>
    <t>2025-05-05 06:56:00,-3634301.56300812,0,0,0,0,0,0,0</t>
  </si>
  <si>
    <t>2025-05-05 06:57:00,,560,,,575,,,,,,,,</t>
  </si>
  <si>
    <t>2025-05-05 06:57:00,,485,,,470,,,,,,,,</t>
  </si>
  <si>
    <t>2025-05-05 06:57:00,5700,,,5540,5600,,5692.5,,,,,5700,5540</t>
  </si>
  <si>
    <t>2025-05-05 06:57:00,,,,,20000,,,,,,,,</t>
  </si>
  <si>
    <t>2025-05-05 06:57:00,-1720957230.56186,0,0,0,0,0,0,0</t>
  </si>
  <si>
    <t>2025-05-05 06:57:00,-485972643.460684,0,0,0,0,0,0,0</t>
  </si>
  <si>
    <t>2025-05-05 06:57:00,286263187.522822,2196427.96798105,3850.90000000001,46,130591.88,859.11,0.0183837868544202,17.41</t>
  </si>
  <si>
    <t>2025-05-05 06:57:00,-3641146.1793622,0,0,0,0,0,0,0</t>
  </si>
  <si>
    <t>2025-05-05 06:58:00,,560,,,575,,,,,,,,</t>
  </si>
  <si>
    <t>2025-05-05 06:58:00,,485,,,470,,,,,,,,</t>
  </si>
  <si>
    <t>2025-05-05 06:58:00,5700,,,5540,5600,,5692.5,,,,,5700,5540</t>
  </si>
  <si>
    <t>2025-05-05 06:58:00,,,,,20000,,,,,,,,</t>
  </si>
  <si>
    <t>2025-05-05 06:58:00,-1649741051.90422,0,0,0,0,0,0,0</t>
  </si>
  <si>
    <t>2025-05-05 06:58:00,-979735376.1303,0,0,0,0,0,0,0</t>
  </si>
  <si>
    <t>2025-05-05 06:58:00,283554644.654015,2290643.74724692,5489.34999999998,67,196533.154166666,1544.38,0.111763906433262,32.84</t>
  </si>
  <si>
    <t>2025-05-05 06:58:00,-3633336.75089556,0,0,0,0,0,0,0</t>
  </si>
  <si>
    <t>2025-05-05 06:59:00,,560,,,575,,,,,,,,</t>
  </si>
  <si>
    <t>2025-05-05 06:59:00,,485,,,470,,,,,,,,</t>
  </si>
  <si>
    <t>2025-05-05 06:59:00,5700,,,5540,5600,,5692.5,,,,,5700,5540</t>
  </si>
  <si>
    <t>2025-05-05 06:59:00,,,,,20000,,,,,,,,</t>
  </si>
  <si>
    <t>2025-05-05 06:59:00,-1611636907.44022,0,0,0,0,0,0,0</t>
  </si>
  <si>
    <t>2025-05-05 06:59:00,-908199036.248888,0,0,0,0,0,0,0</t>
  </si>
  <si>
    <t>2025-05-05 06:59:00,280953832.956151,2359792.01239583,226.333333333333,7,3649.606,45.11,-0.0154301500040898,1.03</t>
  </si>
  <si>
    <t>2025-05-05 06:59:00,-3619408.3015355,0,0,0,0,0,0,0</t>
  </si>
  <si>
    <t>2025-05-05 07:00:00,,560,,,575,,,,,,,,</t>
  </si>
  <si>
    <t>2025-05-05 07:00:00,,485,,,470,,,,,,,,</t>
  </si>
  <si>
    <t>2025-05-05 07:00:00,5700,,,5540,5600,,5692.5,,,,,5700,5540</t>
  </si>
  <si>
    <t>2025-05-05 07:00:00,,,,,20000,,,,,,,,</t>
  </si>
  <si>
    <t>2025-05-05 07:00:00,-1530237355.57114,0,0,0,0,0,0,0</t>
  </si>
  <si>
    <t>2025-05-05 07:00:00,-761541589.307905,0,0,0,0,0,0,0</t>
  </si>
  <si>
    <t>2025-05-05 07:00:00,277926386.966238,2517447.2628448,1670.63333333334,24,48159.6113333334,467.12,0.00700734923915865,9.42</t>
  </si>
  <si>
    <t>2025-05-05 07:00:00,-3591330.59619044,0,0,0,0,0,0,0</t>
  </si>
  <si>
    <t>2025-05-05 07:01:00,,560,,,575,,,,,,,,</t>
  </si>
  <si>
    <t>2025-05-05 07:01:00,,485,,,470,,,,,,,,</t>
  </si>
  <si>
    <t>2025-05-05 07:01:00,5700,,,5540,5600,,5692.5,,,,,5700,5540</t>
  </si>
  <si>
    <t>2025-05-05 07:01:00,,,,,20000,,,,,,,,</t>
  </si>
  <si>
    <t>2025-05-05 07:01:00,-1508957439.39037,0,0,0,0,0,0,0</t>
  </si>
  <si>
    <t>2025-05-05 07:01:00,-702595875.853027,0,0,0,0,0,0,0</t>
  </si>
  <si>
    <t>2025-05-05 07:01:00,276866661.493437,2459783.65024474,4046.77575757576,42,132665.679060606,1211.15,0.0334228678034983,18.43</t>
  </si>
  <si>
    <t>2025-05-05 07:01:00,-3568825.65854169,0,0,0,0,0,0,0</t>
  </si>
  <si>
    <t>2025-05-05 07:02:00,,560,,,575,,,,,,,,</t>
  </si>
  <si>
    <t>2025-05-05 07:02:00,,485,,,470,,,,,,,,</t>
  </si>
  <si>
    <t>2025-05-05 07:02:00,5700,,,5540,5600,,5692.5,,,,,5700,5540</t>
  </si>
  <si>
    <t>2025-05-05 07:02:00,,,,,20000,,,,,,,,</t>
  </si>
  <si>
    <t>2025-05-05 07:02:00,-1534090314.87652,0,0,0,0,0,0,0</t>
  </si>
  <si>
    <t>2025-05-05 07:02:00,-778128346.518744,0,0,0,0,0,0,0</t>
  </si>
  <si>
    <t>2025-05-05 07:02:00,278446951.25738,2440111.63956971,1293.9,18,28153.36,251.19,0.00524941018812732,4.71</t>
  </si>
  <si>
    <t>2025-05-05 07:02:00,-3591955.17554125,0,0,0,0,0,0,0</t>
  </si>
  <si>
    <t>2025-05-05 07:03:00,,560,,,575,,,,,,,,</t>
  </si>
  <si>
    <t>2025-05-05 07:03:00,,485,,,470,,,,,,,,</t>
  </si>
  <si>
    <t>2025-05-05 07:03:00,5700,,,5540,5600,,5692.5,,,,,5700,5540</t>
  </si>
  <si>
    <t>2025-05-05 07:03:00,,,,,20000,,,,,,,,</t>
  </si>
  <si>
    <t>2025-05-05 07:03:00,-1575566706.03495,0,0,0,0,0,0,0</t>
  </si>
  <si>
    <t>2025-05-05 07:03:00,-813231282.402383,0,0,0,0,0,0,0</t>
  </si>
  <si>
    <t>2025-05-05 07:03:00,279718078.137526,2490649.66312173,19966.6333333333,218,572999.639666666,5861.18,0.498543717738888,159.4</t>
  </si>
  <si>
    <t>2025-05-05 07:03:00,-3603260.57301748,0,0,0,0,0,0,0</t>
  </si>
  <si>
    <t>2025-05-05 07:04:00,,560,,,575,,,,,,,,</t>
  </si>
  <si>
    <t>2025-05-05 07:04:00,,485,,,470,,,,,,,,</t>
  </si>
  <si>
    <t>2025-05-05 07:04:00,5700,,,5540,5600,,5692.5,,,,,5700,5540</t>
  </si>
  <si>
    <t>2025-05-05 07:04:00,,,,,20000,,,,,,,,</t>
  </si>
  <si>
    <t>2025-05-05 07:04:00,-1619487927.98907,0,0,0,0,0,0,0</t>
  </si>
  <si>
    <t>2025-05-05 07:04:00,-927676577.603617,0,0,0,0,0,0,0</t>
  </si>
  <si>
    <t>2025-05-05 07:04:00,281818310.516842,2439637.2213398,702.876190476192,12,16937.7934285714,290.33,-0.013558288772598,3.92</t>
  </si>
  <si>
    <t>2025-05-05 07:04:00,-3614850.37436517,0,0,0,0,0,0,0</t>
  </si>
  <si>
    <t>2025-05-05 07:05:00,,560,,,575,,,,,,,,</t>
  </si>
  <si>
    <t>2025-05-05 07:05:00,,485,,,470,,,,,,,,</t>
  </si>
  <si>
    <t>2025-05-05 07:05:00,5700,,,5540,5600,,5692.5,,,,,5700,5540</t>
  </si>
  <si>
    <t>2025-05-05 07:05:00,,,,,20000,,,,,,,,</t>
  </si>
  <si>
    <t>2025-05-05 07:05:00,-1648347667.07521,0,0,0,0,0,0,0</t>
  </si>
  <si>
    <t>2025-05-05 07:05:00,-984844524.647505,0,0,0,0,0,0,0</t>
  </si>
  <si>
    <t>2025-05-05 07:05:00,283861999.81931,2427381.93767336,6142.81666666666,54,265593.515833333,1804.63,0.117609014429003,32.62</t>
  </si>
  <si>
    <t>2025-05-05 07:05:00,-3618880.68638382,0,0,0,0,0,0,0</t>
  </si>
  <si>
    <t>2025-05-05 07:06:00,,560,,,575,,,,,,,,</t>
  </si>
  <si>
    <t>2025-05-05 07:06:00,,485,,,470,,,,,,,,</t>
  </si>
  <si>
    <t>2025-05-05 07:06:00,5700,,,5540,5600,,5692.5,,,,,5700,5540</t>
  </si>
  <si>
    <t>2025-05-05 07:06:00,,,,,20000,,,,,,,,</t>
  </si>
  <si>
    <t>2025-05-05 07:06:00,-1634040646.51749,0,0,0,0,0,0,0</t>
  </si>
  <si>
    <t>2025-05-05 07:06:00,-964093951.158174,0,0,0,0,0,0,0</t>
  </si>
  <si>
    <t>2025-05-05 07:06:00,282452766.818508,2446459.53777629,3792.33333333333,63,135752.316666666,1171,0.015697159674734,18.7</t>
  </si>
  <si>
    <t>2025-05-05 07:06:00,-3618414.4256712,0,0,0,0,0,0,0</t>
  </si>
  <si>
    <t>2025-05-05 07:07:00,,560,,,575,,,,,,,,</t>
  </si>
  <si>
    <t>2025-05-05 07:07:00,,485,,,470,,,,,,,,</t>
  </si>
  <si>
    <t>2025-05-05 07:07:00,5700,,,5540,5600,,5692.5,,,,,5700,5540</t>
  </si>
  <si>
    <t>2025-05-05 07:07:00,,,,,20000,,,,,,,,</t>
  </si>
  <si>
    <t>2025-05-05 07:07:00,-1480085567.30708,0,0,0,0,0,0,0</t>
  </si>
  <si>
    <t>2025-05-05 07:07:00,-744977449.872613,0,0,0,0,0,0,0</t>
  </si>
  <si>
    <t>2025-05-05 07:07:00,275758115.381305,2696418.99917218,1482.74509803922,20,61008.4930392157,573.52,0.0359680620797999,10.89</t>
  </si>
  <si>
    <t>2025-05-05 07:07:00,-3579876.08262707,0,0,0,0,0,0,0</t>
  </si>
  <si>
    <t>2025-05-05 07:08:00,,560,,,575,,,,,,,,</t>
  </si>
  <si>
    <t>2025-05-05 07:08:00,,485,,,470,,,,,,,,</t>
  </si>
  <si>
    <t>2025-05-05 07:08:00,5700,,,5540,5600,,5690,,,,,5700,5540</t>
  </si>
  <si>
    <t>2025-05-05 07:08:00,20300,,,,20000,,,,,,,,</t>
  </si>
  <si>
    <t>2025-05-05 07:08:00,-1426548955.04083,0,0,0,0,0,0,0</t>
  </si>
  <si>
    <t>2025-05-05 07:08:00,-654083236.195172,0,0,0,0,0,0,0</t>
  </si>
  <si>
    <t>2025-05-05 07:08:00,302110052.403134,2058632.31891977,,-48,,-110478.22,-1.44597046249552,87.8900000000001</t>
  </si>
  <si>
    <t>2025-05-05 07:08:00,4636550.94615667,0,0,0,0,0,0,0</t>
  </si>
  <si>
    <t>2025-05-05 07:09:00,,560,,,575,,,,,,,,</t>
  </si>
  <si>
    <t>2025-05-05 07:09:00,,485,,,470,,,,,,,,</t>
  </si>
  <si>
    <t>2025-05-05 07:09:00,5700,,,5540,5600,,5690,,,,,5700,5540</t>
  </si>
  <si>
    <t>2025-05-05 07:09:00,20300,,,,20000,,,,,,,,</t>
  </si>
  <si>
    <t>2025-05-05 07:09:00,-1444915989.63665,0,0,0,0,0,0,0</t>
  </si>
  <si>
    <t>2025-05-05 07:09:00,-697732518.621971,0,0,0,0,0,0,0</t>
  </si>
  <si>
    <t>2025-05-05 07:09:00,303654596.805701,1950223.30835,,18,,189.6,-0.0290362605610734,4.24</t>
  </si>
  <si>
    <t>2025-05-05 07:09:00,4548460.77261232,0,0,0,0,0,0,0</t>
  </si>
  <si>
    <t>2025-05-05 07:10:00,,560,,,575,,,,,,,,</t>
  </si>
  <si>
    <t>2025-05-05 07:10:00,,485,,,470,,,,,,,,</t>
  </si>
  <si>
    <t>2025-05-05 07:10:00,5700,,,5540,5600,,5690,,,,,5700,5540</t>
  </si>
  <si>
    <t>2025-05-05 07:10:00,20300,,,,20000,,,,,,,,</t>
  </si>
  <si>
    <t>2025-05-05 07:10:00,-1450904759.05546,0,0,0,0,0,0,0</t>
  </si>
  <si>
    <t>2025-05-05 07:10:00,-546062005.916872,0,0,0,0,0,0,0</t>
  </si>
  <si>
    <t>2025-05-05 07:10:00,298961398.902766,1673250.93469123,,37,,729.27,0.0245041306319467,15.79</t>
  </si>
  <si>
    <t>2025-05-05 07:10:00,4821713.86730375,0,0,0,0,0,0,0</t>
  </si>
  <si>
    <t>2025-05-05 07:11:00,,560,,,575,,,,,,,,</t>
  </si>
  <si>
    <t>2025-05-05 07:11:00,,485,,,470,,,,,,,,</t>
  </si>
  <si>
    <t>2025-05-05 07:11:00,5700,,,5540,5600,,5690,,,,,5700,5540</t>
  </si>
  <si>
    <t>2025-05-05 07:11:00,20300,,,,20000,,,,,,,,</t>
  </si>
  <si>
    <t>2025-05-05 07:11:00,-1298734039.61468,0,0,0,0,0,0,0</t>
  </si>
  <si>
    <t>2025-05-05 07:11:00,-439644923.450122,0,0,0,0,0,0,0</t>
  </si>
  <si>
    <t>2025-05-05 07:11:00,297012397.98768,2046532.75161815,,24,,1009.22,0.116084012793449,19.83</t>
  </si>
  <si>
    <t>2025-05-05 07:11:00,5188594.22233374,0,0,0,0,0,0,0</t>
  </si>
  <si>
    <t>2025-05-05 07:12:00,,560,,,575,,,,,,,,</t>
  </si>
  <si>
    <t>2025-05-05 07:12:00,,485,,,470,,,,,,,,</t>
  </si>
  <si>
    <t>2025-05-05 07:12:00,5700,,,5540,5600,,5690,,,,,5700,5540</t>
  </si>
  <si>
    <t>2025-05-05 07:12:00,20300,,,,20000,,,,,,,,</t>
  </si>
  <si>
    <t>2025-05-05 07:12:00,-1391639167.51709,0,0,0,0,0,0,0</t>
  </si>
  <si>
    <t>2025-05-05 07:12:00,-507357076.708347,0,0,0,0,0,0,0</t>
  </si>
  <si>
    <t>2025-05-05 07:12:00,297444684.902059,1770896.09821497,,50,,602.43,-0.0286128051208361,10.29</t>
  </si>
  <si>
    <t>2025-05-05 07:12:00,5051642.61166204,0,0,0,0,0,0,0</t>
  </si>
  <si>
    <t>2025-05-05 07:13:00,,560,,,575,,,,,,,,</t>
  </si>
  <si>
    <t>2025-05-05 07:13:00,,485,,,470,,,,,,,,</t>
  </si>
  <si>
    <t>2025-05-05 07:13:00,5700,,,5540,5600,,5690,,,,,5700,5540</t>
  </si>
  <si>
    <t>2025-05-05 07:13:00,20300,,,,20000,,,,,,,,</t>
  </si>
  <si>
    <t>2025-05-05 07:13:00,-1340954669.52501,0,0,0,0,0,0,0</t>
  </si>
  <si>
    <t>2025-05-05 07:13:00,-483867266.607971,0,0,0,0,0,0,0</t>
  </si>
  <si>
    <t>2025-05-05 07:13:00,297963138.400372,1895091.50829834,,4,,148.48,0.000642640464578841,3.32</t>
  </si>
  <si>
    <t>2025-05-05 07:13:00,5092835.4499873,0,0,0,0,0,0,0</t>
  </si>
  <si>
    <t>2025-05-05 07:14:00,,560,,,575,,,,,,,,</t>
  </si>
  <si>
    <t>2025-05-05 07:14:00,,485,,,470,,,,,,,,</t>
  </si>
  <si>
    <t>2025-05-05 07:14:00,5700,,,5540,5600,,5690,,,,,5700,5540</t>
  </si>
  <si>
    <t>2025-05-05 07:14:00,20300,,,,20000,,,,,,,,</t>
  </si>
  <si>
    <t>2025-05-05 07:14:00,-1341202295.04864,0,0,0,0,0,0,0</t>
  </si>
  <si>
    <t>2025-05-05 07:14:00,-503341271.781719,0,0,0,0,0,0,0</t>
  </si>
  <si>
    <t>2025-05-05 07:14:00,297628932.202947,1902871.13978167,,1,,879.35,0.120780956922192,17.61</t>
  </si>
  <si>
    <t>2025-05-05 07:14:00,5056155.07028818,0,0,0,0,0,0,0</t>
  </si>
  <si>
    <t>2025-05-05 07:15:00,,560,,,575,,,,,,,,</t>
  </si>
  <si>
    <t>2025-05-05 07:15:00,,485,,,470,,,,,,,,</t>
  </si>
  <si>
    <t>2025-05-05 07:15:00,5700,,,5540,5600,,5690,,,,,5700,5540</t>
  </si>
  <si>
    <t>2025-05-05 07:15:00,20300,,,,20000,,,,,,,,</t>
  </si>
  <si>
    <t>2025-05-05 07:15:00,-1406951198.81827,0,0,0,0,0,0,0</t>
  </si>
  <si>
    <t>2025-05-05 07:15:00,-494752077.589562,0,0,0,0,0,0,0</t>
  </si>
  <si>
    <t>2025-05-05 07:15:00,298107101.765432,1656929.45546544,,17,,134.5,-0.0435391023332686,3.19</t>
  </si>
  <si>
    <t>2025-05-05 07:15:00,4916256.03357336,0,0,0,0,0,0,0</t>
  </si>
  <si>
    <t>2025-05-05 07:16:00,,560,,,575,,,,,,,,</t>
  </si>
  <si>
    <t>2025-05-05 07:16:00,,485,,,470,,,,,,,,</t>
  </si>
  <si>
    <t>2025-05-05 07:16:00,5700,,,5540,5600,,5690,,,,,5700,5540</t>
  </si>
  <si>
    <t>2025-05-05 07:16:00,20300,,,,20000,,,,,,,,</t>
  </si>
  <si>
    <t>2025-05-05 07:16:00,-1377689066.42011,0,0,0,0,0,0,0</t>
  </si>
  <si>
    <t>2025-05-05 07:16:00,-484028549.131992,0,0,0,0,0,0,0</t>
  </si>
  <si>
    <t>2025-05-05 07:16:00,298245292.233772,1724758.05974,,21,,553.3,-0.0351178025911201,8.27</t>
  </si>
  <si>
    <t>2025-05-05 07:16:00,4937916.89347221,0,0,0,0,0,0,0</t>
  </si>
  <si>
    <t>2025-05-05 07:17:00,,560,,,575,,,,,,,,</t>
  </si>
  <si>
    <t>2025-05-05 07:17:00,,485,,,470,,,,,,,,</t>
  </si>
  <si>
    <t>2025-05-05 07:17:00,5700,,,5540,5600,,5690,,,,,5700,5540</t>
  </si>
  <si>
    <t>2025-05-05 07:17:00,20300,,,,20000,,,,,,,,</t>
  </si>
  <si>
    <t>2025-05-05 07:17:00,-1344287937.26491,0,0,0,0,0,0,0</t>
  </si>
  <si>
    <t>2025-05-05 07:17:00,-483584251.561316,0,0,0,0,0,0,0</t>
  </si>
  <si>
    <t>2025-05-05 07:17:00,297356811.663483,1894558.98194455,,19,,251.5,-0.041422387841581,5.76</t>
  </si>
  <si>
    <t>2025-05-05 07:17:00,4970505.61521849,0,0,0,0,0,0,0</t>
  </si>
  <si>
    <t>2025-05-05 07:18:00,,560,,,575,,,,,,,,</t>
  </si>
  <si>
    <t>2025-05-05 07:18:00,,485,,,470,,,,,,,,</t>
  </si>
  <si>
    <t>2025-05-05 07:18:00,5700,,,5540,5600,,5690,,,,,5700,5540</t>
  </si>
  <si>
    <t>2025-05-05 07:18:00,20300,,,,20000,,,,,,,,</t>
  </si>
  <si>
    <t>2025-05-05 07:18:00,-1414917284.20772,0,0,0,0,0,0,0</t>
  </si>
  <si>
    <t>2025-05-05 07:18:00,-534406025.048107,0,0,0,0,0,0,0</t>
  </si>
  <si>
    <t>2025-05-05 07:18:00,299102555.973637,1654250.01066592,,39,,738.62,0.0197875868629591,13.15</t>
  </si>
  <si>
    <t>2025-05-05 07:18:00,4851896.08234289,0,0,0,0,0,0,0</t>
  </si>
  <si>
    <t>2025-05-05 07:19:00,,560,,,575,,,,,,,,</t>
  </si>
  <si>
    <t>2025-05-05 07:19:00,,485,,,470,,,,,,,,</t>
  </si>
  <si>
    <t>2025-05-05 07:19:00,5700,,,5540,5600,,5690,,,,,5700,5540</t>
  </si>
  <si>
    <t>2025-05-05 07:19:00,20300,,,,20000,,,,,,,,</t>
  </si>
  <si>
    <t>2025-05-05 07:19:00,-1466915132.57607,0,0,0,0,0,0,0</t>
  </si>
  <si>
    <t>2025-05-05 07:19:00,-540322346.14426,0,0,0,0,0,0,0</t>
  </si>
  <si>
    <t>2025-05-05 07:19:00,301249246.998832,2233507.0276529,,19,,291.2,-0.0733268680828475,6.65</t>
  </si>
  <si>
    <t>2025-05-05 07:19:00,4791047.04137857,0,0,0,0,0,0,0</t>
  </si>
  <si>
    <t>2025-05-05 07:20:00,,560,,,575,,,,,,,,</t>
  </si>
  <si>
    <t>2025-05-05 07:20:00,,485,,,470,,,,,,,,</t>
  </si>
  <si>
    <t>2025-05-05 07:20:00,5700,,,5540,5600,,5690,,,,,5700,5540</t>
  </si>
  <si>
    <t>2025-05-05 07:20:00,20300,,,,20000,,,,,,,,</t>
  </si>
  <si>
    <t>2025-05-05 07:20:00,-1363754315.80127,0,0,0,0,0,0,0</t>
  </si>
  <si>
    <t>2025-05-05 07:20:00,-462624229.02412,0,0,0,0,0,0,0</t>
  </si>
  <si>
    <t>2025-05-05 07:20:00,298771614.652186,1721136.4989951,,21,,614.37,0.0316628486520322,13.23</t>
  </si>
  <si>
    <t>2025-05-05 07:20:00,4990149.79970362,0,0,0,0,0,0,0</t>
  </si>
  <si>
    <t>2025-05-05 07:21:00,,560,,,575,,,,,,,,</t>
  </si>
  <si>
    <t>2025-05-05 07:21:00,,485,,,470,,,,,,,,</t>
  </si>
  <si>
    <t>2025-05-05 07:21:00,5700,,,5540,5600,,5690,,,,,5700,5540</t>
  </si>
  <si>
    <t>2025-05-05 07:21:00,20300,,,,20000,,,,,,,,</t>
  </si>
  <si>
    <t>2025-05-05 07:21:00,-1385787400.26148,0,0,0,0,0,0,0</t>
  </si>
  <si>
    <t>2025-05-05 07:21:00,-478640528.187332,0,0,0,0,0,0,0</t>
  </si>
  <si>
    <t>2025-05-05 07:21:00,298392807.900178,1783949.2872434,,-6,,169.25,0.0446117140630532,3.4</t>
  </si>
  <si>
    <t>2025-05-05 07:21:00,4970135.89020986,0,0,0,0,0,0,0</t>
  </si>
  <si>
    <t>2025-05-05 07:22:00,,560,,,575,,,,,,,,</t>
  </si>
  <si>
    <t>2025-05-05 07:22:00,,485,,,470,,,,,,,,</t>
  </si>
  <si>
    <t>2025-05-05 07:22:00,5700,,,5540,5600,,5690,,,,,5700,5540</t>
  </si>
  <si>
    <t>2025-05-05 07:22:00,20300,,,,20000,,,,,,,,</t>
  </si>
  <si>
    <t>2025-05-05 07:22:00,-1393428768.92846,0,0,0,0,0,0,0</t>
  </si>
  <si>
    <t>2025-05-05 07:22:00,-478663300.798514,0,0,0,0,0,0,0</t>
  </si>
  <si>
    <t>2025-05-05 07:22:00,298439511.519042,1671915.82970537,,-21,,68.7,0.0395289872760503,1.69</t>
  </si>
  <si>
    <t>2025-05-05 07:22:00,4948966.12058662,0,0,0,0,0,0,0</t>
  </si>
  <si>
    <t>2025-05-05 07:23:00,,560,,,575,,,,,,,,</t>
  </si>
  <si>
    <t>2025-05-05 07:23:00,,485,,,470,,,,,,,,</t>
  </si>
  <si>
    <t>2025-05-05 07:23:00,5700,,,5540,5600,,5690,,,,,5700,5540</t>
  </si>
  <si>
    <t>2025-05-05 07:23:00,20300,,,,20000,,,,,,,,</t>
  </si>
  <si>
    <t>2025-05-05 07:23:00,-1401007831.82493,0,0,0,0,0,0,0</t>
  </si>
  <si>
    <t>2025-05-05 07:23:00,-478553090.440845,0,0,0,0,0,0,0</t>
  </si>
  <si>
    <t>2025-05-05 07:23:00,298799468.206935,1609911.57072571,,14,,322.5,-0.0421208273285203,8.05</t>
  </si>
  <si>
    <t>2025-05-05 07:23:00,4943094.22539842,0,0,0,0,0,0,0</t>
  </si>
  <si>
    <t>2025-05-05 07:24:00,,560,,,575,,,,,,,,</t>
  </si>
  <si>
    <t>2025-05-05 07:24:00,,485,,,470,,,,,,,,</t>
  </si>
  <si>
    <t>2025-05-05 07:24:00,5700,,,5540,5600,,5690,,,,,5700,5540</t>
  </si>
  <si>
    <t>2025-05-05 07:24:00,20300,,,,20000,,,,,,,,</t>
  </si>
  <si>
    <t>2025-05-05 07:24:00,-1408546650.9823,0,0,0,0,0,0,0</t>
  </si>
  <si>
    <t>2025-05-05 07:24:00,-468125544.382388,0,0,0,0,0,0,0</t>
  </si>
  <si>
    <t>2025-05-05 07:24:00,299489564.540724,1593212.94221382,,7,,135.13,0.0165276469196569,1.55</t>
  </si>
  <si>
    <t>2025-05-05 07:24:00,4991659.77508973,0,0,0,0,0,0,0</t>
  </si>
  <si>
    <t>2025-05-05 07:25:00,,560,,,575,,,,,,,,</t>
  </si>
  <si>
    <t>2025-05-05 07:25:00,,485,,,470,,,,,,,,</t>
  </si>
  <si>
    <t>2025-05-05 07:25:00,5700,,,5540,5600,,5690,,,,,5700,5540</t>
  </si>
  <si>
    <t>2025-05-05 07:25:00,20300,,,,20000,,,,,,,,</t>
  </si>
  <si>
    <t>2025-05-05 07:25:00,-1467896387.96487,0,0,0,0,0,0,0</t>
  </si>
  <si>
    <t>2025-05-05 07:25:00,-517145604.867407,0,0,0,0,0,0,0</t>
  </si>
  <si>
    <t>2025-05-05 07:25:00,300627615.303285,2086935.6672627,,30,,894.69,-0.159681888977784,25.54</t>
  </si>
  <si>
    <t>2025-05-05 07:25:00,4878412.59802981,0,0,0,0,0,0,0</t>
  </si>
  <si>
    <t>2025-05-05 07:30:00,,560,,,575,,,,,,,,</t>
  </si>
  <si>
    <t>2025-05-05 07:30:00,,485,,,470,,,,,,,,</t>
  </si>
  <si>
    <t>2025-05-05 07:30:00,5700,,,5540,5600,,5690,,,,,5700,5540</t>
  </si>
  <si>
    <t>2025-05-05 07:30:00,20300,,,,20000,,,,,,,,</t>
  </si>
  <si>
    <t>2025-05-05 07:30:00,-1514735327.7318,0,0,0,0,0,0,0</t>
  </si>
  <si>
    <t>2025-05-05 07:30:00,-582973924.89564,0,0,0,0,0,0,0</t>
  </si>
  <si>
    <t>2025-05-05 07:30:00,301894058.592983,2008036.93905905,,78,,909.3,-0.104028747578797,18.21</t>
  </si>
  <si>
    <t>2025-05-05 07:30:00,4745876.52222917,0,0,0,0,0,0,0</t>
  </si>
  <si>
    <t>2025-05-05 07:31:00,,560,,,575,,,,,,,,</t>
  </si>
  <si>
    <t>2025-05-05 07:31:00,,485,,,470,,,,,,,,</t>
  </si>
  <si>
    <t>2025-05-05 07:31:00,5700,,,5540,5600,,5690,,,,,5700,5540</t>
  </si>
  <si>
    <t>2025-05-05 07:31:00,20300,,,,20000,,,,,,,,</t>
  </si>
  <si>
    <t>2025-05-05 07:31:00,-1514832377.06749,0,0,0,0,0,0,0</t>
  </si>
  <si>
    <t>2025-05-05 07:31:00,-606612843.920689,0,0,0,0,0,0,0</t>
  </si>
  <si>
    <t>2025-05-05 07:31:00,301834230.798171,2019600.43360767,,8,,205.72,0.0128778223687201,4.43</t>
  </si>
  <si>
    <t>2025-05-05 07:31:00,4672957.8447633,0,0,0,0,0,0,0</t>
  </si>
  <si>
    <t>2025-05-05 07:35:00,,560,,,575,,,,,,,,</t>
  </si>
  <si>
    <t>2025-05-05 07:35:00,,485,,,470,,,,,,,,</t>
  </si>
  <si>
    <t>2025-05-05 07:35:00,5700,,,5540,5600,,5690,,,,,5700,5540</t>
  </si>
  <si>
    <t>2025-05-05 07:35:00,20300,,,,20000,,,,,,,,</t>
  </si>
  <si>
    <t>2025-05-05 07:35:00,-1444834310.17845,0,0,0,0,0,0,0</t>
  </si>
  <si>
    <t>2025-05-05 07:35:00,-675139384.763852,0,0,0,0,0,0,0</t>
  </si>
  <si>
    <t>2025-05-05 07:35:00,301747712.351135,1877633.22534901,,121,,3280,0.160565400021357,61.1</t>
  </si>
  <si>
    <t>2025-05-05 07:35:00,4542748.50524704,0,0,0,0,0,0,0</t>
  </si>
  <si>
    <t>2025-05-05 07:36:00,,560,,,575,,,,,,,,</t>
  </si>
  <si>
    <t>2025-05-05 07:36:00,,485,,,470,,,,,,,,</t>
  </si>
  <si>
    <t>2025-05-05 07:36:00,5700,,,5540,5600,,5690,,,,,5700,5540</t>
  </si>
  <si>
    <t>2025-05-05 07:36:00,20300,,,,20000,,,,,,,,</t>
  </si>
  <si>
    <t>2025-05-05 07:36:00,-1450550711.78895,0,0,0,0,0,0,0</t>
  </si>
  <si>
    <t>2025-05-05 07:36:00,-646642686.28211,0,0,0,0,0,0,0</t>
  </si>
  <si>
    <t>2025-05-05 07:36:00,304922141.428782,1882823.32868525,,-16,,570.23,0.0794112650712291,7.97</t>
  </si>
  <si>
    <t>2025-05-05 07:36:00,4603260.02573259,0,0,0,0,0,0,0</t>
  </si>
  <si>
    <t>2025-05-05 07:38:00,,560,,,575,,,,,,,,</t>
  </si>
  <si>
    <t>2025-05-05 07:38:00,,485,,,470,,,,,,,,</t>
  </si>
  <si>
    <t>2025-05-05 07:38:00,5700,,,5540,5600,,5690,,,,,5700,5540</t>
  </si>
  <si>
    <t>2025-05-05 07:38:00,20300,,,,20000,,,,,,,,</t>
  </si>
  <si>
    <t>2025-05-05 07:38:00,-1428728094.68174,0,0,0,0,0,0,0</t>
  </si>
  <si>
    <t>2025-05-05 07:38:00,-634237528.549682,0,0,0,0,0,0,0</t>
  </si>
  <si>
    <t>2025-05-05 07:38:00,304361536.929279,2020013.62132479,,36,,1643.03,0.237311323844208,33.08</t>
  </si>
  <si>
    <t>2025-05-05 07:38:00,4604020.13966495,0,0,0,0,0,0,0</t>
  </si>
  <si>
    <t>2025-05-05 07:39:00,,560,,,575,,,,,,,,</t>
  </si>
  <si>
    <t>2025-05-05 07:39:00,,485,,,470,,,,,,,,</t>
  </si>
  <si>
    <t>2025-05-05 07:39:00,5700,,,5540,5600,,5690,,,,,5700,5540</t>
  </si>
  <si>
    <t>2025-05-05 07:39:00,20300,,,,20000,,,,,,,,</t>
  </si>
  <si>
    <t>2025-05-05 07:39:00,-1470404686.7021,0,0,0,0,0,0,0</t>
  </si>
  <si>
    <t>2025-05-05 07:39:00,-697469284.154541,0,0,0,0,0,0,0</t>
  </si>
  <si>
    <t>2025-05-05 07:39:00,300947658.710526,1915265.91652574,,12,,107.37,-0.0348145859007299,2.86</t>
  </si>
  <si>
    <t>2025-05-05 07:39:00,4542971.4894663,0,0,0,0,0,0,0</t>
  </si>
  <si>
    <t>2025-05-05 07:41:00,,560,,,575,,,,,,,,</t>
  </si>
  <si>
    <t>2025-05-05 07:41:00,,485,,,470,,,,,,,,</t>
  </si>
  <si>
    <t>2025-05-05 07:41:00,5700,,,5540,5600,,5690,,,,,5700,5540</t>
  </si>
  <si>
    <t>2025-05-05 07:41:00,20300,,,,20000,,,,,,,,</t>
  </si>
  <si>
    <t>2025-05-05 07:41:00,-1391668789.98427,0,0,0,0,0,0,0</t>
  </si>
  <si>
    <t>2025-05-05 07:41:00,-619743749.934135,0,0,0,0,0,0,0</t>
  </si>
  <si>
    <t>2025-05-05 07:41:00,302804344.839254,2045780.12893044,,55,,1022.65,-0.0558997920110115,22.55</t>
  </si>
  <si>
    <t>2025-05-05 07:41:00,4673339.28029402,0,0,0,0,0,0,0</t>
  </si>
  <si>
    <t>2025-05-05 07:42:00,,560,,,575,,,,,,,,</t>
  </si>
  <si>
    <t>2025-05-05 07:42:00,,485,,,470,,,,,,,,</t>
  </si>
  <si>
    <t>2025-05-05 07:42:00,5700,,,5540,5600,,5690,,,,,5700,5540</t>
  </si>
  <si>
    <t>2025-05-05 07:42:00,20300,,,,20000,,,,,,,,</t>
  </si>
  <si>
    <t>2025-05-05 07:42:00,-1410320063.48083,0,0,0,0,0,0,0</t>
  </si>
  <si>
    <t>2025-05-05 07:42:00,-653787021.821809,0,0,0,0,0,0,0</t>
  </si>
  <si>
    <t>2025-05-05 07:42:00,303944571.402031,2049195.35473097,,48,,748.91,0.0567240124506116,10.63</t>
  </si>
  <si>
    <t>2025-05-05 07:42:00,4595246.83344465,0,0,0,0,0,0,0</t>
  </si>
  <si>
    <t>2025-05-05 07:43:00,,560,,,575,,,,,,,,</t>
  </si>
  <si>
    <t>2025-05-05 07:43:00,,485,,,470,,,,,,,,</t>
  </si>
  <si>
    <t>2025-05-05 07:43:00,5700,,,5540,5600,,5690,,,,,5700,5540</t>
  </si>
  <si>
    <t>2025-05-05 07:43:00,20300,,,,20000,,,,,,,,</t>
  </si>
  <si>
    <t>2025-05-05 07:43:00,-1551744794.47762,0,0,0,0,0,0,0</t>
  </si>
  <si>
    <t>2025-05-05 07:43:00,-777592437.769722,0,0,0,0,0,0,0</t>
  </si>
  <si>
    <t>2025-05-05 07:43:00,303881928.978122,1763100.0066369,,12,,130.03,0.0023678913247118,2.19</t>
  </si>
  <si>
    <t>2025-05-05 07:43:00,4419286.34854141,0,0,0,0,0,0,0</t>
  </si>
  <si>
    <t>2025-05-05 07:44:00,,560,,,575,,,,,,,,</t>
  </si>
  <si>
    <t>2025-05-05 07:44:00,,485,,,470,,,,,,,,</t>
  </si>
  <si>
    <t>2025-05-05 07:44:00,5700,,,5540,5600,,5690,,,,,5700,5540</t>
  </si>
  <si>
    <t>2025-05-05 07:44:00,20300,,,,20000,,,,,,,,</t>
  </si>
  <si>
    <t>2025-05-05 07:44:00,-1565362586.1929,0,0,0,0,0,0,0</t>
  </si>
  <si>
    <t>2025-05-05 07:44:00,-777628746.152327,0,0,0,0,0,0,0</t>
  </si>
  <si>
    <t>2025-05-05 07:44:00,304412304.391277,1693347.88158355,,51,,1074.83,-0.0179010237623944,19.78</t>
  </si>
  <si>
    <t>2025-05-05 07:44:00,4397530.06641757,0,0,0,0,0,0,0</t>
  </si>
  <si>
    <t>2025-05-05 07:45:00,,560,,,575,,,,,,,,</t>
  </si>
  <si>
    <t>2025-05-05 07:45:00,,485,,,470,,,,,,,,</t>
  </si>
  <si>
    <t>2025-05-05 07:45:00,5700,,,5540,5600,,5690,,,,,5700,5540</t>
  </si>
  <si>
    <t>2025-05-05 07:45:00,20300,,,,20000,,,,,,,,</t>
  </si>
  <si>
    <t>2025-05-05 07:45:00,-1558881502.40444,0,0,0,0,0,0,0</t>
  </si>
  <si>
    <t>2025-05-05 07:45:00,-777732869.728516,0,0,0,0,0,0,0</t>
  </si>
  <si>
    <t>2025-05-05 07:45:00,304098994.838504,1703632.41895289,,108,,409.53,0.0287211761492146,4.66</t>
  </si>
  <si>
    <t>2025-05-05 07:45:00,4399653.78331134,0,0,0,0,0,0,0</t>
  </si>
  <si>
    <t>2025-05-05 07:46:00,,560,,,575,,,,,,,,</t>
  </si>
  <si>
    <t>2025-05-05 07:46:00,,485,,,470,,,,,,,,</t>
  </si>
  <si>
    <t>2025-05-05 07:46:00,5700,,,5540,5600,,5690,,,,,5700,5540</t>
  </si>
  <si>
    <t>2025-05-05 07:46:00,20300,,,,20000,,,,,,,,</t>
  </si>
  <si>
    <t>2025-05-05 07:46:00,-1606099809.38953,0,0,0,0,0,0,0</t>
  </si>
  <si>
    <t>2025-05-05 07:46:00,-849395577.865153,0,0,0,0,0,0,0</t>
  </si>
  <si>
    <t>2025-05-05 07:46:00,306111153.435085,1658258.62206893,,18,,156.31,-0.0308816607956934,2.9</t>
  </si>
  <si>
    <t>2025-05-05 07:46:00,4315690.34577479,0,0,0,0,0,0,0</t>
  </si>
  <si>
    <t>2025-05-05 07:47:00,,560,,,575,,,,,,,,</t>
  </si>
  <si>
    <t>2025-05-05 07:47:00,,485,,,470,,,,,,,,</t>
  </si>
  <si>
    <t>2025-05-05 07:47:00,5700,,,5540,5600,,5690,,,,,5700,5540</t>
  </si>
  <si>
    <t>2025-05-05 07:47:00,20300,,,,20000,,,,,,,,</t>
  </si>
  <si>
    <t>2025-05-05 07:47:00,-1586060840.29603,0,0,0,0,0,0,0</t>
  </si>
  <si>
    <t>2025-05-05 07:47:00,-821685847.553219,0,0,0,0,0,0,0</t>
  </si>
  <si>
    <t>2025-05-05 07:47:00,304847814.958691,1682699.53316986,,9,,179.36,-0.00427989819825147,2.98</t>
  </si>
  <si>
    <t>2025-05-05 07:47:00,4333115.95332329,0,0,0,0,0,0,0</t>
  </si>
  <si>
    <t>2025-05-05 07:48:00,,560,,,575,,,,,,,,</t>
  </si>
  <si>
    <t>2025-05-05 07:48:00,,485,,,470,,,,,,,,</t>
  </si>
  <si>
    <t>2025-05-05 07:48:00,5700,,,5540,5600,,5690,,,,,5700,5540</t>
  </si>
  <si>
    <t>2025-05-05 07:48:00,20300,,,,20000,,,,,,,,</t>
  </si>
  <si>
    <t>2025-05-05 07:48:00,-1633968772.79422,0,0,0,0,0,0,0</t>
  </si>
  <si>
    <t>2025-05-05 07:48:00,-878076724.031995,0,0,0,0,0,0,0</t>
  </si>
  <si>
    <t>2025-05-05 07:48:00,306225050.015387,1643545.90790136,,17,,428.14,-0.00909429336783139,9.52</t>
  </si>
  <si>
    <t>2025-05-05 07:48:00,4320919.86442081,0,0,0,0,0,0,0</t>
  </si>
  <si>
    <t>2025-05-05 07:49:00,,560,,,575,,,,,,,,</t>
  </si>
  <si>
    <t>2025-05-05 07:49:00,,485,,,470,,,,,,,,</t>
  </si>
  <si>
    <t>2025-05-05 07:49:00,5700,,,5540,5600,,5690,,,,,5700,5540</t>
  </si>
  <si>
    <t>2025-05-05 07:49:00,20300,,,,20000,,,,,,,,</t>
  </si>
  <si>
    <t>2025-05-05 07:49:00,-1593065175.85602,0,0,0,0,0,0,0</t>
  </si>
  <si>
    <t>2025-05-05 07:49:00,-785769582.946674,0,0,0,0,0,0,0</t>
  </si>
  <si>
    <t>2025-05-05 07:49:00,305014466.191775,1653925.51275283,,24,,153.4,0.00482201798653257,1.56</t>
  </si>
  <si>
    <t>2025-05-05 07:49:00,4400557.81396823,0,0,0,0,0,0,0</t>
  </si>
  <si>
    <t>2025-05-05 07:50:00,,560,,,575,,,,,,,,</t>
  </si>
  <si>
    <t>2025-05-05 07:50:00,,485,,,470,,,,,,,,</t>
  </si>
  <si>
    <t>2025-05-05 07:50:00,5700,,,5540,5600,,5690,,,,,5700,5540</t>
  </si>
  <si>
    <t>2025-05-05 07:50:00,20300,,,,20000,,,,,,,,</t>
  </si>
  <si>
    <t>2025-05-05 07:50:00,-1593414365.16101,0,0,0,0,0,0,0</t>
  </si>
  <si>
    <t>2025-05-05 07:50:00,-794528677.355641,0,0,0,0,0,0,0</t>
  </si>
  <si>
    <t>2025-05-05 07:50:00,305768244.242092,1664855.06843976,,-53,,831.38,0.214771889949658,17.28</t>
  </si>
  <si>
    <t>2025-05-05 07:50:00,4395967.72483168,0,0,0,0,0,0,0</t>
  </si>
  <si>
    <t>2025-05-05 07:51:00,,560,,,575,,,,,,,,</t>
  </si>
  <si>
    <t>2025-05-05 07:51:00,,485,,,470,,,,,,,,</t>
  </si>
  <si>
    <t>2025-05-05 07:51:00,5700,,,5540,5600,,5690,,,,,5700,5540</t>
  </si>
  <si>
    <t>2025-05-05 07:51:00,20300,,,,20000,,,,,,,,</t>
  </si>
  <si>
    <t>2025-05-05 07:51:00,-1502094817.548,0,0,0,0,0,0,0</t>
  </si>
  <si>
    <t>2025-05-05 07:51:00,-667913462.00088,0,0,0,0,0,0,0</t>
  </si>
  <si>
    <t>2025-05-05 07:51:00,302090158.364453,1775385.42052783,,-75,,462.71,0.195645768248556,8.63</t>
  </si>
  <si>
    <t>2025-05-05 07:51:00,4575293.43815843,0,0,0,0,0,0,0</t>
  </si>
  <si>
    <t>2025-05-05 07:52:00,,560,,,575,,,,,,,,</t>
  </si>
  <si>
    <t>2025-05-05 07:52:00,,485,,,470,,,,,,,,</t>
  </si>
  <si>
    <t>2025-05-05 07:52:00,5700,,,5540,5600,,5690,,,,,5700,5540</t>
  </si>
  <si>
    <t>2025-05-05 07:52:00,20300,,,,20000,,,,,,,,</t>
  </si>
  <si>
    <t>2025-05-05 07:52:00,-1467024873.32617,0,0,0,0,0,0,0</t>
  </si>
  <si>
    <t>2025-05-05 07:52:00,-633002251.13913,0,0,0,0,0,0,0</t>
  </si>
  <si>
    <t>2025-05-05 07:52:00,300693416.826865,1914877.11513984,,19,,1016.2,0.0939036423035697,17.53</t>
  </si>
  <si>
    <t>2025-05-05 07:52:00,4650945.49836567,0,0,0,0,0,0,0</t>
  </si>
  <si>
    <t>2025-05-05 07:53:00,,560,,,575,,,,,,,,</t>
  </si>
  <si>
    <t>2025-05-05 07:53:00,,485,,,470,,,,,,,,</t>
  </si>
  <si>
    <t>2025-05-05 07:53:00,5700,,,5540,5600,,5690,,,,,5700,5540</t>
  </si>
  <si>
    <t>2025-05-05 07:53:00,20300,,,,20000,,,,,,,,</t>
  </si>
  <si>
    <t>2025-05-05 07:53:00,-1500286551.26428,0,0,0,0,0,0,0</t>
  </si>
  <si>
    <t>2025-05-05 07:53:00,-528882196.901895,0,0,0,0,0,0,0</t>
  </si>
  <si>
    <t>2025-05-05 07:53:00,301738097.980051,2229506.43874469,,64,,1674.31,0.128697382250231,36.88</t>
  </si>
  <si>
    <t>2025-05-05 07:53:00,4884220.69285189,0,0,0,0,0,0,0</t>
  </si>
  <si>
    <t>2025-05-05 07:54:00,,560,,,575,,,,,,,,</t>
  </si>
  <si>
    <t>2025-05-05 07:54:00,,485,,,470,,,,,,,,</t>
  </si>
  <si>
    <t>2025-05-05 07:54:00,5700,,,5540,5600,,5690,,,,,5700,5540</t>
  </si>
  <si>
    <t>2025-05-05 07:54:00,20300,,,,20000,,,,,,,,</t>
  </si>
  <si>
    <t>2025-05-05 07:54:00,-1506762185.43379,0,0,0,0,0,0,0</t>
  </si>
  <si>
    <t>2025-05-05 07:54:00,-517754659.947261,0,0,0,0,0,0,0</t>
  </si>
  <si>
    <t>2025-05-05 07:54:00,302527793.590759,2156963.58781214,,1,,141.07,0.0293014342528445,2.64</t>
  </si>
  <si>
    <t>2025-05-05 07:54:00,4878057.11734736,0,0,0,0,0,0,0</t>
  </si>
  <si>
    <t>2025-05-05 07:55:00,,560,,,575,,,,,,,,</t>
  </si>
  <si>
    <t>2025-05-05 07:55:00,,485,,,470,,,,,,,,</t>
  </si>
  <si>
    <t>2025-05-05 07:55:00,5700,,,5540,5600,,5690,,,,,5700,5540</t>
  </si>
  <si>
    <t>2025-05-05 07:55:00,20300,,,,20000,,,,,,,,</t>
  </si>
  <si>
    <t>2025-05-05 07:55:00,-1486807525.18218,0,0,0,0,0,0,0</t>
  </si>
  <si>
    <t>2025-05-05 07:55:00,-490020581.976602,0,0,0,0,0,0,0</t>
  </si>
  <si>
    <t>2025-05-05 07:55:00,302140355.525027,2191419.54047122,,13,,283.68,-0.0103760543374051,6.79</t>
  </si>
  <si>
    <t>2025-05-05 07:55:00,4939374.05063621,0,0,0,0,0,0,0</t>
  </si>
  <si>
    <t>2025-05-05 07:56:00,,560,,,575,,,,,,,,</t>
  </si>
  <si>
    <t>2025-05-05 07:56:00,,485,,,470,,,,,,,,</t>
  </si>
  <si>
    <t>2025-05-05 07:56:00,5700,,,5540,5600,,5690,,,,,5700,5540</t>
  </si>
  <si>
    <t>2025-05-05 07:56:00,20300,,,,20000,,,,,,,,</t>
  </si>
  <si>
    <t>2025-05-05 07:56:00,-1443218175.85487,0,0,0,0,0,0,0</t>
  </si>
  <si>
    <t>2025-05-05 07:56:00,-473946559.178737,0,0,0,0,0,0,0</t>
  </si>
  <si>
    <t>2025-05-05 07:56:00,301486151.446947,2267716.13394428,,105,,794.32,-0.187855715025972,23.62</t>
  </si>
  <si>
    <t>2025-05-05 07:56:00,4972735.71388745,0,0,0,0,0,0,0</t>
  </si>
  <si>
    <t>2025-05-05 07:57:00,,560,,,575,,,,,,,,</t>
  </si>
  <si>
    <t>2025-05-05 07:57:00,,485,,,470,,,,,,,,</t>
  </si>
  <si>
    <t>2025-05-05 07:57:00,5700,,,5540,5600,,5690,,,,,5700,5540</t>
  </si>
  <si>
    <t>2025-05-05 07:57:00,20300,,,,20000,,,,,,,,</t>
  </si>
  <si>
    <t>2025-05-05 07:57:00,-1406449602.87408,0,0,0,0,0,0,0</t>
  </si>
  <si>
    <t>2025-05-05 07:57:00,-493393374.830972,0,0,0,0,0,0,0</t>
  </si>
  <si>
    <t>2025-05-05 07:57:00,300651631.532348,2360259.86425703,,7,,151.81,0.0147814613773357,2.01</t>
  </si>
  <si>
    <t>2025-05-05 07:57:00,5080713.81379263,0,0,0,0,0,0,0</t>
  </si>
  <si>
    <t>2025-05-05 07:58:00,,560,,,575,,,,,,,,</t>
  </si>
  <si>
    <t>2025-05-05 07:58:00,,485,,,470,,,,,,,,</t>
  </si>
  <si>
    <t>2025-05-05 07:58:00,5700,,,5540,5600,,5690,,,,,5700,5540</t>
  </si>
  <si>
    <t>2025-05-05 07:58:00,20300,,,,20000,,,,,,,,</t>
  </si>
  <si>
    <t>2025-05-05 07:58:00,-1458073224.80881,0,0,0,0,0,0,0</t>
  </si>
  <si>
    <t>2025-05-05 07:58:00,-479464321.320362,0,0,0,0,0,0,0</t>
  </si>
  <si>
    <t>2025-05-05 07:58:00,301439584.568939,2211724.52761399,,11,,139.02,0.00653274957304511,2.38</t>
  </si>
  <si>
    <t>2025-05-05 07:58:00,4998993.14214662,0,0,0,0,0,0,0</t>
  </si>
  <si>
    <t>2025-05-05 07:59:00,,560,,,575,,,,,,,,</t>
  </si>
  <si>
    <t>2025-05-05 07:59:00,,485,,,470,,,,,,,,</t>
  </si>
  <si>
    <t>2025-05-05 07:59:00,5700,,,5540,5600,,5690,,,,,5700,5540</t>
  </si>
  <si>
    <t>2025-05-05 07:59:00,20300,,,,20000,,,,,,,,</t>
  </si>
  <si>
    <t>2025-05-05 07:59:00,-1480335660.29699,0,0,0,0,0,0,0</t>
  </si>
  <si>
    <t>2025-05-05 07:59:00,-463525764.181593,0,0,0,0,0,0,0</t>
  </si>
  <si>
    <t>2025-05-05 07:59:00,301841224.216811,2186018.61731848,,35,,890.71,0.077828325326405,19.32</t>
  </si>
  <si>
    <t>2025-05-05 07:59:00,4994289.84338539,0,0,0,0,0,0,0</t>
  </si>
  <si>
    <t>2025-05-05 08:00:00,,560,,,575,,,,,,,,</t>
  </si>
  <si>
    <t>2025-05-05 08:00:00,,485,,,470,,,,,,,,</t>
  </si>
  <si>
    <t>2025-05-05 08:00:00,5700,,,5540,5600,,5690,,,,,5700,5540</t>
  </si>
  <si>
    <t>2025-05-05 08:00:00,20300,,,,20000,,,,,,,,</t>
  </si>
  <si>
    <t>2025-05-05 08:00:00,-1465792423.85323,0,0,0,0,0,0,0</t>
  </si>
  <si>
    <t>2025-05-05 08:00:00,-463521974.000798,0,0,0,0,0,0,0</t>
  </si>
  <si>
    <t>2025-05-05 08:00:00,302698812.880497,2232852.66755034,,19,,1037.23,0.0995188109706729,16.89</t>
  </si>
  <si>
    <t>2025-05-05 08:00:00,5003733.33956055,0,0,0,0,0,0,0</t>
  </si>
  <si>
    <t>2025-05-05 08:01:00,,560,,,575,,,,,,,,</t>
  </si>
  <si>
    <t>2025-05-05 08:01:00,,485,,,470,,,,,,,,</t>
  </si>
  <si>
    <t>2025-05-05 08:01:00,5700,,,5540,5600,,5690,,,,,5700,5540</t>
  </si>
  <si>
    <t>2025-05-05 08:01:00,20300,,,,20000,,,,,,,,</t>
  </si>
  <si>
    <t>2025-05-05 08:01:00,-1423233114.83175,0,0,0,0,0,0,0</t>
  </si>
  <si>
    <t>2025-05-05 08:01:00,-502427570.264057,0,0,0,0,0,0,0</t>
  </si>
  <si>
    <t>2025-05-05 08:01:00,300692494.349781,2408520.8563425,,60,,1176.88,-0.01307761687954,20.25</t>
  </si>
  <si>
    <t>2025-05-05 08:01:00,5059896.20887915,0,0,0,0,0,0,0</t>
  </si>
  <si>
    <t>2025-05-05 08:02:00,,560,,,575,,,,,,,,</t>
  </si>
  <si>
    <t>2025-05-05 08:02:00,,485,,,470,,,,,,,,</t>
  </si>
  <si>
    <t>2025-05-05 08:02:00,5700,,,5540,5600,,5690,,,,,5700,5540</t>
  </si>
  <si>
    <t>2025-05-05 08:02:00,20300,,,,20000,,,,,,,,</t>
  </si>
  <si>
    <t>2025-05-05 08:02:00,-1264922378.31178,0,0,0,0,0,0,0</t>
  </si>
  <si>
    <t>2025-05-05 08:02:00,-371204636.509642,0,0,0,0,0,0,0</t>
  </si>
  <si>
    <t>2025-05-05 08:02:00,296514131.847689,1886081.28975607,,194,,3384.6,-0.501654695195126,44</t>
  </si>
  <si>
    <t>2025-05-05 08:02:00,5383221.68282072,0,0,0,0,0,0,0</t>
  </si>
  <si>
    <t>2025-05-05 08:03:00,,560,,,575,,,,,,,,</t>
  </si>
  <si>
    <t>2025-05-05 08:03:00,,485,,,470,,,,,,,,</t>
  </si>
  <si>
    <t>2025-05-05 08:03:00,5700,,,5540,5600,,5690,,,,,5700,5540</t>
  </si>
  <si>
    <t>2025-05-05 08:03:00,20300,,,,20000,,,,,,,,</t>
  </si>
  <si>
    <t>2025-05-05 08:03:00,-1153863393.47885,0,0,0,0,0,0,0</t>
  </si>
  <si>
    <t>2025-05-05 08:03:00,-332204146.90949,0,0,0,0,0,0,0</t>
  </si>
  <si>
    <t>2025-05-05 08:03:00,309377973.077785,2322763.91727762,,73,,2306.23,0.26204080379251,40.26</t>
  </si>
  <si>
    <t>2025-05-05 08:03:00,5488283.07683021,0,0,0,0,0,0,0</t>
  </si>
  <si>
    <t>2025-05-05 08:04:00,,560,,,575,,,,,,,,</t>
  </si>
  <si>
    <t>2025-05-05 08:04:00,,485,,,470,,,,,,,,</t>
  </si>
  <si>
    <t>2025-05-05 08:04:00,5700,,,5540,5600,,5690,,,,,5700,5540</t>
  </si>
  <si>
    <t>2025-05-05 08:04:00,20300,,,,20000,,,,,,,,</t>
  </si>
  <si>
    <t>2025-05-05 08:04:00,-1220261323.77177,0,0,0,0,0,0,0</t>
  </si>
  <si>
    <t>2025-05-05 08:04:00,-366156731.90037,0,0,0,0,0,0,0</t>
  </si>
  <si>
    <t>2025-05-05 08:04:00,311315781.854105,2028202.36313391,,5,,767.01,0.15590332139148,11.67</t>
  </si>
  <si>
    <t>2025-05-05 08:04:00,5410503.08183079,0,0,0,0,0,0,0</t>
  </si>
  <si>
    <t>2025-05-05 08:05:00,,560,,,575,,,,,,,,</t>
  </si>
  <si>
    <t>2025-05-05 08:05:00,,485,,,470,,,,,,,,</t>
  </si>
  <si>
    <t>2025-05-05 08:05:00,5700,,,5540,5600,,5690,,,,,5700,5540</t>
  </si>
  <si>
    <t>2025-05-05 08:05:00,20300,,,,20000,,,,,,,,</t>
  </si>
  <si>
    <t>2025-05-05 08:05:00,-1378787356.35586,0,0,0,0,0,0,0</t>
  </si>
  <si>
    <t>2025-05-05 08:05:00,-497847373.502997,0,0,0,0,0,0,0</t>
  </si>
  <si>
    <t>2025-05-05 08:05:00,300589939.657525,2545450.37060085,,112,,3322.93,0.629199478148728,103.75</t>
  </si>
  <si>
    <t>2025-05-05 08:05:00,5067712.66956287,0,0,0,0,0,0,0</t>
  </si>
  <si>
    <t>2025-05-05 08:06:00,,560,,,575,,,,,,,,</t>
  </si>
  <si>
    <t>2025-05-05 08:06:00,,485,,,470,,,,,,,,</t>
  </si>
  <si>
    <t>2025-05-05 08:06:00,5700,,,5540,5600,,5690,,,,,5700,5540</t>
  </si>
  <si>
    <t>2025-05-05 08:06:00,20300,,,,20000,,,,,,,,</t>
  </si>
  <si>
    <t>2025-05-05 08:06:00,-1301990186.16624,0,0,0,0,0,0,0</t>
  </si>
  <si>
    <t>2025-05-05 08:06:00,-449776463.346092,0,0,0,0,0,0,0</t>
  </si>
  <si>
    <t>2025-05-05 08:06:00,297640852.262931,1718372.91821286,,22,,1110.03,0.120130959437574,22.17</t>
  </si>
  <si>
    <t>2025-05-05 08:06:00,5168578.51982233,0,0,0,0,0,0,0</t>
  </si>
  <si>
    <t>2025-05-05 08:07:00,,560,,,575,,,,,,,,</t>
  </si>
  <si>
    <t>2025-05-05 08:07:00,,485,,,470,,,,,,,,</t>
  </si>
  <si>
    <t>2025-05-05 08:07:00,5700,,,5540,5600,,5690,,,,,5700,5540</t>
  </si>
  <si>
    <t>2025-05-05 08:07:00,20300,,,,19475,,,,,,,,</t>
  </si>
  <si>
    <t>2025-05-05 08:07:00,-1386437154.71887,0,0,0,0,0,0,0</t>
  </si>
  <si>
    <t>2025-05-05 08:07:00,-507600218.396961,0,0,0,0,0,0,0</t>
  </si>
  <si>
    <t>2025-05-05 08:07:00,299459692.86588,2584574.24489096,,118,,2767.27,0.216875511222995,49.23</t>
  </si>
  <si>
    <t>2025-05-05 08:07:00,18400214.5137153,0,0,0,0,0,0,0</t>
  </si>
  <si>
    <t>2025-05-05 08:08:00,,560,,,575,,,,,,,,</t>
  </si>
  <si>
    <t>2025-05-05 08:08:00,,485,,,470,,,,,,,,</t>
  </si>
  <si>
    <t>2025-05-05 08:08:00,5700,,,5540,5600,,5690,,,,,5700,5540</t>
  </si>
  <si>
    <t>2025-05-05 08:08:00,20300,,,,19475,,,,,,,,</t>
  </si>
  <si>
    <t>2025-05-05 08:08:00,-1488446337.31158,0,0,0,0,0,0,0</t>
  </si>
  <si>
    <t>2025-05-05 08:08:00,-552489102.806681,0,0,0,0,0,0,0</t>
  </si>
  <si>
    <t>2025-05-05 08:08:00,302057716.699392,2328995.21821086,,326,,3823.45,0.32696513977214,47.34</t>
  </si>
  <si>
    <t>2025-05-05 08:08:00,18159276.0871555,0,0,0,0,0,0,0</t>
  </si>
  <si>
    <t>2025-05-05 08:09:00,,560,,,575,,,,,,,,</t>
  </si>
  <si>
    <t>2025-05-05 08:09:00,,485,,,470,,,,,,,,</t>
  </si>
  <si>
    <t>2025-05-05 08:09:00,5700,,,5540,5600,,5690,,,,,5700,5540</t>
  </si>
  <si>
    <t>2025-05-05 08:09:00,20300,,,,19475,,,,,,,,</t>
  </si>
  <si>
    <t>2025-05-05 08:09:00,-1409953672.814,0,0,0,0,0,0,0</t>
  </si>
  <si>
    <t>2025-05-05 08:09:00,-612428131.037068,0,0,0,0,0,0,0</t>
  </si>
  <si>
    <t>2025-05-05 08:09:00,304241045.372434,2088856.50440337,,119,,2293.97,0.218827018110943,31.48</t>
  </si>
  <si>
    <t>2025-05-05 08:09:00,17965996.1031391,0,0,0,0,0,0,0</t>
  </si>
  <si>
    <t>2025-05-05 08:10:00,,560,,,575,,,,,,,,</t>
  </si>
  <si>
    <t>2025-05-05 08:10:00,,485,,,470,,,,,,,,</t>
  </si>
  <si>
    <t>2025-05-05 08:10:00,5700,,,5540,5600,,5690,,,,,5700,5540</t>
  </si>
  <si>
    <t>2025-05-05 08:10:00,20300,,,,19475,,,,,,,,</t>
  </si>
  <si>
    <t>2025-05-05 08:10:00,-1437652490.79794,0,0,0,0,0,0,0</t>
  </si>
  <si>
    <t>2025-05-05 08:10:00,-540670485.752697,0,0,0,0,0,0,0</t>
  </si>
  <si>
    <t>2025-05-05 08:10:00,301422104.290075,2416373.16928075,,-27,,352.51,0.252232759106675,4.03</t>
  </si>
  <si>
    <t>2025-05-05 08:10:00,18187142.3320101,0,0,0,0,0,0,0</t>
  </si>
  <si>
    <t>2025-05-05 08:11:00,,560,,,575,,,,,,,,</t>
  </si>
  <si>
    <t>2025-05-05 08:11:00,,485,,,470,,,,,,,,</t>
  </si>
  <si>
    <t>2025-05-05 08:11:00,5700,,,5540,5600,,5690,,,,,5700,5540</t>
  </si>
  <si>
    <t>2025-05-05 08:11:00,20300,,,,19475,,,,,,,,</t>
  </si>
  <si>
    <t>2025-05-05 08:11:00,-1266707374.11685,0,0,0,0,0,0,0</t>
  </si>
  <si>
    <t>2025-05-05 08:11:00,-411841405.936091,0,0,0,0,0,0,0</t>
  </si>
  <si>
    <t>2025-05-05 08:11:00,297155488.683651,1977485.59664019,,79,,953.63,-0.00986314320407575,16.41</t>
  </si>
  <si>
    <t>2025-05-05 08:11:00,18772569.0932085,0,0,0,0,0,0,0</t>
  </si>
  <si>
    <t>2025-05-05 08:12:00,,560,,,575,,,,,,,,</t>
  </si>
  <si>
    <t>2025-05-05 08:12:00,,485,,,470,,,,,,,,</t>
  </si>
  <si>
    <t>2025-05-05 08:12:00,5700,,,5540,5600,,5690,,,,,5700,5540</t>
  </si>
  <si>
    <t>2025-05-05 08:12:00,20300,,,,19475,,,,,,,,</t>
  </si>
  <si>
    <t>2025-05-05 08:12:00,-1330659211.96937,0,0,0,0,0,0,0</t>
  </si>
  <si>
    <t>2025-05-05 08:12:00,-477068010.790397,0,0,0,0,0,0,0</t>
  </si>
  <si>
    <t>2025-05-05 08:12:00,297972406.68523,1723510.64820407,,43,,1617.26,0.251935043750316,35.41</t>
  </si>
  <si>
    <t>2025-05-05 08:12:00,18534834.3887412,0,0,0,0,0,0,0</t>
  </si>
  <si>
    <t>2025-05-05 08:13:00,,560,,,575,,,,,,,,</t>
  </si>
  <si>
    <t>2025-05-05 08:13:00,,485,,,470,,,,,,,,</t>
  </si>
  <si>
    <t>2025-05-05 08:13:00,5700,,,5540,5600,,5690,,,,,5700,5540</t>
  </si>
  <si>
    <t>2025-05-05 08:13:00,20300,,,,19475,,,,,,,,</t>
  </si>
  <si>
    <t>2025-05-05 08:13:00,-1524747757.7072,0,0,0,0,0,0,0</t>
  </si>
  <si>
    <t>2025-05-05 08:13:00,-552372913.264622,0,0,0,0,0,0,0</t>
  </si>
  <si>
    <t>2025-05-05 08:13:00,302002086.722898,2207520.60936197,,37,,460.09,-0.0515012772618855,9.8</t>
  </si>
  <si>
    <t>2025-05-05 08:13:00,18131906.2232643,0,0,0,0,0,0,0</t>
  </si>
  <si>
    <t>2025-05-05 08:14:00,,560,,,575,,,,,,,,</t>
  </si>
  <si>
    <t>2025-05-05 08:14:00,,485,,,470,,,,,,,,</t>
  </si>
  <si>
    <t>2025-05-05 08:14:00,5700,,,5540,5600,,5690,,,,,5700,5540</t>
  </si>
  <si>
    <t>2025-05-05 08:14:00,20300,,,,19475,,,,,,,,</t>
  </si>
  <si>
    <t>2025-05-05 08:14:00,-1503248145.68989,0,0,0,0,0,0,0</t>
  </si>
  <si>
    <t>2025-05-05 08:14:00,-552053068.60148,0,0,0,0,0,0,0</t>
  </si>
  <si>
    <t>2025-05-05 08:14:00,302064695.615847,2229799.50524114,,15,,116,-0.0419780800371153,2.77</t>
  </si>
  <si>
    <t>2025-05-05 08:14:00,18116430.2277607,0,0,0,0,0,0,0</t>
  </si>
  <si>
    <t>2025-05-05 08:15:00,,560,,,575,,,,,,,,</t>
  </si>
  <si>
    <t>2025-05-05 08:15:00,,485,,,470,,,,,,,,</t>
  </si>
  <si>
    <t>2025-05-05 08:15:00,5700,,,5540,5600,,5690,,,,,5700,5540</t>
  </si>
  <si>
    <t>2025-05-05 08:15:00,20300,,,,19475,,,,,,,,</t>
  </si>
  <si>
    <t>2025-05-05 08:15:00,-1509834033.47212,0,0,0,0,0,0,0</t>
  </si>
  <si>
    <t>2025-05-05 08:15:00,-506514925.013405,0,0,0,0,0,0,0</t>
  </si>
  <si>
    <t>2025-05-05 08:15:00,302617378.019289,2174016.03801957,,12,,222.74,0.00873570764047147,3.31</t>
  </si>
  <si>
    <t>2025-05-05 08:15:00,18247873.8003445,0,0,0,0,0,0,0</t>
  </si>
  <si>
    <t>2025-05-05 08:16:00,,560,,,575,,,,,,,,</t>
  </si>
  <si>
    <t>2025-05-05 08:16:00,,485,,,470,,,,,,,,</t>
  </si>
  <si>
    <t>2025-05-05 08:16:00,5700,,,5540,5600,,5690,,,,,5700,5540</t>
  </si>
  <si>
    <t>2025-05-05 08:16:00,20300,,,,19475,,,,,,,,</t>
  </si>
  <si>
    <t>2025-05-05 08:16:00,-1525210240.69884,0,0,0,0,0,0,0</t>
  </si>
  <si>
    <t>2025-05-05 08:16:00,-546375793.855694,0,0,0,0,0,0,0</t>
  </si>
  <si>
    <t>2025-05-05 08:16:00,303567635.86929,2148756.83906676,,33,,1119.76,0.126894475566107,23.74</t>
  </si>
  <si>
    <t>2025-05-05 08:16:00,18135997.0999555,0,0,0,0,0,0,0</t>
  </si>
  <si>
    <t>2025-05-05 08:17:00,,560,,,575,,,,,,,,</t>
  </si>
  <si>
    <t>2025-05-05 08:17:00,,485,,,470,,,,,,,,</t>
  </si>
  <si>
    <t>2025-05-05 08:17:00,5700,,,5540,5600,,5690,,,,,5700,5540</t>
  </si>
  <si>
    <t>2025-05-05 08:17:00,20300,,,,19475,,,,,,,,</t>
  </si>
  <si>
    <t>2025-05-05 08:17:00,-1438973872.06161,0,0,0,0,0,0,0</t>
  </si>
  <si>
    <t>2025-05-05 08:17:00,-463872913.537032,0,0,0,0,0,0,0</t>
  </si>
  <si>
    <t>2025-05-05 08:17:00,300942857.301371,2383236.68575758,,22,,434.58,-0.0427599666685372,9.24</t>
  </si>
  <si>
    <t>2025-05-05 08:17:00,18392669.5136471,0,0,0,0,0,0,0</t>
  </si>
  <si>
    <t>2025-05-05 08:18:00,,560,,,575,,,,,,,,</t>
  </si>
  <si>
    <t>2025-05-05 08:18:00,,485,,,470,,,,,,,,</t>
  </si>
  <si>
    <t>2025-05-05 08:18:00,5700,,,5540,5600,,5690,,,,,5700,5540</t>
  </si>
  <si>
    <t>2025-05-05 08:18:00,20300,,,,19475,,,,,,,,</t>
  </si>
  <si>
    <t>2025-05-05 08:18:00,-1489986606.6547,0,0,0,0,0,0,0</t>
  </si>
  <si>
    <t>2025-05-05 08:18:00,-506604471.920241,0,0,0,0,0,0,0</t>
  </si>
  <si>
    <t>2025-05-05 08:18:00,302269829.603649,2218192.33418669,,-14,,214.06,0.0658650930976984,2.5</t>
  </si>
  <si>
    <t>2025-05-05 08:18:00,18267763.275661,0,0,0,0,0,0,0</t>
  </si>
  <si>
    <t>2025-05-05 08:19:00,,560,,,575,,,,,,,,</t>
  </si>
  <si>
    <t>2025-05-05 08:19:00,,485,,,470,,,,,,,,</t>
  </si>
  <si>
    <t>2025-05-05 08:19:00,5700,,,5540,5600,,5690,,,,,5700,5540</t>
  </si>
  <si>
    <t>2025-05-05 08:19:00,20300,,,,19475,,,,,,,,</t>
  </si>
  <si>
    <t>2025-05-05 08:19:00,-1490126328.74243,0,0,0,0,0,0,0</t>
  </si>
  <si>
    <t>2025-05-05 08:19:00,-512051821.162542,0,0,0,0,0,0,0</t>
  </si>
  <si>
    <t>2025-05-05 08:19:00,302112451.402686,2172281.69356851,,5,,82.47,0.00797578671019453,1.52</t>
  </si>
  <si>
    <t>2025-05-05 08:19:00,18269842.9851727,0,0,0,0,0,0,0</t>
  </si>
  <si>
    <t>2025-05-05 08:20:00,,560,,,575,,,,,,,,</t>
  </si>
  <si>
    <t>2025-05-05 08:20:00,,485,,,470,,,,,,,,</t>
  </si>
  <si>
    <t>2025-05-05 08:20:00,5700,,,5540,5600,,5690,,,,,5700,5540</t>
  </si>
  <si>
    <t>2025-05-05 08:20:00,20300,,,,19475,,,,,,,,</t>
  </si>
  <si>
    <t>2025-05-05 08:20:00,-1521467565.11432,0,0,0,0,0,0,0</t>
  </si>
  <si>
    <t>2025-05-05 08:20:00,-529053688.613986,0,0,0,0,0,0,0</t>
  </si>
  <si>
    <t>2025-05-05 08:20:00,303552676.225465,2130714.95810043,,9,,182.56,0.0183050000017147,2.62</t>
  </si>
  <si>
    <t>2025-05-05 08:20:00,18186132.685624,0,0,0,0,0,0,0</t>
  </si>
  <si>
    <t>2025-05-05 08:21:00,,560,,,575,,,,,,,,</t>
  </si>
  <si>
    <t>2025-05-05 08:21:00,,485,,,470,,,,,,,,</t>
  </si>
  <si>
    <t>2025-05-05 08:21:00,5700,,,5540,5600,,5690,,,,,5700,5540</t>
  </si>
  <si>
    <t>2025-05-05 08:21:00,20300,,,,19475,,,,,,,,</t>
  </si>
  <si>
    <t>2025-05-05 08:21:00,-1468968468.12214,0,0,0,0,0,0,0</t>
  </si>
  <si>
    <t>2025-05-05 08:21:00,-492511248.454073,0,0,0,0,0,0,0</t>
  </si>
  <si>
    <t>2025-05-05 08:21:00,301550089.121255,2335061.99843189,,9,,238.12,0.0233785054171566,4.04</t>
  </si>
  <si>
    <t>2025-05-05 08:21:00,18495527.7592528,0,0,0,0,0,0,0</t>
  </si>
  <si>
    <t>2025-05-05 08:22:00,,560,,,575,,,,,,,,</t>
  </si>
  <si>
    <t>2025-05-05 08:22:00,,485,,,470,,,,,,,,</t>
  </si>
  <si>
    <t>2025-05-05 08:22:00,5700,,,5540,5600,,5690,,,,,5700,5540</t>
  </si>
  <si>
    <t>2025-05-05 08:22:00,20300,,,,19475,,,,,,,,</t>
  </si>
  <si>
    <t>2025-05-05 08:22:00,-1425202463.29933,0,0,0,0,0,0,0</t>
  </si>
  <si>
    <t>2025-05-05 08:22:00,-482101267.959136,0,0,0,0,0,0,0</t>
  </si>
  <si>
    <t>2025-05-05 08:22:00,300381408.162266,2345104.93436977,,-131,,126.43,0.313694534752107,1.97</t>
  </si>
  <si>
    <t>2025-05-05 08:22:00,18536759.0241996,0,0,0,0,0,0,0</t>
  </si>
  <si>
    <t>2025-05-05 08:23:00,,560,,,575,,,,,,,,</t>
  </si>
  <si>
    <t>2025-05-05 08:23:00,,485,,,470,,,,,,,,</t>
  </si>
  <si>
    <t>2025-05-05 08:23:00,5700,,,5540,5600,,5690,,,,,5700,5540</t>
  </si>
  <si>
    <t>2025-05-05 08:23:00,20300,,,,19475,,,,,,,,</t>
  </si>
  <si>
    <t>2025-05-05 08:23:00,-1439755036.46142,0,0,0,0,0,0,0</t>
  </si>
  <si>
    <t>2025-05-05 08:23:00,-492223889.040057,0,0,0,0,0,0,0</t>
  </si>
  <si>
    <t>2025-05-05 08:23:00,300804374.403662,2336464.35813754,,12,,268.65,-0.0127248220145037,4.66</t>
  </si>
  <si>
    <t>2025-05-05 08:23:00,18512572.5579007,0,0,0,0,0,0,0</t>
  </si>
  <si>
    <t>2025-05-05 08:24:00,,560,,,575,,,,,,,,</t>
  </si>
  <si>
    <t>2025-05-05 08:24:00,,485,,,470,,,,,,,,</t>
  </si>
  <si>
    <t>2025-05-05 08:24:00,5700,,,5540,5600,,5690,,,,,5700,5540</t>
  </si>
  <si>
    <t>2025-05-05 08:24:00,20300,,,,19475,,,,,,,,</t>
  </si>
  <si>
    <t>2025-05-05 08:24:00,-1490609717.84283,0,0,0,0,0,0,0</t>
  </si>
  <si>
    <t>2025-05-05 08:24:00,-479538427.569877,0,0,0,0,0,0,0</t>
  </si>
  <si>
    <t>2025-05-05 08:24:00,301906597.901332,2139037.11526827,,25,,454.9,0.0270099892797568,6.9</t>
  </si>
  <si>
    <t>2025-05-05 08:24:00,18350535.6092575,0,0,0,0,0,0,0</t>
  </si>
  <si>
    <t>2025-05-05 08:25:00,,560,,,575,,,,,,,,</t>
  </si>
  <si>
    <t>2025-05-05 08:25:00,,485,,,470,,,,,,,,</t>
  </si>
  <si>
    <t>2025-05-05 08:25:00,5700,,5700,,5600,,5690,,,,,5700,5540</t>
  </si>
  <si>
    <t>2025-05-05 08:25:00,20300,,,,19475,,,,,,,,</t>
  </si>
  <si>
    <t>2025-05-05 08:25:00,-1408220823.47743,0,0,0,0,0,0,0</t>
  </si>
  <si>
    <t>2025-05-05 08:25:00,-523121714.238113,0,0,0,0,0,0,0</t>
  </si>
  <si>
    <t>2025-05-05 08:25:00,300205570.88471,3039859.19878891,,5,,499.77,0.0611749823488099,6.38</t>
  </si>
  <si>
    <t>2025-05-05 08:25:00,18227143.4325413,0,0,0,0,0,0,0</t>
  </si>
  <si>
    <t>GEX-VOL</t>
  </si>
  <si>
    <t>2025-05-05 08:26:00,,560,,,575,,,,,,,,</t>
  </si>
  <si>
    <t>2025-05-05 08:26:00,,485,,,470,,,,,,,,</t>
  </si>
  <si>
    <t>2025-05-05 08:26:00,5700,,5700,,5600,,5690,,,,,5700,5540</t>
  </si>
  <si>
    <t>2025-05-05 08:26:00,20300,,,,19475,,,,,,,,</t>
  </si>
  <si>
    <t>2025-05-05 08:26:00,-1462190299.82979,0,0,0,0,0,0,0</t>
  </si>
  <si>
    <t>2025-05-05 08:26:00,-487107627.504419,0,0,0,0,0,0,0</t>
  </si>
  <si>
    <t>2025-05-05 08:26:00,302852372.454711,3320698.34979789,,0,,0,0,0</t>
  </si>
  <si>
    <t>2025-05-05 08:26:00,18520282.8655084,0,0,0,0,0,0,0</t>
  </si>
  <si>
    <t>2025-05-05 08:27:00,,560,,,575,,,,,,,,</t>
  </si>
  <si>
    <t>2025-05-05 08:27:00,,485,,,470,,,,,,,,</t>
  </si>
  <si>
    <t>2025-05-05 08:27:00,5700,,5700,,5600,,5690,,,,,5700,5540</t>
  </si>
  <si>
    <t>2025-05-05 08:27:00,20300,,,,19475,,,,,,,,</t>
  </si>
  <si>
    <t>2025-05-05 08:27:00,-1432991909.08026,0,0,0,0,0,0,0</t>
  </si>
  <si>
    <t>2025-05-05 08:27:00,-552037973.801291,0,0,0,0,0,0,0</t>
  </si>
  <si>
    <t>2025-05-05 08:27:00,298918682.701212,2910489.74907067,,0,,0,0,0</t>
  </si>
  <si>
    <t>2025-05-05 08:27:00,18199844.3209685,0,0,0,0,0,0,0</t>
  </si>
  <si>
    <t>2025-05-05 08:28:00,,560,,,575,,,,,,,,</t>
  </si>
  <si>
    <t>2025-05-05 08:28:00,,485,,,470,,,,,,,,</t>
  </si>
  <si>
    <t>2025-05-05 08:28:00,5700,,5700,,5600,,5690,,,,,5700,5540</t>
  </si>
  <si>
    <t>2025-05-05 08:28:00,20300,,,,19475,,,,,,,,</t>
  </si>
  <si>
    <t>2025-05-05 08:28:00,-1411344969.47514,0,0,0,0,0,0,0</t>
  </si>
  <si>
    <t>2025-05-05 08:28:00,-427603375.11881,0,0,0,0,0,0,0</t>
  </si>
  <si>
    <t>2025-05-05 08:28:00,303351313.131884,3377882.53400977,,0,,0,0,0</t>
  </si>
  <si>
    <t>2025-05-05 08:28:00,18705332.9186848,0,0,0,0,0,0,0</t>
  </si>
  <si>
    <t>2025-05-05 08:29:00,,560,,,575,,,,,,,,</t>
  </si>
  <si>
    <t>2025-05-05 08:29:00,,485,,,470,,,,,,,,</t>
  </si>
  <si>
    <t>2025-05-05 08:29:00,5700,,5700,,5600,,5690,,,,,5700,5540</t>
  </si>
  <si>
    <t>2025-05-05 08:29:00,20300,,,,19475,,,,,,,,</t>
  </si>
  <si>
    <t>2025-05-05 08:29:00,-1526801102.88612,0,0,0,0,0,0,0</t>
  </si>
  <si>
    <t>2025-05-05 08:29:00,-504588216.42131,0,0,0,0,0,0,0</t>
  </si>
  <si>
    <t>2025-05-05 08:29:00,300753213.258984,3103983.94837219,,0,,0,0,0</t>
  </si>
  <si>
    <t>2025-05-05 08:29:00,18490877.1707068,0,0,0,0,0,0,0</t>
  </si>
  <si>
    <t>2025-05-05 08:30:00,575,,,,575,,568.5,,,,,570,560</t>
  </si>
  <si>
    <t>2025-05-05 08:30:00,490,,,482,470,,488,,,,,490,480</t>
  </si>
  <si>
    <t>2025-05-05 08:30:00,5800,,5700,,5500,,5630,,,,,5700,5540</t>
  </si>
  <si>
    <t>2025-05-05 08:30:00,20300,,20200,,19475,,,,,,,20300,19700</t>
  </si>
  <si>
    <t>2025-05-05 08:30:00,113203969.171214,32494797.3138987,4164.389027639,3048,614.495063270033,4450.11,4.17641925811429,1139.21</t>
  </si>
  <si>
    <t>2025-05-05 08:30:00,841963587.157729,-24842525.9965262,2780.04039670881,4148,3543.6353490815,7977.92,-277.756797138973,1775.28</t>
  </si>
  <si>
    <t>2025-05-05 08:30:00,239189080.415465,5960048.47446047,,103,,10655.35,-1.61408754592434,210.89</t>
  </si>
  <si>
    <t>2025-05-05 08:30:00,20021302.3629908,2895.66526609159,4.63162393162393,-6,32.4215931623932,-61.36,-0.00347863217946167,-0.57</t>
  </si>
  <si>
    <t>2025-05-05 08:31:00,575,,,560,575,,574,,,,,570,560</t>
  </si>
  <si>
    <t>2025-05-05 08:31:00,490,,,480,470,,487,,485,485,,490,480</t>
  </si>
  <si>
    <t>2025-05-05 08:31:00,5800,,5700,,,5700,5630,,,,,5700,5540</t>
  </si>
  <si>
    <t>2025-05-05 08:31:00,20300,,20300,,19475,,,,,,,20300,19700</t>
  </si>
  <si>
    <t>2025-05-05 08:31:00,40251044.0928423,-46010679.7146966,-11731.3579676234,-6572,-40124.5814914076,-16182.07,208.897188527127,-3045.15</t>
  </si>
  <si>
    <t>2025-05-05 08:31:00,790954868.956959,-42362405.1478794,-14634.8237309925,-5410,-19594.2112756489,-4617.24,-325.573835196949,-1161.64</t>
  </si>
  <si>
    <t>2025-05-05 08:31:00,235515625.621714,6562860.30076503,,-2378,,-15168.63,2.49532432022329,-506.38</t>
  </si>
  <si>
    <t>2025-05-05 08:31:00,19742034.6710974,3403.03800166274,-1.09190262517871,0,401.749285927445,403.97,-0.0315991099296393,1.08</t>
  </si>
  <si>
    <t>2025-05-05 08:32:00,575,,,,575,,574,,,,,570,560</t>
  </si>
  <si>
    <t>2025-05-05 08:32:00,490,,,480,470,,493.5,,485,,,490,480</t>
  </si>
  <si>
    <t>2025-05-05 08:32:00,5800,,5700,,,5700,5610,,,,,5700,5540</t>
  </si>
  <si>
    <t>2025-05-05 08:32:00,20300,,,19900,19475,,20025,,,,,20300,19700</t>
  </si>
  <si>
    <t>2025-05-05 08:32:00,5282832.98055351,20295482.8659634,-1079.06044608986,-1311,-8184.74229145039,-3559.39,152.21314110243,-1094.34</t>
  </si>
  <si>
    <t>2025-05-05 08:32:00,812991017.306717,-42450862.0722263,-8943.17051544809,-3640,-12847.8859608305,-2673.55,23.2959692735762,-889.16</t>
  </si>
  <si>
    <t>2025-05-05 08:32:00,234089294.106896,6988240.76551374,,660,,12811.94,-5.40402167688064,311.94</t>
  </si>
  <si>
    <t>2025-05-05 08:32:00,19489980.5028289,-10160.4416987964,13.7305483259431,8,-564.808628463638,389.21,-0.00733523793724353,3.04</t>
  </si>
  <si>
    <t>2025-05-05 08:33:00,575,,,,575,,574,,,,,570,560</t>
  </si>
  <si>
    <t>2025-05-05 08:33:00,490,,490,,470,,486.5,,,,,490,480</t>
  </si>
  <si>
    <t>2025-05-05 08:33:00,5800,,5700,,,5700,5610,,,,,5700,5540</t>
  </si>
  <si>
    <t>2025-05-05 08:33:00,20300,,,,19475,,20025,,,,,20300,19700</t>
  </si>
  <si>
    <t>2025-05-05 08:33:00,72522261.620871,64450564.3117251,-9696.26554001558,-8040,-21183.2229634255,-16943.42,44.9558219653797,-4248.36</t>
  </si>
  <si>
    <t>2025-05-05 08:33:00,827954752.096806,-37369989.6896955,-8122.21015951053,-4654,-13546.9498377902,-4966.13,-98.1077797968221,-1453.59</t>
  </si>
  <si>
    <t>2025-05-05 08:33:00,238641614.933489,10929756.9608709,,-2564,,-33112.61,-1.89926632064363,-669.9</t>
  </si>
  <si>
    <t>2025-05-05 08:33:00,19579243.5272688,2136.62545839416,-2.88103546212245,-50,-144.569588064592,-607.21,-0.00501136052707211,-5.45</t>
  </si>
  <si>
    <t>2025-05-05 08:34:00,575,,,,575,,564.5,,,,,570,560</t>
  </si>
  <si>
    <t>2025-05-05 08:34:00,490,,490,,470,,486.5,485,,,,490,480</t>
  </si>
  <si>
    <t>2025-05-05 08:34:00,5800,,5700,,5500,,5610,,,,,5700,5540</t>
  </si>
  <si>
    <t>2025-05-05 08:34:00,20300,,,19900,19475,,20025,,,,,20300,19350</t>
  </si>
  <si>
    <t>2025-05-05 08:34:00,85112977.464927,96062724.5202983,1442.42495559998,3458,-200.641431540629,529.9,218.35761136849,22.7300000000002</t>
  </si>
  <si>
    <t>2025-05-05 08:34:00,854849418.658625,-12300283.6887151,4430.15373163482,2691,6668.24476711584,4428.35,254.786682396672,1120.1</t>
  </si>
  <si>
    <t>2025-05-05 08:34:00,241476999.364979,13805460.1780704,,296,,11027.57,5.80955069112181,304.34</t>
  </si>
  <si>
    <t>2025-05-05 08:34:00,20126281.9682694,-6548.62339012327,-100.941006047093,-101,-835.808058014933,-1004.19,0.0442372188257973,-7.45</t>
  </si>
  <si>
    <t>2025-05-05 08:35:00,575,,565,,575,,564,,563,,,570,560</t>
  </si>
  <si>
    <t>2025-05-05 08:35:00,490,,490,,470,,486.5,,,,,490,480</t>
  </si>
  <si>
    <t>2025-05-05 08:35:00,5800,,5700,,5500,,5610,,,,,5700,5540</t>
  </si>
  <si>
    <t>2025-05-05 08:35:00,20300,,,19900,19475,,20025,,,,,20300,19350</t>
  </si>
  <si>
    <t>2025-05-05 08:35:00,109498543.408505,184090948.440513,7539.37705627708,3907,4499.86436147192,447.44,160.628887328687,433.85</t>
  </si>
  <si>
    <t>2025-05-05 08:35:00,870894843.150138,35443710.0482287,2573.46470814131,731,3995.25350128005,-1597.23,-330.436927585222,-366.69</t>
  </si>
  <si>
    <t>2025-05-05 08:35:00,243024786.402956,21347342.9611548,,1020,,3316.04,-4.63571132671373,146.21</t>
  </si>
  <si>
    <t>2025-05-05 08:35:00,20643642.7569524,-8608.7758390456,-56.9663892865665,3,-279.814239710093,-142.35,0.0101522914642778,-0.61</t>
  </si>
  <si>
    <t>2025-05-05 08:36:00,575,,565,,575,,573.5,,563,,,570,560</t>
  </si>
  <si>
    <t>2025-05-05 08:36:00,490,,490,,470,,486.5,,,,,490,480</t>
  </si>
  <si>
    <t>2025-05-05 08:36:00,5800,,5700,,5500,,5610,,,,,5700,5540</t>
  </si>
  <si>
    <t>2025-05-05 08:36:00,20300,,,19900,19475,,20025,,,,,20300,19350</t>
  </si>
  <si>
    <t>2025-05-05 08:36:00,91353933.326849,313707825.940149,3406.12265512264,-451,-1396.67261471864,-6964.17,170.678155076432,-1577.13</t>
  </si>
  <si>
    <t>2025-05-05 08:36:00,858305308.529917,77957065.3356244,-5852.49135270857,-7858,-11219.0526271927,-13428.91,-86.6884595891936,-3273.14</t>
  </si>
  <si>
    <t>2025-05-05 08:36:00,241775061.160567,21761055.6927343,,328,,-7242.7,0.9185415723201,-151.82</t>
  </si>
  <si>
    <t>2025-05-05 08:36:00,20092228.9491333,-15467.7820486965,-92.8576334776335,-112,-538.416364357865,-365.07,0.0270629456006956,-4.62</t>
  </si>
  <si>
    <t>2025-05-05 08:38:00,575,,565,,575,,573.5,,,,,570,560</t>
  </si>
  <si>
    <t>2025-05-05 08:38:00,490,,490,,470,,486.5,,486,,,490,480</t>
  </si>
  <si>
    <t>2025-05-05 08:38:00,5800,,5630,,5500,,5610,,,,,5700,5540</t>
  </si>
  <si>
    <t>2025-05-05 08:38:00,20300,,,19900,19475,,20050,,,,,20300,19350</t>
  </si>
  <si>
    <t>2025-05-05 08:38:00,98700836.5203392,352144160.658139,407.030158730158,1107,-2515.52485714287,-848.72,-66.1989921666928,-48.08</t>
  </si>
  <si>
    <t>2025-05-05 08:38:00,891481410.495308,130569373.147787,-216.336895986879,-3648,1627.42570980075,-2050.17,-6.99378597287699,-737.52</t>
  </si>
  <si>
    <t>2025-05-05 08:38:00,242293311.034707,25180363.9012536,,604,,48793,6.15256928199725,474.57</t>
  </si>
  <si>
    <t>2025-05-05 08:38:00,20561624.1843574,-13606.2345274247,-78.1624837845049,-90,-666.23845653715,1026.14,0.0398579166219098,4.9</t>
  </si>
  <si>
    <t>2025-05-05 08:39:00,575,,565,,575,,574.5,,,,,570,560</t>
  </si>
  <si>
    <t>2025-05-05 08:39:00,490,,490,,470,,486.5,486,,,,490,480</t>
  </si>
  <si>
    <t>2025-05-05 08:39:00,5800,,5630,,5500,,5610,,,,,5700,5500</t>
  </si>
  <si>
    <t>2025-05-05 08:39:00,20300,,,19900,19475,,20050,,,,,20300,19350</t>
  </si>
  <si>
    <t>2025-05-05 08:39:00,103467135.508161,390563024.188079,-1592.15054112555,-4201,-4027.40085173162,-6658.87,144.486558894846,-1692.7</t>
  </si>
  <si>
    <t>2025-05-05 08:39:00,884232006.765251,125611574.674682,-6049.68150528642,-3058,-13824.0951719513,-6048.38,187.782001570789,-1253.4</t>
  </si>
  <si>
    <t>2025-05-05 08:39:00,243388571.586098,26128539.6763823,,-1685,,-4098.85,0.579965065007249,-351.49</t>
  </si>
  <si>
    <t>2025-05-05 08:39:00,20329039.8487344,-16281.8435026705,-108.619282230841,-157,-1636.60150061158,-2956.16,0.00347720511777313,-18.59</t>
  </si>
  <si>
    <t>2025-05-05 08:40:00,575,,565,,575,,574.5,,,,,570,560</t>
  </si>
  <si>
    <t>2025-05-05 08:40:00,490,,486,,470,,486.5,,,,,490,480</t>
  </si>
  <si>
    <t>2025-05-05 08:40:00,5800,,5630,,,5700,5615,,,,,5700,5500</t>
  </si>
  <si>
    <t>2025-05-05 08:40:00,20300,,,19900,19475,,20025,,,,,20300,19350</t>
  </si>
  <si>
    <t>2025-05-05 08:40:00,456333.229616305,305110446.969762,2260.98863636364,2010,3292.65912878789,6020.08,127.261575507089,1475.96</t>
  </si>
  <si>
    <t>2025-05-05 08:40:00,824503327.987687,75700639.2371762,-2244.2408355307,-3405,-2692.98546898273,-3326.11,-4.18558246315528,-948.96</t>
  </si>
  <si>
    <t>2025-05-05 08:40:00,238501692.763825,23657309.8387781,,1488,,45603.05,4.28524986030643,722.47</t>
  </si>
  <si>
    <t>2025-05-05 08:40:00,19519128.0187138,-11600.3189333365,18.3345446656777,-5,4961.80558711588,6316.39,0.119296752825664,31.11</t>
  </si>
  <si>
    <t>2025-05-05 08:41:00,,,565,,575,,574.5,,,,562,570,560</t>
  </si>
  <si>
    <t>2025-05-05 08:41:00,490,,486,,470,,486.5,485,,,485,490,480</t>
  </si>
  <si>
    <t>2025-05-05 08:41:00,5800,,5630,,,5700,5630,,,,,5700,5500</t>
  </si>
  <si>
    <t>2025-05-05 08:41:00,20300,,,19900,19475,,20025,,,,,20300,19400</t>
  </si>
  <si>
    <t>2025-05-05 08:41:00,-15768697.6127195,147683834.851176,-4364.21090126505,-2123,-7082.52631702286,3383.7,-120.063347085943,746.33</t>
  </si>
  <si>
    <t>2025-05-05 08:41:00,799431403.307449,23435627.9819475,-1961.84827289632,-1205,-4843.10277430003,-4433.8,231.354385718566,-1001.71</t>
  </si>
  <si>
    <t>2025-05-05 08:41:00,234171430.519714,19985861.2102284,,-3841,,28034.82,-0.364965804901666,247.16</t>
  </si>
  <si>
    <t>2025-05-05 08:41:00,18914668.3718382,-31284.0815116444,101.866522537618,55,874.465050794581,996.46,-0.0260656751190404,7.48</t>
  </si>
  <si>
    <t>2025-05-05 08:42:00,,,,560,575,,574.5,,,,562,570,560</t>
  </si>
  <si>
    <t>2025-05-05 08:42:00,490,,,480,470,,486.5,,,,,490,480</t>
  </si>
  <si>
    <t>2025-05-05 08:42:00,5800,,5700,,,5700,5630,,,,,5700,5500</t>
  </si>
  <si>
    <t>2025-05-05 08:42:00,20300,,,19900,19475,,20025,,,,,20300,19400</t>
  </si>
  <si>
    <t>2025-05-05 08:42:00,-72989207.1675862,-42976441.6274006,-19302.4860750361,-13073,-26077.5313535356,-13088.63,329.074774709116,-3673.54</t>
  </si>
  <si>
    <t>2025-05-05 08:42:00,767389006.00543,-35568349.5870766,-5303.56161053507,-5339,-8475.05978107334,-4601.06,168.755318512358,-1359.26</t>
  </si>
  <si>
    <t>2025-05-05 08:42:00,232799830.402629,20306075.321997,,-4392,,-46546.41,-2.19800545625274,-859.09</t>
  </si>
  <si>
    <t>2025-05-05 08:42:00,18635649.9487232,-44741.0674898374,72.8444890958099,105,596.396847565958,920.31,-0.0520693079530277,7.47</t>
  </si>
  <si>
    <t>2025-05-05 08:43:00,,,,560,575,,565,,,,562,570,560</t>
  </si>
  <si>
    <t>2025-05-05 08:43:00,490,,,480,470,,486.5,,,,,490,480</t>
  </si>
  <si>
    <t>2025-05-05 08:43:00,5800,,5700,,,5700,5630,,,,,5700,5500</t>
  </si>
  <si>
    <t>2025-05-05 08:43:00,20300,,,19900,19475,,20025,,,,,20300,19400</t>
  </si>
  <si>
    <t>2025-05-05 08:43:00,-17710070.3849724,-124203467.568512,-9169.61743256742,727,-11595.8585786713,-2844.47,-503.51510552476,-534.96</t>
  </si>
  <si>
    <t>2025-05-05 08:43:00,813883933.968709,-39792814.2805518,-6049.05634920639,-1213,-10855.4254444445,-2980.53,-53.1345887768154,-600.33</t>
  </si>
  <si>
    <t>2025-05-05 08:43:00,236551141.041913,21946378.0852923,,-2951,,-44379.37,-2.63066499064102,-781.23</t>
  </si>
  <si>
    <t>2025-05-05 08:43:00,18794198.6037117,-40635.6266656563,-95.2200937125422,-67,-3184.26202244742,-1350.06,0.0262189966680825,-8.64</t>
  </si>
  <si>
    <t>2025-05-05 08:44:00,575,,,,575,,565,,,,,565,560</t>
  </si>
  <si>
    <t>2025-05-05 08:44:00,490,,486,,470,,489.5,,485,,,490,480</t>
  </si>
  <si>
    <t>2025-05-05 08:44:00,5800,,5700,,5500,,5630,,,,,5700,5500</t>
  </si>
  <si>
    <t>2025-05-05 08:44:00,20300,,,19900,19475,,20025,,,,,20300,19400</t>
  </si>
  <si>
    <t>2025-05-05 08:44:00,48069733.5265002,-7601780.07203352,26.1880230880224,106,794.665251803744,-22.03,-343.225577883817,-139.41</t>
  </si>
  <si>
    <t>2025-05-05 08:44:00,873202795.01636,36215484.8914887,2178.07054415119,2158,2953.4168882372,199.84,81.8774372477642,377.56</t>
  </si>
  <si>
    <t>2025-05-05 08:44:00,240992398.189281,25805659.5346556,,620,,3726.98,1.30198877817153,169.71</t>
  </si>
  <si>
    <t>2025-05-05 08:44:00,20659854.4344546,-26332.6127673851,-46.3904295051354,23,-1277.47256629318,-467.02,-0.00682242878009568,-2.96</t>
  </si>
  <si>
    <t>2025-05-05 08:45:00,,,,,575,,565,,,,562,565,560</t>
  </si>
  <si>
    <t>2025-05-05 08:45:00,490,,486,,470,,489.5,485,,,,490,480</t>
  </si>
  <si>
    <t>2025-05-05 08:45:00,5800,,5700,,,5700,5630,,,,,5700,5500</t>
  </si>
  <si>
    <t>2025-05-05 08:45:00,20300,,,19400,19475,,20025,,,,,20300,19400</t>
  </si>
  <si>
    <t>2025-05-05 08:45:00,-3467844.07449544,-85126074.5045914,3418.66833640214,3609,2994.00149881486,5365.91,735.774898133032,1722.37</t>
  </si>
  <si>
    <t>2025-05-05 08:45:00,840936816.457571,24134395.8952547,4462.71245421245,3433,6969.7717016317,5850.57,-184.842101997967,1354.99</t>
  </si>
  <si>
    <t>2025-05-05 08:45:00,238197308.597372,24563369.4489239,,160,,-753.679999999999,1.96823155782903,1.66000000000001</t>
  </si>
  <si>
    <t>2025-05-05 08:45:00,19660556.3326838,-31294.0057685438,17.7827584378776,49,565.076944442097,662.11,0.00584947073823852,5.59</t>
  </si>
  <si>
    <t>2025-05-05 08:46:00,,,,,575,,565,,,,,565,560</t>
  </si>
  <si>
    <t>2025-05-05 08:46:00,490,,,480,470,,489.5,,,,,490,480</t>
  </si>
  <si>
    <t>2025-05-05 08:46:00,5800,,5700,,,5700,5630,,,,,5700,5500</t>
  </si>
  <si>
    <t>2025-05-05 08:46:00,20300,,,19400,19475,,20025,,,,,20300,19400</t>
  </si>
  <si>
    <t>2025-05-05 08:46:00,-133534033.445555,-281609304.44032,-19467.8504040404,-11836,-20940.2623,-9699.54,-134.379007481088,-3017.64</t>
  </si>
  <si>
    <t>2025-05-05 08:46:00,790344544.129315,-37562842.3166477,-6741.25059289651,-1560,-10609.1746894016,-4409.62,-215.25708409176,-1101.15</t>
  </si>
  <si>
    <t>2025-05-05 08:46:00,236957640.935124,22875425.3428377,,-1486,,-14866.6,4.92546067172698,-458.06</t>
  </si>
  <si>
    <t>2025-05-05 08:46:00,20383495.0792035,-32078.0718023804,-20.4388261738262,-11,-52.7646714341212,-130.52,-0.00623513490571538,-1.31</t>
  </si>
  <si>
    <t>2025-05-05 08:47:00,,,,,575,,565,,,,,565,560</t>
  </si>
  <si>
    <t>2025-05-05 08:47:00,490,,486,,470,,489.5,,,,,490,480</t>
  </si>
  <si>
    <t>2025-05-05 08:47:00,5800,,5700,,,5700,5630,,,,,5700,5500</t>
  </si>
  <si>
    <t>2025-05-05 08:47:00,20300,,,19400,19475,,20025,,,,,20300,19400</t>
  </si>
  <si>
    <t>2025-05-05 08:47:00,-59536509.0008613,-225474756.576568,-9897.51140803641,-8882,-13140.3285529193,-11101.84,131.914569251794,-3119.37</t>
  </si>
  <si>
    <t>2025-05-05 08:47:00,860320909.907142,24782733.6003092,521.691133004923,1940,552.485738916254,1010.98,-119.490082304404,368.82</t>
  </si>
  <si>
    <t>2025-05-05 08:47:00,236843641.202627,22251729.7649549,,-793,,-12066.76,1.03088075876787,-340.08</t>
  </si>
  <si>
    <t>2025-05-05 08:47:00,19899371.004777,-20642.0077025877,-3.58677185387711,-5,-89.2056594896332,-119.35,0.00198662077154176,-0.84</t>
  </si>
  <si>
    <t>2025-05-05 08:48:00,,,,,575,,564.5,,,,,565,560</t>
  </si>
  <si>
    <t>2025-05-05 08:48:00,490,,486,,470,,489.5,,,,,490,480</t>
  </si>
  <si>
    <t>2025-05-05 08:48:00,5800,,5700,,,5700,5630,,,,,5700,5500</t>
  </si>
  <si>
    <t>2025-05-05 08:48:00,20300,,,19400,19475,,20025,,,,,20300,19400</t>
  </si>
  <si>
    <t>2025-05-05 08:48:00,-74064612.6423431,-163885602.101064,20168.4158199644,8434,36401.799856761,12366.44,166.328980102788,3420.95</t>
  </si>
  <si>
    <t>2025-05-05 08:48:00,860745844.843952,37269127.5314696,9939.70181446906,4340,18581.7046036626,8165.13,106.768401508666,1826.63</t>
  </si>
  <si>
    <t>2025-05-05 08:48:00,236250990.390444,21681143.8239547,,1160,,-23052.37,-4.50694762650476,330.92</t>
  </si>
  <si>
    <t>2025-05-05 08:48:00,20136761.2454717,-32340.7300845159,-22.1769214347982,69,513.18373087097,825.9,-0.0321972538585377,6.27</t>
  </si>
  <si>
    <t>2025-05-05 08:49:00,575,,565,,575,,564.5,,563,,,565,560</t>
  </si>
  <si>
    <t>2025-05-05 08:49:00,490,,486,,470,,489.5,,486,,,490,480</t>
  </si>
  <si>
    <t>2025-05-05 08:49:00,5800,,5700,,5500,,5630,,,,,5700,5500</t>
  </si>
  <si>
    <t>2025-05-05 08:49:00,20300,,,19400,19475,,20025,,,,,20300,19400</t>
  </si>
  <si>
    <t>2025-05-05 08:49:00,44958945.1053222,47996022.1746359,-12667.884920635,-13291,-21069.5445238097,-14971.32,-18.3950245209957,-4046.34</t>
  </si>
  <si>
    <t>2025-05-05 08:49:00,888425256.089693,132673357.850871,-12170.6073899919,-6033,-17268.2800679787,-7675.21,-34.7446429988205,-1586.4</t>
  </si>
  <si>
    <t>2025-05-05 08:49:00,241398510.646946,25849352.4652526,,-2111,,-27703.58,1.40088119062032,-667.59</t>
  </si>
  <si>
    <t>2025-05-05 08:49:00,20977508.7210735,-16584.2783532053,-106.144365079365,-115,-1059.00368730159,-1786.35,-0.00626525409542617,-14.45</t>
  </si>
  <si>
    <t>2025-05-05 08:50:00,,,,,575,,564.5,,,,,565,560</t>
  </si>
  <si>
    <t>2025-05-05 08:50:00,490,,486,,470,,489.5,,,,485,490,480</t>
  </si>
  <si>
    <t>2025-05-05 08:50:00,5800,,5700,,,5700,5630,,,,,5700,5500</t>
  </si>
  <si>
    <t>2025-05-05 08:50:00,20300,,,19400,19475,,20025,,,,,20300,19400</t>
  </si>
  <si>
    <t>2025-05-05 08:50:00,-34463320.9920415,-98396043.7512633,13578.6428571429,12062,13818.5902976191,14123.86,244.051244283163,4053.08</t>
  </si>
  <si>
    <t>2025-05-05 08:50:00,852466678.705904,24995807.1617426,1746.24074008028,2518,2137.8644552712,3533.6,-77.0860477042608,958.24</t>
  </si>
  <si>
    <t>2025-05-05 08:50:00,237421709.200659,22391575.9538498,,1060,,13968.7,0.242149446781393,270.94</t>
  </si>
  <si>
    <t>2025-05-05 08:50:00,19622720.2613878,-33328.1581871101,9.66244588744589,19,379.472993506493,318.77,-0.00703801052653333,2.91</t>
  </si>
  <si>
    <t>2025-05-05 08:51:00,,,,560,575,,564.5,,,,562,565,560</t>
  </si>
  <si>
    <t>2025-05-05 08:51:00,490,,486,,470,,489.5,,,,485,490,480</t>
  </si>
  <si>
    <t>2025-05-05 08:51:00,5800,,5700,,,5700,5630,,,,,5700,5500</t>
  </si>
  <si>
    <t>2025-05-05 08:51:00,20300,,,19400,19475,,20025,,,,,20300,19400</t>
  </si>
  <si>
    <t>2025-05-05 08:51:00,-75766540.9213822,-249828240.086576,-7228.63578643577,-5992,-12485.5621233766,-8397.93000000001,301.758836554392,-2014.3</t>
  </si>
  <si>
    <t>2025-05-05 08:51:00,825397190.150201,-37201682.5794106,-4010.45601139601,-3513,-5531.22436182335,-3054.61,-32.2510764613234,-1090.72</t>
  </si>
  <si>
    <t>2025-05-05 08:51:00,235602301.561818,20748062.2442906,,555,,13126.43,-2.85116593082652,334.92</t>
  </si>
  <si>
    <t>2025-05-05 08:51:00,18945959.4579213,-46171.5227814994,-77.9071786852507,-41,-1454.64388887078,-119.41,0.0444577649399434,-2.96</t>
  </si>
  <si>
    <t>2025-05-05 08:52:00,,,,560,575,,564.5,,,,562,565,560</t>
  </si>
  <si>
    <t>2025-05-05 08:52:00,490,,486,,470,,489.5,,,,,490,480</t>
  </si>
  <si>
    <t>2025-05-05 08:52:00,5800,,5700,,,5700,5630,,,,,5700,5500</t>
  </si>
  <si>
    <t>2025-05-05 08:52:00,20300,,,,19475,,20025,,,,,20300,19400</t>
  </si>
  <si>
    <t>2025-05-05 08:52:00,-93502160.4190551,-418033110.032734,-37948.1231005713,-13925,-79169.7352661405,-24145.49,284.678292853843,-6087.5</t>
  </si>
  <si>
    <t>2025-05-05 08:52:00,851038535.46488,-5624101.64530558,-6598.63709897524,-2648,-12331.1677625002,-4526.84,-99.8839931157845,-1075.58</t>
  </si>
  <si>
    <t>2025-05-05 08:52:00,233955869.034832,21141079.4064987,,-2322,,-17992.59,-0.690793821245352,-507.15</t>
  </si>
  <si>
    <t>2025-05-05 08:52:00,19786424.7584428,-49669.3580541616,-57.520576943276,-24,-2165.48245984522,-822.89,0.0287419349896736,-7.91</t>
  </si>
  <si>
    <t>2025-05-05 08:53:00,,,,560,575,,564.5,,,,,565,560</t>
  </si>
  <si>
    <t>2025-05-05 08:53:00,490,,,484,470,,489.5,,,,,490,480</t>
  </si>
  <si>
    <t>2025-05-05 08:53:00,5800,,5700,,,5700,5630,,,,,5700,5500</t>
  </si>
  <si>
    <t>2025-05-05 08:53:00,20300,,,19400,19475,,20025,,,,,20300,19400</t>
  </si>
  <si>
    <t>2025-05-05 08:53:00,-127319997.078874,-559433335.469541,-14939.3441204629,-8400,-34506.191823926,-14839.44,-103.010275843804,-3604.64</t>
  </si>
  <si>
    <t>2025-05-05 08:53:00,811294997.336484,-67803223.5841997,-6663.0640832286,-2922,-7441.53430316996,-1667.13,-203.203472989836,-706.36</t>
  </si>
  <si>
    <t>2025-05-05 08:53:00,232927799.540737,20099053.8330583,,-1266,,-981.05,-1.06867292686303,-61.49</t>
  </si>
  <si>
    <t>2025-05-05 08:53:00,19402059.8834929,-57144.5883038023,-52.1084577472777,-50,-1770.75711638656,-1061.6,-0.0111277248145738,-8.57</t>
  </si>
  <si>
    <t>2025-05-05 08:54:00,,,,560,575,,564.5,,,,,565,560</t>
  </si>
  <si>
    <t>2025-05-05 08:54:00,490,,,484,470,,489.5,,,,,490,480</t>
  </si>
  <si>
    <t>2025-05-05 08:54:00,5800,,5700,,,5700,5630,,,,,5700,5500</t>
  </si>
  <si>
    <t>2025-05-05 08:54:00,20300,,,,19475,,20025,,,,,20300,19400</t>
  </si>
  <si>
    <t>2025-05-05 08:54:00,-102280668.38792,-538483950.006145,4210.1286075036,5258,3784.44440295813,5562.15,-55.0757116357967,1627.88</t>
  </si>
  <si>
    <t>2025-05-05 08:54:00,826953407.737522,-46469386.9969274,3003.17132034633,2247,4977.65468939395,4478.4,102.591139510866,1058.93</t>
  </si>
  <si>
    <t>2025-05-05 08:54:00,234616904.31352,21615471.3684843,,554,,5096.66,-1.45116778432715,196.16</t>
  </si>
  <si>
    <t>2025-05-05 08:54:00,19282582.0459569,-41664.3021770627,-18.642776945277,-53,-918.604036788213,-980.17,-0.0443085098809061,-9.24</t>
  </si>
  <si>
    <t>2025-05-05 08:55:00,,,,560,575,,564.5,,,,,565,560</t>
  </si>
  <si>
    <t>2025-05-05 08:55:00,490,,,484,470,,489.5,,,,,490,480</t>
  </si>
  <si>
    <t>2025-05-05 08:55:00,5800,,5700,,,5700,5630,,,,,5700,5500</t>
  </si>
  <si>
    <t>2025-05-05 08:55:00,20300,,,,19475,,19975,,,,,20300,19400</t>
  </si>
  <si>
    <t>2025-05-05 08:55:00,-79596928.5516911,-503291483.700771,-855.78634698634,63,3849.76459873461,4721.3,189.920326030065,1152.09</t>
  </si>
  <si>
    <t>2025-05-05 08:55:00,830902566.624528,-30389025.5210929,2990.05555555555,2566,6314.84134343433,5091.76,12.0856928915244,1329.92</t>
  </si>
  <si>
    <t>2025-05-05 08:55:00,236022927.818411,23599513.3005757,,981,,8516.76,-1.83893543044036,250.5</t>
  </si>
  <si>
    <t>2025-05-05 08:55:00,19197605.5505498,-34147.0976995808,33.6536935286935,15,1633.66661385836,558.22,0.00134773567985292,3.98</t>
  </si>
  <si>
    <t>2025-05-05 08:56:00,575,,,560,575,,564.5,,,,,565,560</t>
  </si>
  <si>
    <t>2025-05-05 08:56:00,490,,486,,470,,489.5,,486,,,490,480</t>
  </si>
  <si>
    <t>2025-05-05 08:56:00,5800,,5700,,5500,,5630,,,,,5700,5500</t>
  </si>
  <si>
    <t>2025-05-05 08:56:00,20300,,,,19475,,19975,,,,,20300,19400</t>
  </si>
  <si>
    <t>2025-05-05 08:56:00,7059771.74298882,-282486524.127612,-4667.77499999999,-1242,-5829.72804761902,-5221.53,256.169347702102,-1268.08</t>
  </si>
  <si>
    <t>2025-05-05 08:56:00,874860785.582649,46799875.7602133,1553.6878517316,1116,3131.43086363636,475.31,-188.977077807001,155.92</t>
  </si>
  <si>
    <t>2025-05-05 08:56:00,240949536.836758,29142899.8870829,,650,,6112.54,-0.10649162868569,186.52</t>
  </si>
  <si>
    <t>2025-05-05 08:56:00,20364524.7051382,-14216.8543809062,8.43940244163632,5,365.309997315627,118.93,0.00642096687368365,0.92</t>
  </si>
  <si>
    <t>2025-05-05 08:57:00,575,,,,575,,564.5,,,,,565,560</t>
  </si>
  <si>
    <t>2025-05-05 08:57:00,490,,486,,470,,489.5,,486,,,490,480</t>
  </si>
  <si>
    <t>2025-05-05 08:57:00,5800,,5700,,5500,,5630,,,,,5700,5500</t>
  </si>
  <si>
    <t>2025-05-05 08:57:00,20300,,20100,,19475,,19975,,,,,20300,19400</t>
  </si>
  <si>
    <t>2025-05-05 08:57:00,99019941.0462562,-19064637.7588217,169.182659007662,-1159,-2207.6429941725,-3324.46,-776.575826147737,-772.43</t>
  </si>
  <si>
    <t>2025-05-05 08:57:00,920733690.680226,146443308.369759,-1815.27269536019,-1780,-209.539752136748,-2440.39,-34.3071156940873,-769.8</t>
  </si>
  <si>
    <t>2025-05-05 08:57:00,246234145.602546,36142692.5866106,,86,,-5912.05,4.29793805630343,32.96</t>
  </si>
  <si>
    <t>2025-05-05 08:57:00,21028372.6877547,21735.2038761889,-29.2137723387723,-64,-541.407986291487,-926.04,-0.0239138237663589,-7.96</t>
  </si>
  <si>
    <t>2025-05-05 08:58:00,575,,,,575,,564.5,,,,,565,560</t>
  </si>
  <si>
    <t>2025-05-05 08:58:00,490,,486,,470,,489.5,,486,,,490,480</t>
  </si>
  <si>
    <t>2025-05-05 08:58:00,5800,,5700,,5500,,5630,5650,,,,5700,5500</t>
  </si>
  <si>
    <t>2025-05-05 08:58:00,20300,,20100,,19475,,19900,,,,,20300,19400</t>
  </si>
  <si>
    <t>2025-05-05 08:58:00,66666464.5504297,-11023020.7838808,6374.8061050061,7069,9176.18515201463,7847.72,-62.7246606821615,2265.09</t>
  </si>
  <si>
    <t>2025-05-05 08:58:00,891839088.210011,139194680.214445,2909.08064219278,972,3410.52003882964,1028.1,-280.670753580893,231.02</t>
  </si>
  <si>
    <t>2025-05-05 08:58:00,245222396.892328,36729071.4100214,,711,,11476.73,0.927593437574847,251.59</t>
  </si>
  <si>
    <t>2025-05-05 08:58:00,20693715.2309861,15643.5448453412,15.0126374868226,29,425.993720625094,1341.64,0.0202243276797055,8.48</t>
  </si>
  <si>
    <t>2025-05-05 08:59:00,575,,,,575,,564.5,,,,,565,560</t>
  </si>
  <si>
    <t>2025-05-05 08:59:00,490,,486,,470,,489.5,,,,,490,480</t>
  </si>
  <si>
    <t>2025-05-05 08:59:00,5800,,5700,,5500,,5630,,,,,5700,5500</t>
  </si>
  <si>
    <t>2025-05-05 08:59:00,20300,,20100,,19475,,19900,,,,,20300,19400</t>
  </si>
  <si>
    <t>2025-05-05 08:59:00,59422054.6415451,-96222255.8099747,3894.00297830823,2999,1946.88685117805,-960.25,-377.713118403553,-97.2700000000001</t>
  </si>
  <si>
    <t>2025-05-05 08:59:00,892199059.08081,125441041.015082,242.742786115002,1074,1135.552162434,2355.33,96.8983491084462,602.75</t>
  </si>
  <si>
    <t>2025-05-05 08:59:00,243535760.691472,34885706.7903886,,116,,-950.48,2.26468430324392,-10.57</t>
  </si>
  <si>
    <t>2025-05-05 08:59:00,21445842.6673474,17747.5830679788,12.0539510403597,20,296.256041610849,457.05,0.0125266410274178,3.97</t>
  </si>
  <si>
    <t>2025-05-05 09:00:00,575,,565,,575,,564.5,564,,,,565,560</t>
  </si>
  <si>
    <t>2025-05-05 09:00:00,490,,486,,470,,489.5,,487,,,490,480</t>
  </si>
  <si>
    <t>2025-05-05 09:00:00,5800,,5700,,5600,,5630,,,,,5700,5500</t>
  </si>
  <si>
    <t>2025-05-05 09:00:00,20300,,20100,,19475,,19900,,,,,20300,19400</t>
  </si>
  <si>
    <t>2025-05-05 09:00:00,148273694.391376,452491283.644799,3428.01695575666,922,7048.33882370894,-6953.75,558.835328446467,-1477.3</t>
  </si>
  <si>
    <t>2025-05-05 09:00:00,974639119.65481,359921938.813165,-1545.33293586865,26,-872.480913569642,-346.24,-302.477456063538,45.9699999999999</t>
  </si>
  <si>
    <t>2025-05-05 09:00:00,251728951.92735,46315206.4425491,,-1150,,16862.42,9.78364638921648,32.53</t>
  </si>
  <si>
    <t>2025-05-05 09:00:00,23475363.1422428,70985.7850814034,-10.3258255956574,-26,-418.943341767542,-996.81,-0.0375514061291002,-8.26</t>
  </si>
  <si>
    <t>2025-05-05 09:01:00,575,,565,,575,,564.5,564,,,,565,560</t>
  </si>
  <si>
    <t>2025-05-05 09:01:00,490,,486,,470,,489.5,,487,,,490,480</t>
  </si>
  <si>
    <t>2025-05-05 09:01:00,5800,,5700,,5600,,5630,,,,,5700,5600</t>
  </si>
  <si>
    <t>2025-05-05 09:01:00,20300,,20100,,19475,,19900,,,,,20300,19400</t>
  </si>
  <si>
    <t>2025-05-05 09:01:00,341925446.694676,1380007934.21234,-10048.9306163798,349,7623.54195808446,6282.24,42.100638874148,1110.98</t>
  </si>
  <si>
    <t>2025-05-05 09:01:00,1021229355.64126,558733997.917029,-14185.2364561228,-13024,-15363.5511705924,-15986.49,-683.066564876909,-4957.85</t>
  </si>
  <si>
    <t>2025-05-05 09:01:00,255944437.157042,54041326.009549,,-2229,,-22263.73,5.1560012047804,-782.67</t>
  </si>
  <si>
    <t>2025-05-05 09:01:00,23827957.6830703,102958.446208853,4.36324427206777,-17,580.705793830351,217.37,0.0257220385850381,1.38</t>
  </si>
  <si>
    <t>2025-05-05 09:03:00,575,,565,,575,,564.5,,,,,565,560</t>
  </si>
  <si>
    <t>2025-05-05 09:03:00,490,,486,,470,,489.5,,,,,490,480</t>
  </si>
  <si>
    <t>2025-05-05 09:03:00,5800,,5700,,5600,,5630,,,,,5700,5600</t>
  </si>
  <si>
    <t>2025-05-05 09:03:00,20300,,20100,,19475,,19900,,,,,20300,19400</t>
  </si>
  <si>
    <t>2025-05-05 09:03:00,236843594.61806,1087099417.83746,1665.44292929295,3104,11525.9004747475,13669.79,566.675788658665,4058.6</t>
  </si>
  <si>
    <t>2025-05-05 09:03:00,980992041.177283,520646548.475733,-526.228687978686,132,-1311.6697027972,-1539.23,484.016469517804,-177.9</t>
  </si>
  <si>
    <t>2025-05-05 09:03:00,254028718.409715,53789580.3386421,,-1836,,-17178.54,-3.66956581095505,-585.65</t>
  </si>
  <si>
    <t>2025-05-05 09:03:00,23412700.2320443,89947.0424333934,-19.4630782616077,-13,-265.84179212291,-421.25,0.0225664164464068,-3.35</t>
  </si>
  <si>
    <t>2025-05-05 09:04:00,575,,565,,575,,564.5,564,,,,565,560</t>
  </si>
  <si>
    <t>2025-05-05 09:04:00,490,,486,,470,,489.5,,,,,490,480</t>
  </si>
  <si>
    <t>2025-05-05 09:04:00,5800,,5700,,5600,,5630,,,,,5700,5600</t>
  </si>
  <si>
    <t>2025-05-05 09:04:00,20300,,20100,,19475,,19900,,,,,20300,19400</t>
  </si>
  <si>
    <t>2025-05-05 09:04:00,146643548.762015,740562916.867524,3018.84911079259,4604,5197.10897905959,5817.86,159.512018079292,1543.77</t>
  </si>
  <si>
    <t>2025-05-05 09:04:00,947842144.441121,375910204.111801,2194.27455298325,156,4507.50372727274,2177.22,322.045739534342,601.04</t>
  </si>
  <si>
    <t>2025-05-05 09:04:00,250911505.003447,49824849.1617562,,317,,6390.78,2.53382146308678,233.21</t>
  </si>
  <si>
    <t>2025-05-05 09:04:00,23060690.7108466,47760.3229998947,-62.5873851294903,-67,-392.652237176274,-255.97,0.0870484978024651,-3.29</t>
  </si>
  <si>
    <t>2025-05-05 09:05:00,575,,565,,575,,564.5,,,,563,565,560</t>
  </si>
  <si>
    <t>2025-05-05 09:05:00,490,,,484,470,,489.5,,,,,490,480</t>
  </si>
  <si>
    <t>2025-05-05 09:05:00,5800,,5700,,5600,,5630,,,,,5700,5600</t>
  </si>
  <si>
    <t>2025-05-05 09:05:00,20300,,20100,,19475,,19900,,,,,20300,19400</t>
  </si>
  <si>
    <t>2025-05-05 09:05:00,46851812.6256221,393843550.639304,12173.6107753356,10631,25691.4728270891,14396.94,541.550484356154,4543.44</t>
  </si>
  <si>
    <t>2025-05-05 09:05:00,874340019.371696,224006107.780136,-2273.54162797611,-2299,-3804.33972289493,-4601.33,152.608023507372,-1045.79</t>
  </si>
  <si>
    <t>2025-05-05 09:05:00,245494463.849101,41283616.5953247,,694,,8323.94,6.41359119665377,244</t>
  </si>
  <si>
    <t>2025-05-05 09:05:00,20296596.2037093,1039.00160743796,35.8130410921114,24,1570.96056104241,932.12,-0.00625655657323532,6.76</t>
  </si>
  <si>
    <t>2025-05-05 09:06:00,575,,565,,575,,564.5,,,,,565,560</t>
  </si>
  <si>
    <t>2025-05-05 09:06:00,490,,,484,470,,489.5,,,,,490,480</t>
  </si>
  <si>
    <t>2025-05-05 09:06:00,5800,,5700,,5500,,5630,,,,,5700,5600</t>
  </si>
  <si>
    <t>2025-05-05 09:06:00,20300,,20100,,19475,,19900,,,,,20300,19400</t>
  </si>
  <si>
    <t>2025-05-05 09:06:00,28219304.4801998,435301033.266712,3016.21255411267,9725,-528.337153679395,1310.67,-176.077784047471,969.95</t>
  </si>
  <si>
    <t>2025-05-05 09:06:00,898514033.272693,313587969.149815,8128.68906810036,7115,13380.1997507331,10443,48.6782489491294,3000.99</t>
  </si>
  <si>
    <t>2025-05-05 09:06:00,245205320.102408,41461431.2451911,,4098,,29732.83,0.220662308770222,975.05</t>
  </si>
  <si>
    <t>2025-05-05 09:06:00,20703987.1096972,14235.9898151852,15.7954934468206,17,86.0059636503763,229.75,-0.00293749157445476,1.72</t>
  </si>
  <si>
    <t>2025-05-05 09:07:00,,,565,,575,,564.5,,,,,565,560</t>
  </si>
  <si>
    <t>2025-05-05 09:07:00,490,,486,,470,,489.5,,,485,,490,480</t>
  </si>
  <si>
    <t>2025-05-05 09:07:00,5800,,5700,,5500,,5630,,,,,5700,5600</t>
  </si>
  <si>
    <t>2025-05-05 09:07:00,20000,,,,19475,,19900,,,,,20300,19400</t>
  </si>
  <si>
    <t>2025-05-05 09:07:00,-49789363.5739041,136579316.368005,3075.09930902431,8352,2528.57468098568,10616.08,-10.7535179560808,3107.78</t>
  </si>
  <si>
    <t>2025-05-05 09:07:00,824992747.258514,226322619.425654,2182.0155573593,3744,-1511.23893777058,3342.65,-279.285811818625,1546.57</t>
  </si>
  <si>
    <t>2025-05-05 09:07:00,239550574.636857,32461168.8798375,,973,,22005.55,5.19895698721001,650.24</t>
  </si>
  <si>
    <t>2025-05-05 09:07:00,19545399.8954897,-25361.1786794605,46.999236142865,42,874.372232584674,523.33,0.0174563002339629,5.29</t>
  </si>
  <si>
    <t>2025-05-05 09:08:00,575,,565,,575,,564.5,,563,,,565,560</t>
  </si>
  <si>
    <t>2025-05-05 09:08:00,490,,486,,470,,489.5,,,,,490,480</t>
  </si>
  <si>
    <t>2025-05-05 09:08:00,5800,,5700,,5600,,5630,,,,,5700,5600</t>
  </si>
  <si>
    <t>2025-05-05 09:08:00,20300,,20100,,19475,,19925,,,,,20300,19400</t>
  </si>
  <si>
    <t>2025-05-05 09:08:00,86185960.0424848,927623732.832477,-1268.78989898989,5648,131.213378787902,2881.75,292.531389115155,1501.07</t>
  </si>
  <si>
    <t>2025-05-05 09:08:00,907490839.298273,414300249.86598,4979.76634199134,4429,5854.96067424241,5248.59,224.459778466963,1749.53</t>
  </si>
  <si>
    <t>2025-05-05 09:08:00,247885775.637652,45323774.2597374,,-658,,-24065,7.33915911214264,-629.2</t>
  </si>
  <si>
    <t>2025-05-05 09:08:00,21522199.3928649,19571.1594428546,-39.8796405539541,-48,-1575.61365258436,-856.44,-0.00797676496719193,-7.06</t>
  </si>
  <si>
    <t>2025-05-05 09:09:00,575,,565,,575,,564.5,564,,,,565,560</t>
  </si>
  <si>
    <t>2025-05-05 09:09:00,490,,486,,470,,489.5,,,,,490,480</t>
  </si>
  <si>
    <t>2025-05-05 09:09:00,5800,,5700,,5600,,5630,5650,,,,5700,5600</t>
  </si>
  <si>
    <t>2025-05-05 09:09:00,20300,,20100,,19475,,19900,,,,,20300,19400</t>
  </si>
  <si>
    <t>2025-05-05 09:09:00,115977587.275085,1224623449.3338,16496.0218781218,5828,23446.2637865468,10050.53,151.541005176379,2784.17</t>
  </si>
  <si>
    <t>2025-05-05 09:09:00,908773121.583281,452582977.46023,5039.51327063741,3610,6075.16181922676,3700.51,158.140502078521,1353.97</t>
  </si>
  <si>
    <t>2025-05-05 09:09:00,249788553.059322,50104313.6905767,,2448,,22748.75,4.10487374957287,747.25</t>
  </si>
  <si>
    <t>2025-05-05 09:09:00,21679655.4349428,34493.0194028816,-9.00230576441099,-21,-378.002089974936,-511.66,-0.0426209765258819,-5.18</t>
  </si>
  <si>
    <t>2025-05-05 09:10:00,575,,565,,575,,564.5,,,,,565,560</t>
  </si>
  <si>
    <t>2025-05-05 09:10:00,490,,486,,470,,489.5,486,,,,490,480</t>
  </si>
  <si>
    <t>2025-05-05 09:10:00,5800,,5700,,5500,,5630,5650,,,5650,5700,5600</t>
  </si>
  <si>
    <t>2025-05-05 09:10:00,20300,,20100,,19475,,19900,,,,,20300,19400</t>
  </si>
  <si>
    <t>2025-05-05 09:10:00,15316681.4138085,899251095.26494,5423.60043290043,7779,8279.93130303031,8855.37,-233.868031370357,2690.55</t>
  </si>
  <si>
    <t>2025-05-05 09:10:00,875476852.711578,392494905.214729,2354.56355218855,1158,4872.55499158249,4848.76,7.27668005975027,1059.36</t>
  </si>
  <si>
    <t>2025-05-05 09:10:00,246318863.555794,43758537.4032514,,1683,,12398.88,4.95921208429576,374.94</t>
  </si>
  <si>
    <t>2025-05-05 09:10:00,20961941.0581696,11090.3356238674,28.2226563165517,27,687.028110081779,765.75,0.0138658775792821,5.75</t>
  </si>
  <si>
    <t>2025-05-05 09:11:00,575,,565,,575,,564,,,,,565,560</t>
  </si>
  <si>
    <t>2025-05-05 09:11:00,490,,486,,470,,489.5,,486,,,490,480</t>
  </si>
  <si>
    <t>2025-05-05 09:11:00,5800,,5700,,5600,,5630,,,,,5700,5600</t>
  </si>
  <si>
    <t>2025-05-05 09:11:00,20300,,20100,,19475,,19900,,,,,20300,19400</t>
  </si>
  <si>
    <t>2025-05-05 09:11:00,92091960.383183,1333358828.80346,7421.91283161285,453,8132.35061749361,-995.48,205.732107360466,-479.65</t>
  </si>
  <si>
    <t>2025-05-05 09:11:00,905807725.339308,488757622.935629,5424.30973770974,1927,9129.69244780445,2984.63,-65.352510975803,796.45</t>
  </si>
  <si>
    <t>2025-05-05 09:11:00,248391617.65768,48188180.7565085,,2484,,17870.87,-0.534362005004215,631.79</t>
  </si>
  <si>
    <t>2025-05-05 09:11:00,20633293.9800227,28778.3776797311,20.9873906013954,41,748.163350556197,-198.92,0.00758411193304459,3.37</t>
  </si>
  <si>
    <t>2025-05-05 09:12:00,575,,565,,575,,564,564,,,,565,560</t>
  </si>
  <si>
    <t>2025-05-05 09:12:00,490,,486,,470,,489.5,,486,,,490,480</t>
  </si>
  <si>
    <t>2025-05-05 09:12:00,5800,,5700,,5600,,5630,,,,,5700,5600</t>
  </si>
  <si>
    <t>2025-05-05 09:12:00,20300,,20100,,19475,,19900,,,,,20300,19400</t>
  </si>
  <si>
    <t>2025-05-05 09:12:00,144798125.47715,1875222169.94418,15933.3045454546,16816,26768.5950227273,20262,685.122431829492,6324.99</t>
  </si>
  <si>
    <t>2025-05-05 09:12:00,908627510.285692,560318241.309042,3739.70788655789,2256,4199.430996892,2100.22,-86.4866003640414,686.48</t>
  </si>
  <si>
    <t>2025-05-05 09:12:00,251368023.749645,54827565.4467081,,1723,,14943.7,-5.64135096952064,457.68</t>
  </si>
  <si>
    <t>2025-05-05 09:12:00,20912071.7993065,35739.1978814611,-20.947915047915,-37,508.896411431162,962.77,0.0317107927912036,5.84</t>
  </si>
  <si>
    <t>2025-05-05 09:13:00,575,,565,,575,,564.5,,,,,565,560</t>
  </si>
  <si>
    <t>2025-05-05 09:13:00,490,,,484,470,,489.5,,,,,490,480</t>
  </si>
  <si>
    <t>2025-05-05 09:13:00,5800,,5700,,5500,,5630,,,,,5700,5600</t>
  </si>
  <si>
    <t>2025-05-05 09:13:00,20000,,20100,,19475,,19900,,,,,20300,19400</t>
  </si>
  <si>
    <t>2025-05-05 09:13:00,19910078.2229377,1096264901.6035,7607.13809523813,5307,11081.5443333334,10222.71,-23.9087698465877,3011.42</t>
  </si>
  <si>
    <t>2025-05-05 09:13:00,848374064.824031,351490814.6244,5596.8917386161,4058,7121.3738514752,4753.23,46.5226483271906,1497.32</t>
  </si>
  <si>
    <t>2025-05-05 09:13:00,245249503.051732,45809663.4386661,,1129,,11846.36,8.95613210481271,372.37</t>
  </si>
  <si>
    <t>2025-05-05 09:13:00,19826392.4984752,5904.08182300528,22.0751212121212,21,2243.64772617605,627.94,-0.00438605129246021,5.25</t>
  </si>
  <si>
    <t>2025-05-05 09:14:00,575,,565,,575,,564.5,,,,,565,560</t>
  </si>
  <si>
    <t>2025-05-05 09:14:00,490,,486,,470,,489.5,,,,,490,480</t>
  </si>
  <si>
    <t>2025-05-05 09:14:00,5800,,5700,,5600,,5630,,,,,5700,5600</t>
  </si>
  <si>
    <t>2025-05-05 09:14:00,20000,,20100,,19475,,19900,,,,,20300,19400</t>
  </si>
  <si>
    <t>2025-05-05 09:14:00,24399541.3773185,1321384609.16336,12399.0654401154,5776,13637.216038961,4367.52,1.59773675958465,1510.08</t>
  </si>
  <si>
    <t>2025-05-05 09:14:00,865295209.865018,453510151.943224,1881.98286435785,134,3346.02707972581,3266.75,-199.497274153242,595.65</t>
  </si>
  <si>
    <t>2025-05-05 09:14:00,246729362.669641,47997176.7242803,,429,,6559.47,-4.7499664770621,206.91</t>
  </si>
  <si>
    <t>2025-05-05 09:14:00,20312003.1271783,23163.8853482457,28.342534765474,18,666.717342948879,378.58,0.0138952511025886,3.41</t>
  </si>
  <si>
    <t>2025-05-05 09:15:00,575,,565,,575,,564.5,,,,,565,560</t>
  </si>
  <si>
    <t>2025-05-05 09:15:00,490,,486,,470,,489.5,,,,,490,480</t>
  </si>
  <si>
    <t>2025-05-05 09:15:00,5800,,5700,,5600,,5630,,,,,5700,5600</t>
  </si>
  <si>
    <t>2025-05-05 09:15:00,20300,,20100,,19475,,19900,,,,,20300,19400</t>
  </si>
  <si>
    <t>2025-05-05 09:15:00,129709209.098882,2045208213.43783,306.275396825411,84,-82.3435714285486,398.83,87.4678047091357,419.94</t>
  </si>
  <si>
    <t>2025-05-05 09:15:00,897697524.110631,708408005.388711,74.3022727272719,322,1005.00956060606,1782.87,88.901677441453,520.95</t>
  </si>
  <si>
    <t>2025-05-05 09:15:00,250928001.657444,58038217.0671084,,-1901,,-15788.77,2.29056734044066,-444.74</t>
  </si>
  <si>
    <t>2025-05-05 09:15:00,21769604.4205611,59029.1770183756,-38.1137591575092,-10,-1158.51079693224,-424.48,-0.00312825649826984,-3.55</t>
  </si>
  <si>
    <t>2025-05-05 09:16:00,575,,565,,575,,564.5,,,,,565,560</t>
  </si>
  <si>
    <t>2025-05-05 09:16:00,490,,486,,470,,489.5,,,,,490,480</t>
  </si>
  <si>
    <t>2025-05-05 09:16:00,5800,,5700,,5600,,5630,,,,,5700,5600</t>
  </si>
  <si>
    <t>2025-05-05 09:16:00,20300,,20100,,19475,,19900,,,,,20300,19400</t>
  </si>
  <si>
    <t>2025-05-05 09:16:00,116524269.349862,2031683963.1729,-1730.13225108224,-626,-2869.99191558439,-947.46,278.512706617084,-123.28</t>
  </si>
  <si>
    <t>2025-05-05 09:16:00,906704819.879157,668559782.675749,-428.82226182226,-361,349.770235785239,-843.09,108.758088589174,-152</t>
  </si>
  <si>
    <t>2025-05-05 09:16:00,251433340.219655,60103119.9861192,,-580,,-4626.36,0.88635726715112,-147.99</t>
  </si>
  <si>
    <t>2025-05-05 09:16:00,21464697.5467545,57388.7019246865,1.72301587301588,-1,-93.407047619047,88.37,0.00634458698175813,0.64</t>
  </si>
  <si>
    <t>2025-05-05 09:18:00,575,,565,,575,,564,,564,,,565,560</t>
  </si>
  <si>
    <t>2025-05-05 09:18:00,490,,486,,470,,487,,,,,490,480</t>
  </si>
  <si>
    <t>2025-05-05 09:18:00,5800,,5700,,5600,,5630,,,,,5700,5600</t>
  </si>
  <si>
    <t>2025-05-05 09:18:00,20300,,20100,,19475,,19900,,,,,20300,19400</t>
  </si>
  <si>
    <t>2025-05-05 09:18:00,108142256.930293,2313166297.75596,-7450.5181818182,-7056,-12296.6217575758,-9481.4,-328.179415884703,-3027.29</t>
  </si>
  <si>
    <t>2025-05-05 09:18:00,896254269.270375,768507104.880582,-1719.72619047622,304,-4033.3154285715,-277.11,29.37746506931,73.0300000000001</t>
  </si>
  <si>
    <t>2025-05-05 09:18:00,253687600.89824,66435685.9946537,,-1158,,-7563.8,-0.432349528243258,-247.93</t>
  </si>
  <si>
    <t>2025-05-05 09:18:00,22558790.7527022,83852.649237295,-21.5315244925719,-31,-307.805200019132,-1658.17,-0.00967269344937076,-9.08</t>
  </si>
  <si>
    <t>2025-05-05 09:19:00,575,,565,,575,,564,,564,,,565,560</t>
  </si>
  <si>
    <t>2025-05-05 09:19:00,490,,488,,470,,487,,487,,,490,480</t>
  </si>
  <si>
    <t>2025-05-05 09:19:00,5800,,5700,,5600,,5630,,,,,5700,5600</t>
  </si>
  <si>
    <t>2025-05-05 09:19:00,20300,,20100,,19475,,19900,,,,,20300,19400</t>
  </si>
  <si>
    <t>2025-05-05 09:19:00,219121194.865927,2861497863.28913,2581.36695526694,-9446,3284.70205772005,-14463.49,-827.902081312424,-4355.55</t>
  </si>
  <si>
    <t>2025-05-05 09:19:00,987533678.748474,931483737.551173,1488.94263857065,-1132,8225.99018822698,-204.71,-108.567320861034,-93.91</t>
  </si>
  <si>
    <t>2025-05-05 09:19:00,257031088.37964,74343874.6284859,,-1299,,-15627.72,-6.84717014757741,-466.15</t>
  </si>
  <si>
    <t>2025-05-05 09:19:00,23383138.4120551,98096.0547315847,-68.1819308545336,-111,-1034.73746156773,-2151.1,0.0573656228119753,-16.32</t>
  </si>
  <si>
    <t>2025-05-05 09:20:00,575,,565,,575,,564,,564,,,565,560</t>
  </si>
  <si>
    <t>2025-05-05 09:20:00,490,,488,,470,,487,,,,,490,480</t>
  </si>
  <si>
    <t>2025-05-05 09:20:00,5800,,5700,,5600,,5630,,,,,5700,5600</t>
  </si>
  <si>
    <t>2025-05-05 09:20:00,20300,,20100,,19475,,19900,,,,,20300,19400</t>
  </si>
  <si>
    <t>2025-05-05 09:20:00,238792296.855046,3378825408.8415,4834.6693929944,225,7430.47232627734,-515.61,5.53954012767407,-3.68999999999982</t>
  </si>
  <si>
    <t>2025-05-05 09:20:00,959994556.198936,1002128172.31346,-3728.13824894911,-2273,-3274.35735538615,-1442.25,-103.060810646457,-739.83</t>
  </si>
  <si>
    <t>2025-05-05 09:20:00,256780263.045969,75317543.8760159,,-1134,,-7786.65,-4.53813251141566,-317.61</t>
  </si>
  <si>
    <t>2025-05-05 09:20:00,23728032.2033892,97763.475517342,-11.5806529581529,19,-76.4052366161603,-203.8,-0.0352060834843615,-0.72</t>
  </si>
  <si>
    <t>2025-05-05 09:21:00,575,,565,,575,,564,,,564,,565,560</t>
  </si>
  <si>
    <t>2025-05-05 09:21:00,490,,486,,470,,486.5,,,,,490,480</t>
  </si>
  <si>
    <t>2025-05-05 09:21:00,5800,,5700,,5600,,5630,,,,,5700,5600</t>
  </si>
  <si>
    <t>2025-05-05 09:21:00,20300,,20100,,19475,,19900,,,,,20300,19400</t>
  </si>
  <si>
    <t>2025-05-05 09:21:00,188788107.935549,2966631346.47923,-241.295404595387,427,-506.637489510476,64.3100000000004,-292.607672057535,-306.21</t>
  </si>
  <si>
    <t>2025-05-05 09:21:00,947749095.141021,931040231.438898,-2156.79247278922,-2369,-3084.44669353494,-3268.76,-52.9935120846468,-1044.02</t>
  </si>
  <si>
    <t>2025-05-05 09:21:00,254602465.766526,73861334.2410785,,-200,,-3483.55,-4.68692273889325,-104.14</t>
  </si>
  <si>
    <t>2025-05-05 09:21:00,21366807.6836198,71867.8936472766,12.1367084468661,13,728.971146142047,458.62,0.0217997165762197,3.95</t>
  </si>
  <si>
    <t>2025-05-05 09:22:00,575,,565,,575,,564,,,,,565,560</t>
  </si>
  <si>
    <t>2025-05-05 09:22:00,490,,,484,470,,487,,,,,490,480</t>
  </si>
  <si>
    <t>2025-05-05 09:22:00,5800,,5700,,5600,,5630,,,,,5700,5600</t>
  </si>
  <si>
    <t>2025-05-05 09:22:00,20300,,20100,,19475,,19900,,,,,20300,19400</t>
  </si>
  <si>
    <t>2025-05-05 09:22:00,47303137.4592691,1994523829.68734,2007.68452380957,8060,-931.024107142783,6953.69,-165.886345445086,2469.19</t>
  </si>
  <si>
    <t>2025-05-05 09:22:00,870375577.337393,610477563.778641,2459.41818181818,3298,3008.73636363637,3246.15,130.900801442966,1049.27</t>
  </si>
  <si>
    <t>2025-05-05 09:22:00,251508783.820026,67556352.3933493,,1368,,9142.94,-2.6621916074864,387.71</t>
  </si>
  <si>
    <t>2025-05-05 09:22:00,21375129.5723297,46451.3390441899,-4.56453685203684,-7,302.552661699412,311.31,0.0197366660803311,2.65</t>
  </si>
  <si>
    <t>2025-05-05 09:23:00,575,,565,,575,,564,,,563,,565,560</t>
  </si>
  <si>
    <t>2025-05-05 09:23:00,490,,488,,470,,487,,486,,,490,480</t>
  </si>
  <si>
    <t>2025-05-05 09:23:00,5800,,5700,,5600,,5630,,,,,5700,5600</t>
  </si>
  <si>
    <t>2025-05-05 09:23:00,20300,,,19675,19475,,19900,,,,,20300,19675</t>
  </si>
  <si>
    <t>2025-05-05 09:23:00,85422749.3197178,2225420111.34429,-2674.95624098127,-2855,-642.624366883144,-790.639999999999,-37.3958586129468,-130.54</t>
  </si>
  <si>
    <t>2025-05-05 09:23:00,883471937.898779,655477913.412985,-6081.82667203496,-3233,-7321.98788799657,-3413.99,30.5836395299015,-1155.58</t>
  </si>
  <si>
    <t>2025-05-05 09:23:00,249856527.034106,61785784.1520615,,-1709,,-2290.89,1.87087186550879,-113.77</t>
  </si>
  <si>
    <t>2025-05-05 09:23:00,21326196.3573507,-164566.36690025,-1089.80282814059,-1020,-5388.84008589198,-6280.36,0.799061752967535,-62.01</t>
  </si>
  <si>
    <t>2025-05-05 09:24:00,575,,565,,575,,564,,,,,565,560</t>
  </si>
  <si>
    <t>2025-05-05 09:24:00,490,,,484,470,,487,,,,,490,480</t>
  </si>
  <si>
    <t>2025-05-05 09:24:00,5800,,5700,,5600,,5630,,,,,5700,5600</t>
  </si>
  <si>
    <t>2025-05-05 09:24:00,20000,,,19675,19475,,19900,,,,,20300,19675</t>
  </si>
  <si>
    <t>2025-05-05 09:24:00,35157007.6732988,1887370315.23269,-1783.89563492064,-1550,-1315.08669841272,-1242.99,507.959936813314,-551.58</t>
  </si>
  <si>
    <t>2025-05-05 09:24:00,881503331.556957,620271244.182864,2593.19324253839,1302,4042.67355780932,2706.36,-122.381984944389,686.62</t>
  </si>
  <si>
    <t>2025-05-05 09:24:00,246637729.425623,57206213.1796255,,1572,,12484.47,5.12400263782986,417.72</t>
  </si>
  <si>
    <t>2025-05-05 09:24:00,20173600.4636515,-196162.374778676,17.1468401677063,21,308.83269062958,435.76,0.00681163384442137,4.03</t>
  </si>
  <si>
    <t>2025-05-05 09:25:00,575,,565,,575,,564,,,,,565,560</t>
  </si>
  <si>
    <t>2025-05-05 09:25:00,490,,486,,470,,486.5,,,,,490,480</t>
  </si>
  <si>
    <t>2025-05-05 09:25:00,5800,,5700,,5600,,5630,,,,,5700,5600</t>
  </si>
  <si>
    <t>2025-05-05 09:25:00,20000,,,19675,19475,,19900,,,,,20300,19675</t>
  </si>
  <si>
    <t>2025-05-05 09:25:00,168304672.947756,3178426979.00616,-10782.1182539685,-1601,-25437.734912699,-2816.23,-266.525791755964,-842.31</t>
  </si>
  <si>
    <t>2025-05-05 09:25:00,915618087.43831,962469074.113617,-1089.02003663001,-1024,-496.910166483468,-1558.45,-91.8894088484681,-466.67</t>
  </si>
  <si>
    <t>2025-05-05 09:25:00,251055305.405108,68910605.5300096,,-1236,,-7323.46,-3.14638383093836,-270.64</t>
  </si>
  <si>
    <t>2025-05-05 09:25:00,21892674.5826504,-165613.767346415,-75.6272714375693,-76,-1892.53996359404,-4758.88,0.0600602022609332,-23.37</t>
  </si>
  <si>
    <t>2025-05-05 09:26:00,575,,565,,575,,564,,,,,565,560</t>
  </si>
  <si>
    <t>2025-05-05 09:26:00,490,,487,,470,,487,486,,,,490,480</t>
  </si>
  <si>
    <t>2025-05-05 09:26:00,5800,,5700,,5600,,5630,,,,,5700,5600</t>
  </si>
  <si>
    <t>2025-05-05 09:26:00,20000,,,19675,19475,,19900,,,,,20300,19675</t>
  </si>
  <si>
    <t>2025-05-05 09:26:00,98867602.5810111,2517927248.83271,8359.85372405372,6107,8628.73472161172,9220.21,287.246376474637,2901.46</t>
  </si>
  <si>
    <t>2025-05-05 09:26:00,897659422.787428,725153528.818318,3413.41594533181,2197,4860.57808030718,3052.73,16.0929043126625,1021.26</t>
  </si>
  <si>
    <t>2025-05-05 09:26:00,249775024.664667,66643570.3262861,,1180,,7934.24,-3.64414360350884,319.1</t>
  </si>
  <si>
    <t>2025-05-05 09:26:00,19979263.2259257,-196972.727965911,2.82344877344877,5,97.3548297258297,24.88,-0.000580141753979261,0.46</t>
  </si>
  <si>
    <t>2025-05-05 09:27:00,575,,565,,575,,564,,,,,565,560</t>
  </si>
  <si>
    <t>2025-05-05 09:27:00,490,,487,,470,,487,,,,,490,480</t>
  </si>
  <si>
    <t>2025-05-05 09:27:00,5800,,5700,,5600,,5630,,,,,5700,5600</t>
  </si>
  <si>
    <t>2025-05-05 09:27:00,20000,,,19675,19475,,19900,,,,,20300,19675</t>
  </si>
  <si>
    <t>2025-05-05 09:27:00,128163406.418182,2946808680.20989,12519.298151848,6805,26238.6115824172,10303.94,430.580679169132,3282.75</t>
  </si>
  <si>
    <t>2025-05-05 09:27:00,905662555.693347,797200556.952884,854.695353178106,166,1736.41695205815,755.74,169.43795003696,195.45</t>
  </si>
  <si>
    <t>2025-05-05 09:27:00,252569250.674924,72464064.1872112,,2197,,19011.66,4.94520775457132,617.42</t>
  </si>
  <si>
    <t>2025-05-05 09:27:00,19950610.3744918,-169497.589409013,6.17406876069667,-5,1156.30732480116,-2762.46,0.0122739734421465,-8.9</t>
  </si>
  <si>
    <t>2025-05-05 09:28:00,575,,565,,575,,564,,,,,565,560</t>
  </si>
  <si>
    <t>2025-05-05 09:28:00,490,,487,,470,,487,,,,,490,480</t>
  </si>
  <si>
    <t>2025-05-05 09:28:00,5800,,5700,,5600,,5630,,,,,5700,5600</t>
  </si>
  <si>
    <t>2025-05-05 09:28:00,20000,,,19675,19475,,19900,,,,,20300,19675</t>
  </si>
  <si>
    <t>2025-05-05 09:28:00,88270340.115221,2636859262.23182,59.5897546897546,48,963.8407994228,-1275.68,-73.5870712038405,-350.67</t>
  </si>
  <si>
    <t>2025-05-05 09:28:00,871833002.509675,669142015.33235,-375.471761571762,-599,-464.214765234765,-762.59,-13.5249694724215,-253.71</t>
  </si>
  <si>
    <t>2025-05-05 09:28:00,250236027.809619,67469548.9213662,,-52,,-2332.84,2.76557441475351,-95.76</t>
  </si>
  <si>
    <t>2025-05-05 09:28:00,19796217.1921057,-195376.861242568,6.46428571428571,10,57.4571428571429,55.05,-0.00165491633459679,0.66</t>
  </si>
  <si>
    <t>2025-05-05 09:29:00,575,,565,,575,,564,,,,,565,560</t>
  </si>
  <si>
    <t>2025-05-05 09:29:00,490,,487,,470,,487,,486,,,490,480</t>
  </si>
  <si>
    <t>2025-05-05 09:29:00,5800,,5700,,5600,,5630,,,,,5700,5600</t>
  </si>
  <si>
    <t>2025-05-05 09:29:00,20000,,,19675,19475,,19925,,,,,20300,19675</t>
  </si>
  <si>
    <t>2025-05-05 09:29:00,54671535.5503922,2669790240.13411,-9196.36031746031,-4273,-10875.9486984127,-6669.03,-400.385837319373,-2080.4</t>
  </si>
  <si>
    <t>2025-05-05 09:29:00,862281605.747414,742856828.739208,-3558.50344297897,-2864,-4042.99379877112,-2711.04,-106.721850474973,-801.83</t>
  </si>
  <si>
    <t>2025-05-05 09:29:00,253603003.987601,72601718.3361402,,-1105,,-7329.48,3.98902659232777,-215.27</t>
  </si>
  <si>
    <t>2025-05-05 09:29:00,20864415.2036851,-182168.21443127,-155.111814982403,-80,-4764.3258810242,-1426.35,-0.0274501710269647,-14.28</t>
  </si>
  <si>
    <t>2025-05-05 09:30:00,575,,565,,575,,564,,,,,565,560</t>
  </si>
  <si>
    <t>2025-05-05 09:30:00,490,,487,,470,,487,,,,,490,480</t>
  </si>
  <si>
    <t>2025-05-05 09:30:00,5800,,5700,,5600,,5630,,,,,5700,5600</t>
  </si>
  <si>
    <t>2025-05-05 09:30:00,20000,,,19675,19475,,19900,,,,,20300,19675</t>
  </si>
  <si>
    <t>2025-05-05 09:30:00,72204217.5976305,2655518364.04934,8541.59438078261,2879,13485.9027977676,2945.93,141.916984621948,906.96</t>
  </si>
  <si>
    <t>2025-05-05 09:30:00,867726619.477105,692016615.469545,2055.23755309139,918,2221.27235841988,1425.84,-85.4455615840804,334.66</t>
  </si>
  <si>
    <t>2025-05-05 09:30:00,249352987.618085,66578817.0089505,,382,,6099.21,1.41663369182368,208.63</t>
  </si>
  <si>
    <t>2025-05-05 09:30:00,20653102.4863932,-200745.396559721,38.7383709273183,43,627.051121804512,569.8,0.0121592017885222,6.31</t>
  </si>
  <si>
    <t>2025-05-05 09:31:00,575,,565,,575,,564,,,,,565,560</t>
  </si>
  <si>
    <t>2025-05-05 09:31:00,490,,487,,470,,487,,,,,490,480</t>
  </si>
  <si>
    <t>2025-05-05 09:31:00,5800,,5700,,5600,,5630,,,,,5700,5600</t>
  </si>
  <si>
    <t>2025-05-05 09:31:00,20000,,,19675,19475,,19900,,,,,20300,19675</t>
  </si>
  <si>
    <t>2025-05-05 09:31:00,87556259.0953785,2805970844.49433,6103.68989898989,4463,7706.77071428571,4171.12,87.998464883277,1429.4</t>
  </si>
  <si>
    <t>2025-05-05 09:31:00,878411895.464767,665287454.934497,2512.45766796455,2888,2471.30243062504,2876.82,-107.393858830434,958.34</t>
  </si>
  <si>
    <t>2025-05-05 09:31:00,250389326.6686,70062699.3532701,,1277,,7517.4,-2.06465631450598,271.12</t>
  </si>
  <si>
    <t>2025-05-05 09:31:00,19713763.1748053,-196647.793832606,0.058333333333343,-2,15.4250000000004,-167.5,-0.0165418228830642,-1.58</t>
  </si>
  <si>
    <t>2025-05-05 09:32:00,575,,565,,575,,564,,,,,565,560</t>
  </si>
  <si>
    <t>2025-05-05 09:32:00,490,,487,,470,,487,,,,,490,480</t>
  </si>
  <si>
    <t>2025-05-05 09:32:00,5800,,5700,,5600,,5630,,,,,5700,5600</t>
  </si>
  <si>
    <t>2025-05-05 09:32:00,20000,,,19675,19475,,19900,,,,,20300,19675</t>
  </si>
  <si>
    <t>2025-05-05 09:32:00,86864925.2720128,2848416124.42392,,-2224,,-3480.1,-85.7561239129457,-1104.36</t>
  </si>
  <si>
    <t>2025-05-05 09:32:00,868297037.939076,601421830.694925,-2740.34144781145,-3248,-2905.70646363637,-3205.89,23.6717944378593,-1119.55</t>
  </si>
  <si>
    <t>2025-05-05 09:32:00,250063510.021162,69187415.1652214,,-668,,-3446.21,-1.75365413350434,-131.54</t>
  </si>
  <si>
    <t>2025-05-05 09:32:00,19442912.3522608,-189615.576948954,27.5238095238095,-8,-323.603845238095,-564.94,-0.0354386598075934,-6.5</t>
  </si>
  <si>
    <t>2025-05-05 09:33:00,575,,565,,575,,564,,,,,565,560</t>
  </si>
  <si>
    <t>2025-05-05 09:33:00,490,,,484,470,,487,,,,,490,480</t>
  </si>
  <si>
    <t>2025-05-05 09:33:00,5800,,5700,,5600,,5630,,,,,5700,5600</t>
  </si>
  <si>
    <t>2025-05-05 09:33:00,20000,,,19675,19475,,19900,,,,,20300,19675</t>
  </si>
  <si>
    <t>2025-05-05 09:33:00,22120973.2202526,2224096071.47899,5346.67604617605,2818,6347.09107503608,2759.41,-11.747247075053,891.84</t>
  </si>
  <si>
    <t>2025-05-05 09:33:00,818190993.780671,422961362.270768,17174.4821509428,7881,20060.6406812334,9184.71,24.2588640569129,3015.44</t>
  </si>
  <si>
    <t>2025-05-05 09:33:00,247019982.179297,62015012.798753,,849,,7380.49,-2.56598968362938,259.24</t>
  </si>
  <si>
    <t>2025-05-05 09:33:00,18192661.4288966,-258828.269286193,13.1347784568373,29,720.812340845429,969.68,-0.0122783241118942,8.7</t>
  </si>
  <si>
    <t>2025-05-05 09:34:00,,,565,,575,,564,,,,563,565,560</t>
  </si>
  <si>
    <t>2025-05-05 09:34:00,490,,,484,470,,487,,,485,,490,480</t>
  </si>
  <si>
    <t>2025-05-05 09:34:00,5800,,5700,,5600,,5630,,,,,5700,5600</t>
  </si>
  <si>
    <t>2025-05-05 09:34:00,20000,,,19675,19475,,19900,,,,,20100,19675</t>
  </si>
  <si>
    <t>2025-05-05 09:34:00,-36266131.2731424,1817371965.65521,336.995815295887,-5117,5345.17728282843,-4015.84,-468.446574587566,-1756.1</t>
  </si>
  <si>
    <t>2025-05-05 09:34:00,801912045.498581,213199270.513919,2945.43396908631,6863,2533.150961252,10355.07,-685.448371870413,3150.31</t>
  </si>
  <si>
    <t>2025-05-05 09:34:00,244667091.528334,54686519.9816611,,2260,,16855.79,-0.345773506401817,556.15</t>
  </si>
  <si>
    <t>2025-05-05 09:34:00,17823796.2132366,-306632.413425377,-3.95307430129511,-19,494.574206952967,840.75,-0.0320577702683815,3.46</t>
  </si>
  <si>
    <t>2025-05-05 09:35:00,,,565,,575,,564,,,563,,565,560</t>
  </si>
  <si>
    <t>2025-05-05 09:35:00,490,,,484,470,,487,,,485,,490,480</t>
  </si>
  <si>
    <t>2025-05-05 09:35:00,5800,,5700,,5600,,5630,,,,,5700,5600</t>
  </si>
  <si>
    <t>2025-05-05 09:35:00,20000,,,19675,19475,,19900,,,,,20100,19675</t>
  </si>
  <si>
    <t>2025-05-05 09:35:00,-5266057.58428251,2120790957.97781,,5783,,7953.89,-358.606004301685,2578.62</t>
  </si>
  <si>
    <t>2025-05-05 09:35:00,801502650.785144,227037434.531776,-560.139610389608,1789,-1414.32115440115,2654.78,81.4394578700213,854.64</t>
  </si>
  <si>
    <t>2025-05-05 09:35:00,245596337.10901,57439178.9380775,,1355,,10404.88,2.05259720630659,383.99</t>
  </si>
  <si>
    <t>2025-05-05 09:35:00,17964505.1937871,-296838.179381718,1.22619047619045,3,-31.5236542443067,-101.75,-0.0113565581600308,-0.66</t>
  </si>
  <si>
    <t>2025-05-05 09:36:00,575,,565,,575,,564,,,,563,565,560</t>
  </si>
  <si>
    <t>2025-05-05 09:36:00,490,,,484,470,,487,,,,,490,480</t>
  </si>
  <si>
    <t>2025-05-05 09:36:00,5800,,5700,,5600,,5630,,,,,5700,5600</t>
  </si>
  <si>
    <t>2025-05-05 09:36:00,20000,,,19675,19475,,19900,,,,,20100,19675</t>
  </si>
  <si>
    <t>2025-05-05 09:36:00,19748091.5054955,2396220934.48365,1595.83290598291,-53,1152.30560897436,-1946.68,572.393742950929,-485.52</t>
  </si>
  <si>
    <t>2025-05-05 09:36:00,802650055.602214,219281622.719818,976.713606440774,1885,1435.58533720008,1906.42,247.047717354429,605.87</t>
  </si>
  <si>
    <t>2025-05-05 09:36:00,247554272.480897,63804737.0381412,,584,,1531.21,1.27339114788404,89.96</t>
  </si>
  <si>
    <t>2025-05-05 09:36:00,17967558.4598701,-285221.689567969,-34.2639656273958,-22,-22.3823136972183,305.97,0.0229030885037819,1.23</t>
  </si>
  <si>
    <t>2025-05-05 09:38:00,575,,565,,575,,564,,,,,565,560</t>
  </si>
  <si>
    <t>2025-05-05 09:38:00,490,,487,,470,,487,,486,,,490,480</t>
  </si>
  <si>
    <t>2025-05-05 09:38:00,5800,,5700,,5600,,5630,,,,,5700,5600</t>
  </si>
  <si>
    <t>2025-05-05 09:38:00,20000,,,19675,19475,,19925,,,,,20100,19675</t>
  </si>
  <si>
    <t>2025-05-05 09:38:00,144657649.607652,3875310529.63804,-8755.5798146298,-3937,-5826.57092962594,-5434.21,391.444753685661,-1641.53</t>
  </si>
  <si>
    <t>2025-05-05 09:38:00,847363233.149039,598452106.737339,-9934.80327080328,-5998,-8395.34606541607,-5754.29,-75.9959465707421,-2093.13</t>
  </si>
  <si>
    <t>2025-05-05 09:38:00,255281927.333569,83444727.601799,,-1020,,-11856.45,-2.36605101755215,-407.57</t>
  </si>
  <si>
    <t>2025-05-05 09:38:00,20468581.048341,-183015.760628359,-9.06486291486294,-36,-116.764246753247,-358.26,-0.016373838393283,-4.28</t>
  </si>
  <si>
    <t>2025-05-05 09:39:00,575,,565,,575,,564,564,,,,565,560</t>
  </si>
  <si>
    <t>2025-05-05 09:39:00,490,,487,,470,,487,,,,,490,480</t>
  </si>
  <si>
    <t>2025-05-05 09:39:00,5800,,5700,,5600,,5630,,,,,5700,5600</t>
  </si>
  <si>
    <t>2025-05-05 09:39:00,20000,,,19675,19475,,19925,,,,,20100,19675</t>
  </si>
  <si>
    <t>2025-05-05 09:39:00,240752874.090405,4587510495.11861,6545.6687152556,1256,8926.13268466871,-4180.62,-623.881320837578,-842.98</t>
  </si>
  <si>
    <t>2025-05-05 09:39:00,865303834.293,795948757.530562,-4128.79472472987,-869,-957.785823960221,620.13,84.5722085959252,257.52</t>
  </si>
  <si>
    <t>2025-05-05 09:39:00,257810853.048256,94437546.3859107,,-1821,,-17464.68,-1.98675753263065,-612.95</t>
  </si>
  <si>
    <t>2025-05-05 09:39:00,21242728.6500092,-120526.596429786,-23.6851190476191,-15,-559.71024404762,-375.48,-0.00150241261735876,-3.94</t>
  </si>
  <si>
    <t>2025-05-05 09:40:00,575,,565,,575,,564,,,564,,565,560</t>
  </si>
  <si>
    <t>2025-05-05 09:40:00,490,,487,,470,,487,486,,,,490,480</t>
  </si>
  <si>
    <t>2025-05-05 09:40:00,5800,,5700,,5600,,5630,,5660,,,5700,5600</t>
  </si>
  <si>
    <t>2025-05-05 09:40:00,20000,,,19675,19475,,19925,,,,,20100,19675</t>
  </si>
  <si>
    <t>2025-05-05 09:40:00,243863632.602317,4565126745.92994,-4244.20753968252,-1490,-3176.39106204902,-401.47,-538.276646880469,-862.61</t>
  </si>
  <si>
    <t>2025-05-05 09:40:00,886776362.803449,732520961.918576,2762.35776158773,1354,3997.89113648501,3240.77,-30.9786121859457,755.57</t>
  </si>
  <si>
    <t>2025-05-05 09:40:00,256737510.377991,93395176.2111194,,-26,,-5247.93,-16.8728639640295,-329.53</t>
  </si>
  <si>
    <t>2025-05-05 09:40:00,21404805.1760116,-116332.079766626,34.9859065934066,37,702.781617307693,366.51,0.00218070573169273,4.5</t>
  </si>
  <si>
    <t>2025-05-05 09:41:00,575,,565,,575,,564,,,,,565,560</t>
  </si>
  <si>
    <t>2025-05-05 09:41:00,490,,,484,470,,487,486,,,,490,480</t>
  </si>
  <si>
    <t>2025-05-05 09:41:00,5800,,5700,,5600,,5630,,5660,,,5700,5600</t>
  </si>
  <si>
    <t>2025-05-05 09:41:00,20000,,,19675,19475,,19925,,,,,20100,19675</t>
  </si>
  <si>
    <t>2025-05-05 09:41:00,261407133.875781,4557784170.97476,-6757.24055169977,-3822,-9500.66817118118,-9623.75,133.839880003588,-2821.04</t>
  </si>
  <si>
    <t>2025-05-05 09:41:00,901110677.973829,742251328.273614,-423.789726239031,645,-235.134071931776,-486.9,75.8810133824176,-6.99000000000006</t>
  </si>
  <si>
    <t>2025-05-05 09:41:00,261706653.908056,106456184.634204,,343,,-4877.78,8.9084293395824,-99.04</t>
  </si>
  <si>
    <t>2025-05-05 09:41:00,21500813.7278158,-83556.0691974053,-21.6920634920635,-17,-616.784126984127,-475.3,-0.0152505395109006,-4.64</t>
  </si>
  <si>
    <t>2025-05-05 09:42:00,575,,565,,575,,564,,565,,,565,560</t>
  </si>
  <si>
    <t>2025-05-05 09:42:00,490,,487,,470,,487,486,,,,490,480</t>
  </si>
  <si>
    <t>2025-05-05 09:42:00,5800,,5700,,5600,,5630,,,,,5700,5600</t>
  </si>
  <si>
    <t>2025-05-05 09:42:00,20000,,,19675,19475,,19925,,,,,20100,19675</t>
  </si>
  <si>
    <t>2025-05-05 09:42:00,351827900.702213,5716405031.09031,7194.48218742042,2195,9243.52127450979,-219.189999999999,643.458405954027,169</t>
  </si>
  <si>
    <t>2025-05-05 09:42:00,950470387.105171,1008163690.51178,1364.83555555551,-566,6186.00804444435,3191.99,54.4594079607499,861.42</t>
  </si>
  <si>
    <t>2025-05-05 09:42:00,262245856.950323,116773270.007155,,-434,,3936.45,-7.99544531222683,84.22</t>
  </si>
  <si>
    <t>2025-05-05 09:42:00,21822732.4205417,-21917.6828292676,14.6563630813631,24,521.110647335997,823.5,0.047868667977643,8.08</t>
  </si>
  <si>
    <t>2025-05-05 09:43:00,575,,565,,575,,564,,,,,565,560</t>
  </si>
  <si>
    <t>2025-05-05 09:43:00,490,,487,,470,,487,,,,,490,480</t>
  </si>
  <si>
    <t>2025-05-05 09:43:00,5800,,5700,,5600,,5630,,,,,5700,5600</t>
  </si>
  <si>
    <t>2025-05-05 09:43:00,20000,,,19675,19475,,19900,,,,,20100,19675</t>
  </si>
  <si>
    <t>2025-05-05 09:43:00,319497302.555911,6111724782.00576,-5167.26459523957,6551,-10048.8156446413,3124.14,576.836593331257,1687.18</t>
  </si>
  <si>
    <t>2025-05-05 09:43:00,924805900.826564,984504425.543081,-3148.30952380954,-4189,-3293.34703571431,-4696.91,-396.009418615828,-1623.96</t>
  </si>
  <si>
    <t>2025-05-05 09:43:00,261236670.208908,113549251.080933,,-155,,3102.85,-8.42838250876254,7.29000000000001</t>
  </si>
  <si>
    <t>2025-05-05 09:43:00,21109093.8430578,-62835.6711267123,81.0647133864525,49,2839.78791262522,1351.49,0.0168162323450859,13.23</t>
  </si>
  <si>
    <t>2025-05-05 09:44:00,575,,565,,575,,564,,,,,565,560</t>
  </si>
  <si>
    <t>2025-05-05 09:44:00,490,,487,,470,,487,,,,,490,480</t>
  </si>
  <si>
    <t>2025-05-05 09:44:00,5800,,5700,,5600,,5630,,,,,5700,5600</t>
  </si>
  <si>
    <t>2025-05-05 09:44:00,20000,,,19675,19475,,19900,,,,,20100,19675</t>
  </si>
  <si>
    <t>2025-05-05 09:44:00,321341201.682354,5951740864.30957,930.587009189637,-26,2829.71853884711,-874.35,16.870072346136,61.23</t>
  </si>
  <si>
    <t>2025-05-05 09:44:00,919613048.882402,972574050.234501,332.702380952382,1299,870.207142857146,2226.44,-32.7788121660551,719.02</t>
  </si>
  <si>
    <t>2025-05-05 09:44:00,260889988.212905,115322770.326298,,204,,7072.02,-1.35596668360853,44.7</t>
  </si>
  <si>
    <t>2025-05-05 09:44:00,21405017.0690156,-41117.3983986018,4.34761904761905,0,161.778571428571,-3,0.000218542319836516,-0.03</t>
  </si>
  <si>
    <t>2025-05-05 09:45:00,575,,565,,575,,564,,,,,565,560</t>
  </si>
  <si>
    <t>2025-05-05 09:45:00,490,,487,,470,,487,,,,,490,480</t>
  </si>
  <si>
    <t>2025-05-05 09:45:00,5800,,5700,,5600,,5630,,,,,5700,5600</t>
  </si>
  <si>
    <t>2025-05-05 09:45:00,20000,,,19675,19475,,19900,,,,,20100,19675</t>
  </si>
  <si>
    <t>2025-05-05 09:45:00,370353957.979382,6564871405.05408,2776.52500000001,2911,3150.94475000002,149.24,-130.741811707421,515.33</t>
  </si>
  <si>
    <t>2025-05-05 09:45:00,943799781.637684,1063115943.92748,-155.901888341543,-380,-9.81509195402163,-1097.04,-49.5244276476641,-278</t>
  </si>
  <si>
    <t>2025-05-05 09:45:00,263162337.971625,122745522.709641,,-1207,,-6598.77,-1.86241687492649,-254.86</t>
  </si>
  <si>
    <t>2025-05-05 09:45:00,22047665.6938907,-7123.91120262306,1.46666666666668,-5,-2.27499999999978,-41.9,-5.64141507979453E-05,-0.49</t>
  </si>
  <si>
    <t>2025-05-05 09:46:00,575,,565,,575,,564,565,,,,565,560</t>
  </si>
  <si>
    <t>2025-05-05 09:46:00,490,,487,,470,,487,,,486,,490,480</t>
  </si>
  <si>
    <t>2025-05-05 09:46:00,5800,,5700,,5600,,5630,,,,,5700,5600</t>
  </si>
  <si>
    <t>2025-05-05 09:46:00,20000,,,19675,19475,,19925,,,,,20100,19675</t>
  </si>
  <si>
    <t>2025-05-05 09:46:00,334088898.522705,6168733988.22013,22209.3275946276,-477,29279.4634401709,-576.080000000001,715.635638007574,221.42</t>
  </si>
  <si>
    <t>2025-05-05 09:46:00,919028044.75976,964958487.781043,11880.5777972028,4824,15033.6839410589,5219.57,269.189563185694,1804.43</t>
  </si>
  <si>
    <t>2025-05-05 09:46:00,262287321.746655,121456208.192416,,-747,,-5653.44,-2.317078358081,-245.5</t>
  </si>
  <si>
    <t>2025-05-05 09:46:00,21467931.7139883,-18852.3613730134,2.86575630252101,-3,88.6730333800187,-59.7,0.000555589754870584,-0.47</t>
  </si>
  <si>
    <t>2025-05-05 09:47:00,575,,565,,575,,564,,,,,565,560</t>
  </si>
  <si>
    <t>2025-05-05 09:47:00,490,,487,,470,,487,,,,,490,480</t>
  </si>
  <si>
    <t>2025-05-05 09:47:00,5800,,5700,,5600,,5630,,,,,5700,5600</t>
  </si>
  <si>
    <t>2025-05-05 09:47:00,20000,,,,19475,,19900,,,,,20100,19675</t>
  </si>
  <si>
    <t>2025-05-05 09:47:00,372780857.743226,6694155859.03033,1601.46031746032,1500,263.421468253971,-1123.7,263.738302956404,-247.42</t>
  </si>
  <si>
    <t>2025-05-05 09:47:00,958360482.37257,1183603235.2036,2602.46732711733,3220,3293.51004467754,4107.18,-111.427209388,1410.46</t>
  </si>
  <si>
    <t>2025-05-05 09:47:00,263717630.204847,126060729.748914,,-318,,-4415.65,3.99515657449515,-149.78</t>
  </si>
  <si>
    <t>2025-05-05 09:47:00,22335984.2051021,626.124294046455,-96.580608738991,-26,-3989.5167516649,-1677.02,0.0285972546796127,-9.62</t>
  </si>
  <si>
    <t>2025-05-05 09:48:00,575,,565,,575,,564,,,,,565,560</t>
  </si>
  <si>
    <t>2025-05-05 09:48:00,490,,487,,470,,487,,,,,487,480</t>
  </si>
  <si>
    <t>2025-05-05 09:48:00,5800,,5700,,5600,,5630,,,,,5700,5600</t>
  </si>
  <si>
    <t>2025-05-05 09:48:00,20000,,,,19475,,19900,,,,,20100,19675</t>
  </si>
  <si>
    <t>2025-05-05 09:48:00,361559015.144443,6666908184.37699,7554.83717393717,3941,10487.8463279498,5087.19,116.625296317641,1744.64</t>
  </si>
  <si>
    <t>2025-05-05 09:48:00,956808361.8275,1128707788.80768,5693.13471582182,3492,7099.61231797235,4422.34,13.736879106307,1519.22</t>
  </si>
  <si>
    <t>2025-05-05 09:48:00,263968451.382767,127560102.628,,1664,,6929.52,6.09318042461927,286.52</t>
  </si>
  <si>
    <t>2025-05-05 09:48:00,21857653.7926531,7278.91342318342,37.2395036103046,29,1805.00972227259,1435.28,0.0319308760127188,12.85</t>
  </si>
  <si>
    <t>2025-05-05 09:49:00,575,,565,,575,,564,,,,,565,560</t>
  </si>
  <si>
    <t>2025-05-05 09:49:00,490,,487,,470,,487,,,,,490,480</t>
  </si>
  <si>
    <t>2025-05-05 09:49:00,5800,,5700,,5600,,5630,,,,,5700,5600</t>
  </si>
  <si>
    <t>2025-05-05 09:49:00,20000,,,,19475,,19900,,,,,20100,19675</t>
  </si>
  <si>
    <t>2025-05-05 09:49:00,339847606.280751,6446833560.60077,8123.2007936508,5428,10820.1438888889,5880.51,111.046322800826,2056.37</t>
  </si>
  <si>
    <t>2025-05-05 09:49:00,954450706.152365,1065543087.03332,2889.24123931624,3416,7305.89251068376,5135.92,-20.2405274220125,1255.01</t>
  </si>
  <si>
    <t>2025-05-05 09:49:00,263244506.526407,126884673.939399,,932,,5461.78,0.333080676549941,235.09</t>
  </si>
  <si>
    <t>2025-05-05 09:49:00,21609888.702085,1894.3921083066,22.4664335664336,18,836.105325174824,420.21,0.0191594841903072,3.73</t>
  </si>
  <si>
    <t>2025-05-05 09:50:00,575,,565,,575,,564,,,,,565,560</t>
  </si>
  <si>
    <t>2025-05-05 09:50:00,490,,487,,470,,487,,,,,490,480</t>
  </si>
  <si>
    <t>2025-05-05 09:50:00,5800,,5700,,5600,,5630,,,,,5700,5600</t>
  </si>
  <si>
    <t>2025-05-05 09:50:00,20000,,,,19475,,19900,,,,,20100,19675</t>
  </si>
  <si>
    <t>2025-05-05 09:50:00,323864463.881281,6691097376.64577,-1490.43571428572,690,-1232.30385714286,217.99,128.951676860006,149.83</t>
  </si>
  <si>
    <t>2025-05-05 09:50:00,932616511.678071,1112833563.39138,-1586.38194444445,-1017,-1611.23902777778,-631.98,53.2246397360311,-257.23</t>
  </si>
  <si>
    <t>2025-05-05 09:50:00,262738195.001528,124943416.839613,,-475,,-3589.6,1.61342850906957,-159.38</t>
  </si>
  <si>
    <t>2025-05-05 09:50:00,21632442.0878171,13365.4787506981,17.0196581196581,28,-116.344502442004,-119,0.012960335950288,-0.21</t>
  </si>
  <si>
    <t>2025-05-05 09:51:00,575,,565,,575,,564,,,,,565,560</t>
  </si>
  <si>
    <t>2025-05-05 09:51:00,490,,487,,470,,487,,,,,490,480</t>
  </si>
  <si>
    <t>2025-05-05 09:51:00,5800,,5700,,5600,,5630,,,,,5700,5600</t>
  </si>
  <si>
    <t>2025-05-05 09:51:00,20000,,,,19475,,19900,,,,,20100,19675</t>
  </si>
  <si>
    <t>2025-05-05 09:51:00,342244779.431155,6515491462.25494,-231.092857142858,-430,92.084333333332,-717.73,193.660026077516,-252.74</t>
  </si>
  <si>
    <t>2025-05-05 09:51:00,958634248.213667,1174029925.21279,-2275.52781385281,-2666,-3240.62462121211,-4306.83,3.24534015967263,-1163.67</t>
  </si>
  <si>
    <t>2025-05-05 09:51:00,264101281.372645,124549345.009773,,256,,-1194.18,-0.781874400113797,-0.860000000000005</t>
  </si>
  <si>
    <t>2025-05-05 09:51:00,22177761.128087,36412.6229364752,-9.08472222222223,-7,-288.804597222223,-188.07,0.00364596379402037,-1.84</t>
  </si>
  <si>
    <t>2025-05-05 09:52:00,575,,565,,575,,564,,,,,565,560</t>
  </si>
  <si>
    <t>2025-05-05 09:52:00,490,,487,,470,,487,,,,,490,480</t>
  </si>
  <si>
    <t>2025-05-05 09:52:00,5800,,5700,,5600,,5630,,,,,5700,5600</t>
  </si>
  <si>
    <t>2025-05-05 09:52:00,20000,,,19675,19475,,19900,,,,,20100,19675</t>
  </si>
  <si>
    <t>2025-05-05 09:52:00,295836890.379395,6396241168.96814,-935.34747474747,1915,-620.584606060606,2256.77,90.6334507819786,665.05</t>
  </si>
  <si>
    <t>2025-05-05 09:52:00,931545442.673995,1011148928.49796,1610.10476190476,1065,1690.65271428571,1272.66,-31.6517307557741,470.5</t>
  </si>
  <si>
    <t>2025-05-05 09:52:00,261378278.525282,117250198.886508,,676,,4084.13,-1.75273182184806,151.75</t>
  </si>
  <si>
    <t>2025-05-05 09:52:00,21442607.228154,-7473.55788900151,0.606666666666666,7,2.89160000000008,269.79,-0.00558424409197631,2.43</t>
  </si>
  <si>
    <t>2025-05-05 09:53:00,575,,565,,575,,561.5,565,,,,565,560</t>
  </si>
  <si>
    <t>2025-05-05 09:53:00,490,,487,,470,,485,,,,,490,480</t>
  </si>
  <si>
    <t>2025-05-05 09:53:00,5800,,5700,,5600,,5640,,,,,5700,5600</t>
  </si>
  <si>
    <t>2025-05-05 09:53:00,20000,,,,19475,,19900,,,,,20100,19675</t>
  </si>
  <si>
    <t>2025-05-05 09:53:00,320334667.147572,6673750707.90116,-14677.0119047619,-5149,-19273.5347619047,-5689.69,648.032180343598,-1744.24</t>
  </si>
  <si>
    <t>2025-05-05 09:53:00,935934518.006814,1142940730.08195,-4439.21984126984,-4028,-6793.84337301588,-4734.11,25.1725523729315,-1565.95</t>
  </si>
  <si>
    <t>2025-05-05 09:53:00,263553924.985473,121432173.369174,,-1430,,-15794.05,-1.25383844755364,-584.35</t>
  </si>
  <si>
    <t>2025-05-05 09:53:00,22976687.1193552,20438.8335366288,-5.41853968889328,-16,516.66559273026,748.82,0.0193245449487694,-1.11</t>
  </si>
  <si>
    <t>2025-05-05 09:54:00,575,,565,,575,,561.5,,,,,565,560</t>
  </si>
  <si>
    <t>2025-05-05 09:54:00,490,,487,,470,,485,,,,,487,480</t>
  </si>
  <si>
    <t>2025-05-05 09:54:00,5800,,5700,,5600,,5640,,,,,5700,5600</t>
  </si>
  <si>
    <t>2025-05-05 09:54:00,20000,,20100,,19475,,19900,,,,,20100,19675</t>
  </si>
  <si>
    <t>2025-05-05 09:54:00,358372171.82862,7192040158.52411,-13517.3643939394,-18611,-14852.8293939394,-16045.79,-627.451179882394,-6382.69</t>
  </si>
  <si>
    <t>2025-05-05 09:54:00,951936310.365937,1245667662.13713,-2398.68458959342,-2189,-920.272967829562,-994.8,-126.101856783811,-739.36</t>
  </si>
  <si>
    <t>2025-05-05 09:54:00,264992215.826186,127751045.743332,,-145,,-12815.43,-5.81227278054607,-420.26</t>
  </si>
  <si>
    <t>2025-05-05 09:54:00,23247464.4401714,46585.2550779369,13.4583263345443,-14,364.913969309942,-31.31,0.0829195574929301,0.56</t>
  </si>
  <si>
    <t>2025-05-05 09:55:00,575,,565,,575,,561.5,565,,,,565,560</t>
  </si>
  <si>
    <t>2025-05-05 09:55:00,490,,487,,470,,485,,,,,490,480</t>
  </si>
  <si>
    <t>2025-05-05 09:55:00,5800,,5700,,5600,,5640,,5670,,,5700,5600</t>
  </si>
  <si>
    <t>2025-05-05 09:55:00,20000,,20100,,19475,,19900,,,,,20100,19675</t>
  </si>
  <si>
    <t>2025-05-05 09:55:00,440073343.726104,7932993763.49741,10538.9754846603,7566,18758.1244612272,14867.23,1073.6630262747,4727.97</t>
  </si>
  <si>
    <t>2025-05-05 09:55:00,991543045.560044,1442608650.82378,7661.24323304439,9932,10458.7779538668,11203.94,431.475782956102,3682.76</t>
  </si>
  <si>
    <t>2025-05-05 09:55:00,266934294.57481,141551201.682583,,1972,,15903.45,-4.83604604736292,452.53</t>
  </si>
  <si>
    <t>2025-05-05 09:55:00,22811777.9768916,95555.9974596166,68.1914330767272,91,596.294762410791,589.95,-0.00189381148033569,8.37</t>
  </si>
  <si>
    <t>2025-05-05 09:56:00,575,,565,,575,,561.5,,565,,,565,560</t>
  </si>
  <si>
    <t>2025-05-05 09:56:00,490,,487,,470,,485,,,,,490,484</t>
  </si>
  <si>
    <t>2025-05-05 09:56:00,5800,,5700,,5600,,5640,,,,,5700,5600</t>
  </si>
  <si>
    <t>2025-05-05 09:56:00,20000,,20100,,19475,,19900,,,,,20100,19675</t>
  </si>
  <si>
    <t>2025-05-05 09:56:00,455638299.601654,8206217870.12632,982.589682539683,-1465,474.315007936509,-4341.35,-890.906333872848,-1498.05</t>
  </si>
  <si>
    <t>2025-05-05 09:56:00,1003817708.81622,1495864758.57329,-224.621794871795,-556,-39.1838644688636,-886.53,187.363135775588,-181.33</t>
  </si>
  <si>
    <t>2025-05-05 09:56:00,268171388.030116,147038426.71319,,498,,1852.35,5.6050054307148,134.48</t>
  </si>
  <si>
    <t>2025-05-05 09:56:00,23092216.4714128,110046.114444169,-6.20695611577965,-6,69.6402096171803,48.97,0.0200744418899293,0.31</t>
  </si>
  <si>
    <t>2025-05-05 09:57:00,575,,565,,575,,561.5,,565,,,565,560</t>
  </si>
  <si>
    <t>2025-05-05 09:57:00,490,,487,,470,,485,,487,,,490,480</t>
  </si>
  <si>
    <t>2025-05-05 09:57:00,5800,,5700,,5600,,5640,,,,,5700,5600</t>
  </si>
  <si>
    <t>2025-05-05 09:57:00,20300,,20100,,19475,,19900,,,,,20100,19675</t>
  </si>
  <si>
    <t>2025-05-05 09:57:00,526805061.967905,9014374798.24048,-16681.011111111,-8154,-26112.7338888887,-16584.73,-825.821528820196,-5792.54</t>
  </si>
  <si>
    <t>2025-05-05 09:57:00,1002282422.2289,1693289447.5261,-8259.39896214896,-7109,-9786.19704517703,-8038.97,-24.4751964887121,-2880.24</t>
  </si>
  <si>
    <t>2025-05-05 09:57:00,270159460.950953,154163376.717988,,-2781,,-22051.67,-3.11998724349196,-899.44</t>
  </si>
  <si>
    <t>2025-05-05 09:57:00,23449575.5017654,140369.179508934,5.63971861471865,9,402.180078463205,18.19,0.00181170295752017,0.91</t>
  </si>
  <si>
    <t>2025-05-05 09:58:00,575,,565,,575,,561.5,565,,,,565,560</t>
  </si>
  <si>
    <t>2025-05-05 09:58:00,490,,487,,470,,485,,,,,490,480</t>
  </si>
  <si>
    <t>2025-05-05 09:58:00,5800,,5700,,5600,,5640,,,,,5700,5600</t>
  </si>
  <si>
    <t>2025-05-05 09:58:00,20000,,20100,,19475,,19900,,,,,20100,19675</t>
  </si>
  <si>
    <t>2025-05-05 09:58:00,496103654.937065,8898900266.81436,8476.22734487734,7730,10056.7464141414,7613.48,893.558100886289,3067.35</t>
  </si>
  <si>
    <t>2025-05-05 09:58:00,1030293665.54446,1658234505.402,-604.714550966274,27,375.407097764307,583.71,24.5673718098654,187.54</t>
  </si>
  <si>
    <t>2025-05-05 09:58:00,269949287.342274,156420791.611107,,1489,,14368.25,2.47976295081174,533.21</t>
  </si>
  <si>
    <t>2025-05-05 09:58:00,23583773.0516463,137791.866306881,14.6035825429653,22,-57.0695142762493,230.27,0.00821991648744611,2.26</t>
  </si>
  <si>
    <t>2025-05-05 09:59:00,575,,565,,575,,561.5,,,,,565,560</t>
  </si>
  <si>
    <t>2025-05-05 09:59:00,490,,487,,470,,485,,,,,490,480</t>
  </si>
  <si>
    <t>2025-05-05 09:59:00,5800,,5700,,5600,,5640,,,,,5700,5600</t>
  </si>
  <si>
    <t>2025-05-05 09:59:00,20000,,20100,,19475,,19900,,,,,20100,19675</t>
  </si>
  <si>
    <t>2025-05-05 09:59:00,461043524.325723,8928565775.80089,2939.49999999999,1123,6125.53999999997,1627.41,-223.069781722291,330.06</t>
  </si>
  <si>
    <t>2025-05-05 09:59:00,1015832107.42367,1601343583.11078,1266.11666666667,1869,2383.59016666667,2377.25,10.5136435259125,835.83</t>
  </si>
  <si>
    <t>2025-05-05 09:59:00,269340604.064591,155530795.791824,,35,,7574.1,-2.53133038519285,15.51</t>
  </si>
  <si>
    <t>2025-05-05 09:59:00,22991963.645907,111584.4350859,5.79381385281386,17,170.01461974026,418.95,0.00618837302878738,4.24</t>
  </si>
  <si>
    <t>2025-05-05 10:00:00,575,,565,,575,,561.5,,,,,565,560</t>
  </si>
  <si>
    <t>2025-05-05 10:00:00,490,,487,,470,,485,,,,,490,484</t>
  </si>
  <si>
    <t>2025-05-05 10:00:00,5800,,5700,,5600,,5640,,,,,5700,5600</t>
  </si>
  <si>
    <t>2025-05-05 10:00:00,20300,,20100,,19475,,19900,,,,,20100,19675</t>
  </si>
  <si>
    <t>2025-05-05 10:00:00,505890929.013572,9057745313.16366,6063.45436507936,6332,6832.99831349207,5222.31,523.984463477748,2075.61</t>
  </si>
  <si>
    <t>2025-05-05 10:00:00,990935995.757815,1668867591.90447,142.428878648234,2006,-896.221367127495,1016.55,6.1596878380885,535.94</t>
  </si>
  <si>
    <t>2025-05-05 10:00:00,270329486.952772,158916508.458938,,-72,,-646.98,-2.07891625278951,-16.35</t>
  </si>
  <si>
    <t>2025-05-05 10:00:00,24155409.9714142,131113.840699879,-3.63857142857142,-6,-135.572685714285,-173.26,-0.0137515619150187,-1.95</t>
  </si>
  <si>
    <t>2025-05-05 10:01:00,575,,565,,575,,561.5,,,,,565,560</t>
  </si>
  <si>
    <t>2025-05-05 10:01:00,490,,487,,470,,485,,,,,490,484</t>
  </si>
  <si>
    <t>2025-05-05 10:01:00,5800,,5700,,5600,,5640,,,,,5700,5600</t>
  </si>
  <si>
    <t>2025-05-05 10:01:00,20300,,20100,,19475,,19900,,,,,20100,19675</t>
  </si>
  <si>
    <t>2025-05-05 10:01:00,546157943.012251,9345533064.4753,1218.35158730159,-2386,1176.44079365079,-6457.76,-118.287149131304,-1802.51</t>
  </si>
  <si>
    <t>2025-05-05 10:01:00,1027943131.33172,1707263606.7014,945.057259057686,1176,1640.64784761839,1776.86,-18.252894969519,595.32</t>
  </si>
  <si>
    <t>2025-05-05 10:01:00,271057164.248481,164152832.697464,,433,,-515.44,0.154629309125247,81.31</t>
  </si>
  <si>
    <t>2025-05-05 10:01:00,24182210.2950305,158207.683007032,-4.81738261738261,-10,129.414863053614,97.45,0.00952406443042044,0.19</t>
  </si>
  <si>
    <t>2025-05-05 10:02:00,575,,565,,575,,561.5,,,,,565,560</t>
  </si>
  <si>
    <t>2025-05-05 10:02:00,490,,487,,470,,485,,,,,490,484</t>
  </si>
  <si>
    <t>2025-05-05 10:02:00,5800,,5700,,5600,,5640,,,,,5700,5600</t>
  </si>
  <si>
    <t>2025-05-05 10:02:00,20300,,20100,,19475,,19900,,,,,20100,19675</t>
  </si>
  <si>
    <t>2025-05-05 10:02:00,562828669.938093,9734642897.09323,-12134.7103174603,-10819,-14385.1158730159,-11237.5,-304.984309244946,-4248.73</t>
  </si>
  <si>
    <t>2025-05-05 10:02:00,1021400839.11637,1804677195.2848,-591.715079365085,-132,-1104.54225396827,-827.35,20.793646748037,-192.95</t>
  </si>
  <si>
    <t>2025-05-05 10:02:00,271609515.485678,160781099.265595,,-498,,-9694.6,2.45931728749473,-395.6</t>
  </si>
  <si>
    <t>2025-05-05 10:02:00,23890953.6991665,158438.307822198,-17.8654761904762,-25,-430.949202380953,-531.41,-0.00163422901243439,-5.39</t>
  </si>
  <si>
    <t>2025-05-05 10:03:00,575,,565,,575,,562.5,,,,,565,560</t>
  </si>
  <si>
    <t>2025-05-05 10:03:00,490,,488,,470,,485,,,,,490,484</t>
  </si>
  <si>
    <t>2025-05-05 10:03:00,5800,,5700,,5600,,5640,,,,,5700,5600</t>
  </si>
  <si>
    <t>2025-05-05 10:03:00,20300,,20100,,19475,,19900,,,,,20100,19675</t>
  </si>
  <si>
    <t>2025-05-05 10:03:00,477723803.783959,9608288690.05931,756.59126984127,2902,-1974.70261904762,1050.25,289.289886923231,658.35</t>
  </si>
  <si>
    <t>2025-05-05 10:03:00,992851467.959316,1810254813.8093,-73.3909090909071,-1769,-180.888090909087,-2132.69,-182.839674531529,-769.92</t>
  </si>
  <si>
    <t>2025-05-05 10:03:00,271121630.150099,163960846.806717,,-269,,-4031.74,-2.72614718054038,-160.38</t>
  </si>
  <si>
    <t>2025-05-05 10:03:00,23967170.7519113,165218.524206024,-6.30681818181818,-5,-101.421477272727,-78.19,0.00744409065373542,-0.87</t>
  </si>
  <si>
    <t>2025-05-05 10:04:00,575,,565,,575,,562.5,,,,,565,560</t>
  </si>
  <si>
    <t>2025-05-05 10:04:00,490,,488,,470,,485,,,,,490,480</t>
  </si>
  <si>
    <t>2025-05-05 10:04:00,5800,,5700,,5600,,5640,,,,,5700,5600</t>
  </si>
  <si>
    <t>2025-05-05 10:04:00,20300,,20100,,19475,,19900,,,,,20100,19675</t>
  </si>
  <si>
    <t>2025-05-05 10:04:00,493954227.700121,9589839555.97512,714.409523809542,1726,-160.511904761881,169.22,127.589195187725,232.91</t>
  </si>
  <si>
    <t>2025-05-05 10:04:00,1031256485.72443,1862518613.24824,-1442.76727272727,-1142,-1556.79956969697,-3382.72,-105.90130165569,-1139.66</t>
  </si>
  <si>
    <t>2025-05-05 10:04:00,271314685.996918,165498676.88236,,-1892,,-4964.17,6.61053391655951,-202.97</t>
  </si>
  <si>
    <t>2025-05-05 10:04:00,24281075.5153853,182818.629887095,-15.8988311688312,-22,-147.309182251083,-661.86,0.00361957293466718,-6.38</t>
  </si>
  <si>
    <t>2025-05-05 10:05:00,575,,565,,575,,562.5,,,,,565,560</t>
  </si>
  <si>
    <t>2025-05-05 10:05:00,490,,488,,470,,485,487,,,,490,484</t>
  </si>
  <si>
    <t>2025-05-05 10:05:00,5800,,5700,,5600,,5640,,,,,5700,5600</t>
  </si>
  <si>
    <t>2025-05-05 10:05:00,20300,,20100,,19475,,19900,,,,,20100,19675</t>
  </si>
  <si>
    <t>2025-05-05 10:05:00,490153981.78312,9539933633.80135,6358.12301587302,7490,9844.84592857143,8187.59,403.63713630571,3060.24</t>
  </si>
  <si>
    <t>2025-05-05 10:05:00,1034935496.09262,1832305272.28005,-1153.99924242424,-1761,-726.439431818186,-1532.69,-31.2302688747513,-598.46</t>
  </si>
  <si>
    <t>2025-05-05 10:05:00,270569983.998306,158385827.96004,,1001,,5359.67,-1.70059635057463,228.36</t>
  </si>
  <si>
    <t>2025-05-05 10:05:00,24838859.8857654,164523.004811655,0.157803807823884,-3,373.767626713201,541.6,-0.00017793121671674,1.19</t>
  </si>
  <si>
    <t>2025-05-05 10:06:00,575,,565,,575,,562.5,,565,,,565,560</t>
  </si>
  <si>
    <t>2025-05-05 10:06:00,490,,488,,470,,485,,,,,490,484</t>
  </si>
  <si>
    <t>2025-05-05 10:06:00,5800,,5700,,5600,,5640,,,,5670,5700,5600</t>
  </si>
  <si>
    <t>2025-05-05 10:06:00,20300,,20100,,19475,,19925,,,,,20100,19675</t>
  </si>
  <si>
    <t>2025-05-05 10:06:00,414850533.895192,8810887463.05335,-12430.1516837737,-19175,-8622.43099722338,-14742.51,-1114.8104073302,-5768.86</t>
  </si>
  <si>
    <t>2025-05-05 10:06:00,995928024.558951,1561644262.40455,-1216.07587669793,-4091,-954.850768865111,-2257.36,-199.595857280549,-988.04</t>
  </si>
  <si>
    <t>2025-05-05 10:06:00,266841890.175377,142308684.59493,,-1054,,-13204.8,-1.6360633348489,-453.27</t>
  </si>
  <si>
    <t>2025-05-05 10:06:00,23899980.2180908,90634.9449654145,-35.5673593073593,-1,-1294.72989805195,-970.1,0.042617072085522,-9.59</t>
  </si>
  <si>
    <t>2025-05-05 10:07:00,575,,565,,575,,562.5,,565,,,565,560</t>
  </si>
  <si>
    <t>2025-05-05 10:07:00,490,,488,,470,,485,,,,,490,484</t>
  </si>
  <si>
    <t>2025-05-05 10:07:00,5800,,5700,,5600,,5640,,,,,5700,5600</t>
  </si>
  <si>
    <t>2025-05-05 10:07:00,20300,,20100,,19475,,19925,,,,,20100,19675</t>
  </si>
  <si>
    <t>2025-05-05 10:07:00,424220664.87049,9231175793.27714,513.470274170262,-5430,-3923.5104155844,-11684.65,-1100.67897125065,-3299.82</t>
  </si>
  <si>
    <t>2025-05-05 10:07:00,1015685804.24266,1716664866.54426,1615.26931216932,1647,2251.76198412699,1877.37,148.621959489158,784.25</t>
  </si>
  <si>
    <t>2025-05-05 10:07:00,269985742.544337,150000949.636444,,680,,6336.98,-0.309747541265589,350.57</t>
  </si>
  <si>
    <t>2025-05-05 10:07:00,24704374.6233163,119874.232161474,-62.6199424669533,-48,-659.88746014161,-542.42,0.0327770713329595,-6.04</t>
  </si>
  <si>
    <t>2025-05-05 10:08:00,575,,565,,575,,562.5,,,565,,565,560</t>
  </si>
  <si>
    <t>2025-05-05 10:08:00,490,,488,,470,,485,,,,,490,484</t>
  </si>
  <si>
    <t>2025-05-05 10:08:00,5800,,5700,,5600,,5640,,,,,5700,5600</t>
  </si>
  <si>
    <t>2025-05-05 10:08:00,20000,,20100,,19475,,19925,,,,,20100,19675</t>
  </si>
  <si>
    <t>2025-05-05 10:08:00,475374738.865286,9894531097.46393,21.0243021346472,3132,1793.02024192666,6410.9,-532.980946508079,2224.18</t>
  </si>
  <si>
    <t>2025-05-05 10:08:00,1037991358.21668,1962343178.77722,2369.36388888889,2344,2688.61705555555,2531.66,119.296494318352,948.66</t>
  </si>
  <si>
    <t>2025-05-05 10:08:00,268830346.447281,154939792.504736,,507,,3248.11,0.408015231428087,147.38</t>
  </si>
  <si>
    <t>2025-05-05 10:08:00,24212837.2452785,159033.916119135,-2.22541928721173,-8,-39.0009397274625,-137.18,-0.00328284175206037,-1.53</t>
  </si>
  <si>
    <t>2025-05-05 10:09:00,575,,565,,575,,562.5,,,,,565,560</t>
  </si>
  <si>
    <t>2025-05-05 10:09:00,490,,488,,470,,485,,,,,490,484</t>
  </si>
  <si>
    <t>2025-05-05 10:09:00,5800,,5700,,5600,,5640,,,,,5700,5600</t>
  </si>
  <si>
    <t>2025-05-05 10:09:00,20000,,20100,,19475,,19925,,,,,20100,19675</t>
  </si>
  <si>
    <t>2025-05-05 10:09:00,392929673.443778,8931845105.9709,9607.90941558442,5250,9652.99084415584,4292.6,100.844818906546,1904.75</t>
  </si>
  <si>
    <t>2025-05-05 10:09:00,1010326097.52191,1591592181.14918,4891.44141414142,2895,6598.91883838384,3446.13,-96.7208680932108,1274.19</t>
  </si>
  <si>
    <t>2025-05-05 10:09:00,266679612.06026,145678315.858315,,369,,2934.42,-3.84731266171247,119.49</t>
  </si>
  <si>
    <t>2025-05-05 10:09:00,23359451.8817626,99447.7061801293,-1.48592012707057,-8,219.696690152031,21.1,-0.0106884639285476,-1.88</t>
  </si>
  <si>
    <t>2025-05-05 10:10:00,575,,565,,575,,562.5,,,,,565,560</t>
  </si>
  <si>
    <t>2025-05-05 10:10:00,490,,488,,470,,485,,487,,,490,484</t>
  </si>
  <si>
    <t>2025-05-05 10:10:00,5800,,5700,,5600,,5640,,,,,5700,5600</t>
  </si>
  <si>
    <t>2025-05-05 10:10:00,20000,,20100,,19475,,19925,,,,,20100,19675</t>
  </si>
  <si>
    <t>2025-05-05 10:10:00,446467957.605188,10017538305.3098,6710.04316239317,2672,3964.49602991453,267.93,339.031325836447,670.84</t>
  </si>
  <si>
    <t>2025-05-05 10:10:00,989991186.628692,1748609937.16126,-6626.25100250627,-3583,-5767.17628320802,-3609.47,-149.154435889474,-1267.71</t>
  </si>
  <si>
    <t>2025-05-05 10:10:00,268551893.044407,157903580.825751,,386,,-1981.64,2.79041620807789,60.4</t>
  </si>
  <si>
    <t>2025-05-05 10:10:00,23888122.8379548,118513.551345021,-32.5641414141414,-20,-854.720861471863,-644.54,0.00569694738376383,-6.24</t>
  </si>
  <si>
    <t>2025-05-05 10:11:00,575,,565,,575,,562.5,,,,,565,560</t>
  </si>
  <si>
    <t>2025-05-05 10:11:00,490,,488,,470,,485,,,,,490,484</t>
  </si>
  <si>
    <t>2025-05-05 10:11:00,5800,,5700,,5600,,5640,,,,,5700,5600</t>
  </si>
  <si>
    <t>2025-05-05 10:11:00,20000,,20100,,19475,,19925,,,,,20100,19675</t>
  </si>
  <si>
    <t>2025-05-05 10:11:00,416868328.437915,9570889270.72857,-1466.2653206584,-643,-1905.65755297787,316.6,-255.454325057061,147.47</t>
  </si>
  <si>
    <t>2025-05-05 10:11:00,1004959863.62703,1564333197.64533,-1169.72057009014,-1382,-907.882131564091,-1521.31,48.3195908877027,-603.97</t>
  </si>
  <si>
    <t>2025-05-05 10:11:00,267452384.956899,146053422.874039,,-660,,2015.97,0.0889510967466206,-155.41</t>
  </si>
  <si>
    <t>2025-05-05 10:11:00,23688398.9823606,71501.8197765913,3.72459737810113,8,43.040490985656,393.69,0.0023473652912419,2.74</t>
  </si>
  <si>
    <t>2025-05-05 10:12:00,575,,565,,575,,562.5,,,,,565,560</t>
  </si>
  <si>
    <t>2025-05-05 10:12:00,490,,488,,470,,485,487,,487,,490,484</t>
  </si>
  <si>
    <t>2025-05-05 10:12:00,5800,,5700,,5600,,5640,,,,,5700,5600</t>
  </si>
  <si>
    <t>2025-05-05 10:12:00,20000,,20100,,19475,,19925,,,,,20100,19675</t>
  </si>
  <si>
    <t>2025-05-05 10:12:00,406969513.87628,9285825100.72916,9977.89047619047,5021,11581.1227619047,4060.3,175.646692464611,1552.12</t>
  </si>
  <si>
    <t>2025-05-05 10:12:00,957703474.4935,1198047002.40118,7777.8175258252,5774,11572.0075836789,8953.16,-150.691360212817,2939.13</t>
  </si>
  <si>
    <t>2025-05-05 10:12:00,266691067.127202,146893849.367897,,663,,7773.61,-2.10149053079904,279.45</t>
  </si>
  <si>
    <t>2025-05-05 10:12:00,22950586.1026509,64187.0171148247,4.66909647892525,13,287.043586538226,615.85,-0.0163406843021242,6.01</t>
  </si>
  <si>
    <t>2025-05-05 10:13:00,575,,565,,575,,562.5,,,,,565,560</t>
  </si>
  <si>
    <t>2025-05-05 10:13:00,490,,488,,470,,485,,,,,490,484</t>
  </si>
  <si>
    <t>2025-05-05 10:13:00,5800,,5700,,5600,,5640,,,5670,,5700,5600</t>
  </si>
  <si>
    <t>2025-05-05 10:13:00,20000,,20100,,19475,,19925,,,,,20100,19675</t>
  </si>
  <si>
    <t>2025-05-05 10:13:00,375169071.879405,8985629473.36707,977.107142857142,-2377,3678.88013492063,527.329999999999,-139.911079241618,22.92</t>
  </si>
  <si>
    <t>2025-05-05 10:13:00,985364546.36313,1295218785.82706,6891.26872759857,5627,6256.61269713262,3770.79,-151.203332281075,1627.72</t>
  </si>
  <si>
    <t>2025-05-05 10:13:00,265573261.791061,141807753.17068,,1391,,13614.2,4.10408752380329,511.11</t>
  </si>
  <si>
    <t>2025-05-05 10:13:00,22547083.2390921,58381.8477436768,6.66976608187137,13,-375.159319172931,-49.69,0.0705562599737972,3</t>
  </si>
  <si>
    <t>2025-05-05 10:14:00,575,,565,,575,,562.5,,,,,565,560</t>
  </si>
  <si>
    <t>2025-05-05 10:14:00,490,,488,,470,,485,,,,,490,484</t>
  </si>
  <si>
    <t>2025-05-05 10:14:00,5800,,5700,,5600,,5640,,,,,5700,5600</t>
  </si>
  <si>
    <t>2025-05-05 10:14:00,20000,,20100,,19475,,19925,,,,,20100,19675</t>
  </si>
  <si>
    <t>2025-05-05 10:14:00,391924605.845541,9323970219.54876,4510.43968253967,1957,7874.57649206347,3742.42,-2.95673407996721,1182.32</t>
  </si>
  <si>
    <t>2025-05-05 10:14:00,1001811428.68299,1417347006.69841,1301.36904761905,4703,1956.62,2812.65,-315.433267568386,1132.45</t>
  </si>
  <si>
    <t>2025-05-05 10:14:00,267043547.90885,148100914.945807,,1281,,9095.02,2.48326122154769,373.08</t>
  </si>
  <si>
    <t>2025-05-05 10:14:00,23651222.9222774,98423.3398381888,-14.1410378510378,-22,-501.862236019536,-453.88,-0.0109753228124489,-4.63</t>
  </si>
  <si>
    <t>2025-05-05 10:15:00,575,,565,,575,,562.5,,,,,565,560</t>
  </si>
  <si>
    <t>2025-05-05 10:15:00,490,,488,,470,,485,,,,,490,484</t>
  </si>
  <si>
    <t>2025-05-05 10:15:00,5800,,5700,,5600,,5640,,,,,5700,5600</t>
  </si>
  <si>
    <t>2025-05-05 10:15:00,20000,,20100,,19475,,19925,,,,,20100,19675</t>
  </si>
  <si>
    <t>2025-05-05 10:15:00,328639492.389601,8940775105.13319,-1783.22330447331,-1492,-1714.89510101011,-1656.87,-43.99489229868,-745.56</t>
  </si>
  <si>
    <t>2025-05-05 10:15:00,968921195.707822,1191149238.13834,-247.740100250623,391,-14.0972456140313,69.39,-92.0696605396379,28.7900000000001</t>
  </si>
  <si>
    <t>2025-05-05 10:15:00,264949653.692978,141340707.968288,,-262,,-1657.13,0.658395895658061,-110.37</t>
  </si>
  <si>
    <t>2025-05-05 10:15:00,22180581.5955874,51214.9584519247,-1.43599135306296,5,-30.7185620813541,135.72,-0.00910225562275163,0.97</t>
  </si>
  <si>
    <t>2025-05-05 10:16:00,575,,565,,575,,562.5,,,,,565,560</t>
  </si>
  <si>
    <t>2025-05-05 10:16:00,490,,488,,470,,485,,,,,490,484</t>
  </si>
  <si>
    <t>2025-05-05 10:16:00,5800,,5700,,5600,,5640,,,,,5700,5600</t>
  </si>
  <si>
    <t>2025-05-05 10:16:00,20000,,20100,,19475,,19925,,,,,20100,19675</t>
  </si>
  <si>
    <t>2025-05-05 10:16:00,313108234.815885,8793140732.48226,-5342.37063492063,-7567,-4195.60830952381,-6186.3,-171.533100625376,-2519.27</t>
  </si>
  <si>
    <t>2025-05-05 10:16:00,949068318.1196,1198620927.62513,-2208.45450163871,-2577,-1510.17876807403,-2045.48,115.874979222437,-803.9</t>
  </si>
  <si>
    <t>2025-05-05 10:16:00,263798125.408239,135520162.842963,,-710,,-4669.07,-3.8079674004977,-194.2</t>
  </si>
  <si>
    <t>2025-05-05 10:16:00,22232558.7134076,23290.6208521728,-14.7347222222222,-6,-349.534623015874,133.6,0.023762827542367,0.7</t>
  </si>
  <si>
    <t>2025-05-05 10:17:00,575,,565,,575,,562.5,,,,,565,560</t>
  </si>
  <si>
    <t>2025-05-05 10:17:00,490,,488,,470,,485,,,,,490,484</t>
  </si>
  <si>
    <t>2025-05-05 10:17:00,5800,,5700,,5600,,5650,,,,,5700,5600</t>
  </si>
  <si>
    <t>2025-05-05 10:17:00,20000,,20100,,19475,,19925,,,,,20100,19675</t>
  </si>
  <si>
    <t>2025-05-05 10:17:00,407636002.889258,9654686692.36206,617.86746031746,1060,186.456793650795,128.67,196.226421510856,158.5</t>
  </si>
  <si>
    <t>2025-05-05 10:17:00,992321838.414165,1306852127.97141,1386.8258994709,2479,187.470953968254,1252.32,32.303979246996,621.89</t>
  </si>
  <si>
    <t>2025-05-05 10:17:00,268520323.019515,146365682.466841,,-556,,-3578.76,-5.0983387617558,-109.39</t>
  </si>
  <si>
    <t>2025-05-05 10:17:00,22214274.8388791,52773.5287320699,-2.95833333333334,-8,-138.38125,-97,0.00269666589273135,-0.99</t>
  </si>
  <si>
    <t>2025-05-05 10:18:00,575,,565,,575,,562.5,,,,,565,560</t>
  </si>
  <si>
    <t>2025-05-05 10:18:00,490,,488,,470,,485,,,,,490,484</t>
  </si>
  <si>
    <t>2025-05-05 10:18:00,5800,,5700,,5600,,5640,,,,,5700,5600</t>
  </si>
  <si>
    <t>2025-05-05 10:18:00,20000,,20100,,19475,,19925,,,,,20100,19675</t>
  </si>
  <si>
    <t>2025-05-05 10:18:00,409632533.398331,9792587143.98471,2867.51666666667,3493,4803.341,5311.29,314.838025866103,1869.6</t>
  </si>
  <si>
    <t>2025-05-05 10:18:00,991242839.078895,1306172460.71428,-794.940836940837,-951,-542.548225108225,-829.34,99.4012886233761,-333.74</t>
  </si>
  <si>
    <t>2025-05-05 10:18:00,267057048.897467,150155301.585905,,1075,,4465.03,-3.2328414606467,173.59</t>
  </si>
  <si>
    <t>2025-05-05 10:18:00,22649666.7192309,66769.2765256605,-0.0352380952381001,1,7.2220666666665,192.54,-0.000325204813200152,1.8</t>
  </si>
  <si>
    <t>2025-05-05 10:19:00,575,,565,,575,,562.5,,,,,565,560</t>
  </si>
  <si>
    <t>2025-05-05 10:19:00,490,,488,,470,,485,,,,,490,484</t>
  </si>
  <si>
    <t>2025-05-05 10:19:00,5800,,5700,,5600,,5640,,,,,5700,5600</t>
  </si>
  <si>
    <t>2025-05-05 10:19:00,20000,,20100,,19475,,19925,,,,,20100,19675</t>
  </si>
  <si>
    <t>2025-05-05 10:19:00,396175699.621236,9594662927.46261,-780.621428571429,437,-1645.55035714286,274.66,117.211438558636,113.01</t>
  </si>
  <si>
    <t>2025-05-05 10:19:00,986186614.004806,1305157592.11112,-401.8,-358,-340.987999999999,-293.96,-12.0397991313795,-135.81</t>
  </si>
  <si>
    <t>2025-05-05 10:19:00,268678937.372897,149593204.679274,,-372,,-1936.43,0.619576962049315,-73.27</t>
  </si>
  <si>
    <t>2025-05-05 10:19:00,23667238.1085492,81844.3117043366,-11.8264535497897,-4,-380.870168540895,383.56,0.0014506993638326,1.99</t>
  </si>
  <si>
    <t>2025-05-05 10:20:00,575,,565,,575,,562.5,,,,,565,560</t>
  </si>
  <si>
    <t>2025-05-05 10:20:00,490,,488,,470,,485,,487,,,490,484</t>
  </si>
  <si>
    <t>2025-05-05 10:20:00,5800,,5700,,5600,,5640,,,,,5700,5600</t>
  </si>
  <si>
    <t>2025-05-05 10:20:00,20000,,20100,,19475,,19925,,,,,20100,19675</t>
  </si>
  <si>
    <t>2025-05-05 10:20:00,437995218.94499,9883195074.75642,5723.89572072072,6707,8965.45160135135,9427.32,504.173853608354,3363.97</t>
  </si>
  <si>
    <t>2025-05-05 10:20:00,1016427203.10425,1507751665.60835,2118.61998308205,719,2102.19029939792,-360.17,-315.595344233453,-87.1899999999999</t>
  </si>
  <si>
    <t>2025-05-05 10:20:00,268939043.859957,157788597.74611,,412,,4282.24,-1.21214913875784,129.28</t>
  </si>
  <si>
    <t>2025-05-05 10:20:00,23871139.2101868,118090.817389287,-3.24843400447428,3,-91.114600671141,257.76,-0.00840698177281466,2.07</t>
  </si>
  <si>
    <t>2025-05-05 10:21:00,575,,565,,575,,562.5,,565,,,565,560</t>
  </si>
  <si>
    <t>2025-05-05 10:21:00,490,,488,,470,,485,,487,,,490,484</t>
  </si>
  <si>
    <t>2025-05-05 10:21:00,5800,,5700,,5600,,5650,,,,,5700,5600</t>
  </si>
  <si>
    <t>2025-05-05 10:21:00,20300,,20100,,19475,,19925,,,,,20100,19675</t>
  </si>
  <si>
    <t>2025-05-05 10:21:00,525357191.300255,11048818307.3352,857.439285714287,2463,3237.75002380953,276.72,-41.9533965496453,26.23</t>
  </si>
  <si>
    <t>2025-05-05 10:21:00,1008689174.22427,1805647420.74972,-1842.9529953917,-2926,-2021.96344239631,-4343.13,-116.738792376579,-1500.72</t>
  </si>
  <si>
    <t>2025-05-05 10:21:00,273634803.225514,173636541.437741,,412,,-274.77,-5.72822915357212,55.61</t>
  </si>
  <si>
    <t>2025-05-05 10:21:00,24850965.3266792,169590.759957774,-31.5640692640693,-30,-1929.10066666667,-1374.9,-0.00850338818045675,-10.79</t>
  </si>
  <si>
    <t>2025-05-05 10:22:00,575,,565,,575,,562.5,,,,565,565,560</t>
  </si>
  <si>
    <t>2025-05-05 10:22:00,490,,488,,470,,485,,,,,490,484</t>
  </si>
  <si>
    <t>2025-05-05 10:22:00,5800,,5700,,5600,,5650,,,,,5700,5600</t>
  </si>
  <si>
    <t>2025-05-05 10:22:00,20000,,20100,,19475,,19925,,,,,20100,19675</t>
  </si>
  <si>
    <t>2025-05-05 10:22:00,553569403.675694,11876531488.7778,-2000.74365079372,-6706,3797.01641269826,-159.76,784.01221896999,31.7899999999999</t>
  </si>
  <si>
    <t>2025-05-05 10:22:00,1033779804.57731,1870471282.90239,19.4251591001609,-1250,266.516679154183,-2994.31,169.648326106103,-940.65</t>
  </si>
  <si>
    <t>2025-05-05 10:22:00,273796432.168609,179382450.918,,-1403,,-12342.06,-0.737904229473336,-435.88</t>
  </si>
  <si>
    <t>2025-05-05 10:22:00,25242963.172181,197105.69516282,-4.82218253968252,-15,-53.2712662698411,-167.3,-0.0197181177531737,-2.08</t>
  </si>
  <si>
    <t>2025-05-05 10:23:00,575,,565,,575,,562.5,,,,565,565,560</t>
  </si>
  <si>
    <t>2025-05-05 10:23:00,490,,488,,470,,485,,,,,490,484</t>
  </si>
  <si>
    <t>2025-05-05 10:23:00,5800,,5700,,5600,,5640,,,,,5700,5600</t>
  </si>
  <si>
    <t>2025-05-05 10:23:00,20000,,20100,,19475,,19925,,,,,20100,19675</t>
  </si>
  <si>
    <t>2025-05-05 10:23:00,504303030.15543,11388777340.2849,1146.65959595959,3684,-2924.77723484848,-422.26,256.341051470217,-357.93</t>
  </si>
  <si>
    <t>2025-05-05 10:23:00,1041216557.9877,1843232075.82244,3915.53492063492,3452,4839.18876190476,3518.07,60.9475058472414,1258.06</t>
  </si>
  <si>
    <t>2025-05-05 10:23:00,272769991.306127,182277577.248612,,1590,,13777.02,0.155789128345794,569.85</t>
  </si>
  <si>
    <t>2025-05-05 10:23:00,24828748.6045739,183136.017424275,1.3,8,49.6899999999999,54.53,-0.00668916460426553,0.65</t>
  </si>
  <si>
    <t>2025-05-05 10:24:00,575,,565,,575,,562.5,,,,,565,560</t>
  </si>
  <si>
    <t>2025-05-05 10:24:00,490,,488,,470,,485,,,,,490,484</t>
  </si>
  <si>
    <t>2025-05-05 10:24:00,5800,,5700,,5600,,5640,,,,,5700,5600</t>
  </si>
  <si>
    <t>2025-05-05 10:24:00,20000,,20100,,19475,,19925,,,,,20100,19675</t>
  </si>
  <si>
    <t>2025-05-05 10:24:00,489179765.38174,11296361357.6457,1953.70792540793,1790,2940.15564801866,1788.95,-6.18227958221531,923.75</t>
  </si>
  <si>
    <t>2025-05-05 10:24:00,1020892954.92403,1707456441.1877,-1305.48253968254,-732,-994.571396825398,-769.49,84.6979659757426,-209.1</t>
  </si>
  <si>
    <t>2025-05-05 10:24:00,271603566.47052,175985141.348243,,-122,,-417.26,-4.36244610255077,-36.66</t>
  </si>
  <si>
    <t>2025-05-05 10:24:00,23979456.1693045,158664.309990141,0.849648962148961,5,31.7118627899877,67.87,-0.00558932759264811,0.78</t>
  </si>
  <si>
    <t>2025-05-05 10:25:00,575,,565,,575,,562.5,,565,,,565,560</t>
  </si>
  <si>
    <t>2025-05-05 10:25:00,490,,488,,470,,485,,,,,490,484</t>
  </si>
  <si>
    <t>2025-05-05 10:25:00,5800,,5700,,5600,,5640,,,,,5700,5600</t>
  </si>
  <si>
    <t>2025-05-05 10:25:00,20000,,20100,,19475,,19925,,,,,20100,19675</t>
  </si>
  <si>
    <t>2025-05-05 10:25:00,424370369.569693,10639947179.0214,-733.923465423465,653,640.292020535023,1242.7,-628.563292400588,74.1100000000002</t>
  </si>
  <si>
    <t>2025-05-05 10:25:00,995581749.824934,1541405122.70523,1360.95608465608,2708,3193.6085978836,4169.83,-41.1503246923137,1536.76</t>
  </si>
  <si>
    <t>2025-05-05 10:25:00,269469249.975851,165730589.4052,,601,,5577.05,-1.10066472369964,237.26</t>
  </si>
  <si>
    <t>2025-05-05 10:25:00,23898030.2755009,107649.232598244,9.09437866055512,15,360.028729564553,233.54,0.00393154460016247,2.49</t>
  </si>
  <si>
    <t>2025-05-05 10:26:00,575,,565,,575,,562.5,565,,,,565,560</t>
  </si>
  <si>
    <t>2025-05-05 10:26:00,490,,488,,470,,485,,,486,,490,484</t>
  </si>
  <si>
    <t>2025-05-05 10:26:00,5800,,5700,,5600,,5640,,,,,5700,5600</t>
  </si>
  <si>
    <t>2025-05-05 10:26:00,20000,,20100,,19475,,19925,,,,,20100,19675</t>
  </si>
  <si>
    <t>2025-05-05 10:26:00,328845151.7945,9627206438.12825,3379.79141502129,4188,4975.69621550873,5191.67,345.320311158024,1942.89</t>
  </si>
  <si>
    <t>2025-05-05 10:26:00,957727422.555865,1149917449.47728,3246.5303030303,1907,3818.62287878788,1939.25,-88.7904287371031,746.87</t>
  </si>
  <si>
    <t>2025-05-05 10:26:00,266620302.861117,151525082.713514,,76,,1034.8,1.49482840738453,-4.87000000000002</t>
  </si>
  <si>
    <t>2025-05-05 10:26:00,22715160.719888,32100.353210078,54.3004457953394,39,1485.64566474164,1499.41,-0.0261667574597276,14.34</t>
  </si>
  <si>
    <t>2025-05-05 10:27:00,575,,565,,575,,562.5,,565,,,565,560</t>
  </si>
  <si>
    <t>2025-05-05 10:27:00,490,,488,,470,,485,487,,,,490,484</t>
  </si>
  <si>
    <t>2025-05-05 10:27:00,5800,,5700,,5600,,5650,,,,,5700,5600</t>
  </si>
  <si>
    <t>2025-05-05 10:27:00,20000,,20100,,19475,,19925,,,,,20100,19675</t>
  </si>
  <si>
    <t>2025-05-05 10:27:00,359009690.257517,10430286746.4727,-6309.90483405483,-12522,-5550.87548051948,-10611.48,-114.947921038457,-4411.41</t>
  </si>
  <si>
    <t>2025-05-05 10:27:00,956578598.573413,1374004772.54201,-3250.51223316913,-3760,-2515.34849753695,-2711.04,349.535171248644,-1008.27</t>
  </si>
  <si>
    <t>2025-05-05 10:27:00,266777872.320129,152392481.532647,,-496,,-7271.46,-1.6436386293665,-287.2</t>
  </si>
  <si>
    <t>2025-05-05 10:27:00,22615220.9633153,68435.3247197106,-0.80393772893772,6,-14.3740521978022,18.71,0.00874296799521282,0.42</t>
  </si>
  <si>
    <t>2025-05-05 10:28:00,575,,565,,575,,562.5,,,,,565,560</t>
  </si>
  <si>
    <t>2025-05-05 10:28:00,490,,488,,470,,485,,,,,490,484</t>
  </si>
  <si>
    <t>2025-05-05 10:28:00,5800,,5700,,5600,,5640,,,,,5700,5600</t>
  </si>
  <si>
    <t>2025-05-05 10:28:00,20000,,20100,,19475,,19925,,,,,20100,19675</t>
  </si>
  <si>
    <t>2025-05-05 10:28:00,385672586.264607,10814316065.013,-1131.49015151515,-2764,-684.39047077922,-2083.74,-3.91866050963803,-896.93</t>
  </si>
  <si>
    <t>2025-05-05 10:28:00,947046337.253676,1430420396.8755,-212.930641821946,-965,-92.044482401654,-1591.07,-61.8520715899567,-468.17</t>
  </si>
  <si>
    <t>2025-05-05 10:28:00,267761434.996097,158845171.728265,,-193,,402.82,0.376023659133315,35.67</t>
  </si>
  <si>
    <t>2025-05-05 10:28:00,22610607.1911096,71128.6735724299,-3.5358024691358,-3,-169.177932098765,-68.9,-0.000793849438198754,-0.77</t>
  </si>
  <si>
    <t>2025-05-05 10:29:00,575,,565,,575,,562.5,,,,,565,560</t>
  </si>
  <si>
    <t>2025-05-05 10:29:00,490,,488,,470,,485,,,,,490,484</t>
  </si>
  <si>
    <t>2025-05-05 10:29:00,5800,,5700,,5600,,5640,,,,,5700,5600</t>
  </si>
  <si>
    <t>2025-05-05 10:29:00,20000,,20100,,19475,,19925,,,,,20100,19675</t>
  </si>
  <si>
    <t>2025-05-05 10:29:00,384275495.442732,10758334770.201,-588.896969696973,-1405,-746.892666666675,-1332.38,-318.260354094787,-563.14</t>
  </si>
  <si>
    <t>2025-05-05 10:29:00,978536996.194491,1564336428.17851,-394.504761904762,-377,-516.577761904761,-429.55,71.8851761281895,-144.61</t>
  </si>
  <si>
    <t>2025-05-05 10:29:00,268169676.953295,161912145.645517,,-459,,-179.58,2.32332719146678,-26.41</t>
  </si>
  <si>
    <t>2025-05-05 10:29:00,23760082.9631421,94283.316176823,5.50621118012424,5,90.1284989648037,90.81,0.0250896431371492,2</t>
  </si>
  <si>
    <t>2025-05-05 10:30:00,575,,565,,575,,562.5,,565,,,565,560</t>
  </si>
  <si>
    <t>2025-05-05 10:30:00,490,,488,,470,,485,,,,,490,484</t>
  </si>
  <si>
    <t>2025-05-05 10:30:00,5800,,5700,,5600,,5650,,,,,5700,5600</t>
  </si>
  <si>
    <t>2025-05-05 10:30:00,20000,,20100,,19475,,19925,,,,,20100,19675</t>
  </si>
  <si>
    <t>2025-05-05 10:30:00,453919187.460315,11695390623.1653,-2249.39642857143,-6862,-3038.44014285714,-9152.16,-349.075849370095,-3558.67</t>
  </si>
  <si>
    <t>2025-05-05 10:30:00,987265570.224093,1785112180.17835,776.376884057971,769,698.439768115941,-120.1,83.441104021437,189.34</t>
  </si>
  <si>
    <t>2025-05-05 10:30:00,270907801.568484,172943505.797249,,-1252,,-5339.94,0.394868890518903,-196.06</t>
  </si>
  <si>
    <t>2025-05-05 10:30:00,24130724.2360861,144522.011369191,-6.28962716869694,-8,-311.451540789958,-131,-0.00642067171213217,-1.74</t>
  </si>
  <si>
    <t>2025-05-05 10:31:00,575,,565,,575,,562.5,,,,,565,560</t>
  </si>
  <si>
    <t>2025-05-05 10:31:00,490,,488,,470,,485,,,,,490,484</t>
  </si>
  <si>
    <t>2025-05-05 10:31:00,5800,,5700,,5600,,5650,,,,,5700,5600</t>
  </si>
  <si>
    <t>2025-05-05 10:31:00,20000,,20100,,19475,,19925,,,,,20100,19675</t>
  </si>
  <si>
    <t>2025-05-05 10:31:00,382637166.277793,10991289170.6209,-11503.3376984127,-6650,-13209.7990039683,-6336.13,-127.801648280446,-2589.1</t>
  </si>
  <si>
    <t>2025-05-05 10:31:00,965338419.211085,1556553939.61652,-817.918327686806,-368,-864.425775127049,-680.48,-132.23032864927,-250.26</t>
  </si>
  <si>
    <t>2025-05-05 10:31:00,268605463.772001,157471267.455363,,-1379,,-6565.74,-4.76689376997638,-313.07</t>
  </si>
  <si>
    <t>2025-05-05 10:31:00,24068414.6795254,86311.4492702571,2.35714285714286,4,44.15,49,0.00138387182828408,0.68</t>
  </si>
  <si>
    <t>2025-05-05 10:32:00,575,,565,,575,,562.5,,,,,565,560</t>
  </si>
  <si>
    <t>2025-05-05 10:32:00,490,,488,,470,,485,487,,,,490,484</t>
  </si>
  <si>
    <t>2025-05-05 10:32:00,5800,,5700,,5600,,5650,,,,,5700,5600</t>
  </si>
  <si>
    <t>2025-05-05 10:32:00,20000,,20100,,19475,,19925,,,,,20100,19675</t>
  </si>
  <si>
    <t>2025-05-05 10:32:00,300360212.892195,10263334432.2962,2123.25014430014,3299,1634.49902922078,2219.34,142.594219306783,1129.4</t>
  </si>
  <si>
    <t>2025-05-05 10:32:00,927699320.247474,1284110578.6768,1387.14087301587,359,1719.94041666667,1083.66,111.927382381509,397.74</t>
  </si>
  <si>
    <t>2025-05-05 10:32:00,263918468.446313,142474988.522251,,839,,505.83,-5.19022146358733,66.77</t>
  </si>
  <si>
    <t>2025-05-05 10:32:00,21583012.7457503,22658.3938151578,-6.45654761904762,-5,-617.445267857143,-718.05,0.0348045748337671,-6.86</t>
  </si>
  <si>
    <t>2025-05-05 10:33:00,575,,565,,575,,562.5,,,,,565,560</t>
  </si>
  <si>
    <t>2025-05-05 10:33:00,490,,488,,470,,485,,,,,490,484</t>
  </si>
  <si>
    <t>2025-05-05 10:33:00,5800,,5700,,5600,,5650,,,,,5700,5600</t>
  </si>
  <si>
    <t>2025-05-05 10:33:00,20000,,20100,,19475,,19925,,,,,20100,19675</t>
  </si>
  <si>
    <t>2025-05-05 10:33:00,300836510.371768,10052902152.18,-1390.79098124098,-424,-2446.71589321789,-3034.57,54.3114297505942,-1162.72</t>
  </si>
  <si>
    <t>2025-05-05 10:33:00,944680981.431529,1154242020.53287,-676.35,-1855,-369.336666666667,-1476.82,-111.821520408451,-664.93</t>
  </si>
  <si>
    <t>2025-05-05 10:33:00,263637550.79295,141993327.66285,,-178,,-5294.57,-8.16342633028417,-149</t>
  </si>
  <si>
    <t>2025-05-05 10:33:00,22291209.5144014,17865.5405515283,-1.01933621933621,-1,-3.26606637806612,-34.72,-0.0182274275945355,-0.48</t>
  </si>
  <si>
    <t>2025-05-05 10:34:00,575,,565,,575,,562.5,,,,,565,560</t>
  </si>
  <si>
    <t>2025-05-05 10:34:00,490,,488,,470,,485,,,,,490,484</t>
  </si>
  <si>
    <t>2025-05-05 10:34:00,5800,,5700,,5600,,5650,,,,,5700,5600</t>
  </si>
  <si>
    <t>2025-05-05 10:34:00,20000,,20100,,19475,,19925,,,,,20100,19675</t>
  </si>
  <si>
    <t>2025-05-05 10:34:00,277404702.757624,9621399145.97773,-2842.03690476191,-3146,-995.576142857145,-1206.95,193.726252577922,-550.09</t>
  </si>
  <si>
    <t>2025-05-05 10:34:00,952828681.880292,1206325263.80452,185.314102564103,213,165.360641025642,142.3,-29.867363208218,53.66</t>
  </si>
  <si>
    <t>2025-05-05 10:34:00,262997809.730985,139032649.836685,,321,,2444.31,1.73347867507516,113.7</t>
  </si>
  <si>
    <t>2025-05-05 10:34:00,21509975.9510467,20544.9340656404,6.05601307189542,11,449.184404575163,-763.08,-0.00296107578339904,-2.12</t>
  </si>
  <si>
    <t>2025-05-05 10:35:00,575,,565,,575,,562.5,,,,564,565,560</t>
  </si>
  <si>
    <t>2025-05-05 10:35:00,490,,488,,470,,485,,,,,488,484</t>
  </si>
  <si>
    <t>2025-05-05 10:35:00,5800,,5700,,5600,,5650,,,5660,,5700,5600</t>
  </si>
  <si>
    <t>2025-05-05 10:35:00,20000,,,,19475,,19950,,,,,20100,19675</t>
  </si>
  <si>
    <t>2025-05-05 10:35:00,282976358.710869,9549388631.7098,-11773.8695887446,-9952,-12335.6473863636,-7967.94,267.551240466432,-3163.91</t>
  </si>
  <si>
    <t>2025-05-05 10:35:00,954649593.311092,1207824828.46507,255.401169590646,-76,1135.42656725147,918.02,37.4171647707727,239.64</t>
  </si>
  <si>
    <t>2025-05-05 10:35:00,262574301.782242,135578193.396502,,1024,,8144.68,-6.16608054518567,411.27</t>
  </si>
  <si>
    <t>2025-05-05 10:35:00,23051705.4883174,-40106.9208923006,-104.615584415584,-103,-2138.32213419913,-1997.54,0.220695422021442,-24.53</t>
  </si>
  <si>
    <t>2025-05-05 10:36:00,575,,565,,575,,562.5,,,,,565,560</t>
  </si>
  <si>
    <t>2025-05-05 10:36:00,490,,488,,470,,485,,,,,488,484</t>
  </si>
  <si>
    <t>2025-05-05 10:36:00,5800,,5700,,5600,,5650,,,,,5700,5600</t>
  </si>
  <si>
    <t>2025-05-05 10:36:00,20000,,,,19475,,19950,,,,,20100,19675</t>
  </si>
  <si>
    <t>2025-05-05 10:36:00,185978644.941195,7945657238.90671,-1070.62738095238,-1073,-930.96263095238,-3331.6,-563.901907140053,-1418.65</t>
  </si>
  <si>
    <t>2025-05-05 10:36:00,909979845.700349,775561031.077557,1249.37948879879,531,2626.33677726443,1294.68,109.272044734436,406.93</t>
  </si>
  <si>
    <t>2025-05-05 10:36:00,262042984.385087,121024420.529297,,-309,,651.05,-0.0287418900933688,-35.66</t>
  </si>
  <si>
    <t>2025-05-05 10:36:00,21949498.2970539,-89173.7533961692,7.96753246753248,7,207.836255411256,240.65,-0.0129197558328649,2.67</t>
  </si>
  <si>
    <t>2025-05-05 10:37:00,575,,565,,575,,562.5,,,,564,565,560</t>
  </si>
  <si>
    <t>2025-05-05 10:37:00,490,,488,,470,,485,,,,486,490,484</t>
  </si>
  <si>
    <t>2025-05-05 10:37:00,5800,,5700,,5600,,5650,,,,,5700,5600</t>
  </si>
  <si>
    <t>2025-05-05 10:37:00,20000,,,,19475,,19950,,,,,20100,19675</t>
  </si>
  <si>
    <t>2025-05-05 10:37:00,199535662.900624,8788287904.87908,-7450.60627705628,-4185,-3818.64027922078,-1988.91,254.458697006811,-1139.07</t>
  </si>
  <si>
    <t>2025-05-05 10:37:00,929282986.376347,1035087444.72573,-1762.67845914434,-3100,-2850.57657587444,-4193.55,182.187202565952,-1265.69</t>
  </si>
  <si>
    <t>2025-05-05 10:37:00,259621017.838008,121345939.747756,,286,,-465.58,5.15903444400716,-28.24</t>
  </si>
  <si>
    <t>2025-05-05 10:37:00,21195322.2073412,-98398.3017993148,-37.3845751633987,-45,-2111.4287503268,-1662.01,0.0860230513861366,-16.17</t>
  </si>
  <si>
    <t>2025-05-05 10:38:00,575,,565,,575,,562.5,,,,564,565,560</t>
  </si>
  <si>
    <t>2025-05-05 10:38:00,490,,488,,470,,485,,,,,488,484</t>
  </si>
  <si>
    <t>2025-05-05 10:38:00,5800,,5700,,5600,,5650,,,,,5700,5600</t>
  </si>
  <si>
    <t>2025-05-05 10:38:00,20000,,,,19475,,19950,,,,,20100,19675</t>
  </si>
  <si>
    <t>2025-05-05 10:38:00,170584572.26738,8595746723.66627,582.083549783531,2283,-362.102430735947,381.200000000001,-433.08382737428,422.84</t>
  </si>
  <si>
    <t>2025-05-05 10:38:00,909487467.895467,877620159.361348,947.690240831966,2551,921.151792501368,2656.54,-117.401230364745,1034.73</t>
  </si>
  <si>
    <t>2025-05-05 10:38:00,259431318.120123,108995860.708576,,887,,13486.58,0.151846971931559,540.79</t>
  </si>
  <si>
    <t>2025-05-05 10:38:00,21987613.8002086,-140787.119699786,-45.072674713856,-42,-1117.82779788273,-1110.52,0.0754224667616992,-12.35</t>
  </si>
  <si>
    <t>2025-05-05 10:39:00,575,,565,,575,,562.5,,,,,565,560</t>
  </si>
  <si>
    <t>2025-05-05 10:39:00,490,,488,,470,,485,,,,,488,484</t>
  </si>
  <si>
    <t>2025-05-05 10:39:00,5800,,5700,,5600,,5650,,,,,5700,5600</t>
  </si>
  <si>
    <t>2025-05-05 10:39:00,20000,,,,19475,,19950,,,,,20100,19675</t>
  </si>
  <si>
    <t>2025-05-05 10:39:00,127862691.665057,7862971636.60919,-2869.15277777778,-3740,-2060.69972222222,-2882.01,-27.3433360801355,-1390.63</t>
  </si>
  <si>
    <t>2025-05-05 10:39:00,895507722.956818,812190473.812566,350.54283055654,139,92.8126518964909,-335.33,-115.451535208137,-134.02</t>
  </si>
  <si>
    <t>2025-05-05 10:39:00,257114356.567928,107733481.357715,,1,,2628.93,-9.72232563319861,67.84</t>
  </si>
  <si>
    <t>2025-05-05 10:39:00,20551269.4467547,-177114.321876251,-38.1775258075258,-38,-1306.7494503996,-1574.23,0.0755964897842502,-14.82</t>
  </si>
  <si>
    <t>2025-05-05 10:41:00,575,,565,,575,,562.5,,,,564,565,560</t>
  </si>
  <si>
    <t>2025-05-05 10:41:00,490,,488,,470,,485,,,,,488,484</t>
  </si>
  <si>
    <t>2025-05-05 10:41:00,5800,,5700,,5600,,5650,,,,,5700,5600</t>
  </si>
  <si>
    <t>2025-05-05 10:41:00,20000,,,,19475,,19950,,,,,20100,19675</t>
  </si>
  <si>
    <t>2025-05-05 10:41:00,303028486.202238,10105539786.3856,-9770.77932900433,124,-8427.78364826839,-2560.84,-650.703307280233,-987.69</t>
  </si>
  <si>
    <t>2025-05-05 10:41:00,921155885.524975,1325922186.6117,1535.64374999999,1521,2666.84670833333,2266.6,-62.416074380223,858.09</t>
  </si>
  <si>
    <t>2025-05-05 10:41:00,265560047.487434,138390807.498057,,479,,-823.89,-4.21770031676683,12.04</t>
  </si>
  <si>
    <t>2025-05-05 10:41:00,22362586.4528981,-70571.1565135319,-112.80137080197,-95,-1632.04551868763,-857.26,0.0429776962094786,-10.41</t>
  </si>
  <si>
    <t>2025-05-05 10:42:00,575,,565,,575,,562.5,,,,,565,560</t>
  </si>
  <si>
    <t>2025-05-05 10:42:00,490,,488,,470,,485,,,,,488,484</t>
  </si>
  <si>
    <t>2025-05-05 10:42:00,5800,,5700,,5600,,5650,,,,,5700,5600</t>
  </si>
  <si>
    <t>2025-05-05 10:42:00,20000,,,,19475,,19950,,,,,20100,19675</t>
  </si>
  <si>
    <t>2025-05-05 10:42:00,247502458.831739,9372747361.6968,-5006.21190476187,-358,-8076.34788095235,-1441.48,-823.523861053055,-610.24</t>
  </si>
  <si>
    <t>2025-05-05 10:42:00,930836643.03422,1159886094.01136,-2968.11598440546,-3068,-2215.08217348928,-2305.72,-125.892789156068,-1019.19</t>
  </si>
  <si>
    <t>2025-05-05 10:42:00,261603063.325274,133380715.177436,,-6,,-5218.92,-2.59830142681694,-228.27</t>
  </si>
  <si>
    <t>2025-05-05 10:42:00,21719286.9365066,-81184.847610818,36.2507371559259,8,983.114930041658,98.74,-0.0117336461483528,0.84</t>
  </si>
  <si>
    <t>2025-05-05 10:43:00,575,,565,,575,,562.5,,,,,565,560</t>
  </si>
  <si>
    <t>2025-05-05 10:43:00,490,,487,,470,,485,,,,,488,484</t>
  </si>
  <si>
    <t>2025-05-05 10:43:00,5800,,5700,,5600,,5650,,,,,5700,5600</t>
  </si>
  <si>
    <t>2025-05-05 10:43:00,20000,,,,19475,,19950,,,,,20100,19675</t>
  </si>
  <si>
    <t>2025-05-05 10:43:00,263764670.829201,10154979689.7768,-1423.83253968257,-1221,-1410.96151587306,-867.66,-1.58106939636133,-365.95</t>
  </si>
  <si>
    <t>2025-05-05 10:43:00,925332416.926835,1368809808.471,-1702.50586611456,-1331,-1777.61218426501,-1841.3,-61.5042385269686,-612.64</t>
  </si>
  <si>
    <t>2025-05-05 10:43:00,261738755.016746,133791973.678235,,-163,,1216.19,0.494299527437301,58.93</t>
  </si>
  <si>
    <t>2025-05-05 10:43:00,22462117.4279836,-116060.909588822,-15.0096460863977,-9,-442.906375719822,-222.65,0.0153454355454071,-2.37</t>
  </si>
  <si>
    <t>2025-05-05 10:44:00,575,,565,,575,,562.5,,,,,565,560</t>
  </si>
  <si>
    <t>2025-05-05 10:44:00,490,,488,,470,,485,,,,,488,484</t>
  </si>
  <si>
    <t>2025-05-05 10:44:00,5800,,5700,,5600,,5650,,,,,5700,5600</t>
  </si>
  <si>
    <t>2025-05-05 10:44:00,20000,,,,19475,,19950,,,,,20100,19675</t>
  </si>
  <si>
    <t>2025-05-05 10:44:00,283902093.354207,9898064300.9423,-236.089285714291,-493,502.605357142854,1021.04,-84.4919111884351,493.55</t>
  </si>
  <si>
    <t>2025-05-05 10:44:00,948998412.939125,1219029137.43666,-6867.70519713261,-2962,-4906.36950716845,-2327.34,10.6998829087026,-979.12</t>
  </si>
  <si>
    <t>2025-05-05 10:44:00,264188493.408425,140196711.888011,,-151,,-115.52,2.57604305489601,14.92</t>
  </si>
  <si>
    <t>2025-05-05 10:44:00,22981683.2298098,-104838.670720787,-2.54011544011544,-1,18.1006645021646,14.32,-0.00198129531416633,0.19</t>
  </si>
  <si>
    <t>2025-05-05 10:45:00,575,,565,,575,,562.5,,,,,565,560</t>
  </si>
  <si>
    <t>2025-05-05 10:45:00,490,,488,,470,,485,,,,,488,484</t>
  </si>
  <si>
    <t>2025-05-05 10:45:00,5800,,5700,,5600,,5650,,,,,5700,5600</t>
  </si>
  <si>
    <t>2025-05-05 10:45:00,20000,,,,19475,,19950,,,,,20100,19675</t>
  </si>
  <si>
    <t>2025-05-05 10:45:00,281658106.861215,10057440942.6864,1624.40649350649,3602,51.1185974025966,2073,183.963272119065,935.24</t>
  </si>
  <si>
    <t>2025-05-05 10:45:00,933252911.307014,1408372210.11222,-502.553968253968,-28,50.290373015872,303.26,155.944217756966,115.13</t>
  </si>
  <si>
    <t>2025-05-05 10:45:00,265160130.898176,147934622.203331,,-567,,-5907.18,-1.25710126511557,-250.58</t>
  </si>
  <si>
    <t>2025-05-05 10:45:00,22812967.647857,-84005.126003035,-25.285344134953,-21,-761.255802838531,-648.65,-0.010104362954421,-6.4</t>
  </si>
  <si>
    <t>2025-05-05 10:46:00,575,,565,,575,,562.5,565,,,,565,560</t>
  </si>
  <si>
    <t>2025-05-05 10:46:00,490,,488,,470,,485,,,,,488,484</t>
  </si>
  <si>
    <t>2025-05-05 10:46:00,5800,,5700,,5600,,5650,,,,,5700,5600</t>
  </si>
  <si>
    <t>2025-05-05 10:46:00,20000,,,,19475,,19950,,,,,20100,19675</t>
  </si>
  <si>
    <t>2025-05-05 10:46:00,374394290.243053,11041014542.4749,200.32240537243,560,-1296.94318192916,-6950.95,-591.493226025842,-1320.85</t>
  </si>
  <si>
    <t>2025-05-05 10:46:00,951057562.367314,1601699001.01812,749.260027472527,327,321.374394230769,-29.8599999999999,-10.2106592221712,-15.48</t>
  </si>
  <si>
    <t>2025-05-05 10:46:00,269768689.169557,167874115.651404,,-207,,-7015.28,-4.28251918077231,-206.97</t>
  </si>
  <si>
    <t>2025-05-05 10:46:00,23321919.8332157,-28207.1891420758,-5.08465045592706,-11,-239.491753292807,-223.33,0.000256501200935519,-2.72</t>
  </si>
  <si>
    <t>2025-05-05 10:47:00,575,,565,,575,,562.5,565,,,,565,560</t>
  </si>
  <si>
    <t>2025-05-05 10:47:00,490,,488,,470,,485,487,,,,488,484</t>
  </si>
  <si>
    <t>2025-05-05 10:47:00,5800,,5700,,5600,,5650,,,,,5700,5600</t>
  </si>
  <si>
    <t>2025-05-05 10:47:00,20000,,,,19475,,19950,,,,,20100,19675</t>
  </si>
  <si>
    <t>2025-05-05 10:47:00,348357329.121248,11566664773.2817,4842.17465297859,5554,5989.78507374204,4931.57,24.1831134890408,2155.26</t>
  </si>
  <si>
    <t>2025-05-05 10:47:00,997514989.747484,1608918084.28429,3834.68650793651,3763,4203.9796031746,3810,141.597695794188,1509.64</t>
  </si>
  <si>
    <t>2025-05-05 10:47:00,267302531.194082,170694501.846416,,564,,3702.64,-1.36623310167708,120.15</t>
  </si>
  <si>
    <t>2025-05-05 10:47:00,22384824.8307049,-28324.4111589276,13.6819985569986,10,566.329694083695,343.76,-0.00102949571822329,3.64</t>
  </si>
  <si>
    <t>2025-05-05 10:48:00,575,,565,,575,,562.5,,,,,565,560</t>
  </si>
  <si>
    <t>2025-05-05 10:48:00,490,,487,,470,,485,,,,,488,484</t>
  </si>
  <si>
    <t>2025-05-05 10:48:00,5800,,5700,,5600,,5650,,,,,5700,5600</t>
  </si>
  <si>
    <t>2025-05-05 10:48:00,20000,,,,19475,,19950,,,,,20100,19675</t>
  </si>
  <si>
    <t>2025-05-05 10:48:00,361456527.15481,11087876177.6551,-638.909523809524,505,250.577904761905,244.31,-165.851928269377,59.85</t>
  </si>
  <si>
    <t>2025-05-05 10:48:00,952697888.402324,1279311516.06771,1080.82801120448,1450,473.063155929038,798.85,50.1274256618086,400.18</t>
  </si>
  <si>
    <t>2025-05-05 10:48:00,264663076.192864,156115696.443275,,324,,538.79,0.11587725907619,46.94</t>
  </si>
  <si>
    <t>2025-05-05 10:48:00,21953203.2919855,-89443.5265131449,10.822619047619,10,211.217071428571,174.26,-0.00801224434058389,2.22</t>
  </si>
  <si>
    <t>2025-05-05 10:49:00,575,,565,,575,,562.5,,,,,565,560</t>
  </si>
  <si>
    <t>2025-05-05 10:49:00,490,,487,,470,,485,,,,486,488,484</t>
  </si>
  <si>
    <t>2025-05-05 10:49:00,5800,,5700,,5600,,5650,,,,,5700,5600</t>
  </si>
  <si>
    <t>2025-05-05 10:49:00,20000,,,,19475,,19950,,,,,20100,19675</t>
  </si>
  <si>
    <t>2025-05-05 10:49:00,280740617.582221,10242663388.222,-2742.7619047619,-4575,-2560.00609523809,-4179.07,-201.119452492,-1709.65</t>
  </si>
  <si>
    <t>2025-05-05 10:49:00,906490884.422125,977821685.318641,-1318.86495726496,-1790,-1514.65774969475,-2153.64,121.365162146579,-799.4</t>
  </si>
  <si>
    <t>2025-05-05 10:49:00,263710711.458567,156504212.148129,,83,,3645.38,5.85812659356458,100.78</t>
  </si>
  <si>
    <t>2025-05-05 10:49:00,21018584.038519,-152724.299065015,7.43629215035931,-3,341.501750262576,-594.3,-0.00494989045741898,-2.99</t>
  </si>
  <si>
    <t>2025-05-05 10:50:00,575,,565,,575,,562.5,,,,,565,560</t>
  </si>
  <si>
    <t>2025-05-05 10:50:00,490,,487,,470,,485,,,,,488,484</t>
  </si>
  <si>
    <t>2025-05-05 10:50:00,5800,,5700,,5600,,5650,,,,,5700,5600</t>
  </si>
  <si>
    <t>2025-05-05 10:50:00,20000,,,,19475,,19950,,,,,20100,19675</t>
  </si>
  <si>
    <t>2025-05-05 10:50:00,320558047.321594,10633573706.8171,-2246.76785714287,-2240,0.619761904749865,-145.95,-232.31602934069,-10.47</t>
  </si>
  <si>
    <t>2025-05-05 10:50:00,939674440.67052,1190385755.9443,2209.21916971917,1950,2168.22808913309,1740.32,80.4349119627408,755.45</t>
  </si>
  <si>
    <t>2025-05-05 10:50:00,267468567.436666,162449062.954583,,428,,568.5,5.44421745491847,57.55</t>
  </si>
  <si>
    <t>2025-05-05 10:50:00,22195721.087368,-119598.505311259,-8.20916666666666,-13,-145.454358333333,-291.42,-0.0076088487372118,-3.32</t>
  </si>
  <si>
    <t>2025-05-05 10:51:00,575,,565,,575,,562.5,,565,,,565,560</t>
  </si>
  <si>
    <t>2025-05-05 10:51:00,490,,488,,470,,485,,487,,,488,484</t>
  </si>
  <si>
    <t>2025-05-05 10:51:00,5800,,5700,,5600,,5650,,,,,5700,5600</t>
  </si>
  <si>
    <t>2025-05-05 10:51:00,20000,,,,19475,,19950,,,,,20100,19675</t>
  </si>
  <si>
    <t>2025-05-05 10:51:00,423068813.750517,12231686588.2829,-3409.30357142857,-7228,-2416.58905952381,-7219.55,-676.174290859562,-2988.08</t>
  </si>
  <si>
    <t>2025-05-05 10:51:00,960315570.997507,1684374961.68149,-829.978264073091,-1407,-1810.84743147657,-2695.67,-11.506261451802,-809.91</t>
  </si>
  <si>
    <t>2025-05-05 10:51:00,271382087.487979,185730572.073846,,104,,-4711.48,-1.96902839318597,-79.72</t>
  </si>
  <si>
    <t>2025-05-05 10:51:00,23186014.2093748,-22678.5962106961,-5.4460906101571,-9,-314.204716721471,-148.95,-0.00170881490223462,-1.73</t>
  </si>
  <si>
    <t>2025-05-05 10:52:00,575,,565,,575,,562.5,,,,,565,560</t>
  </si>
  <si>
    <t>2025-05-05 10:52:00,490,,488,,470,,485,,487,,,488,484</t>
  </si>
  <si>
    <t>2025-05-05 10:52:00,5800,,5700,,5600,,5650,,,,,5700,5600</t>
  </si>
  <si>
    <t>2025-05-05 10:52:00,20000,,20100,,19475,,19950,,,,,20100,19675</t>
  </si>
  <si>
    <t>2025-05-05 10:52:00,457005878.718432,13137821367.659,6105.15555555555,1851,8681.71711111109,7145.17,-194.214086773008,2536.6</t>
  </si>
  <si>
    <t>2025-05-05 10:52:00,993812633.501702,1762394111.13164,-946.506413091552,-174,-933.53949579832,-265.66,-272.061378350204,-159.86</t>
  </si>
  <si>
    <t>2025-05-05 10:52:00,272400702.83715,194437584.525165,,-322,,292.65,-4.80445669731522,-5.18999999999998</t>
  </si>
  <si>
    <t>2025-05-05 10:52:00,24033149.4615687,10012.2611010223,-7.07847222222221,-11,-139.335743055555,-161.46,0.00010012963718568,-1.98</t>
  </si>
  <si>
    <t>2025-05-05 10:53:00,575,,565,,575,,562.5,,,,,565,560</t>
  </si>
  <si>
    <t>2025-05-05 10:53:00,490,,487,,470,,485,,,,,488,484</t>
  </si>
  <si>
    <t>2025-05-05 10:53:00,5800,,5700,,5600,,5650,,,,,5700,5600</t>
  </si>
  <si>
    <t>2025-05-05 10:53:00,20000,,20100,,19475,,19950,,,,,20100,19675</t>
  </si>
  <si>
    <t>2025-05-05 10:53:00,469720936.883884,13393242461.2563,3170.88888888889,4915,4172.52555555556,4783.68,75.0672020472188,2229.1</t>
  </si>
  <si>
    <t>2025-05-05 10:53:00,1004980686.15229,1938003884.02775,-533.066858147696,-1173,207.239989477271,-746.37,-16.5057011903981,-339.13</t>
  </si>
  <si>
    <t>2025-05-05 10:53:00,271562744.840446,203862043.544699,,474,,1724.65,3.60758569874947,110.32</t>
  </si>
  <si>
    <t>2025-05-05 10:53:00,24378949.9266969,18166.0937106574,-34.7572362278244,-20,-432.488211251167,-308.86,0.0111328853886971,-3.27</t>
  </si>
  <si>
    <t>2025-05-05 10:54:00,575,,565,,575,,562.5,,,,,565,560</t>
  </si>
  <si>
    <t>2025-05-05 10:54:00,490,,487,,470,,485,487,,,,488,484</t>
  </si>
  <si>
    <t>2025-05-05 10:54:00,5800,,5700,,5600,,5650,,,,,5700,5600</t>
  </si>
  <si>
    <t>2025-05-05 10:54:00,20000,,20100,,19475,,19950,,,,,20100,19675</t>
  </si>
  <si>
    <t>2025-05-05 10:54:00,468445345.728644,13327645097.9952,4160.08174603175,4562,4947.25330952381,4312.59,58.4858673050854,1837.09</t>
  </si>
  <si>
    <t>2025-05-05 10:54:00,999327556.180896,2117813190.75327,1482.625,1951,2720.91,2782.05,50.0218726109001,1086.22</t>
  </si>
  <si>
    <t>2025-05-05 10:54:00,271102687.018798,204521526.275937,,633,,5424.47,-1.40389448191933,225.02</t>
  </si>
  <si>
    <t>2025-05-05 10:54:00,23853062.5864253,16282.5596705086,-1.36043517885624,7,-20.9205110503535,153.13,-0.0099511466868051,1.82</t>
  </si>
  <si>
    <t>2025-05-05 10:55:00,575,,565,,575,,562.5,,,,,565,560</t>
  </si>
  <si>
    <t>2025-05-05 10:55:00,490,,487,,470,,485,,,,,488,484</t>
  </si>
  <si>
    <t>2025-05-05 10:55:00,5800,,5700,,5600,,5650,,,,,5700,5600</t>
  </si>
  <si>
    <t>2025-05-05 10:55:00,20000,,,,19475,,19950,,,,,20100,19675</t>
  </si>
  <si>
    <t>2025-05-05 10:55:00,376616127.272664,11803671957.7929,5763.00277777776,4748,5521.92401190475,5042.58,524.556292953672,2036.83</t>
  </si>
  <si>
    <t>2025-05-05 10:55:00,960874672.260133,1585382288.8746,523.980339687196,730,151.034174608993,-296.73,-27.1307709417498,-17.16</t>
  </si>
  <si>
    <t>2025-05-05 10:55:00,269065498.070375,192487116.272455,,599,,5641.46,1.40521125165014,246.87</t>
  </si>
  <si>
    <t>2025-05-05 10:55:00,23713076.7485422,-28166.0308233442,-1.68952380952381,1,-56.0455523809524,-40.42,-0.00562995061571137,-0.43</t>
  </si>
  <si>
    <t>2025-05-05 10:56:00,575,,565,,575,,562.5,,,,,565,560</t>
  </si>
  <si>
    <t>2025-05-05 10:56:00,490,,487,,470,,485,,,,,488,484</t>
  </si>
  <si>
    <t>2025-05-05 10:56:00,5800,,5700,,5600,,5650,,,,,5700,5600</t>
  </si>
  <si>
    <t>2025-05-05 10:56:00,20000,,20100,,19475,,19950,,,,,20100,19675</t>
  </si>
  <si>
    <t>2025-05-05 10:56:00,446421281.94014,13161228727.6162,2003.54523809524,1643,1298.30278571428,869.92,-487.866900862787,414.35</t>
  </si>
  <si>
    <t>2025-05-05 10:56:00,970253234.515444,2052215864.47206,-717.756858206841,-549,-214.835005048167,-115.52,60.6210913662754,-41.67</t>
  </si>
  <si>
    <t>2025-05-05 10:56:00,270650320.648667,202796692.567069,,-450,,-2210.1,-0.166769287310982,-42.77</t>
  </si>
  <si>
    <t>2025-05-05 10:56:00,23642619.9477557,12805.9753410444,-7.34047619047619,-5,-98.1098333333333,-80.51,0.00777021902369308,-1.12</t>
  </si>
  <si>
    <t>2025-05-05 10:57:00,575,,565,,575,,562.5,,,,,565,560</t>
  </si>
  <si>
    <t>2025-05-05 10:57:00,490,,487,,470,,485,,,,,488,484</t>
  </si>
  <si>
    <t>2025-05-05 10:57:00,5800,,5700,,5600,,5650,,,,,5700,5600</t>
  </si>
  <si>
    <t>2025-05-05 10:57:00,20000,,,,19475,,19950,,,,,20100,19675</t>
  </si>
  <si>
    <t>2025-05-05 10:57:00,372918325.690507,11994791161.1638,-1232.01147741148,-1280,586.372365079369,1173.96,65.4325915064052,301.54</t>
  </si>
  <si>
    <t>2025-05-05 10:57:00,986199499.180758,1872029155.43199,1695.55402930402,1156,1916.70482600731,1323.35,70.0327760137035,518.75</t>
  </si>
  <si>
    <t>2025-05-05 10:57:00,268944668.304509,194251616.20015,,575,,5779.37,0.121245052222321,247.74</t>
  </si>
  <si>
    <t>2025-05-05 10:57:00,23150682.175482,-30279.8506149757,2.32857142857143,10,75.6350952380952,88.13,-0.00926661655608254,1.16</t>
  </si>
  <si>
    <t>2025-05-05 10:58:00,575,,565,,575,,562.5,,,,,565,560</t>
  </si>
  <si>
    <t>2025-05-05 10:58:00,490,,487,,470,,485,,,,,488,484</t>
  </si>
  <si>
    <t>2025-05-05 10:58:00,5800,,5700,,5600,,5650,,,,,5700,5600</t>
  </si>
  <si>
    <t>2025-05-05 10:58:00,20000,,20100,,19475,,19950,,,,,20100,19675</t>
  </si>
  <si>
    <t>2025-05-05 10:58:00,408424301.645186,13021666631.7287,-12429.8333333333,-8363,-10189.5579444444,-4772.02,564.473772206359,-2197.82</t>
  </si>
  <si>
    <t>2025-05-05 10:58:00,969104067.336715,2066487566.40251,-1961.35873015873,-1815,-1957.5723968254,-1593.2,1.94352740606699,-686.83</t>
  </si>
  <si>
    <t>2025-05-05 10:58:00,270417079.801623,197494776.994309,,-1594,,-10156.26,-1.95079527879011,-404.63</t>
  </si>
  <si>
    <t>2025-05-05 10:58:00,23005231.6554795,1458.37656024484,-21.9412698412699,-12,-755.041031746033,-278.85,0.0155817461982557,-3.23</t>
  </si>
  <si>
    <t>2025-05-05 10:59:00,575,,565,,575,,562.5,,565,,,565,560</t>
  </si>
  <si>
    <t>2025-05-05 10:59:00,490,,487,,470,,485,,,,,488,484</t>
  </si>
  <si>
    <t>2025-05-05 10:59:00,5800,,5700,,5600,,5650,,,,,5700,5600</t>
  </si>
  <si>
    <t>2025-05-05 10:59:00,20000,,20100,,19475,,19950,,,,,20100,19675</t>
  </si>
  <si>
    <t>2025-05-05 10:59:00,451385949.824088,13120005262.0312,-1625.16625258799,-4156,-1735.3072795031,-5326.01,-459.386274937137,-1795.8</t>
  </si>
  <si>
    <t>2025-05-05 10:59:00,963444474.884591,2071645666.27313,-439.944444444444,-641,-283.176388888889,-518.98,-26.155993136955,-202.92</t>
  </si>
  <si>
    <t>2025-05-05 10:59:00,269985615.963581,204291468.386911,,-609,,-3513.52,-2.89485333620153,-171.64</t>
  </si>
  <si>
    <t>2025-05-05 10:59:00,22477444.0319058,7388.4968645226,-1.76918719211823,0,-80.5135349753696,-0.0800000000000001,-0.00418143538162592,-0.03</t>
  </si>
  <si>
    <t>2025-05-05 11:00:00,575,,565,,575,,562.5,,,,,565,560</t>
  </si>
  <si>
    <t>2025-05-05 11:00:00,490,,487,,470,,485,,,,,488,484</t>
  </si>
  <si>
    <t>2025-05-05 11:00:00,5800,,5700,,5600,,5650,,,,,5700,5600</t>
  </si>
  <si>
    <t>2025-05-05 11:00:00,20000,,20100,,19475,,19950,,,,,20100,19675</t>
  </si>
  <si>
    <t>2025-05-05 11:00:00,430734913.166857,13237699038.6855,494.352380952381,369,1242.91797619048,1161.35,10.732107560942,547.21</t>
  </si>
  <si>
    <t>2025-05-05 11:00:00,978643388.638048,2027085081.23626,-355.333333333333,85,-487.390833333333,172.74,45.6188732694195,91.88</t>
  </si>
  <si>
    <t>2025-05-05 11:00:00,269922487.04586,204147938.621558,,31,,-1369.48,-0.672530883699017,-30.58</t>
  </si>
  <si>
    <t>2025-05-05 11:00:00,22816895.922485,7034.83965187642,-11.5375939849624,3,-519.945481203007,-514.32,9.20108555024892E-05,-2.63</t>
  </si>
  <si>
    <t>2025-05-05 11:01:00,575,,565,,575,,562.5,,,,,565,560</t>
  </si>
  <si>
    <t>2025-05-05 11:01:00,490,,487,,470,,485,,,,,488,484</t>
  </si>
  <si>
    <t>2025-05-05 11:01:00,5800,,5700,,5600,,5650,,,,,5700,5600</t>
  </si>
  <si>
    <t>2025-05-05 11:01:00,20000,,20100,,19475,,19950,,,,,20100,19675</t>
  </si>
  <si>
    <t>2025-05-05 11:01:00,476576188.149329,13977798008.0216,686.597546897564,-3349,-374.326186147153,-4974.48,-42.4998891379658,-2188.35</t>
  </si>
  <si>
    <t>2025-05-05 11:01:00,958645802.045946,2080955071.40312,-2930.3,-1746,-3088.14657142857,-1596.46,19.8528844066449,-659.37</t>
  </si>
  <si>
    <t>2025-05-05 11:01:00,274084273.480148,212192847.800841,,29,,-3280.32,-5.90014842371588,-66.92</t>
  </si>
  <si>
    <t>2025-05-05 11:01:00,22570675.9688673,11595.8456677548,-0.814926739926731,-8,-46.8813452380949,-287.31,-0.00941621079105588,-3.35</t>
  </si>
  <si>
    <t>2025-05-05 11:02:00,575,,565,,575,,562.5,,565,,,565,560</t>
  </si>
  <si>
    <t>2025-05-05 11:02:00,490,,487,,470,,485,,,,,488,484</t>
  </si>
  <si>
    <t>2025-05-05 11:02:00,5800,,5700,,5600,,5650,,5670,,,5700,5600</t>
  </si>
  <si>
    <t>2025-05-05 11:02:00,20000,,20100,,19475,,19950,,,,,20100,19675</t>
  </si>
  <si>
    <t>2025-05-05 11:02:00,589440745.821385,15965377262.4152,-8553.5765873016,-26318,-6155.10642857144,-25930.46,-1523.81533556584,-11504.72</t>
  </si>
  <si>
    <t>2025-05-05 11:02:00,1004254318.42264,2460419788.80263,-1043.23593406593,-1215,-630.530868131869,-2502.53,178.983428220901,-841.53</t>
  </si>
  <si>
    <t>2025-05-05 11:02:00,276817304.28182,235160635.73245,,118,,-14976.81,3.05788867809723,-587.29</t>
  </si>
  <si>
    <t>2025-05-05 11:02:00,23543495.0493535,81617.5630247745,-29.0978438228438,-21,-1091.9297488345,-729.53,0.0122132717019019,-6.2</t>
  </si>
  <si>
    <t>2025-05-05 11:03:00,575,,565,,575,,562.5,,,,,565,560</t>
  </si>
  <si>
    <t>2025-05-05 11:03:00,490,,488,,470,,485,,,,,488,484</t>
  </si>
  <si>
    <t>2025-05-05 11:03:00,5800,,5700,,5600,,5650,,,,,5700,5600</t>
  </si>
  <si>
    <t>2025-05-05 11:03:00,20000,,20100,,19475,,19950,,,,,20100,19675</t>
  </si>
  <si>
    <t>2025-05-05 11:03:00,625298092.262698,15933307879.313,7346.34761407176,10854,11486.1416346221,13723.61,1491.44608528412,5728.68</t>
  </si>
  <si>
    <t>2025-05-05 11:03:00,1027820009.79729,2334969583.63122,1314.15312407899,9378,2034.41771396994,2029.55,-689.970286901414,1373.11</t>
  </si>
  <si>
    <t>2025-05-05 11:03:00,275790072.85763,246068045.49305,,-1096,,-4247.79,-6.55707325762659,-312.85</t>
  </si>
  <si>
    <t>2025-05-05 11:03:00,24092712.0858046,125582.056922723,7.51197802197802,7,-34.0028326007327,-156.66,0.029918021963219,-1.31</t>
  </si>
  <si>
    <t>2025-05-05 11:04:00,575,,565,,575,,562.5,,565,,,565,560</t>
  </si>
  <si>
    <t>2025-05-05 11:04:00,490,,487,,470,,485,,487,,,488,484</t>
  </si>
  <si>
    <t>2025-05-05 11:04:00,5800,,5700,,5600,,5650,,,,,5700,5600</t>
  </si>
  <si>
    <t>2025-05-05 11:04:00,20000,,20100,,19475,,19950,,,,,20100,19675</t>
  </si>
  <si>
    <t>2025-05-05 11:04:00,556714127.191783,15229753477.0888,4877.31817042607,5000,1463.11050000001,-2016.02,-105.343856810863,-417.05</t>
  </si>
  <si>
    <t>2025-05-05 11:04:00,1021113523.89902,2278950053.70993,-1126.16665445665,-2424,-762.35928144078,-2428.26,-91.5020996923721,-1022.06</t>
  </si>
  <si>
    <t>2025-05-05 11:04:00,274712870.578912,237766413.62508,,54,,-1795.5,-1.65410214711267,7.84</t>
  </si>
  <si>
    <t>2025-05-05 11:04:00,23937793.2505392,110963.763091825,2.43621294261292,3,95.0606721269834,17.35,0.0438575344253092,1.1</t>
  </si>
  <si>
    <t>2025-05-05 11:06:00,575,,565,,575,,562.5,,,,,565,560</t>
  </si>
  <si>
    <t>2025-05-05 11:06:00,490,,487,,470,,485,,,,,488,484</t>
  </si>
  <si>
    <t>2025-05-05 11:06:00,5800,,5700,,5600,,5650,,,,,5700,5600</t>
  </si>
  <si>
    <t>2025-05-05 11:06:00,20000,,20100,,19475,,19950,,,,,20100,19675</t>
  </si>
  <si>
    <t>2025-05-05 11:06:00,614697074.194432,16236703272.0322,5356.41904761905,6255,4196.57404761905,5137.12,792.134564870134,2547.21</t>
  </si>
  <si>
    <t>2025-05-05 11:06:00,1018801433.2279,2660077138.77918,,1968,,1496.03,-30.7061288147641,749.85</t>
  </si>
  <si>
    <t>2025-05-05 11:06:00,276739669.611724,250924341.547537,,32,,980.02,-0.525296204561045,81.31</t>
  </si>
  <si>
    <t>2025-05-05 11:06:00,25145139.6382783,184367.775208137,-5.67346357346358,-15,-200.646283272283,-173.52,-0.00405726731311902,-2.51</t>
  </si>
  <si>
    <t>2025-05-05 11:21:00,575,,565,,575,,562.5,,,566,,565,560</t>
  </si>
  <si>
    <t>2025-05-05 11:21:00,490,,488,,470,,485,,,,,488,484</t>
  </si>
  <si>
    <t>2025-05-05 11:21:00,5800,,5700,,5600,,5650,5670,,,,5700,5600</t>
  </si>
  <si>
    <t>2025-05-05 11:21:00,20000,,20100,,19475,,19950,,,,,20100,19675</t>
  </si>
  <si>
    <t>2025-05-05 11:21:00,598329831.15778,19080887545.3016,-67266.9883782884,-110044,-59417.2142766123,-92503.43,-5328.66135251219,-44367.46</t>
  </si>
  <si>
    <t>2025-05-05 11:21:00,1053355185.67692,3315251270.57676,-29533.3182212706,-40589,-9777.56695433718,-28778.12,1120.69200194382,-13394.14</t>
  </si>
  <si>
    <t>2025-05-05 11:21:00,275995067.372158,264619147.541521,,-18916,,-121531.28,49.4668308237744,-5479.38</t>
  </si>
  <si>
    <t>2025-05-05 11:21:00,25420100.6623404,313948.865331705,-10.2462765601278,-24,756.685557283982,-145.28,0.119855713478153,0.780000000000002</t>
  </si>
  <si>
    <t>2025-05-05 11:22:00,575,,565,,575,,562.5,,,,,565,560</t>
  </si>
  <si>
    <t>2025-05-05 11:22:00,490,,488,,470,,485,,488,,,488,484</t>
  </si>
  <si>
    <t>2025-05-05 11:22:00,5800,,5700,,5600,,5650,,,,,5700,5600</t>
  </si>
  <si>
    <t>2025-05-05 11:22:00,20000,,20100,,19475,,19950,,,,,20100,19675</t>
  </si>
  <si>
    <t>2025-05-05 11:22:00,609926828.304749,19532216155.5082,-2493.03295985061,-3969,-1728.22448646125,-3799.1,98.6056860323258,-1883.67</t>
  </si>
  <si>
    <t>2025-05-05 11:22:00,1064131228.13107,3390797175.42709,-595.423863205757,-1501,-251.303282019701,-2355.79,-59.5972698474795,-934.56</t>
  </si>
  <si>
    <t>2025-05-05 11:22:00,277590908.563914,276287889.672285,,-222,,-1170.35,3.27052819879921,-71.09</t>
  </si>
  <si>
    <t>2025-05-05 11:22:00,25586005.5411621,333337.635701664,17.552380952381,14,479.245333333334,380.02,0.0366966785317962,5.24</t>
  </si>
  <si>
    <t>2025-05-05 11:23:00,575,,565,,575,,562.5,,,,,565,560</t>
  </si>
  <si>
    <t>2025-05-05 11:23:00,490,,488,,470,,485,,,,,488,484</t>
  </si>
  <si>
    <t>2025-05-05 11:23:00,5800,,5700,,5600,,5650,,,,,5700,5600</t>
  </si>
  <si>
    <t>2025-05-05 11:23:00,20000,,20100,,19475,,19950,,,,,20100,19675</t>
  </si>
  <si>
    <t>2025-05-05 11:23:00,600120171.615679,18244057805.5136,-5345.02777777778,-7046,-1500.52125,-3613.58,413.223937898963,-1675.13</t>
  </si>
  <si>
    <t>2025-05-05 11:23:00,1059179366.84134,3243050110.8203,1652.51428571429,2947,2425.64142857143,3390.08,150.694447888594,1432.39</t>
  </si>
  <si>
    <t>2025-05-05 11:23:00,276857654.154405,264805573.206347,,583,,-298.45,-2.60264322287412,28.67</t>
  </si>
  <si>
    <t>2025-05-05 11:23:00,25357928.198278,344203.895760447,4.05815295815299,-19,198.532561327563,-52.71,-0.0379511550036873,-3.16</t>
  </si>
  <si>
    <t>2025-05-05 11:25:00,575,,565,,575,,562.5,,,,,565,560</t>
  </si>
  <si>
    <t>2025-05-05 11:25:00,490,,488,,470,,485,,,,,488,484</t>
  </si>
  <si>
    <t>2025-05-05 11:25:00,5800,,5700,,5600,,5650,,,,,5700,5600</t>
  </si>
  <si>
    <t>2025-05-05 11:25:00,20000,,20100,,19475,,19950,,,,,20100,19675</t>
  </si>
  <si>
    <t>2025-05-05 11:25:00,621194326.500919,18532416411.9732,46.4107142857141,138,-96.1064285714295,26.3899999999997,119.444449803487,30.3399999999997</t>
  </si>
  <si>
    <t>2025-05-05 11:25:00,1060189704.26142,3208280109.88686,36.2826086956522,-232,2.54124223602479,-339.26,-31.6567326076663,-153.68</t>
  </si>
  <si>
    <t>2025-05-05 11:25:00,277590312.025427,270903728.669641,,-72,,-1300.31,-4.76961349659086,-60.3</t>
  </si>
  <si>
    <t>2025-05-05 11:25:00,25248646.7661324,367284.697336386,15.6915584415584,8,590.116774891775,381.75,0.0268599607410109,4.01</t>
  </si>
  <si>
    <t>2025-05-05 11:26:00,575,,565,,575,,562.5,,,,,565,560</t>
  </si>
  <si>
    <t>2025-05-05 11:26:00,490,,488,,470,,485,,,,,488,484</t>
  </si>
  <si>
    <t>2025-05-05 11:26:00,5800,,5700,,5600,,5650,,,,,5700,5600</t>
  </si>
  <si>
    <t>2025-05-05 11:26:00,20000,,20100,,19475,,19950,,,,,20100,19675</t>
  </si>
  <si>
    <t>2025-05-05 11:26:00,565238573.734499,17670997519.8569,-689.359523809523,-984,2062.94790476191,948.03,-356.415234947943,-192.36</t>
  </si>
  <si>
    <t>2025-05-05 11:26:00,1084477226.77591,3099789661.21035,886.879780219781,692,1080.09148901099,575.08,164.972203576148,313.86</t>
  </si>
  <si>
    <t>2025-05-05 11:26:00,274829550.666591,251185329.115054,,325,,474.82,0.926126347926316,32.47</t>
  </si>
  <si>
    <t>2025-05-05 11:26:00,25365018.8497124,335787.096585316,13.9753968253968,11,592.662976190477,396.35,0.0188344851930851,4.28</t>
  </si>
  <si>
    <t>2025-05-05 11:27:00,575,,565,,575,,562.5,,,,,565,560</t>
  </si>
  <si>
    <t>2025-05-05 11:27:00,490,,488,,470,,485,,,,,488,484</t>
  </si>
  <si>
    <t>2025-05-05 11:27:00,5800,,5700,,5600,,5650,,,,,5700,5600</t>
  </si>
  <si>
    <t>2025-05-05 11:27:00,20000,,20100,,19475,,19950,,,,,20100,19675</t>
  </si>
  <si>
    <t>2025-05-05 11:27:00,588930627.85715,17845712134.8809,1766.46666666667,4052,2222.74914285714,3354.64,-121.264469488001,1542.38</t>
  </si>
  <si>
    <t>2025-05-05 11:27:00,1087634583.78504,3123222902.18637,2352.83333333334,2588,1688.89166666667,1890.91,-8.18720127638776,915.08</t>
  </si>
  <si>
    <t>2025-05-05 11:27:00,276340990.715172,265542132.52604,,288,,1633.77,1.42311083954559,100.15</t>
  </si>
  <si>
    <t>2025-05-05 11:27:00,25506100.481407,345939.035842313,0.533333333333332,-1,1.62766666666666,-7.28,-0.00546190176514619,-0.16</t>
  </si>
  <si>
    <t>2025-05-05 11:28:00,575,,565,,575,,562.5,,,,,565,560</t>
  </si>
  <si>
    <t>2025-05-05 11:28:00,490,,488,,470,,485,488,,,,488,484</t>
  </si>
  <si>
    <t>2025-05-05 11:28:00,5800,,5700,,5600,,5650,,,,,5700,5600</t>
  </si>
  <si>
    <t>2025-05-05 11:28:00,20000,,20100,,19475,,19950,,,,,20100,19675</t>
  </si>
  <si>
    <t>2025-05-05 11:28:00,641950778.779399,19785541722.994,897.67803030303,3157,1736.65958333333,1458.69,-130.64243201057,577.79</t>
  </si>
  <si>
    <t>2025-05-05 11:28:00,1079952315.94585,3578842188.13884,1068.94059996011,1815,1740.62629186171,2046.74,4.95841290718307,1030.3</t>
  </si>
  <si>
    <t>2025-05-05 11:28:00,278404435.813469,278339393.578316,,516,,4339.67,2.0910516638819,217.47</t>
  </si>
  <si>
    <t>2025-05-05 11:28:00,25253136.14585,407067.878703246,4.05813492063491,9,77.4445753968253,142.6,0.0155483309512272,2.11</t>
  </si>
  <si>
    <t>2025-05-05 11:29:00,575,,565,,575,,562.5,,,,,565,560</t>
  </si>
  <si>
    <t>2025-05-05 11:29:00,490,,488,,470,,485,488,,,,488,484</t>
  </si>
  <si>
    <t>2025-05-05 11:29:00,5800,,5700,,5600,,5650,,,,,5700,5600</t>
  </si>
  <si>
    <t>2025-05-05 11:29:00,20000,,20100,,19475,,19950,,,,,20100,19675</t>
  </si>
  <si>
    <t>2025-05-05 11:29:00,669103414.485914,20808743773.4188,-1259.17272727273,-3850,-220.842727272734,-9718.87,-363.945167015267,-4053.4</t>
  </si>
  <si>
    <t>2025-05-05 11:29:00,1111084985.87636,3800222983.27,-2497.13913308914,-548,692.87728272086,845.57,294.923812448875,439.98</t>
  </si>
  <si>
    <t>2025-05-05 11:29:00,279665497.827899,291058785.120012,,1040,,6555.24,8.82099040510426,310.08</t>
  </si>
  <si>
    <t>2025-05-05 11:29:00,25607811.513515,443267.41038163,27.5364052614053,27,705.790955377955,594.81,0.0372859728709956,7.93</t>
  </si>
  <si>
    <t>2025-05-05 11:30:00,575,,565,,575,,562.5,,,,,565,560</t>
  </si>
  <si>
    <t>2025-05-05 11:30:00,490,,488,,470,,485,,,,,488,484</t>
  </si>
  <si>
    <t>2025-05-05 11:30:00,5800,,5700,,5600,,5650,,,,,5700,5600</t>
  </si>
  <si>
    <t>2025-05-05 11:30:00,20000,,20100,,19475,,19950,,,,,20100,19675</t>
  </si>
  <si>
    <t>2025-05-05 11:30:00,655634530.409506,19820687656.2783,-729.061111111111,-102,903.022904761904,788.68,459.860258562416,361.1</t>
  </si>
  <si>
    <t>2025-05-05 11:30:00,1097015476.02407,3383114120.97367,4.95386815631537,1421,922.706081604713,1742.85,35.2425420413626,787.58</t>
  </si>
  <si>
    <t>2025-05-05 11:30:00,278373427.356126,276081841.669134,,761,,3348.54,-11.8160406716644,190.81</t>
  </si>
  <si>
    <t>2025-05-05 11:30:00,25680432.5725172,421974.473329731,-0.255039682539678,-4,-6.98099563492056,-61.77,0.000604459442135576,-1.1</t>
  </si>
  <si>
    <t>2025-05-05 11:31:00,575,,565,,575,,562.5,,,,,565,560</t>
  </si>
  <si>
    <t>2025-05-05 11:31:00,490,,488,,470,,485,,,,,488,484</t>
  </si>
  <si>
    <t>2025-05-05 11:31:00,5800,,5700,,5600,,5650,,,,,5700,5600</t>
  </si>
  <si>
    <t>2025-05-05 11:31:00,20000,,20100,,19475,,19950,,,,,20100,19675</t>
  </si>
  <si>
    <t>2025-05-05 11:31:00,612288428.720002,19048387540.0229,-477.134523809524,-773,774.627095238096,611.57,356.467382132622,215.91</t>
  </si>
  <si>
    <t>2025-05-05 11:31:00,1104137588.33589,3319632220.88938,-207.652684729064,-121,-15.2882933497538,19.97,-36.7214781371217,-41.93</t>
  </si>
  <si>
    <t>2025-05-05 11:31:00,277400320.730558,271520336.020227,,907,,2377.44,-8.45486707382429,116.46</t>
  </si>
  <si>
    <t>2025-05-05 11:31:00,25693372.3961667,396679.795068858,-1.90357142857143,2,22.3527738095238,21.23,0.00545958960294851,0.34</t>
  </si>
  <si>
    <t>2025-05-05 11:32:00,575,,565,,575,,562.5,,,,,565,560</t>
  </si>
  <si>
    <t>2025-05-05 11:32:00,490,,488,,470,,485,,,,,488,484</t>
  </si>
  <si>
    <t>2025-05-05 11:32:00,5800,,5700,,5600,,5650,,,,,5700,5600</t>
  </si>
  <si>
    <t>2025-05-05 11:32:00,20000,,20100,,19475,,19950,,,,,20100,19675</t>
  </si>
  <si>
    <t>2025-05-05 11:32:00,550298313.278482,17740010294.6795,-6671.01861471862,-8812,5902.86394660895,-967.980000000001,-75.0917927845296,-1009.69</t>
  </si>
  <si>
    <t>2025-05-05 11:32:00,1058423064.93828,3048078606.94097,183.316743262376,696,772.899555321246,746.73,-31.706999889379,361.97</t>
  </si>
  <si>
    <t>2025-05-05 11:32:00,276186181.879344,243411636.21234,,-983,,-4063.88,9.39419672337314,-211.79</t>
  </si>
  <si>
    <t>2025-05-05 11:32:00,24690540.4951322,303144.057712314,-0.0679365079364967,-18,-33.9206031746027,-189.53,-0.0599057578526852,-3.58</t>
  </si>
  <si>
    <t>2025-05-05 11:33:00,575,,565,,575,,562.5,,,565,,565,560</t>
  </si>
  <si>
    <t>2025-05-05 11:33:00,490,,488,,470,,485,,,487,,488,484</t>
  </si>
  <si>
    <t>2025-05-05 11:33:00,5800,,5700,,5600,,5650,,,,,5700,5600</t>
  </si>
  <si>
    <t>2025-05-05 11:33:00,20000,,20100,,19475,,19950,,,,,20100,19675</t>
  </si>
  <si>
    <t>2025-05-05 11:33:00,558889440.921491,17034376602.9623,10420.9428571429,5200,9826.00314285715,5105.03,-888.315370451625,2487.72</t>
  </si>
  <si>
    <t>2025-05-05 11:33:00,1064699759.95744,2823687142.01404,3733.04800766284,2146,4077.70312643678,1252.1,80.6147987826382,867.47</t>
  </si>
  <si>
    <t>2025-05-05 11:33:00,275984747.573868,240274428.750888,,1773,,5607.18,-15.7524308040597,354.97</t>
  </si>
  <si>
    <t>2025-05-05 11:33:00,24850796.7474234,345842.481922434,152.127106227106,90,-13.0004932844931,-50.76,0.0284665760043844,-0.71</t>
  </si>
  <si>
    <t>2025-05-05 11:34:00,575,,565,,575,,562.5,,,,,565,560</t>
  </si>
  <si>
    <t>2025-05-05 11:34:00,490,,488,,470,,485,,,,,488,484</t>
  </si>
  <si>
    <t>2025-05-05 11:34:00,5800,,5700,,5600,,5650,,,,,5700,5600</t>
  </si>
  <si>
    <t>2025-05-05 11:34:00,20000,,20100,,19475,,19950,,,,,20100,19675</t>
  </si>
  <si>
    <t>2025-05-05 11:34:00,488925555.835925,16122308973.287,5913.15833333332,1732,5955.69841666666,2215.94,-123.292433058367,883.95</t>
  </si>
  <si>
    <t>2025-05-05 11:34:00,1028121131.67889,2332134739.74928,729.009803921569,6692,596.879901960784,1596.12,-346.604754104088,905.76</t>
  </si>
  <si>
    <t>2025-05-05 11:34:00,275008465.499701,227621892.834051,,211,,1381.85,-3.61045622049842,56.8</t>
  </si>
  <si>
    <t>2025-05-05 11:34:00,23813243.2396545,283684.720857544,4.26964285714286,11,24.6635892857143,101.63,-0.00591139625978873,1.71</t>
  </si>
  <si>
    <t>2025-05-05 11:35:00,575,,565,,575,,562.5,,,,,565,560</t>
  </si>
  <si>
    <t>2025-05-05 11:35:00,490,,488,,470,,485,,,,487,488,484</t>
  </si>
  <si>
    <t>2025-05-05 11:35:00,5800,,5700,,5600,,5650,,,,,5700,5600</t>
  </si>
  <si>
    <t>2025-05-05 11:35:00,20000,,20100,,19475,,19950,,,,,20100,19675</t>
  </si>
  <si>
    <t>2025-05-05 11:35:00,543372034.352459,17966289352.7904,1301.81428571429,1553,1098.38961904762,908.56,143.169067128751,501.65</t>
  </si>
  <si>
    <t>2025-05-05 11:35:00,1067971177.50523,2691839294.48031,-2113.10084033613,-2636,-1635.2881092437,-2080.71,131.15847345559,-1010.32</t>
  </si>
  <si>
    <t>2025-05-05 11:35:00,273791483.127511,246172255.810429,,-4,,-1173.01,1.28536638123208,-68.89</t>
  </si>
  <si>
    <t>2025-05-05 11:35:00,24876850.0965408,329586.986673466,-4.81857142857144,-5,-177.230571428571,-167.87,0.00398460917108213,-2.07</t>
  </si>
  <si>
    <t>2025-05-05 11:36:00,575,,565,,575,,562.5,,,,,565,560</t>
  </si>
  <si>
    <t>2025-05-05 11:36:00,490,,488,,470,,485,,,,,488,484</t>
  </si>
  <si>
    <t>2025-05-05 11:36:00,5800,,5700,,5600,,5650,,,,,5700,5600</t>
  </si>
  <si>
    <t>2025-05-05 11:36:00,20000,,20100,,19475,,19950,,,,,20100,19675</t>
  </si>
  <si>
    <t>2025-05-05 11:36:00,531252825.152072,18077183879.6505,806.160606060621,2356,3098.67333333336,4531.92,-191.219695559708,1888.34</t>
  </si>
  <si>
    <t>2025-05-05 11:36:00,1089098472.17589,2815661750.62618,3379.24494100844,2375,2407.53493582743,2018.27,-118.555240399023,765.85</t>
  </si>
  <si>
    <t>2025-05-05 11:36:00,274334428.846872,248398932.764464,,246,,-1452.37,-6.3395375906103,-96.69</t>
  </si>
  <si>
    <t>2025-05-05 11:36:00,25061938.5921774,346992.060036386,20.5845238095238,24,212.419678571429,192.23,0.0282460310040819,3.28</t>
  </si>
  <si>
    <t>2025-05-05 11:37:00,575,,565,,575,,562.5,,,,,565,560</t>
  </si>
  <si>
    <t>2025-05-05 11:37:00,490,,488,,470,,485,,,,,488,484</t>
  </si>
  <si>
    <t>2025-05-05 11:37:00,5800,,5700,,5600,,5650,,,,,5700,5600</t>
  </si>
  <si>
    <t>2025-05-05 11:37:00,20000,,20100,,19475,,19950,,,,,20100,19675</t>
  </si>
  <si>
    <t>2025-05-05 11:37:00,569598343.766018,18661613033.6112,443.675,303,884.017000000001,961.96,136.178597882065,442.65</t>
  </si>
  <si>
    <t>2025-05-05 11:37:00,1074079992.43381,3022162676.66678,250.43724999327,403,746.95818872648,574,-14.3858324302835,325.55</t>
  </si>
  <si>
    <t>2025-05-05 11:37:00,276828633.122441,250031174.694605,,418,,2099.83,-0.573979760534276,127.28</t>
  </si>
  <si>
    <t>2025-05-05 11:37:00,24484684.5235052,371370.845413187,2.83884711779449,-30,35.6926541353384,-133,-0.0593756508340726,-3.03</t>
  </si>
  <si>
    <t>2025-05-05 11:38:00,575,,565,,575,,562.5,,,,,565,560</t>
  </si>
  <si>
    <t>2025-05-05 11:38:00,490,,488,,470,,485,,,,,488,484</t>
  </si>
  <si>
    <t>2025-05-05 11:38:00,5800,,5700,,5600,,5650,,,,,5700,5600</t>
  </si>
  <si>
    <t>2025-05-05 11:38:00,20000,,20100,,19475,,19950,,,,,20100,19675</t>
  </si>
  <si>
    <t>2025-05-05 11:38:00,566274419.230195,18251550864.8307,846.884210526316,242,1766.3987406015,941.57,121.25116442769,389.88</t>
  </si>
  <si>
    <t>2025-05-05 11:38:00,1062239737.92174,3049623036.24795,645.176131180442,492,969.013347016968,715.49,-4.70193602550285,283.76</t>
  </si>
  <si>
    <t>2025-05-05 11:38:00,275314614.917759,251009555.054481,,248,,2319.13,-0.261139235000984,116.34</t>
  </si>
  <si>
    <t>2025-05-05 11:38:00,24833400.0953491,387734.280541255,6.85454545454545,13,38.4726363636363,83.1,0.0212552646405148,1.69</t>
  </si>
  <si>
    <t>2025-05-05 11:39:00,575,,565,,575,,562.5,,,,,565,560</t>
  </si>
  <si>
    <t>2025-05-05 11:39:00,490,,488,,470,,485,,,,,488,484</t>
  </si>
  <si>
    <t>2025-05-05 11:39:00,5800,,5700,,5600,,5650,,,,,5700,5600</t>
  </si>
  <si>
    <t>2025-05-05 11:39:00,20000,,20100,,19475,,19950,,,,,20100,19675</t>
  </si>
  <si>
    <t>2025-05-05 11:39:00,556567305.243804,18921469826.0168,-503.717307692307,-272,-177.844961538461,-421.12,75.6071682356388,-152.61</t>
  </si>
  <si>
    <t>2025-05-05 11:39:00,1073981192.99972,3094586158.38501,309.84927536232,738,463.270028985508,716.62,-39.3082439926773,354.41</t>
  </si>
  <si>
    <t>2025-05-05 11:39:00,275895758.036841,259558886.48489,,-122,,-719.19,-1.95424972393636,-30.29</t>
  </si>
  <si>
    <t>2025-05-05 11:39:00,25236619.7429932,418907.763688342,-3.65238095238095,-10,6.84609523809525,-5.38,0.0148095163724249,-0.02</t>
  </si>
  <si>
    <t>2025-05-05 11:40:00,575,,565,,575,,562.5,,,,,565,560</t>
  </si>
  <si>
    <t>2025-05-05 11:40:00,490,,488,,470,,485,,488,,,488,484</t>
  </si>
  <si>
    <t>2025-05-05 11:40:00,5800,,5700,,5600,,5650,,,,,5700,5600</t>
  </si>
  <si>
    <t>2025-05-05 11:40:00,20000,,20100,,19475,,19950,,,,,20100,19675</t>
  </si>
  <si>
    <t>2025-05-05 11:40:00,657165286.244842,20290846356.0509,-1868.45277777778,-1120,-1173.14094444444,-2285.21,-94.1713666030247,-987.22</t>
  </si>
  <si>
    <t>2025-05-05 11:40:00,1093447503.21007,3391187958.38466,-1063.8380952381,-2804,-865.578380952381,-3048.98,-152.886305099409,-1405.92</t>
  </si>
  <si>
    <t>2025-05-05 11:40:00,280171813.03235,286093348.957694,,-956,,-8545.08,2.65057107280472,-296.32</t>
  </si>
  <si>
    <t>2025-05-05 11:40:00,25582532.4674187,514508.024796445,-1.51666666666666,-11,-14.2124999999998,-203.6,-0.0200083231647505,-3.21</t>
  </si>
  <si>
    <t>2025-05-05 11:41:00,575,,565,,575,,562.5,,,,,565,560</t>
  </si>
  <si>
    <t>2025-05-05 11:41:00,490,,488,,470,,485,488,,,,488,484</t>
  </si>
  <si>
    <t>2025-05-05 11:41:00,5800,,5700,,5600,,5650,,,,,5700,5600</t>
  </si>
  <si>
    <t>2025-05-05 11:41:00,20000,,20100,,19475,,19950,,,,,20100,19675</t>
  </si>
  <si>
    <t>2025-05-05 11:41:00,700610951.912478,20816987042.0183,3495.35119047619,2586,2277.71785714286,1650.07,196.23575841508,889.33</t>
  </si>
  <si>
    <t>2025-05-05 11:41:00,1113006349.75132,3620660886.61628,1039.90624999999,860,1565.57790178571,892.93,142.595325169134,484.96</t>
  </si>
  <si>
    <t>2025-05-05 11:41:00,280809064.299946,301045113.694741,,621,,1939.03,-1.65159742029389,159.7</t>
  </si>
  <si>
    <t>2025-05-05 11:41:00,26396744.2473353,575108.625755551,3.09345238095239,8,83.9627732683985,140.67,0.0108056946579846,2.23</t>
  </si>
  <si>
    <t>2025-05-05 11:42:00,575,,565,,575,,562.5,,,,,565,560</t>
  </si>
  <si>
    <t>2025-05-05 11:42:00,490,,488,,470,,485,,,,,488,484</t>
  </si>
  <si>
    <t>2025-05-05 11:42:00,5800,,5700,,5600,,5650,,,,,5700,5600</t>
  </si>
  <si>
    <t>2025-05-05 11:42:00,20000,,20100,,19475,,19950,,,,,20100,19675</t>
  </si>
  <si>
    <t>2025-05-05 11:42:00,680244523.867961,20271636339.6747,2949.59393939394,499,274.023878787879,-3488.99,513.532405167887,-1114.67</t>
  </si>
  <si>
    <t>2025-05-05 11:42:00,1121972402.84331,3564084795.44759,372.871799814379,-503,819.004387342044,-490.34,152.069173146432,-356.63</t>
  </si>
  <si>
    <t>2025-05-05 11:42:00,280971312.513511,304969245.260383,,480,,17810.1,3.39512699744194,288.51</t>
  </si>
  <si>
    <t>2025-05-05 11:42:00,26482663.6194878,573272.92561944,3.30372294372294,-2,-12.0160359307358,3.83,-0.0124508275647105,-0.06</t>
  </si>
  <si>
    <t>2025-05-05 11:43:00,575,,565,,575,,562.5,,,,,565,560</t>
  </si>
  <si>
    <t>2025-05-05 11:43:00,490,,488,,470,,485,,,,,488,484</t>
  </si>
  <si>
    <t>2025-05-05 11:43:00,5800,,5700,,5600,,5650,,,,,5700,5600</t>
  </si>
  <si>
    <t>2025-05-05 11:43:00,20000,,20100,,19475,,19950,,,,,20100,19675</t>
  </si>
  <si>
    <t>2025-05-05 11:43:00,628656071.617288,20247036506.1084,2367.39718614719,1912,2214.61224386725,2895.65,18.1809701357749,1232.93</t>
  </si>
  <si>
    <t>2025-05-05 11:43:00,1129587373.07955,3342983029.94604,1543.86111111111,1619,1853.91583333333,1839.12,-70.9541241296881,865.86</t>
  </si>
  <si>
    <t>2025-05-05 11:43:00,279660988.674369,295958932.629134,,92,,2270.37,-0.466083434577429,114.09</t>
  </si>
  <si>
    <t>2025-05-05 11:43:00,26394876.9517117,538186.628564292,20.6690276716747,24,417.478138243783,372.54,0.0165139667900723,5.35</t>
  </si>
  <si>
    <t>2025-05-05 11:44:00,575,,565,,575,,562.5,,,,,565,560</t>
  </si>
  <si>
    <t>2025-05-05 11:44:00,490,,488,,470,,485,,,,,488,484</t>
  </si>
  <si>
    <t>2025-05-05 11:44:00,5800,,5700,,5600,,5650,,,,,5700,5600</t>
  </si>
  <si>
    <t>2025-05-05 11:44:00,20000,,20100,,19475,,19950,,,,,20100,19675</t>
  </si>
  <si>
    <t>2025-05-05 11:44:00,652804600.13909,19478130111.8163,331.380952380952,-388,260.617142857143,-330.1,232.923935229491,-211.56</t>
  </si>
  <si>
    <t>2025-05-05 11:44:00,1131169134.89767,3543671325.4577,-60.9229691876758,-30,378.059677871148,232.28,-5.21705106077341,95.32</t>
  </si>
  <si>
    <t>2025-05-05 11:44:00,280140383.516276,299964584.177358,,783,,2326.14,-1.65283830264296,154.03</t>
  </si>
  <si>
    <t>2025-05-05 11:44:00,26009782.5854589,580925.175400849,1.29004329004329,6,-2.39549783549776,15,-0.0157247583579433,0.0499999999999999</t>
  </si>
  <si>
    <t>2025-05-05 11:45:00,575,,565,,575,,562.5,,,,,565,560</t>
  </si>
  <si>
    <t>2025-05-05 11:45:00,490,,488,,470,,485,,,,,488,484</t>
  </si>
  <si>
    <t>2025-05-05 11:45:00,5800,,5700,,5600,,5650,,,,,5700,5600</t>
  </si>
  <si>
    <t>2025-05-05 11:45:00,20000,,20100,,19475,,19950,,,,,20100,19675</t>
  </si>
  <si>
    <t>2025-05-05 11:45:00,629831239.147421,20205977343.2346,-1161.53571428572,-1367,-542.105119047623,-693.4,-57.6167320889416,-441.81</t>
  </si>
  <si>
    <t>2025-05-05 11:45:00,1136310814.53481,3465568304.08961,49.6367564360522,374,165.57539428881,168.78,-112.675016827003,114.98</t>
  </si>
  <si>
    <t>2025-05-05 11:45:00,279539612.746967,295958778.242299,,291,,1117.23,-2.02874238319596,41.53</t>
  </si>
  <si>
    <t>2025-05-05 11:45:00,26214392.2453421,559538.722930809,15.9115729680947,21,529.290871157827,516.9,0.00630658162363705,6.92</t>
  </si>
  <si>
    <t>2025-05-05 11:46:00,575,,565,,575,,562.5,,,,,565,560</t>
  </si>
  <si>
    <t>2025-05-05 11:46:00,490,,488,,470,,485,,,,,488,484</t>
  </si>
  <si>
    <t>2025-05-05 11:46:00,5800,,5700,,5600,,5650,,,,,5700,5600</t>
  </si>
  <si>
    <t>2025-05-05 11:46:00,20000,,20100,,19475,,19950,,,,,20100,19675</t>
  </si>
  <si>
    <t>2025-05-05 11:46:00,619640767.651742,20669484209.1039,-2050.25833333333,-2874,-2013.37333333333,-2493.7,10.1805328606398,-1314.97</t>
  </si>
  <si>
    <t>2025-05-05 11:46:00,1140887350.69061,3475986013.71407,-425.166666666667,-115,-210.385,-370.88,-26.9398090108835,-121.93</t>
  </si>
  <si>
    <t>2025-05-05 11:46:00,279360868.535774,297179091.702598,,-1153,,-3865.14,-0.521987089793905,-245.45</t>
  </si>
  <si>
    <t>2025-05-05 11:46:00,26025686.4457417,547793.836658866,1.05411255411255,1,16.304329004329,5.4,0.00596791785562181,0.15</t>
  </si>
  <si>
    <t>2025-05-05 11:47:00,575,,565,,575,,562.5,,,,,565,560</t>
  </si>
  <si>
    <t>2025-05-05 11:47:00,490,,488,,485,,485,,488,,,488,484</t>
  </si>
  <si>
    <t>2025-05-05 11:47:00,5800,,5700,,5600,,5650,,,,,5700,5600</t>
  </si>
  <si>
    <t>2025-05-05 11:47:00,20000,,20100,,19475,,19950,,,,,20100,19675</t>
  </si>
  <si>
    <t>2025-05-05 11:47:00,674071734.213345,20964827053.3131,-1745.2123015873,-1706,-1276.22178571429,-1607.31,23.8168169155141,-883.75</t>
  </si>
  <si>
    <t>2025-05-05 11:47:00,1159067765.92122,3734424494.621,-694.520521251979,-1592,-319.072364511022,-1713.85,-142.962791652399,-760.95</t>
  </si>
  <si>
    <t>2025-05-05 11:47:00,280489929.414681,301810987.610438,,-461,,6134,-4.87612241449747,-243.45</t>
  </si>
  <si>
    <t>2025-05-05 11:47:00,26102580.0087209,592680.759326118,-4.53333333333332,-4,-62.7207619047616,-27.49,0.00489635271850671,-0.48</t>
  </si>
  <si>
    <t>2025-05-05 11:48:00,575,,565,,575,,562.5,,,,,565,560</t>
  </si>
  <si>
    <t>2025-05-05 11:48:00,490,,488,,470,,485,,,,,488,484</t>
  </si>
  <si>
    <t>2025-05-05 11:48:00,5800,,5700,,5600,,5650,,,,,5700,5600</t>
  </si>
  <si>
    <t>2025-05-05 11:48:00,20000,,20100,,19475,,19950,,,,,20100,19675</t>
  </si>
  <si>
    <t>2025-05-05 11:48:00,669037097.065064,21039246367.4382,-3.07500000000003,-411,-367.11975,-1079.62,-157.145679485202,-484.34</t>
  </si>
  <si>
    <t>2025-05-05 11:48:00,1152922363.02862,3849570078.45736,-513.77777777778,-692,-262.99777777778,-598.68,14.1125588963997,-302.29</t>
  </si>
  <si>
    <t>2025-05-05 11:48:00,280716672.975239,306991409.351561,,-77,,-1274.99,0.12298587331481,-52.27</t>
  </si>
  <si>
    <t>2025-05-05 11:48:00,26341932.9862764,600223.420822335,1.25,1,3.14399999999999,-9.31,-0.00199757339220516,-0.17</t>
  </si>
  <si>
    <t>2025-05-05 11:49:00,575,,565,,575,,562.5,,,,,565,560</t>
  </si>
  <si>
    <t>2025-05-05 11:49:00,490,,488,,485,,485,,,,,488,484</t>
  </si>
  <si>
    <t>2025-05-05 11:49:00,5800,,5700,,5600,,5650,,,,,5700,5600</t>
  </si>
  <si>
    <t>2025-05-05 11:49:00,20000,,20100,,19475,,19950,,,,,20100,19675</t>
  </si>
  <si>
    <t>2025-05-05 11:49:00,678269751.826852,21529723130.8125,-1574.05357142857,-1506,-2577.76357142858,-3470.64,154.833280792035,-913.15</t>
  </si>
  <si>
    <t>2025-05-05 11:49:00,1153706310.50496,3942643320.08814,-426.285714285714,1403,-357.022619047619,-353.43,-79.1092526982696,-117.07</t>
  </si>
  <si>
    <t>2025-05-05 11:49:00,280116798.280177,303147324.258087,,-325,,-2678.37,-2.62492926037713,-107.15</t>
  </si>
  <si>
    <t>2025-05-05 11:49:00,27306870.7022479,657378.83700997,2.43333333333333,-9,-60.7206666666668,-121.95,-0.0170988895031184,-2.14</t>
  </si>
  <si>
    <t>2025-05-05 11:50:00,575,,565,,575,,562.5,,,,,565,560</t>
  </si>
  <si>
    <t>2025-05-05 11:50:00,490,,488,,485,,485,,488,,,488,484</t>
  </si>
  <si>
    <t>2025-05-05 11:50:00,5800,,5700,,5600,,5650,,,,,5700,5600</t>
  </si>
  <si>
    <t>2025-05-05 11:50:00,20000,,20100,,19475,,19950,,,,,20100,19675</t>
  </si>
  <si>
    <t>2025-05-05 11:50:00,723711716.280741,21483902348.0133,-204.596825396826,230,1637.82447619047,742.6,-38.5654762035419,349.17</t>
  </si>
  <si>
    <t>2025-05-05 11:50:00,1171483957.79735,3861720265.96583,-1359.81873015873,-2668,-639.548477777777,-2151.79,-17.3198468378782,-1135.93</t>
  </si>
  <si>
    <t>2025-05-05 11:50:00,281876398.934145,316759153.001853,,-319,,-4793.7,2.25403625954592,-246.38</t>
  </si>
  <si>
    <t>2025-05-05 11:50:00,28392184.9177943,719212.763337309,-1.24004884004883,2,-65.3545811965808,-79.1,-0.00892992802902874,-1.01</t>
  </si>
  <si>
    <t>2025-05-05 11:51:00,575,,565,,575,,562.5,,,,,565,560</t>
  </si>
  <si>
    <t>2025-05-05 11:51:00,490,,488,,470,,485,,488,,,488,484</t>
  </si>
  <si>
    <t>2025-05-05 11:51:00,5800,,5700,,5600,,5650,,,,,5700,5600</t>
  </si>
  <si>
    <t>2025-05-05 11:51:00,20000,,20100,,19475,,19950,,,,,20100,19675</t>
  </si>
  <si>
    <t>2025-05-05 11:51:00,607359796.924059,20051353296.6143,-3283.72039072039,-5754,-1066.99805128206,-2350.73,642.183646102298,-1420.69</t>
  </si>
  <si>
    <t>2025-05-05 11:51:00,1136686948.67333,3470331563.63921,352.515894236482,642,627.738406120023,629.11,-101.96039004845,304.6</t>
  </si>
  <si>
    <t>2025-05-05 11:51:00,277917520.041655,284090134.297292,,-114,,-1052.21,0.869457924686988,-68.34</t>
  </si>
  <si>
    <t>2025-05-05 11:51:00,26219577.0770561,532005.204304059,50.260606060606,21,1860.62655151515,596.71,0.0524086132694756,8.69</t>
  </si>
  <si>
    <t>2025-05-05 11:52:00,575,,565,,575,,562.5,,,,,565,560</t>
  </si>
  <si>
    <t>2025-05-05 11:52:00,490,,488,,470,,485,,,,,488,484</t>
  </si>
  <si>
    <t>2025-05-05 11:52:00,5800,,5700,,5600,,5650,,,,,5700,5600</t>
  </si>
  <si>
    <t>2025-05-05 11:52:00,20000,,20100,,19475,,19950,,,,,20100,19675</t>
  </si>
  <si>
    <t>2025-05-05 11:52:00,681966818.943977,21041729156.2446,3465.14285714286,3606,4508.93380952381,3739.84,-190.591116596703,1877.15</t>
  </si>
  <si>
    <t>2025-05-05 11:52:00,1149222062.26672,3719138712.9145,532.784126984128,1097,1145.01078571429,916.25,61.9169437734119,420.16</t>
  </si>
  <si>
    <t>2025-05-05 11:52:00,280304941.859383,304939448.559347,,746,,5332.69,-0.492789698552766,302.3</t>
  </si>
  <si>
    <t>2025-05-05 11:52:00,26543965.7860365,638182.389335899,12.644126984127,10,571.092065079364,445.86,0.021456612655871,6.07</t>
  </si>
  <si>
    <t>2025-05-05 11:53:00,575,,565,,575,,562.5,,,,,565,560</t>
  </si>
  <si>
    <t>2025-05-05 11:53:00,490,,488,,485,,485,,,,,488,484</t>
  </si>
  <si>
    <t>2025-05-05 11:53:00,5800,,5700,,5600,,5650,,,,,5700,5600</t>
  </si>
  <si>
    <t>2025-05-05 11:53:00,20000,,20100,,19475,,19950,,,,,20100,19675</t>
  </si>
  <si>
    <t>2025-05-05 11:53:00,697671605.411231,21018093920.3883,501.551190476191,1571,323.384083333334,169.1,63.0498922834912,163.11</t>
  </si>
  <si>
    <t>2025-05-05 11:53:00,1141485580.00517,3715206505.51754,555.809523809524,548,638.215238095236,14.95,77.6287939365604,210.6</t>
  </si>
  <si>
    <t>2025-05-05 11:53:00,280293905.404678,303597186.377331,,-150,,-404.52,2.375149817801,-37.03</t>
  </si>
  <si>
    <t>2025-05-05 11:53:00,26682717.6198918,635617.255404763,3.37585176037011,1,211.667565190543,-7.22,-0.0178108462864843,-0.0600000000000001</t>
  </si>
  <si>
    <t>2025-05-05 11:54:00,575,,565,,575,,562.5,,,,,565,560</t>
  </si>
  <si>
    <t>2025-05-05 11:54:00,490,,488,,485,,485,,,,,488,484</t>
  </si>
  <si>
    <t>2025-05-05 11:54:00,5800,,5700,,5600,,5650,,,,,5700,5600</t>
  </si>
  <si>
    <t>2025-05-05 11:54:00,20000,,20100,,19475,,19950,,,,,20100,19675</t>
  </si>
  <si>
    <t>2025-05-05 11:54:00,692247035.130077,20969613102.7818,-141.286363636363,164,131.112924242426,-525.03,-43.4002023655906,-208.65</t>
  </si>
  <si>
    <t>2025-05-05 11:54:00,1145731203.7406,3798312841.79063,-124.884523809524,-580,1.92619047618918,-678.37,23.4593857855655,-286.62</t>
  </si>
  <si>
    <t>2025-05-05 11:54:00,280515962.614528,304795053.074894,,-270,,-2110.56,2.16532967640008,-41.06</t>
  </si>
  <si>
    <t>2025-05-05 11:54:00,26861214.0257238,645097.226662368,-13.0738095238095,-18,-172.048238095238,-225.71,0.0289136182399654,-3.32</t>
  </si>
  <si>
    <t>2025-05-05 11:55:00,575,,565,,575,,562.5,,,,,565,560</t>
  </si>
  <si>
    <t>2025-05-05 11:55:00,490,,488,,485,,485,,,,,488,484</t>
  </si>
  <si>
    <t>2025-05-05 11:55:00,5800,,5700,,5600,,5650,,,,,5700,5600</t>
  </si>
  <si>
    <t>2025-05-05 11:55:00,20000,,20100,,19475,,19950,,,,,20100,19675</t>
  </si>
  <si>
    <t>2025-05-05 11:55:00,684501648.982337,21007901716.1479,-3123.11666666667,-2509,-2149.51016666667,-2686.66,-78.1786310721331,-1322.17</t>
  </si>
  <si>
    <t>2025-05-05 11:55:00,1149351224.68838,3776288657.51919,-1371.51288366806,-1069,-1094.83417692939,-1255.85,72.3939833767644,-522.63</t>
  </si>
  <si>
    <t>2025-05-05 11:55:00,280797298.367643,305282517.924699,,-470,,-1659.37,0.0465205543147115,-110.21</t>
  </si>
  <si>
    <t>2025-05-05 11:55:00,26658613.4848899,653932.805353857,-0.0476190476190447,0,-5.95142857142854,-28.2,-0.0055290639120575,-0.09</t>
  </si>
  <si>
    <t>2025-05-05 11:56:00,575,,565,,575,,562.5,,,,,565,560</t>
  </si>
  <si>
    <t>2025-05-05 11:56:00,490,,488,,485,,485,,,,,488,484</t>
  </si>
  <si>
    <t>2025-05-05 11:56:00,5800,,5700,,5600,,5650,,,,,5700,5600</t>
  </si>
  <si>
    <t>2025-05-05 11:56:00,20000,,20100,,19475,,19950,,,,,20100,19675</t>
  </si>
  <si>
    <t>2025-05-05 11:56:00,648439779.262658,20804940322.9155,-4167.23015873013,-3653,-3258.9025396825,-2454.84,308.171024989565,-1345.65</t>
  </si>
  <si>
    <t>2025-05-05 11:56:00,1149526521.81797,3749225936.94258,-178.041666666667,-129,-117.004166666667,-221.88,60.8711944209597,-84.58</t>
  </si>
  <si>
    <t>2025-05-05 11:56:00,278698142.617004,291779634.248391,,-85,,-1092.02,-3.96748840284521,-73.11</t>
  </si>
  <si>
    <t>2025-05-05 11:56:00,26483711.1773722,627777.141075254,1.71428571428572,1,62.7428571428572,36.6,0.00340299741101759,0.5</t>
  </si>
  <si>
    <t>2025-05-05 11:57:00,575,,565,,575,,562.5,,,,,565,560</t>
  </si>
  <si>
    <t>2025-05-05 11:57:00,490,,488,,470,,485,,,,,488,484</t>
  </si>
  <si>
    <t>2025-05-05 11:57:00,5800,,5700,,5600,,5650,,,,,5700,5600</t>
  </si>
  <si>
    <t>2025-05-05 11:57:00,20000,,20100,,19475,,19950,,,,,20100,19675</t>
  </si>
  <si>
    <t>2025-05-05 11:57:00,634372029.590071,20222015330.3883,-917.085714285714,-2767,-771.656928571429,-2267.34,-5.79303014020966,-1131.14</t>
  </si>
  <si>
    <t>2025-05-05 11:57:00,1129775041.99343,3493929270.39553,-345.919699868273,-51,-20.3098268856479,72.6499999999999,43.3162084111823,-61.47</t>
  </si>
  <si>
    <t>2025-05-05 11:57:00,278033682.944891,280567832.571989,,141,,-903.92,-3.28756500309258,-8.28</t>
  </si>
  <si>
    <t>2025-05-05 11:57:00,25467702.4533898,578927.547323796,-2.20606060606062,-1,-189.762060606061,-278.8,-0.00141629562192498,-2.78</t>
  </si>
  <si>
    <t>2025-05-05 11:58:00,575,,565,,575,,562.5,,,,,565,560</t>
  </si>
  <si>
    <t>2025-05-05 11:58:00,490,,488,,470,,485,,,,,488,484</t>
  </si>
  <si>
    <t>2025-05-05 11:58:00,5800,,5700,,5600,,5650,,,,,5700,5600</t>
  </si>
  <si>
    <t>2025-05-05 11:58:00,20000,,20100,,19475,,19950,,,,,20100,19675</t>
  </si>
  <si>
    <t>2025-05-05 11:58:00,619496856.458598,20398043311.9507,1271.09343711844,2914,2124.16625763126,4248.48,-215.376909600431,1917.06</t>
  </si>
  <si>
    <t>2025-05-05 11:58:00,1130247422.94946,3434842373.42536,1198.125,2328,1666.89125,2372.99,23.2753152687858,1044.94</t>
  </si>
  <si>
    <t>2025-05-05 11:58:00,277575991.852526,281944290.144986,,291,,1902.04,-0.954365362109554,99.21</t>
  </si>
  <si>
    <t>2025-05-05 11:58:00,26243944.931054,567318.365771533,4.41666666666666,18,-8.32750000000004,100.82,-0.0118766570282168,1.72</t>
  </si>
  <si>
    <t>2025-05-05 11:59:00,575,,565,,575,,562.5,,,,,565,560</t>
  </si>
  <si>
    <t>2025-05-05 11:59:00,490,,488,,470,,485,,,,,488,484</t>
  </si>
  <si>
    <t>2025-05-05 11:59:00,5800,,5700,,5600,,5650,,,,,5700,5600</t>
  </si>
  <si>
    <t>2025-05-05 11:59:00,20000,,20100,,19475,,19950,,,,,20100,19675</t>
  </si>
  <si>
    <t>2025-05-05 11:59:00,626174660.186351,20589473127.3859,-540.610714285713,-427,-1043.31525,-1269.44,-202.205247371384,-426.09</t>
  </si>
  <si>
    <t>2025-05-05 11:59:00,1131408672.35787,3558635015.61098,85.0347826086956,368,11.932956521739,191.52,10.1996139373892,115.6</t>
  </si>
  <si>
    <t>2025-05-05 11:59:00,277957150.611832,285340058.97558,,-139,,-1148.18,-4.5998696057718,-72.77</t>
  </si>
  <si>
    <t>2025-05-05 11:59:00,24677156.5456905,582223.636736612,-4.11387362637362,-5,-48.146559065934,-57.75,0.00291929852049027,-0.91</t>
  </si>
  <si>
    <t>2025-05-05 12:01:00,575,,565,,575,,562.5,,,,,565,560</t>
  </si>
  <si>
    <t>2025-05-05 12:01:00,490,,488,,470,,485,,,,487,488,484</t>
  </si>
  <si>
    <t>2025-05-05 12:01:00,5800,,5700,,5600,,5650,,,,,5700,5600</t>
  </si>
  <si>
    <t>2025-05-05 12:01:00,20000,,20100,,19475,,19950,,,,,20100,19675</t>
  </si>
  <si>
    <t>2025-05-05 12:01:00,520486323.622397,19273368720.2567,-2991.24395604396,-1946,844.173326007327,1771.01,959.932962370292,662.7</t>
  </si>
  <si>
    <t>2025-05-05 12:01:00,1110243182.43305,3332902097.56094,-1271.51649114774,-2182,-279.943139270451,-1225.13,90.0946848320418,-706.65</t>
  </si>
  <si>
    <t>2025-05-05 12:01:00,275322151.816917,264296122.082803,,828,,8980.04,-6.05388014111047,485.76</t>
  </si>
  <si>
    <t>2025-05-05 12:01:00,27270911.242061,503958.113955186,6.50645743145742,-17,41.9941976911974,-14.28,0.00426372499466293,-0.23</t>
  </si>
  <si>
    <t>2025-05-05 12:02:00,575,,565,,575,,562.5,,,,,565,560</t>
  </si>
  <si>
    <t>2025-05-05 12:02:00,490,,488,,470,,486,,,,487,488,484</t>
  </si>
  <si>
    <t>2025-05-05 12:02:00,5800,,5700,,5600,,5650,,,,,5700,5600</t>
  </si>
  <si>
    <t>2025-05-05 12:02:00,20000,,20100,,19475,,19950,,,,,20100,19675</t>
  </si>
  <si>
    <t>2025-05-05 12:02:00,414625872.243195,17176014430.9025,-1477.85922015459,-3334,215.403697770958,-1593.8,438.630447164984,-757.76</t>
  </si>
  <si>
    <t>2025-05-05 12:02:00,1049962936.93638,2597785722.42388,-1720.6143336015,-1432,-1339.88838864307,-1069.83,249.562551129581,-573.48</t>
  </si>
  <si>
    <t>2025-05-05 12:02:00,273576977.462276,236129015.514023,,-710,,-3172.85,10.0186478858685,-177.43</t>
  </si>
  <si>
    <t>2025-05-05 12:02:00,23040728.4454002,297001.626909473,1.9802001919649,2,24.6280427807487,30.92,0.00429264404985598,0.47</t>
  </si>
  <si>
    <t>2025-05-05 12:03:00,575,,565,,575,,562.5,,,,,565,560</t>
  </si>
  <si>
    <t>2025-05-05 12:03:00,490,,488,,485,,485,,,,,488,484</t>
  </si>
  <si>
    <t>2025-05-05 12:03:00,5800,,5700,,5600,,5650,,,,,5700,5600</t>
  </si>
  <si>
    <t>2025-05-05 12:03:00,20000,,20100,,19475,,19950,,,,,20100,19675</t>
  </si>
  <si>
    <t>2025-05-05 12:03:00,517243098.529495,19901089685.1931,-4120.86428571429,-5983,-481.574357142856,-1459.45,382.235446645203,-1058.2</t>
  </si>
  <si>
    <t>2025-05-05 12:03:00,1106703040.08814,3354528052.64429,-231.10114379085,-576,224.755629084968,-142.26,-10.7313089076276,-99.79</t>
  </si>
  <si>
    <t>2025-05-05 12:03:00,274887323.649115,261130715.804878,,107,,323,7.03862265951051,-14.68</t>
  </si>
  <si>
    <t>2025-05-05 12:03:00,25755419.4818091,515940.151652488,-4.35335403726709,2,-97.2673132505177,112.82,0.0413036657950029,2.1</t>
  </si>
  <si>
    <t>2025-05-05 12:04:00,575,,565,,575,,562.5,,,,,565,560</t>
  </si>
  <si>
    <t>2025-05-05 12:04:00,490,,488,,470,,485,,,,,488,484</t>
  </si>
  <si>
    <t>2025-05-05 12:04:00,5800,,5700,,5600,,5650,,,,,5700,5600</t>
  </si>
  <si>
    <t>2025-05-05 12:04:00,20000,,20100,,19475,,19950,,,,,20100,19675</t>
  </si>
  <si>
    <t>2025-05-05 12:04:00,544216824.617119,20224559761.0164,-3153.01529581529,-1967,-904.671017316014,539.92,96.8823798227803,275.32</t>
  </si>
  <si>
    <t>2025-05-05 12:04:00,1081074314.41086,3143549913.80634,-3852.19931773879,-1985,-3645.65184697856,-1496.67,32.9683382513369,-727.57</t>
  </si>
  <si>
    <t>2025-05-05 12:04:00,277233961.28608,253665596.540602,,-425,,-3741.72,1.33632189036469,-190.51</t>
  </si>
  <si>
    <t>2025-05-05 12:04:00,24606845.7239676,512365.328624635,6.07261904761906,-7,40.3160952380953,-68.56,0.0330819401583544,-0.68</t>
  </si>
  <si>
    <t>2025-05-05 12:05:00,575,,565,,575,,562.5,,,,,565,560</t>
  </si>
  <si>
    <t>2025-05-05 12:05:00,490,,488,,470,,485,,,,,488,484</t>
  </si>
  <si>
    <t>2025-05-05 12:05:00,5800,,5700,,5600,,5650,,,,,5700,5600</t>
  </si>
  <si>
    <t>2025-05-05 12:05:00,20000,,20100,,19475,,19950,,,,,20100,19675</t>
  </si>
  <si>
    <t>2025-05-05 12:05:00,505264735.672686,19493337314.3241,1543.22175324675,1171,739.424098484848,450.19,186.034639936197,324.83</t>
  </si>
  <si>
    <t>2025-05-05 12:05:00,1097614190.83636,3233927646.52146,1129.89612305099,1009,645.077288242731,880.83,86.2397977467394,290.64</t>
  </si>
  <si>
    <t>2025-05-05 12:05:00,274860844.666514,260653584.663992,,-300,,-381.19,-0.766864378175014,-41.9</t>
  </si>
  <si>
    <t>2025-05-05 12:05:00,25105527.7364169,519518.073784057,5.01649548708371,0,17.2054777466542,13.5,0.00643245547475922,0.14</t>
  </si>
  <si>
    <t>2025-05-05 12:06:00,575,,565,,575,,562.5,,,,,565,560</t>
  </si>
  <si>
    <t>2025-05-05 12:06:00,490,,488,,470,,485,,,,,488,484</t>
  </si>
  <si>
    <t>2025-05-05 12:06:00,5800,,5700,,5600,,5650,,,,,5700,5600</t>
  </si>
  <si>
    <t>2025-05-05 12:06:00,20000,,20100,,19475,,19950,,,,,20100,19675</t>
  </si>
  <si>
    <t>2025-05-05 12:06:00,522503668.259888,20672274446.1371,3218.7873015873,3129,2945.81412698413,3143.39,38.6597756376176,1532.58</t>
  </si>
  <si>
    <t>2025-05-05 12:06:00,1102263906.41609,3456052090.48176,-1264.19513457557,-620,-649.34926501035,-181.76,106.781394834537,-147.99</t>
  </si>
  <si>
    <t>2025-05-05 12:06:00,275717642.951609,272492787.159814,,256,,-296.44,-1.98987273329059,12.3</t>
  </si>
  <si>
    <t>2025-05-05 12:06:00,25853938.2607757,547646.757717585,3.64285714285714,1,69.4375000000002,63.95,0.00208209445385388,1.26</t>
  </si>
  <si>
    <t>2025-05-05 12:07:00,575,,565,,575,,562.5,,,,,565,560</t>
  </si>
  <si>
    <t>2025-05-05 12:07:00,490,,488,,470,,485,,,,,488,484</t>
  </si>
  <si>
    <t>2025-05-05 12:07:00,5800,,5700,,5600,,5650,,,,,5700,5600</t>
  </si>
  <si>
    <t>2025-05-05 12:07:00,20000,,20100,,19475,,19950,,,,,20100,19675</t>
  </si>
  <si>
    <t>2025-05-05 12:07:00,488095740.597674,19746486339.6924,-3737.71666666667,-3252,-3235.09366666667,-2223.01,-164.383701194608,-1147.91</t>
  </si>
  <si>
    <t>2025-05-05 12:07:00,1090256580.73666,3070774865.32444,-1593.91957506095,-1515,-942.629895506792,-1477.83,-154.265206188857,-726.8</t>
  </si>
  <si>
    <t>2025-05-05 12:07:00,274019710.259041,256690806.731681,,-838,,-1351.4,3.9172015444899,-98.34</t>
  </si>
  <si>
    <t>2025-05-05 12:07:00,25522091.0334427,488046.351400927,10.8142857142857,6,97.2604285714285,47.94,0.00874014687100408,0.93</t>
  </si>
  <si>
    <t>2025-05-05 12:08:00,575,,565,,575,,562.5,,,,,565,560</t>
  </si>
  <si>
    <t>2025-05-05 12:08:00,490,,488,,470,,485,,,,,488,484</t>
  </si>
  <si>
    <t>2025-05-05 12:08:00,5800,,5700,,5600,,5650,,,,,5700,5600</t>
  </si>
  <si>
    <t>2025-05-05 12:08:00,20000,,20100,,19475,,19950,,,,,20100,19675</t>
  </si>
  <si>
    <t>2025-05-05 12:08:00,490180739.222821,20839913707.6128,176.114285714286,135,509.150428571429,994.63,243.270535085026,426.05</t>
  </si>
  <si>
    <t>2025-05-05 12:08:00,1089380799.62875,3318533573.74396,479.597222222222,628,189.212083333333,197.7,164.440936029784,177.11</t>
  </si>
  <si>
    <t>2025-05-05 12:08:00,274736978.828028,267305057.198747,,27,,182.77,-2.60190662591252,15.92</t>
  </si>
  <si>
    <t>2025-05-05 12:08:00,25807094.7040073,509511.894573906,-5.02367281840965,-15,-56.1023683071314,-127.7,0.00713371651912412,-2.51</t>
  </si>
  <si>
    <t>2025-05-05 12:09:00,575,,565,,575,,562.5,,,,,565,560</t>
  </si>
  <si>
    <t>2025-05-05 12:09:00,490,,488,,470,,485,,,,,488,484</t>
  </si>
  <si>
    <t>2025-05-05 12:09:00,5800,,5700,,5600,,5650,,,,,5700,5600</t>
  </si>
  <si>
    <t>2025-05-05 12:09:00,20000,,20100,,19475,,19950,,,,,20100,19675</t>
  </si>
  <si>
    <t>2025-05-05 12:09:00,522467710.443741,20652695244.1244,5276.65746753247,4165,5443.09222402597,3560.82,172.641494583671,1811.5</t>
  </si>
  <si>
    <t>2025-05-05 12:09:00,1106162757.68313,3431687516.3226,1624.80994397759,1524,1797.37912885154,1347.39,-0.252924148716769,616.05</t>
  </si>
  <si>
    <t>2025-05-05 12:09:00,275832045.268622,278353483.694556,,251,,1570.71,-3.82973821425513,97.06</t>
  </si>
  <si>
    <t>2025-05-05 12:09:00,26235731.3929789,565698.305426524,-9.11587301587302,1,-0.489873015873027,8.6,0.0052895651782721,0.14</t>
  </si>
  <si>
    <t>2025-05-05 12:10:00,575,,565,,575,,562.5,,,,,565,560</t>
  </si>
  <si>
    <t>2025-05-05 12:10:00,490,,488,,470,,485,,,,,488,484</t>
  </si>
  <si>
    <t>2025-05-05 12:10:00,5800,,5700,,5600,,5650,,,,,5700,5600</t>
  </si>
  <si>
    <t>2025-05-05 12:10:00,20000,,20100,,19475,,19950,,,,,20100,19675</t>
  </si>
  <si>
    <t>2025-05-05 12:10:00,545158363.917675,21835430844.5232,-1322.75396825397,-102,-1808.90222222222,-1468.7,-215.903473019185,-653.54</t>
  </si>
  <si>
    <t>2025-05-05 12:10:00,1086401633.64179,3515656012.76929,-1384.18571428571,-1535,-962.702214285714,-1081.82,28.8374280181971,-535.99</t>
  </si>
  <si>
    <t>2025-05-05 12:10:00,276285707.961763,279975650.252603,,-285,,-4047.95,-0.852769018641943,-205.26</t>
  </si>
  <si>
    <t>2025-05-05 12:10:00,26230203.3888549,586138.97006357,34.2040079365079,31,-113.98777936508,-137.01,-0.0384997108146829,-2.06</t>
  </si>
  <si>
    <t>2025-05-05 12:11:00,575,,565,,575,,562.5,,,,,565,560</t>
  </si>
  <si>
    <t>2025-05-05 12:11:00,490,,488,,485,,485,,488,,,488,484</t>
  </si>
  <si>
    <t>2025-05-05 12:11:00,5800,,5700,,5600,,5650,,,,,5700,5600</t>
  </si>
  <si>
    <t>2025-05-05 12:11:00,20000,,20100,,19475,,19950,,,,,20100,19675</t>
  </si>
  <si>
    <t>2025-05-05 12:11:00,564006428.755816,21699731614.31,5209.77718115218,6327,5469.94931193806,5493.91,-78.9364754826131,2935.81</t>
  </si>
  <si>
    <t>2025-05-05 12:11:00,1105141390.47004,3684695876.668,617.271031746032,576,397.111626984127,-346.34,-315.690190381434,-151.6</t>
  </si>
  <si>
    <t>2025-05-05 12:11:00,278155606.660262,295785153.091965,,386,,1583.17,-1.26682474488759,107.23</t>
  </si>
  <si>
    <t>2025-05-05 12:11:00,26212127.1592188,627589.703649652,13.3943708252532,9,783.052005979315,806.44,0.0612845706702295,4.34</t>
  </si>
  <si>
    <t>2025-05-05 12:12:00,575,,565,,575,,562.5,,,,,565,560</t>
  </si>
  <si>
    <t>2025-05-05 12:12:00,490,,488,,470,,485,,,,,488,484</t>
  </si>
  <si>
    <t>2025-05-05 12:12:00,5800,,5700,,5600,,5650,,,,,5700,5600</t>
  </si>
  <si>
    <t>2025-05-05 12:12:00,20000,,20100,,19475,,19950,,,,,20100,19675</t>
  </si>
  <si>
    <t>2025-05-05 12:12:00,543948316.611743,20913692799.2283,-4286.33506493507,-5436,-3336.92032467532,-2581.23,-180.528005581046,-1490.15</t>
  </si>
  <si>
    <t>2025-05-05 12:12:00,1090320562.43672,3352889958.63031,-1273.83862433862,-1231,-964.350026455027,-826.22,37.1577766325277,-472.03</t>
  </si>
  <si>
    <t>2025-05-05 12:12:00,277160839.040474,280905081.769546,,-509,,-607.32,-0.595391680784128,-94.44</t>
  </si>
  <si>
    <t>2025-05-05 12:12:00,26182495.0550658,553523.760303418,-2.32142857142858,23,31.5607857142857,81.6,-0.0212377508290817,1.45</t>
  </si>
  <si>
    <t>2025-05-05 12:13:00,575,,565,,575,,562.5,,,,,565,560</t>
  </si>
  <si>
    <t>2025-05-05 12:13:00,490,,488,,470,,485,,,,,488,484</t>
  </si>
  <si>
    <t>2025-05-05 12:13:00,5800,,5700,,5600,,5650,,,,,5700,5600</t>
  </si>
  <si>
    <t>2025-05-05 12:13:00,20000,,20100,,19475,,19950,,,,,20100,19675</t>
  </si>
  <si>
    <t>2025-05-05 12:13:00,524282932.734858,21079864139.9258,637.933333333333,1476,1033.48466666667,1983.5,102.427167115245,888.86</t>
  </si>
  <si>
    <t>2025-05-05 12:13:00,1078968194.12993,3192049934.29641,-248.14570067117,127,259.416927556382,1025.84,96.2940569118973,130.58</t>
  </si>
  <si>
    <t>2025-05-05 12:13:00,275899534.307689,272585842.687041,,-110,,-1930.75,-6.12104251652652,-72.58</t>
  </si>
  <si>
    <t>2025-05-05 12:13:00,25475212.3905402,506835.988276263,-0.928571428571424,-7,-41.7249999999999,-181.75,-0.0143356182075402,-2.76</t>
  </si>
  <si>
    <t>2025-05-05 12:14:00,575,,565,,575,,562.5,,,,565,565,560</t>
  </si>
  <si>
    <t>2025-05-05 12:14:00,490,,488,,470,,485,,,,,488,484</t>
  </si>
  <si>
    <t>2025-05-05 12:14:00,5800,,5700,,5600,,5650,,,,,5700,5600</t>
  </si>
  <si>
    <t>2025-05-05 12:14:00,20000,,20100,,19475,,19950,,,,,20100,19675</t>
  </si>
  <si>
    <t>2025-05-05 12:14:00,515890443.546633,21244118047.1685,-5453.9658008658,-7717,-3047.14502164502,-4831.78,180.4600171819,-2493.26</t>
  </si>
  <si>
    <t>2025-05-05 12:14:00,1066210296.54581,3299612165.74273,-1381.85754475703,-1727,-768.541299232738,-1140.45,29.7271932839438,-530.09</t>
  </si>
  <si>
    <t>2025-05-05 12:14:00,275611724.332039,267515904.578264,,-1154,,-7938.71,0.606180772862021,-445.06</t>
  </si>
  <si>
    <t>2025-05-05 12:14:00,24480428.5292282,494770.84281958,-0.747995337995334,-10,30.9182247086248,-72.95,-0.0105028491095641,-2.39</t>
  </si>
  <si>
    <t>2025-05-05 12:15:00,575,,565,,575,,562.5,,,565,,565,560</t>
  </si>
  <si>
    <t>2025-05-05 12:15:00,490,,488,,470,,486,,,,,488,484</t>
  </si>
  <si>
    <t>2025-05-05 12:15:00,5800,,5700,,5600,,5650,,,,,5700,5600</t>
  </si>
  <si>
    <t>2025-05-05 12:15:00,20000,,20100,,19475,,19950,,,,,20100,19675</t>
  </si>
  <si>
    <t>2025-05-05 12:15:00,397196059.86669,17070856211.7575,-1524.94022366522,2452,-1322.21552886003,3023.24,-791.59342676112,1134.21</t>
  </si>
  <si>
    <t>2025-05-05 12:15:00,1035593433.66058,2453178249.59802,-2341.74253944456,-825,-2106.62657153566,-1192.6,-35.6128604925847,-467.88</t>
  </si>
  <si>
    <t>2025-05-05 12:15:00,272300448.240636,232138380.059031,,-595,,-558.85,-15.9530115046723,-125.45</t>
  </si>
  <si>
    <t>2025-05-05 12:15:00,24365617.4107037,398195.484351565,49.0095238095238,27,605.358333333333,367.05,0.00721462797676084,5.87</t>
  </si>
  <si>
    <t>2025-05-05 12:16:00,575,,565,,575,,562.5,,565,565,,565,560</t>
  </si>
  <si>
    <t>2025-05-05 12:16:00,490,,488,,470,,486,,,,487,488,484</t>
  </si>
  <si>
    <t>2025-05-05 12:16:00,5800,,5700,,5600,,5650,,,,5670,5700,5600</t>
  </si>
  <si>
    <t>2025-05-05 12:16:00,20000,,20100,,19475,,19950,,,,,20100,19675</t>
  </si>
  <si>
    <t>2025-05-05 12:16:00,368120256.495012,18174239735.1069,-2862.63373015873,3852,-2016.58088492063,6525.09,-1406.29569738147,3283.24</t>
  </si>
  <si>
    <t>2025-05-05 12:16:00,1046249715.62139,2928807274.75384,-1142.08297258297,469,-1211.91742063492,-163.39,478.651129874841,10.2600000000001</t>
  </si>
  <si>
    <t>2025-05-05 12:16:00,269806787.638242,214604268.270584,,-2457,,-13509.28,-15.0089523732225,-759.64</t>
  </si>
  <si>
    <t>2025-05-05 12:16:00,24086163.0433741,387893.845113439,-43.2326984126984,-10,-1395.21778095238,-374.82,0.0820517253228857,-4.61</t>
  </si>
  <si>
    <t>2025-05-05 12:17:00,575,,565,,575,,562.5,,,565,,565,560</t>
  </si>
  <si>
    <t>2025-05-05 12:17:00,490,,488,,470,,485,,,,,488,484</t>
  </si>
  <si>
    <t>2025-05-05 12:17:00,5800,,5700,,5600,,5650,,,,,5700,5600</t>
  </si>
  <si>
    <t>2025-05-05 12:17:00,20000,,20100,,19475,,19950,,,,,20100,19675</t>
  </si>
  <si>
    <t>2025-05-05 12:17:00,461660398.685307,19521982346.4228,2817.5373015873,7652,255.767396825394,3486.11,212.662202643368,2233.04</t>
  </si>
  <si>
    <t>2025-05-05 12:17:00,1047099409.44161,3628383297.18953,2126.28714285714,2486,1653.23037142857,1546.53,145.166405423206,958.48</t>
  </si>
  <si>
    <t>2025-05-05 12:17:00,274502740.505397,253979480.005647,,927,,4042.68,4.25823785266887,331.91</t>
  </si>
  <si>
    <t>2025-05-05 12:17:00,24732994.3743716,547550.527987369,-85.7460200746965,-69,-549.348202964519,-455.55,0.0868740023585615,-7.98</t>
  </si>
  <si>
    <t>2025-05-05 12:18:00,575,,565,,575,,562.5,,,,,565,560</t>
  </si>
  <si>
    <t>2025-05-05 12:18:00,490,,488,,470,,486,,,,,488,484</t>
  </si>
  <si>
    <t>2025-05-05 12:18:00,5800,,5700,,5600,,5650,,,,,5700,5600</t>
  </si>
  <si>
    <t>2025-05-05 12:18:00,20000,,20100,,19475,,19950,,,,,20100,19675</t>
  </si>
  <si>
    <t>2025-05-05 12:18:00,408520746.134786,17494498786.6763,-1189.13441558442,-1733,-389.420231601732,-362.52,401.363933098172,-205.37</t>
  </si>
  <si>
    <t>2025-05-05 12:18:00,1070452999.64541,3045814239.10331,2922.40277777778,1446,2050.89666666666,1200.31,91.5680402573544,560.43</t>
  </si>
  <si>
    <t>2025-05-05 12:18:00,271299767.032902,224067440.795592,,917,,5458.1,-4.00687957463865,316.49</t>
  </si>
  <si>
    <t>2025-05-05 12:18:00,23939991.6897399,406659.209021313,4.5154761904762,5,-1.9517857142854,-93,0.00713783999870758,-0.67</t>
  </si>
  <si>
    <t>2025-05-05 12:19:00,575,,565,,575,,562.5,,,,,565,560</t>
  </si>
  <si>
    <t>2025-05-05 12:19:00,490,,488,,470,,486,,,,487,488,484</t>
  </si>
  <si>
    <t>2025-05-05 12:19:00,5800,,5700,,5600,,5650,,,,,5700,5600</t>
  </si>
  <si>
    <t>2025-05-05 12:19:00,20000,,20100,,19475,,19950,,,,,20100,19675</t>
  </si>
  <si>
    <t>2025-05-05 12:19:00,423053450.676269,18269600945.1054,-1208.65238095238,-512,-932.854714285714,-341.77,314.775960933697,-39.1800000000001</t>
  </si>
  <si>
    <t>2025-05-05 12:19:00,1061760280.47017,3230021263.49643,-1809.99000000002,-242,-1512.40930000001,-201.52,277.239961012895,-126.3</t>
  </si>
  <si>
    <t>2025-05-05 12:19:00,271713301.335724,233862229.39653,,864,,4526.13,0.261714627337627,276.99</t>
  </si>
  <si>
    <t>2025-05-05 12:19:00,24058334.1142395,450924.935619362,1.81666666666666,0,-52.7103333333337,-29.93,0.0210194385436039,-0.18</t>
  </si>
  <si>
    <t>2025-05-05 12:20:00,575,,565,,575,,562.5,,,,,565,560</t>
  </si>
  <si>
    <t>2025-05-05 12:20:00,490,,488,,470,,486,,,,,488,484</t>
  </si>
  <si>
    <t>2025-05-05 12:20:00,5800,,5700,,5600,,5650,,,,,5700,5600</t>
  </si>
  <si>
    <t>2025-05-05 12:20:00,20000,,20100,,19475,,19950,,,,,20100,19675</t>
  </si>
  <si>
    <t>2025-05-05 12:20:00,424213263.696566,18860191508.0023,-1224.8373015873,594,-1485.80865079365,-1488.38,192.731491255772,-621.36</t>
  </si>
  <si>
    <t>2025-05-05 12:20:00,1048988717.50106,3358703211.0973,1728.025,1168,1115.1805,613.84,117.421927558937,440.32</t>
  </si>
  <si>
    <t>2025-05-05 12:20:00,272476321.388702,240243526.827304,,352,,980.81,0.0476592722121067,74.88</t>
  </si>
  <si>
    <t>2025-05-05 12:20:00,25199296.7661966,539964.321120911,-0.412698412698414,-1,4.03492063492062,-1.1,0.000581680959303985,-0.02</t>
  </si>
  <si>
    <t>2025-05-05 12:21:00,575,,565,,575,,562.5,,,,,565,560</t>
  </si>
  <si>
    <t>2025-05-05 12:21:00,490,,488,,470,,485,,,,,488,484</t>
  </si>
  <si>
    <t>2025-05-05 12:21:00,5800,,5700,,5600,,5650,,,,,5700,5600</t>
  </si>
  <si>
    <t>2025-05-05 12:21:00,20000,,20100,,19475,,19950,,,,,20100,19675</t>
  </si>
  <si>
    <t>2025-05-05 12:21:00,433121844.385282,20198993882.8999,111.771825396825,778,-183.236865079365,237.41,-50.8183811043443,190.84</t>
  </si>
  <si>
    <t>2025-05-05 12:21:00,1053146474.67464,3844704163.59917,454.394047619047,626,239.702630952381,261.97,135.697519345625,220.87</t>
  </si>
  <si>
    <t>2025-05-05 12:21:00,272791213.867683,244040104.894979,,-30,,-175.54,4.00793033259023,2.07</t>
  </si>
  <si>
    <t>2025-05-05 12:21:00,25271758.646987,576775.517533664,-5.86607142857143,-6,-178.346017857143,-155.02,-0.00744983804046731,-2.45</t>
  </si>
  <si>
    <t>2025-05-05 12:22:00,575,,565,,575,,562.5,,,,,565,560</t>
  </si>
  <si>
    <t>2025-05-05 12:22:00,490,,488,,470,,485,,,,,488,484</t>
  </si>
  <si>
    <t>2025-05-05 12:22:00,5800,,5700,,5600,,5650,,,,,5700,5600</t>
  </si>
  <si>
    <t>2025-05-05 12:22:00,20000,,20100,,19475,,19950,,,,,20100,19675</t>
  </si>
  <si>
    <t>2025-05-05 12:22:00,394379459.562619,18656767618.7716,592.057539682538,1005,860.850654761901,1041.14,-3.72446964827375,470.27</t>
  </si>
  <si>
    <t>2025-05-05 12:22:00,1053472491.25462,3745109593.43873,2776.84166666667,2756,2135.31241666667,2044.93,262.056796153506,1111.51</t>
  </si>
  <si>
    <t>2025-05-05 12:22:00,271969111.776377,233991075.939389,,587,,2828.49,-2.0393145275489,165.92</t>
  </si>
  <si>
    <t>2025-05-05 12:22:00,25686713.1548588,585655.101103888,1.39572192513369,1,18.8657754010695,4.1,-0.00373703919868807,0.12</t>
  </si>
  <si>
    <t>2025-05-05 12:23:00,575,,565,,575,,562.5,,,,,565,560</t>
  </si>
  <si>
    <t>2025-05-05 12:23:00,490,,488,,470,,485,,,,,488,484</t>
  </si>
  <si>
    <t>2025-05-05 12:23:00,5800,,5700,,5600,,5650,,,,,5700,5600</t>
  </si>
  <si>
    <t>2025-05-05 12:23:00,20000,,20100,,19475,,19950,,,,,20100,19675</t>
  </si>
  <si>
    <t>2025-05-05 12:23:00,398406515.550602,20707221869.4127,-3185.14404761905,-4485,-3227.9639404762,-3708.93,105.946808013733,-1600.93</t>
  </si>
  <si>
    <t>2025-05-05 12:23:00,1025442670.11474,3766083308.2064,-1685.75445665445,-804,-1496.79878021978,-658.76,-42.469707749391,-385.46</t>
  </si>
  <si>
    <t>2025-05-05 12:23:00,270821240.853363,220150036.086553,,-1505,,-5487.94,5.62481215515018,-444.88</t>
  </si>
  <si>
    <t>2025-05-05 12:23:00,24853469.2098207,535095.409355295,1.35595238095238,2,-0.418857142857205,-27.26,-0.00203191463668966,-0.3</t>
  </si>
  <si>
    <t>2025-05-05 12:24:00,575,,565,,575,,562.5,,,,,565,560</t>
  </si>
  <si>
    <t>2025-05-05 12:24:00,490,,488,,470,,486,,,,,488,484</t>
  </si>
  <si>
    <t>2025-05-05 12:24:00,5800,,5700,,5600,,5650,,,,,5700,5600</t>
  </si>
  <si>
    <t>2025-05-05 12:24:00,20000,,20100,,19475,,19950,,,,,20100,19675</t>
  </si>
  <si>
    <t>2025-05-05 12:24:00,353816845.804945,17746966671.7151,82.583333333334,424,-350.472499999998,235.2,-149.274335676012,27.9</t>
  </si>
  <si>
    <t>2025-05-05 12:24:00,1057469395.66292,3444817715.45934,-96.6666666666669,16,-110.136666666667,-110.72,2.91512699971776,-45.88</t>
  </si>
  <si>
    <t>2025-05-05 12:24:00,270211621.702573,215387120.750053,,175,,712.21,-4.68767975723607,35.12</t>
  </si>
  <si>
    <t>2025-05-05 12:24:00,24760281.8178905,502494.215134318,-0.72488095238095,3,-11.9110214285714,15.26,-0.0195246084850263,0.21</t>
  </si>
  <si>
    <t>2025-05-05 12:25:00,575,,565,,575,,562.5,,,565,,565,560</t>
  </si>
  <si>
    <t>2025-05-05 12:25:00,490,,488,,470,,486,,,,,488,484</t>
  </si>
  <si>
    <t>2025-05-05 12:25:00,5800,,5700,,5600,,5650,,,,,5700,5600</t>
  </si>
  <si>
    <t>2025-05-05 12:25:00,20000,,20100,,19475,,19950,,,,,20100,19675</t>
  </si>
  <si>
    <t>2025-05-05 12:25:00,454337887.016543,19650092942.9561,2292.93253968254,4084,2572.1276984127,2685.06,-392.961731096116,1454.47</t>
  </si>
  <si>
    <t>2025-05-05 12:25:00,1066167682.49329,3567571439.57221,3454.12499999999,2092,2714.66749999999,1779.52,80.5130863055887,917.52</t>
  </si>
  <si>
    <t>2025-05-05 12:25:00,274472263.16025,234307048.198191,,845,,2033.57,-8.80108621481157,155.72</t>
  </si>
  <si>
    <t>2025-05-05 12:25:00,26856148.5814826,607774.34512424,5.73809523809524,1,96.9718095238095,96.08,-0.0132208398893312,1.55</t>
  </si>
  <si>
    <t>2025-05-05 12:26:00,575,,565,,575,,562.5,,,,,565,560</t>
  </si>
  <si>
    <t>2025-05-05 12:26:00,490,,488,,470,,486,,,,487,488,484</t>
  </si>
  <si>
    <t>2025-05-05 12:26:00,5800,,5700,,5600,,5650,,,,,5700,5600</t>
  </si>
  <si>
    <t>2025-05-05 12:26:00,20000,,20100,,19475,,19950,,,,,20100,19675</t>
  </si>
  <si>
    <t>2025-05-05 12:26:00,348265090.514915,17834613568.082,-391.032251082256,-662,-1661.18431565657,-1053.44,-261.646793477114,-287.78</t>
  </si>
  <si>
    <t>2025-05-05 12:26:00,1065930612.90249,3250735776.55165,-894.317867317863,-1455,-701.178337403335,-1033.37,111.603522159809,-558.4</t>
  </si>
  <si>
    <t>2025-05-05 12:26:00,269781625.129263,211796907.414656,,188,,3546.19,3.55714510455085,213.29</t>
  </si>
  <si>
    <t>2025-05-05 12:26:00,24788539.2672971,506291.664486417,-4.19022435897436,-4,14.5638516025639,29.52,0.01595753880958,0.36</t>
  </si>
  <si>
    <t>2025-05-05 12:27:00,575,,565,,575,,562.5,,,,,565,560</t>
  </si>
  <si>
    <t>2025-05-05 12:27:00,490,,488,,470,,486,,488,,,488,484</t>
  </si>
  <si>
    <t>2025-05-05 12:27:00,5800,,5700,,5600,,5650,,,,,5700,5600</t>
  </si>
  <si>
    <t>2025-05-05 12:27:00,20000,,20100,,19475,,19950,,,,,20100,19675</t>
  </si>
  <si>
    <t>2025-05-05 12:27:00,424305895.400016,18854562869.6289,-732.289682539683,-1660,-845.370753968254,-1355.2,421.190617371946,-786.02</t>
  </si>
  <si>
    <t>2025-05-05 12:27:00,1058772113.82303,3615539794.01408,507.436666666666,-295,796.366933333333,166.08,-31.7289233185805,-16</t>
  </si>
  <si>
    <t>2025-05-05 12:27:00,272015042.965194,235083574.000796,,-228,,612.1,2.72500929258985,16.73</t>
  </si>
  <si>
    <t>2025-05-05 12:27:00,25181631.2940225,608061.988287856,-3.86788569853086,-11,-24.7104213635826,-94.14,-0.0202840778156362,-3.18</t>
  </si>
  <si>
    <t>2025-05-05 12:28:00,575,,565,,575,,562.5,,,,,565,560</t>
  </si>
  <si>
    <t>2025-05-05 12:28:00,490,,488,,485,,486,,,,,488,484</t>
  </si>
  <si>
    <t>2025-05-05 12:28:00,5800,,5700,,5600,,5650,,,,,5700,5600</t>
  </si>
  <si>
    <t>2025-05-05 12:28:00,20000,,20100,,19475,,19950,,,,,20100,19675</t>
  </si>
  <si>
    <t>2025-05-05 12:28:00,409638475.97776,19372664758.0788,1088.9880952381,2218,1304.28133333333,2342.34,234.220754956999,1205.9</t>
  </si>
  <si>
    <t>2025-05-05 12:28:00,1094188642.1483,3838774747.84714,-160.316666666667,489,-104.500833333334,375.67,60.6971425318949,141.04</t>
  </si>
  <si>
    <t>2025-05-05 12:28:00,272263341.651422,237977649.320484,,613,,6196.68,2.57157417073103,350.54</t>
  </si>
  <si>
    <t>2025-05-05 12:28:00,25432118.66745,614849.689590303,6.22607118983957,5,470.815589288102,-1110.91,0.0485678348247724,-1.22</t>
  </si>
  <si>
    <t>2025-05-05 12:29:00,575,,565,,575,,562.5,,,,,565,560</t>
  </si>
  <si>
    <t>2025-05-05 12:29:00,490,,488,,470,,486,,,,,488,484</t>
  </si>
  <si>
    <t>2025-05-05 12:29:00,5800,,5700,,5600,,5650,,,,,5700,5600</t>
  </si>
  <si>
    <t>2025-05-05 12:29:00,20000,,20100,,19475,,19950,,,,,20100,19675</t>
  </si>
  <si>
    <t>2025-05-05 12:29:00,392028916.36609,18228795401.9733,372.211111111111,328,22.7466666666655,-91.5099999999999,162.805963008348,-8.37999999999996</t>
  </si>
  <si>
    <t>2025-05-05 12:29:00,1081066671.89245,3629741293.18209,472.063063063063,617,410.352702702702,481,27.8168179732657,272.68</t>
  </si>
  <si>
    <t>2025-05-05 12:29:00,272074690.210297,229286698.086429,,259,,1108.4,-0.65868109069964,78.34</t>
  </si>
  <si>
    <t>2025-05-05 12:29:00,25161941.9250876,625071.877861613,2.00164335664336,-1,87.234377972028,72.44,0.0138425973304528,1.06</t>
  </si>
  <si>
    <t>2025-05-05 12:30:00,575,,565,,575,,562.5,,,,,565,560</t>
  </si>
  <si>
    <t>2025-05-05 12:30:00,490,,488,,485,,485,,,,,488,484</t>
  </si>
  <si>
    <t>2025-05-05 12:30:00,5800,,5700,,5600,,5650,,,,,5700,5600</t>
  </si>
  <si>
    <t>2025-05-05 12:30:00,20000,,20100,,19475,,19950,,,,,20100,19675</t>
  </si>
  <si>
    <t>2025-05-05 12:30:00,440813761.877445,20999931814.241,440.204761904761,1142,-749.883000000002,-221.16,0.397274515474918,101.04</t>
  </si>
  <si>
    <t>2025-05-05 12:30:00,1138498485.23865,4261937367.26708,-1148.44444444444,-1002,-508.245777777778,-391.24,-0.737131597772827,-259.77</t>
  </si>
  <si>
    <t>2025-05-05 12:30:00,276767280.788502,244394558.706562,,-727,,-7472.78,-11.1460000661602,-462.64</t>
  </si>
  <si>
    <t>2025-05-05 12:30:00,25093883.5674963,653488.18479633,-11.7431818181818,-17,-212.567522727272,-265.77,-0.0361870326229393,-4.93</t>
  </si>
  <si>
    <t>2025-05-05 12:31:00,575,,565,,575,,562.5,565,,,,565,560</t>
  </si>
  <si>
    <t>2025-05-05 12:31:00,490,,488,,485,,486,,488,,,488,484</t>
  </si>
  <si>
    <t>2025-05-05 12:31:00,5800,,5700,,5600,,5650,5670,,,,5700,5600</t>
  </si>
  <si>
    <t>2025-05-05 12:31:00,20000,,20100,,19475,,19950,,,,,20100,19675</t>
  </si>
  <si>
    <t>2025-05-05 12:31:00,508221422.597608,20878312710.9555,4896.1373015873,5486,3132.57525396826,2672.64,-530.520556336638,1566.33</t>
  </si>
  <si>
    <t>2025-05-05 12:31:00,1132955036.63506,4284086493.40428,1357.19047619048,803,1638.13793650794,808.63,-333.038994383756,309.89</t>
  </si>
  <si>
    <t>2025-05-05 12:31:00,275657548.410864,260404787.152141,,3049,,10734.74,-1.90053267427095,857.64</t>
  </si>
  <si>
    <t>2025-05-05 12:31:00,26768521.5338701,801421.001304637,-8.54166666666666,-19,-46.1904047619047,-219.11,-0.0319717210632628,-4.51</t>
  </si>
  <si>
    <t>2025-05-05 12:32:00,575,,566,,575,,562.5,566,,,,565,560</t>
  </si>
  <si>
    <t>2025-05-05 12:32:00,490,,488,,485,,486,488,,,,488,484</t>
  </si>
  <si>
    <t>2025-05-05 12:32:00,5800,,5700,,5600,,5650,,5680,,,5700,5600</t>
  </si>
  <si>
    <t>2025-05-05 12:32:00,20000,,20100,,19475,,19975,,,,,20100,19675</t>
  </si>
  <si>
    <t>2025-05-05 12:32:00,600717671.422037,23520952937.0586,1047.06388888888,138,148.922571428555,-3339.37,-683.801109413333,-874.35</t>
  </si>
  <si>
    <t>2025-05-05 12:32:00,1169202320.12501,4759020089.03715,2048.02442344336,5683,2926.06782827771,4359.01,-240.637387022302,2347.66</t>
  </si>
  <si>
    <t>2025-05-05 12:32:00,283211148.280161,322959113.903671,,1062,,5804.1,-8.86147622976853,351.1</t>
  </si>
  <si>
    <t>2025-05-05 12:32:00,29470361.6717678,933509.954514454,-11.0901598401599,-28,-289.063532370408,-920.2,-0.0555402277287636,-14.18</t>
  </si>
  <si>
    <t>2025-05-05 12:33:00,575,,565,,575,,562.5,,,,,565,560</t>
  </si>
  <si>
    <t>2025-05-05 12:33:00,490,,488,,485,,486,,,,,488,484</t>
  </si>
  <si>
    <t>2025-05-05 12:33:00,5800,,5700,,5600,,5650,,,,,5700,5600</t>
  </si>
  <si>
    <t>2025-05-05 12:33:00,20000,,20100,,19475,,19950,,,,,20100,19675</t>
  </si>
  <si>
    <t>2025-05-05 12:33:00,548830688.602677,22762853036.7143,54.4821428571419,557,262.486499999998,-1564.97,396.131167120645,-654.3</t>
  </si>
  <si>
    <t>2025-05-05 12:33:00,1157093461.74792,4314664713.85898,1304.12086078173,1773,2907.89456653491,2419.13,97.3990058287392,999.5</t>
  </si>
  <si>
    <t>2025-05-05 12:33:00,278307231.594881,307289749.922019,,504,,9046.51,6.985920370977,190.86</t>
  </si>
  <si>
    <t>2025-05-05 12:33:00,26485454.7051494,912958.235292707,12.5133766233766,17,294.557634632035,285.24,0.00941045607023176,4.86</t>
  </si>
  <si>
    <t>2025-05-05 12:34:00,575,,565,,575,,562.5,,,,,565,560</t>
  </si>
  <si>
    <t>2025-05-05 12:34:00,490,,488,,485,,486,,,,,488,484</t>
  </si>
  <si>
    <t>2025-05-05 12:34:00,5800,,5680,,5600,,5650,,,,,5700,5600</t>
  </si>
  <si>
    <t>2025-05-05 12:34:00,20000,,20100,,19475,,19950,,,,,20100,19675</t>
  </si>
  <si>
    <t>2025-05-05 12:34:00,567100663.65611,23779433078.6938,3147.74603174603,4368,2233.94422222222,2673.81,293.468564604875,1587.22</t>
  </si>
  <si>
    <t>2025-05-05 12:34:00,1169128812.33285,4470799261.84367,1483.45648926237,1701,1436.82948646125,1447.56,-45.665739355078,651.29</t>
  </si>
  <si>
    <t>2025-05-05 12:34:00,279404643.329049,321814927.938978,,914,,6828.1,-1.47926565208898,267.64</t>
  </si>
  <si>
    <t>2025-05-05 12:34:00,27472406.0313721,903320.066780413,7.7303747740231,7,310.962984181616,242.21,0.0058629486211563,3.57</t>
  </si>
  <si>
    <t>2025-05-05 12:35:00,575,,566,,575,,562.5,,,,,565,560</t>
  </si>
  <si>
    <t>2025-05-05 12:35:00,490,,488,,485,,486,,,,,488,484</t>
  </si>
  <si>
    <t>2025-05-05 12:35:00,5800,,5700,,5600,,5650,,,,,5700,5600</t>
  </si>
  <si>
    <t>2025-05-05 12:35:00,20000,,20100,,19475,,19950,,,,,20100,19675</t>
  </si>
  <si>
    <t>2025-05-05 12:35:00,608817649.989208,24174945938.0891,4159.20238095237,5048,2395.0713095238,2744.04,253.904867897035,1854.5</t>
  </si>
  <si>
    <t>2025-05-05 12:35:00,1148363686.8429,4574635659.3148,-1014.91645021645,-722,-1189.70616017316,-1471,-91.0282377807733,-684.71</t>
  </si>
  <si>
    <t>2025-05-05 12:35:00,280475446.569778,316606088.743125,,-787,,-4806.34,-5.69820237112668,-281.49</t>
  </si>
  <si>
    <t>2025-05-05 12:35:00,27892325.7779945,957884.464038332,7.22600140056025,5,69.4955971288521,-33.37,0.0419257486668878,0.519999999999999</t>
  </si>
  <si>
    <t>2025-05-05 12:36:00,575,,566,,575,,562.5,,,,,565,560</t>
  </si>
  <si>
    <t>2025-05-05 12:36:00,490,,488,,485,,486,,,,,488,484</t>
  </si>
  <si>
    <t>2025-05-05 12:36:00,5800,,5700,,5600,,5650,,,,,5700,5600</t>
  </si>
  <si>
    <t>2025-05-05 12:36:00,20000,,20100,,19475,,19950,,,,,20100,19675</t>
  </si>
  <si>
    <t>2025-05-05 12:36:00,598038720.89747,24385888934.1961,611.088888888889,2550,1097.058,1904.91,69.861581236966,1141.89</t>
  </si>
  <si>
    <t>2025-05-05 12:36:00,1183080122.93859,4730726186.9128,1280.68013468013,1970,1373.04425925926,1370.35,56.8401939263455,669.91</t>
  </si>
  <si>
    <t>2025-05-05 12:36:00,279791176.332548,330948335.267851,,221,,471.41,0.22953987903344,42.79</t>
  </si>
  <si>
    <t>2025-05-05 12:36:00,28377292.1029289,982904.000819839,-2.91944444444445,5,143.737388888889,158.52,0.0138784338120135,2.65</t>
  </si>
  <si>
    <t>2025-05-05 12:37:00,575,,566,,575,,562.5,,,,566,565,560</t>
  </si>
  <si>
    <t>2025-05-05 12:37:00,490,,488,,485,,486,,,,,488,484</t>
  </si>
  <si>
    <t>2025-05-05 12:37:00,5800,,5700,,5600,,5650,,,,,5700,5600</t>
  </si>
  <si>
    <t>2025-05-05 12:37:00,20000,,20100,,19475,,19950,,,,,20100,19675</t>
  </si>
  <si>
    <t>2025-05-05 12:37:00,603483409.037872,23910339634.1514,-4082.03174603175,-3099,-2279.69746031746,-2279.52,835.061422143601,-1582.43</t>
  </si>
  <si>
    <t>2025-05-05 12:37:00,1158246611.88747,4488267985.00882,472.256246626936,745,950.003279794918,1073.38,7.80172423065297,505.95</t>
  </si>
  <si>
    <t>2025-05-05 12:37:00,280576636.23507,334634085.064256,,278,,1112.55,4.20020084201424,62.99</t>
  </si>
  <si>
    <t>2025-05-05 12:37:00,27918205.8924936,963362.327922642,-11.9260317460317,-9,-159.853574603174,-185.66,0.0354727569741109,-3.1</t>
  </si>
  <si>
    <t>2025-05-05 12:38:00,575,,566,,575,,562.5,,,,,565,560</t>
  </si>
  <si>
    <t>2025-05-05 12:38:00,490,,488,,485,,486,,488,,,488,484</t>
  </si>
  <si>
    <t>2025-05-05 12:38:00,5800,,5680,,5600,,5650,,,,,5700,5600</t>
  </si>
  <si>
    <t>2025-05-05 12:38:00,20000,,20100,,19475,,19975,,,,,20100,19675</t>
  </si>
  <si>
    <t>2025-05-05 12:38:00,547238323.091902,23231570650.402,-3024.82142857143,-1808,-39.5028571428569,950.43,679.579399880286,313.73</t>
  </si>
  <si>
    <t>2025-05-05 12:38:00,1140693857.11298,4424241907.87978,499.562501729625,2877,438.422853189428,1971,-492.519441254951,1167.69</t>
  </si>
  <si>
    <t>2025-05-05 12:38:00,278270786.204886,301943284.574359,,-388,,-1465.64,4.31133417352368,-155.89</t>
  </si>
  <si>
    <t>2025-05-05 12:38:00,27428087.0058543,833825.922326588,-4.78814213564213,24,-98.5090022727271,292.05,-0.0208190417295923,2.11</t>
  </si>
  <si>
    <t>2025-05-05 12:39:00,575,,566,,575,,562.5,,,,,565,560</t>
  </si>
  <si>
    <t>2025-05-05 12:39:00,490,,488,,485,,486,,,,,488,484</t>
  </si>
  <si>
    <t>2025-05-05 12:39:00,5800,,5680,,5600,,5650,,,,,5700,5600</t>
  </si>
  <si>
    <t>2025-05-05 12:39:00,20000,,20100,,19475,,19950,,,,,20100,19675</t>
  </si>
  <si>
    <t>2025-05-05 12:39:00,584094253.555931,23975382941.9575,-1324.99673202614,-2388,-506.174071895425,-1779.57,95.9825153603816,-1011.73</t>
  </si>
  <si>
    <t>2025-05-05 12:39:00,1163907299.58415,4627894861.0805,-1129.83333333333,-1340,-803.7875,-951.23,113.340902202047,-517.79</t>
  </si>
  <si>
    <t>2025-05-05 12:39:00,279006649.10024,325644083.529358,,-264,,-296.31,4.05442293252332,4.09</t>
  </si>
  <si>
    <t>2025-05-05 12:39:00,28258697.0096351,922987.342334682,-5.23484848484849,-11,-87.7669177489179,-199.96,-0.00149298413403198,-3.44</t>
  </si>
  <si>
    <t>2025-05-05 12:40:00,575,,566,,575,,562.5,,,,,565,560</t>
  </si>
  <si>
    <t>2025-05-05 12:40:00,490,,488,,485,,486,,,,,488,484</t>
  </si>
  <si>
    <t>2025-05-05 12:40:00,5800,,5680,,5600,,5650,,,,,5700,5600</t>
  </si>
  <si>
    <t>2025-05-05 12:40:00,20000,,20100,,19475,,19950,,,,,20100,19675</t>
  </si>
  <si>
    <t>2025-05-05 12:40:00,580524304.807972,24897737195.3222,239.8,1302,223.56925,593.15,-137.801211319509,394.05</t>
  </si>
  <si>
    <t>2025-05-05 12:40:00,1151779573.80168,4753546920.77273,-248.120098039216,-178,389.487862745098,292.41,76.0626488622339,188.8</t>
  </si>
  <si>
    <t>2025-05-05 12:40:00,279721951.152296,334752865.204599,,209,,-552.41,1.38594481163665,-25.1</t>
  </si>
  <si>
    <t>2025-05-05 12:40:00,28104377.5107181,934199.565423465,-2.36752136752137,-2,-82.7794871794872,-61.2,0.00728946063776485,-0.96</t>
  </si>
  <si>
    <t>2025-05-05 12:42:00,575,,566,,575,,562.5,,,,,565,560</t>
  </si>
  <si>
    <t>2025-05-05 12:42:00,490,,488,,485,,486,,,,,488,484</t>
  </si>
  <si>
    <t>2025-05-05 12:42:00,5800,,5680,,5600,,5650,,,,,5700,5600</t>
  </si>
  <si>
    <t>2025-05-05 12:42:00,20000,,20100,,19475,,19975,,,,,20100,19675</t>
  </si>
  <si>
    <t>2025-05-05 12:42:00,545780607.375235,24111370516.4719,-621.107142857143,-231,-217.700857142858,-714.02,-197.702207521362,-435.4</t>
  </si>
  <si>
    <t>2025-05-05 12:42:00,1144253249.21174,4371284553.91562,-366.5,613,27.7483333333334,505.59,-180.933791928569,320.82</t>
  </si>
  <si>
    <t>2025-05-05 12:42:00,278732042.519927,314865110.767119,,-312,,-1073.48,1.73178523833994,-130.67</t>
  </si>
  <si>
    <t>2025-05-05 12:42:00,27079241.3869904,878272.851679176,-3.57780053280054,-3,-68.0271780885781,-108.93,0.0133208799010036,-1.61</t>
  </si>
  <si>
    <t>2025-05-05 12:43:00,575,,566,,575,,562.5,,,,,565,560</t>
  </si>
  <si>
    <t>2025-05-05 12:43:00,490,,488,,485,,486,,,,,488,484</t>
  </si>
  <si>
    <t>2025-05-05 12:43:00,5800,,5680,,5600,,5650,,,,,5700,5600</t>
  </si>
  <si>
    <t>2025-05-05 12:43:00,20000,,20100,,19475,,19975,,,,,20100,19675</t>
  </si>
  <si>
    <t>2025-05-05 12:43:00,536999291.006683,23383723361.8891,-3302.41599378882,-3217,-2142.56328623189,-2668.7,107.838251563688,-1356.21</t>
  </si>
  <si>
    <t>2025-05-05 12:43:00,1129331801.25437,4497794165.63431,-1688.10861506914,-1161,-2186.29431261721,-1636.95,-119.574960362966,-562.17</t>
  </si>
  <si>
    <t>2025-05-05 12:43:00,278950288.444835,307255237.523537,,-1008,,-3918.22,-3.17413482599598,-295.21</t>
  </si>
  <si>
    <t>2025-05-05 12:43:00,27173664.1151032,876945.325735527,-18.9452380952381,-23,-223.220119047619,-215.05,-0.0361885130221808,-4.81</t>
  </si>
  <si>
    <t>2025-05-05 12:44:00,575,,566,,575,,562.5,,,,,565,560</t>
  </si>
  <si>
    <t>2025-05-05 12:44:00,490,,488,,485,,486,,,,,488,484</t>
  </si>
  <si>
    <t>2025-05-05 12:44:00,5800,,5680,,5600,,5650,,,,,5700,5600</t>
  </si>
  <si>
    <t>2025-05-05 12:44:00,20000,,20100,,19475,,19975,,,,,20100,19675</t>
  </si>
  <si>
    <t>2025-05-05 12:44:00,485460768.604279,23642920117.8967,-1537.71626984127,-1145,-895.371190476189,-853.35,174.022348494223,-601.06</t>
  </si>
  <si>
    <t>2025-05-05 12:44:00,1150502433.01258,4475502421.84216,1299.21494252874,1410,1152.8833908046,723.04,35.5680430143362,474.86</t>
  </si>
  <si>
    <t>2025-05-05 12:44:00,277878333.376954,302370881.927354,,101,,349.55,3.63542694963767,16.96</t>
  </si>
  <si>
    <t>2025-05-05 12:44:00,27342868.660154,849994.953767062,3.26854256854257,11,113.169821067821,223.82,-0.0133673711504478,3.91</t>
  </si>
  <si>
    <t>2025-05-05 12:45:00,575,,566,,575,,562.5,,,,,565,560</t>
  </si>
  <si>
    <t>2025-05-05 12:45:00,490,,488,,485,,486,,,,,488,484</t>
  </si>
  <si>
    <t>2025-05-05 12:45:00,5800,,5680,,5600,,5650,,,,,5700,5600</t>
  </si>
  <si>
    <t>2025-05-05 12:45:00,20000,,20100,,19475,,19975,,,,,20100,19675</t>
  </si>
  <si>
    <t>2025-05-05 12:45:00,483533156.067363,22689343419.4357,-799.321428571429,116,-590.380714285714,-218.67,213.228348499092,-140.65</t>
  </si>
  <si>
    <t>2025-05-05 12:45:00,1132625033.02556,4255425210.91762,-1375.4,-1497,-541.557999999999,-898.49,38.2949506746963,-514.03</t>
  </si>
  <si>
    <t>2025-05-05 12:45:00,277380574.746251,297364264.333281,,-165,,-776.64,6.30406008941724,-84.83</t>
  </si>
  <si>
    <t>2025-05-05 12:45:00,26968075.4280654,821702.399400499,0.130788177339902,-2,65.0386108374385,-60.48,-0.000331586118379036,-1</t>
  </si>
  <si>
    <t>2025-05-05 12:46:00,575,,566,,575,,562.5,,,,,565,560</t>
  </si>
  <si>
    <t>2025-05-05 12:46:00,490,,488,,485,,486,,,,,488,484</t>
  </si>
  <si>
    <t>2025-05-05 12:46:00,5800,,5680,,5600,,5650,,,,,5700,5600</t>
  </si>
  <si>
    <t>2025-05-05 12:46:00,20000,,20100,,19475,,19975,,,,,20100,19675</t>
  </si>
  <si>
    <t>2025-05-05 12:46:00,572502913.861014,24213703494.7146,-1929.59285714286,188,-2166.42778571429,-2592.3,-455.297511930974,-1158</t>
  </si>
  <si>
    <t>2025-05-05 12:46:00,1119705524.06934,4428338263.11519,474.100518711458,169,337.219088091899,-588.07,16.7849532447778,-309.37</t>
  </si>
  <si>
    <t>2025-05-05 12:46:00,282765275.984847,327716284.998562,,-505,,-8871.06,3.38649732663941,-389.96</t>
  </si>
  <si>
    <t>2025-05-05 12:46:00,26121173.563919,883066.237318769,-1.02351190476191,-2,328.481407738096,35.59,-0.0157495252078932,0.33</t>
  </si>
  <si>
    <t>2025-05-05 12:47:00,575,,566,,575,,562.5,,,,,565,560</t>
  </si>
  <si>
    <t>2025-05-05 12:47:00,490,,488,,485,,486,,,,,488,484</t>
  </si>
  <si>
    <t>2025-05-05 12:47:00,5800,,5680,,5600,,5650,,,,,5700,5600</t>
  </si>
  <si>
    <t>2025-05-05 12:47:00,20000,,20100,,19475,,19975,,,,,20100,19675</t>
  </si>
  <si>
    <t>2025-05-05 12:47:00,640957051.270826,25491002575.5008,1513.25555555556,-3302,1223.15475,-7095.1,-1415.18901660164,-3362.95</t>
  </si>
  <si>
    <t>2025-05-05 12:47:00,1146755501.12094,4770653588.06995,1374.99268205119,1392,1085.78462503311,929.46,-67.8655840297001,567.86</t>
  </si>
  <si>
    <t>2025-05-05 12:47:00,282236844.01341,362040076.842561,,2058,,7953.37,12.8950204129917,436.6</t>
  </si>
  <si>
    <t>2025-05-05 12:47:00,27225261.5619873,947546.878975672,3.59161170956946,13,142.660299600428,645.42,-0.0214009139477696,5.44</t>
  </si>
  <si>
    <t>2025-05-05 12:48:00,575,,566,,575,,562.5,,,,,565,560</t>
  </si>
  <si>
    <t>2025-05-05 12:48:00,490,,488,,485,,486,,,,,488,484</t>
  </si>
  <si>
    <t>2025-05-05 12:48:00,5800,,5700,,5600,,5650,,,,,5700,5600</t>
  </si>
  <si>
    <t>2025-05-05 12:48:00,20000,,20100,,19475,,19975,,,,,20100,19675</t>
  </si>
  <si>
    <t>2025-05-05 12:48:00,655793502.937319,26715506069.011,-2046.58333333333,-3206,-616.720833333332,-2033.3,32.4477791015534,-1323.81</t>
  </si>
  <si>
    <t>2025-05-05 12:48:00,1129133036.96184,5104773456.3329,-163.333333333333,259,131.37619047619,106.73,89.513550296311,34.63</t>
  </si>
  <si>
    <t>2025-05-05 12:48:00,285787133.818542,352608451.324303,,-309,,-1886.38,-2.02837617727258,-100.33</t>
  </si>
  <si>
    <t>2025-05-05 12:48:00,26492895.2009782,971270.819087977,-1.35035058225357,-3,-107.24302587338,-140.4,-0.00516317011442769,-1.59</t>
  </si>
  <si>
    <t>2025-05-05 12:49:00,575,,566,,575,,562.5,,566,,,565,560</t>
  </si>
  <si>
    <t>2025-05-05 12:49:00,490,,488,,485,,486,,,,,488,484</t>
  </si>
  <si>
    <t>2025-05-05 12:49:00,5800,,5680,,5600,,5650,,,,,5700,5600</t>
  </si>
  <si>
    <t>2025-05-05 12:49:00,20000,,20100,,19475,,19975,,,,,20100,19675</t>
  </si>
  <si>
    <t>2025-05-05 12:49:00,656223349.769767,27127865791.0071,3343.47064631275,5008,2084.33795055822,402.3,-736.813260395098,370.59</t>
  </si>
  <si>
    <t>2025-05-05 12:49:00,1128945592.99103,5151415858.09331,-452.664580230105,-237,-265.472652387935,-775.97,-35.7324469534092,-516.48</t>
  </si>
  <si>
    <t>2025-05-05 12:49:00,284834444.375283,376053382.984105,,352,,2405.31,-11.8029837394022,214.07</t>
  </si>
  <si>
    <t>2025-05-05 12:49:00,28663939.848562,1041420.7780522,12.3305194805195,14,281.803227272728,250.17,0.0375910194699312,4.84</t>
  </si>
  <si>
    <t>2025-05-05 12:50:00,575,,566,,575,,562.5,,,,,565,560</t>
  </si>
  <si>
    <t>2025-05-05 12:50:00,490,,488,,485,,486,,,,,488,484</t>
  </si>
  <si>
    <t>2025-05-05 12:50:00,5800,,5680,,5600,,5650,,,,,5700,5600</t>
  </si>
  <si>
    <t>2025-05-05 12:50:00,20000,,20100,,19475,,19975,,,,,20100,19675</t>
  </si>
  <si>
    <t>2025-05-05 12:50:00,659371216.225454,26074296320.9668,399.954617604616,34,1336.23034343434,-54.2100000000001,328.551616840272,21.3199999999999</t>
  </si>
  <si>
    <t>2025-05-05 12:50:00,1155717013.15916,4906689426.05572,-221.357326007325,508,-215.996309523809,-320.2,8.97117918919314,-132.66</t>
  </si>
  <si>
    <t>2025-05-05 12:50:00,284188804.987887,370701964.054101,,-38,,367.26,-3.57746964417575,-36.08</t>
  </si>
  <si>
    <t>2025-05-05 12:50:00,28476890.0374081,1017957.01115437,-4.70045662100457,-6,65.6123972602739,62.7,0.0309408995750801,-0.84</t>
  </si>
  <si>
    <t>2025-05-05 12:51:00,575,,566,,575,,562.5,,,,,565,560</t>
  </si>
  <si>
    <t>2025-05-05 12:51:00,490,,488,,485,,486,,,,,488,484</t>
  </si>
  <si>
    <t>2025-05-05 12:51:00,5800,,5680,,5600,,5650,,,,,5700,5600</t>
  </si>
  <si>
    <t>2025-05-05 12:51:00,20000,,20100,,19475,,19975,,,,,20100,19675</t>
  </si>
  <si>
    <t>2025-05-05 12:51:00,700635705.331071,28003975667.7356,6710.6130952381,4495,7641.25213095238,6245.13,1666.4109861299,3421.44</t>
  </si>
  <si>
    <t>2025-05-05 12:51:00,1174562559.04814,5246902644.43967,-1020.05834873916,-1594,-500.406834087656,-1389.54,-91.0029978614082,-833.18</t>
  </si>
  <si>
    <t>2025-05-05 12:51:00,285314264.458249,398161909.607827,,1577,,3320.2,-1.13898215082556,43.28</t>
  </si>
  <si>
    <t>2025-05-05 12:51:00,28195679.209453,1099480.56682911,2.87655844155844,16,135.164501298701,123.99,0.0114151060327734,2.35</t>
  </si>
  <si>
    <t>2025-05-05 12:52:00,575,,566,,575,,562.5,,566,,,565,560</t>
  </si>
  <si>
    <t>2025-05-05 12:52:00,490,,488,,485,,486,,,,,488,484</t>
  </si>
  <si>
    <t>2025-05-05 12:52:00,5800,,5700,,5600,,5650,,,,,5700,5600</t>
  </si>
  <si>
    <t>2025-05-05 12:52:00,20000,,20100,,19475,,19975,,,,,20100,19675</t>
  </si>
  <si>
    <t>2025-05-05 12:52:00,710421138.891426,27059124699.3861,435.714285714285,-3127,833.56869047619,-1683.16,-714.569625826173,-1240.7</t>
  </si>
  <si>
    <t>2025-05-05 12:52:00,1145251003.67245,5393270345.47122,-263.756098104794,-62,151.492516164995,11.89,-12.0948552969835,-6.24000000000002</t>
  </si>
  <si>
    <t>2025-05-05 12:52:00,284549061.6493,390313021.783655,,-70,,-2856.47,1.0082116469027,-98.42</t>
  </si>
  <si>
    <t>2025-05-05 12:52:00,28784981.3274806,1094108.4868907,0.717619047619047,0,8.19830476190475,-8.64,-0.00464186111648789,-0.18</t>
  </si>
  <si>
    <t>2025-05-05 12:53:00,575,,566,,575,,562.5,,566,,566,565,560</t>
  </si>
  <si>
    <t>2025-05-05 12:53:00,490,,488,,485,,486,,,,,488,484</t>
  </si>
  <si>
    <t>2025-05-05 12:53:00,5800,,5680,,5600,,5650,,,,,5700,5600</t>
  </si>
  <si>
    <t>2025-05-05 12:53:00,20000,,20100,,19475,,19975,,,,,20100,19675</t>
  </si>
  <si>
    <t>2025-05-05 12:53:00,632061232.873027,26474187495.0873,-4735.58535775818,-8421,-3081.93815318739,-4918.62,1038.04506398539,-3501.58</t>
  </si>
  <si>
    <t>2025-05-05 12:53:00,1144147370.87336,4894539183.76273,-444.880393640174,238,305.831963794663,649.13,88.589665608209,350.07</t>
  </si>
  <si>
    <t>2025-05-05 12:53:00,281723234.553142,361715279.521836,,-81,,1384.21,2.78031901660292,-72.65</t>
  </si>
  <si>
    <t>2025-05-05 12:53:00,28016006.7179051,1002043.37465354,8.06904761904762,11,53.6528809523809,80.16,0.0237928157567941,2.03</t>
  </si>
  <si>
    <t>2025-05-05 12:54:00,575,,566,,575,,562.5,,,,,565,560</t>
  </si>
  <si>
    <t>2025-05-05 12:54:00,490,,488,,485,,486,,,,,488,484</t>
  </si>
  <si>
    <t>2025-05-05 12:54:00,5800,,5680,,5600,,5650,,,,,5700,5600</t>
  </si>
  <si>
    <t>2025-05-05 12:54:00,20000,,20100,,19475,,19975,,,,,20100,19675</t>
  </si>
  <si>
    <t>2025-05-05 12:54:00,676687584.534809,26527747877.6183,1231.22023809524,4292,841.726369047619,639.48,32.691830616523,499.86</t>
  </si>
  <si>
    <t>2025-05-05 12:54:00,1124088050.65956,4955805891.91682,-122.393162393162,-229,108.512307692308,254.66,-51.5074097196428,103.13</t>
  </si>
  <si>
    <t>2025-05-05 12:54:00,284202394.862447,380561361.291354,,9,,-3223.41,-3.15934085164391,-2.71</t>
  </si>
  <si>
    <t>2025-05-05 12:54:00,28072447.8419478,1038774.67231994,-35.5147588522588,-9,-61.3483228021977,-109.88,0.00247667150327243,-1.26</t>
  </si>
  <si>
    <t>2025-05-05 12:55:00,575,,566,,575,,562.5,,,,,565,560</t>
  </si>
  <si>
    <t>2025-05-05 12:55:00,490,,488,,485,,486,,,,,488,484</t>
  </si>
  <si>
    <t>2025-05-05 12:55:00,5800,,5680,,5600,,5650,,,,,5700,5600</t>
  </si>
  <si>
    <t>2025-05-05 12:55:00,20000,,20100,,19475,,19975,,,,,20100,19675</t>
  </si>
  <si>
    <t>2025-05-05 12:55:00,642991374.606828,26563664409.83,-329.490476190476,-197,-374.087095238096,-897.08,-110.821497716857,-435.19</t>
  </si>
  <si>
    <t>2025-05-05 12:55:00,1158951120.75589,5056460857.69903,-715.670634920635,-721,-321.876468253968,-467.42,87.0762265188887,-274.76</t>
  </si>
  <si>
    <t>2025-05-05 12:55:00,283466939.092073,385818677.894928,,-290,,-2191.89,0.242429895863857,-167.04</t>
  </si>
  <si>
    <t>2025-05-05 12:55:00,27701558.49614,1045093.41828228,0,0,0,0,0,0</t>
  </si>
  <si>
    <t>2025-05-05 12:56:00,575,,566,,575,,562.5,,,,,565,560</t>
  </si>
  <si>
    <t>2025-05-05 12:56:00,490,,488,,485,,486,,,,,488,484</t>
  </si>
  <si>
    <t>2025-05-05 12:56:00,5800,,5680,,5600,,5660,,,,,5700,5600</t>
  </si>
  <si>
    <t>2025-05-05 12:56:00,20000,,20100,,19475,,19975,,,,,20100,19675</t>
  </si>
  <si>
    <t>2025-05-05 12:56:00,645040635.351567,26556435832.1573,938.630952380952,2282,155.01154761905,367.48,-87.17726076448,624.53</t>
  </si>
  <si>
    <t>2025-05-05 12:56:00,1118329404.38378,5092722734.54433,-613.012445887446,-600,-451.054902597403,-440.31,81.2753717784234,-244.55</t>
  </si>
  <si>
    <t>2025-05-05 12:56:00,283342593.084617,362851905.446021,,-111,,-601.15,-0.042557909803968,-32.96</t>
  </si>
  <si>
    <t>2025-05-05 12:56:00,28046533.3373086,1019798.63947625,-1.83333333333333,-3,-30.8333333333333,-38.4,0.0050195645479134,-0.78</t>
  </si>
  <si>
    <t>2025-05-05 12:57:00,575,,566,,575,,562.5,,,,,565,560</t>
  </si>
  <si>
    <t>2025-05-05 12:57:00,490,,488,,485,,486,,,,,488,484</t>
  </si>
  <si>
    <t>2025-05-05 12:57:00,5800,,5680,,5600,,5660,,,,,5700,5600</t>
  </si>
  <si>
    <t>2025-05-05 12:57:00,20000,,20100,,19475,,19975,,,,,20100,19675</t>
  </si>
  <si>
    <t>2025-05-05 12:57:00,644011865.726254,27050207114.032,-1039.88611111111,-805,-265.531999999999,-436.77,-27.4023106727818,-228.97</t>
  </si>
  <si>
    <t>2025-05-05 12:57:00,1093046424.80246,4731587268.14293,-90.3531135531137,108,77.4700732600732,90.64,43.79294594767,43.77</t>
  </si>
  <si>
    <t>2025-05-05 12:57:00,284537530.488375,366200503.606537,,691,,-124.39,-8.03358572840188,14.22</t>
  </si>
  <si>
    <t>2025-05-05 12:57:00,28250712.7940502,1048313.02579478,-7.22078754578754,-9,-150.247913919414,-226.21,0.0235644467878707,-4.36</t>
  </si>
  <si>
    <t>2025-05-05 12:58:00,575,,566,,575,,562.5,,,,,565,560</t>
  </si>
  <si>
    <t>2025-05-05 12:58:00,490,,488,,485,,486,,,,,488,484</t>
  </si>
  <si>
    <t>2025-05-05 12:58:00,5800,,5680,,5600,,5650,,,,,5700,5600</t>
  </si>
  <si>
    <t>2025-05-05 12:58:00,20000,,20100,,19475,,19975,,,,,20100,19675</t>
  </si>
  <si>
    <t>2025-05-05 12:58:00,608971035.728496,27305352057.0456,769.722380952381,1718,1214.19712380952,1664.4,-70.1003934209067,885.35</t>
  </si>
  <si>
    <t>2025-05-05 12:58:00,1120367856.72469,5061356754.5446,-985.16170497413,-549,-311.009604422901,-87.61,100.438812208898,-94.5100000000001</t>
  </si>
  <si>
    <t>2025-05-05 12:58:00,283965197.436768,387672762.437012,,664,,5428.63,-3.43372077590163,307.28</t>
  </si>
  <si>
    <t>2025-05-05 12:58:00,29115336.9385871,1098948.17596945,0.589495798319332,8,42.1656655462186,144.7,-0.0133355081746217,2.59</t>
  </si>
  <si>
    <t>2025-05-05 12:59:00,575,,565,,575,,562.5,,,,,565,560</t>
  </si>
  <si>
    <t>2025-05-05 12:59:00,490,,488,,485,,486,,,,,488,484</t>
  </si>
  <si>
    <t>2025-05-05 12:59:00,5800,,5680,,5600,,5650,,,,,5700,5600</t>
  </si>
  <si>
    <t>2025-05-05 12:59:00,20000,,20100,,19475,,19975,,,,,20100,19675</t>
  </si>
  <si>
    <t>2025-05-05 12:59:00,617402031.116223,27285743179.1358,,-293,,18.44,204.449366475273,50.59</t>
  </si>
  <si>
    <t>2025-05-05 12:59:00,1122216060.03807,4912677065.70999,-4424.86017786561,-2512,-2051.11513669302,-1293.57,346.334604346048,-821.38</t>
  </si>
  <si>
    <t>2025-05-05 12:59:00,283366285.686661,371416741.506396,,-600,,-2014.97,-0.0182927025138471,-192.81</t>
  </si>
  <si>
    <t>2025-05-05 12:59:00,28886037.4084829,1064469.94266461,-6.18443722943724,1,664.084786580084,-0.24,0.00587798550603347,0.05</t>
  </si>
  <si>
    <t>2025-05-05 13:00:00,575,,566,,575,,562.5,,,,,565,560</t>
  </si>
  <si>
    <t>2025-05-05 13:00:00,490,,488,,485,,486,,,,,488,484</t>
  </si>
  <si>
    <t>2025-05-05 13:00:00,5800,,5680,,5600,,5650,,,,,5700,5600</t>
  </si>
  <si>
    <t>2025-05-05 13:00:00,20000,,20100,,19475,,19975,,,,,20100,19675</t>
  </si>
  <si>
    <t>2025-05-05 13:00:00,592971271.528551,27335321806.8363,5347.02658730159,3815,3052.02656349206,1561.49,829.700196257152,1150.89</t>
  </si>
  <si>
    <t>2025-05-05 13:00:00,1130951998.67168,4412171902.12964,1136.90514504652,996,780.701829228243,641.19,-15.7675245867546,484.89</t>
  </si>
  <si>
    <t>2025-05-05 13:00:00,281460796.503549,364501377.279381,,85,,-1573.7,-19.9543292443592,-101.31</t>
  </si>
  <si>
    <t>2025-05-05 13:00:00,28136968.6711291,976800.277004874,-9.33630952380954,-12,-68.1573988095239,-69.31,-0.0254825949292312,-1.89</t>
  </si>
  <si>
    <t>2025-05-05 13:01:00,575,,566,,575,,562.5,566,,,,565,560</t>
  </si>
  <si>
    <t>2025-05-05 13:01:00,490,,488,,485,,486,,,,,488,484</t>
  </si>
  <si>
    <t>2025-05-05 13:01:00,5800,,5680,,5600,,5650,,,,,5700,5600</t>
  </si>
  <si>
    <t>2025-05-05 13:01:00,20000,,20100,,19475,,19975,,,,,20100,19675</t>
  </si>
  <si>
    <t>2025-05-05 13:01:00,583127480.169076,27437082265.098,-202.633333333333,-1567,-288.293666666668,-219.04,377.863560724492,76.8099999999999</t>
  </si>
  <si>
    <t>2025-05-05 13:01:00,1109342224.61827,4838416993.78995,3.96674329501955,-30,53.447742528736,156.63,167.473997853779,121.99</t>
  </si>
  <si>
    <t>2025-05-05 13:01:00,281926732.525777,369284239.318804,,729,,2056.68,-3.45088120560722,118.83</t>
  </si>
  <si>
    <t>2025-05-05 13:01:00,28278505.5528499,1007173.63561345,-45.6392857142857,-6,-688.788928571429,-348.3,-0.00373645922305413,-6.7</t>
  </si>
  <si>
    <t>2025-05-05 13:02:00,575,,566,,575,,562.5,,,,,566,560</t>
  </si>
  <si>
    <t>2025-05-05 13:02:00,490,,488,,485,,486,,,,,488,484</t>
  </si>
  <si>
    <t>2025-05-05 13:02:00,5800,,5680,,5600,,5660,,5680,,,5700,5600</t>
  </si>
  <si>
    <t>2025-05-05 13:02:00,20000,,20100,,19475,,19975,,,,,20100,19675</t>
  </si>
  <si>
    <t>2025-05-05 13:02:00,614100456.043379,28601674681.0996,779.059523809524,144,288.259880952382,-701.19,296.390703476882,-192.24</t>
  </si>
  <si>
    <t>2025-05-05 13:02:00,1127562907.75546,5112963161.28749,-133.357142857143,-33,-89.5121428571433,-101.45,-25.3093376911572,-37.02</t>
  </si>
  <si>
    <t>2025-05-05 13:02:00,286467880.237996,379524130.940822,,-745,,-5692.78,-10.0693515593263,-324.85</t>
  </si>
  <si>
    <t>2025-05-05 13:02:00,28830800.6634095,1046668.12120442,-22.9134920634921,-19,-162.238095238095,-199.4,-0.0195035614975898,-4.81</t>
  </si>
  <si>
    <t>2025-05-05 13:03:00,575,,566,,575,,562.5,,,,,565,560</t>
  </si>
  <si>
    <t>2025-05-05 13:03:00,490,,488,,485,,486,,488,,,488,484</t>
  </si>
  <si>
    <t>2025-05-05 13:03:00,5800,,5680,,5600,,5650,,,,,5700,5600</t>
  </si>
  <si>
    <t>2025-05-05 13:03:00,20000,,20100,,19475,,19975,,,,,20100,19675</t>
  </si>
  <si>
    <t>2025-05-05 13:03:00,629642779.929811,28477640850.9071,-3192.79087301586,-3187,-3099.62408730158,-3487.77,-452.933352612441,-2010</t>
  </si>
  <si>
    <t>2025-05-05 13:03:00,1137365650.91968,5289345125.62585,-624.772283272284,-935,-248.788669108669,-999.63,-149.534185742335,-523.47</t>
  </si>
  <si>
    <t>2025-05-05 13:03:00,284584011.002097,410708494.444537,,-817,,-1122.14,-1.04719492083619,-167.68</t>
  </si>
  <si>
    <t>2025-05-05 13:03:00,28743083.0982486,1112167.95440316,-13.0807359307359,-46,-184.619453463204,-257.69,-0.0650279238414655,-6.69</t>
  </si>
  <si>
    <t>2025-05-05 13:04:00,575,,566,,575,,562.5,566,,,,566,560</t>
  </si>
  <si>
    <t>2025-05-05 13:04:00,490,,488,,485,,486,,488,,,488,484</t>
  </si>
  <si>
    <t>2025-05-05 13:04:00,5800,,5680,,5600,,5660,,,,,5700,5600</t>
  </si>
  <si>
    <t>2025-05-05 13:04:00,20000,,20100,,19475,,19975,,,,,20100,19675</t>
  </si>
  <si>
    <t>2025-05-05 13:04:00,674599659.990272,28290467866.4471,1659.67142857143,2660,2019.57442857143,2842.76,120.004879591515,1872.3</t>
  </si>
  <si>
    <t>2025-05-05 13:04:00,1149706489.69323,5218582771.47421,-169.582010582011,229,-46.844126984128,-1108.12,-452.928818086753,-469.48</t>
  </si>
  <si>
    <t>2025-05-05 13:04:00,285289844.13976,417053822.063502,,742,,3381.83,5.01000827376123,273.5</t>
  </si>
  <si>
    <t>2025-05-05 13:04:00,28688961.4600327,1181253.87011209,-1.81107142857143,-10,-48.5806535714287,-135.33,-0.0156338578415055,-2.98</t>
  </si>
  <si>
    <t>2025-05-05 13:05:00,575,,566,,575,,562.5,,,,,566,560</t>
  </si>
  <si>
    <t>2025-05-05 13:05:00,490,,488,,485,,486,,,,,488,484</t>
  </si>
  <si>
    <t>2025-05-05 13:05:00,5800,,5680,,5600,,5660,,,,,5700,5600</t>
  </si>
  <si>
    <t>2025-05-05 13:05:00,20000,,20100,,19475,,19975,,,,,20100,19675</t>
  </si>
  <si>
    <t>2025-05-05 13:05:00,685359582.918337,28919298921.4307,606.97619047619,1222,522.626190476189,228.49,393.401620370478,262.39</t>
  </si>
  <si>
    <t>2025-05-05 13:05:00,1171150629.70498,5668759488.32157,-1951.6590964591,-1395,-848.440167277167,-849.63,314.293661964887,-580.6</t>
  </si>
  <si>
    <t>2025-05-05 13:05:00,285903611.95867,427679814.475521,,2,,-1306.53,-1.1033291016706,-61.25</t>
  </si>
  <si>
    <t>2025-05-05 13:05:00,29092263.0804791,1222967.55147289,0.532234432234436,-1,-31.079542124542,-70.45,-0.000135555906938335,-1.3</t>
  </si>
  <si>
    <t>2025-05-05 13:06:00,575,,566,,575,,562.5,,566,,,566,560</t>
  </si>
  <si>
    <t>2025-05-05 13:06:00,490,,488,,485,,486,,,,488,488,484</t>
  </si>
  <si>
    <t>2025-05-05 13:06:00,5800,,5680,,5600,,5650,,,,,5700,5600</t>
  </si>
  <si>
    <t>2025-05-05 13:06:00,20000,,20100,,19475,,19975,,,,,20100,19675</t>
  </si>
  <si>
    <t>2025-05-05 13:06:00,662444395.27899,29578453544.6107,-2699.31428571429,-5396,-717.973,-3443.62,-635.658966934697,-2241.11</t>
  </si>
  <si>
    <t>2025-05-05 13:06:00,1161672009.13591,5549840818.64198,-2335.46608447109,-3573,-1202.82505524476,-2378.14,65.1619667279531,-1433.54</t>
  </si>
  <si>
    <t>2025-05-05 13:06:00,285843989.814023,428869897.051708,,-1320,,-5473.81,-4.56333070143264,-445.9</t>
  </si>
  <si>
    <t>2025-05-05 13:06:00,28962390.1594467,1196938.60566914,-40.3559523809524,-17,-143.352083333333,-164.2,0.0249103524452831,-3.88</t>
  </si>
  <si>
    <t>2025-05-05 13:07:00,575,,566,,575,,562.5,,566,,566,566,560</t>
  </si>
  <si>
    <t>2025-05-05 13:07:00,490,,488,,485,,486,,488,,488,488,484</t>
  </si>
  <si>
    <t>2025-05-05 13:07:00,5800,,5680,,5600,,5650,,5680,,,5700,5600</t>
  </si>
  <si>
    <t>2025-05-05 13:07:00,20000,,20100,,19475,,19975,,,,,20100,19675</t>
  </si>
  <si>
    <t>2025-05-05 13:07:00,778488450.525691,30879863266.9342,-28132.5305555555,-15772,-17521.1165555555,-12267.18,270.060716137346,-8130.27</t>
  </si>
  <si>
    <t>2025-05-05 13:07:00,1204011467.06278,5891555509.59357,-4008.10654078564,-5784,-1813.66056350664,-3797.27,37.2206896918587,-2299.84</t>
  </si>
  <si>
    <t>2025-05-05 13:07:00,290125983.473496,491916392.134351,,-870,,-2955.6,-18.1069569922854,-363.38</t>
  </si>
  <si>
    <t>2025-05-05 13:07:00,29187588.5457325,1347324.8985687,-115.495143745144,-92,-367.942020590521,-190.7,0.19282278199417,-5.21</t>
  </si>
  <si>
    <t>2025-05-05 13:08:00,575,,566,,575,,562.5,,,,,567,560</t>
  </si>
  <si>
    <t>2025-05-05 13:08:00,490,,488,,485,,486,,,,488,488,484</t>
  </si>
  <si>
    <t>2025-05-05 13:08:00,5800,,5680,,5600,,5660,,5680,,,5700,5600</t>
  </si>
  <si>
    <t>2025-05-05 13:08:00,20000,,20100,,19475,,19975,,,,,20100,19675</t>
  </si>
  <si>
    <t>2025-05-05 13:08:00,750498330.836294,29670759270.2749,-4889.95714285714,-2338,-3690.31292857143,-3641.18,-744.845457613837,-1933.57</t>
  </si>
  <si>
    <t>2025-05-05 13:08:00,1184566156.00227,5733163903.74811,-7376.82036067381,-6309,-3708.604647034,-4223.4,409.256489466572,-2818.71</t>
  </si>
  <si>
    <t>2025-05-05 13:08:00,288329029.94688,469495311.612924,,-1450,,-9582.73,-18.7709695624174,-719.49</t>
  </si>
  <si>
    <t>2025-05-05 13:08:00,29601072.3619039,1331379.90839749,1.01960109905317,-2,88.0191417106488,118.36,-0.0213767688159861,1.1</t>
  </si>
  <si>
    <t>2025-05-05 13:09:00,575,,566,,575,,562.5,566,,,,566,560</t>
  </si>
  <si>
    <t>2025-05-05 13:09:00,490,,488,,485,,486,,,,,488,484</t>
  </si>
  <si>
    <t>2025-05-05 13:09:00,5800,,5680,,5600,,5660,,5680,,,5700,5600</t>
  </si>
  <si>
    <t>2025-05-05 13:09:00,20000,,20100,,19475,,19975,,,,,20100,19675</t>
  </si>
  <si>
    <t>2025-05-05 13:09:00,758530532.800944,29840937191.7822,11998.4674603175,12736,8416.90749999999,6843.34,1827.30264060652,4512.5</t>
  </si>
  <si>
    <t>2025-05-05 13:09:00,1231320000.87439,5521560715.76718,1035.28471917431,2238,963.879870862298,1050.47,-74.3234267015611,699.43</t>
  </si>
  <si>
    <t>2025-05-05 13:09:00,288438642.916717,466569307.393938,,-577,,-545.45,-8.29599466425322,-169.47</t>
  </si>
  <si>
    <t>2025-05-05 13:09:00,29463361.6225084,1298934.08623505,2.52251082251083,6,132.154978354979,159.15,0.00520115879046699,3.29</t>
  </si>
  <si>
    <t>2025-05-05 13:10:00,575,,566,,575,,562.5,,,,,566,560</t>
  </si>
  <si>
    <t>2025-05-05 13:10:00,490,,488,,485,,486,,,,,488,484</t>
  </si>
  <si>
    <t>2025-05-05 13:10:00,5800,,5680,,5600,,5660,,,,,5700,5600</t>
  </si>
  <si>
    <t>2025-05-05 13:10:00,20000,,20100,,19475,,19975,,,,,20100,19675</t>
  </si>
  <si>
    <t>2025-05-05 13:10:00,760242649.581253,31180229575.6242,3323.59047619048,2294,3970.06204761905,1598.41,25.7063800230248,1083.37</t>
  </si>
  <si>
    <t>2025-05-05 13:10:00,1166964238.0412,5489169649.34714,220.212982669505,346,530.871828823351,421.36,11.1032990372947,303.78</t>
  </si>
  <si>
    <t>2025-05-05 13:10:00,288831352.110255,465639255.87441,,-716,,-2562.66,-0.547401504343412,-251.68</t>
  </si>
  <si>
    <t>2025-05-05 13:10:00,29400460.0805405,1299102.8803174,2.75419560685144,-6,-14.286228185847,-9.4,-0.0057948051730111,0.0199999999999999</t>
  </si>
  <si>
    <t>2025-05-05 13:11:00,575,,566,,575,,562.5,,,,,566,560</t>
  </si>
  <si>
    <t>2025-05-05 13:11:00,490,,488,,485,,486,,,,,488,484</t>
  </si>
  <si>
    <t>2025-05-05 13:11:00,5800,,5680,,5600,,5660,,,,,5700,5600</t>
  </si>
  <si>
    <t>2025-05-05 13:11:00,20000,,20100,,19475,,19975,,,,,20100,19675</t>
  </si>
  <si>
    <t>2025-05-05 13:11:00,804495317.89052,30877838833.8712,2841.54603174603,4096,1120.04507936508,870.31,319.395304245219,953.79</t>
  </si>
  <si>
    <t>2025-05-05 13:11:00,1178108501.00212,5627199581.65463,426.426579016675,449,899.840867092318,-558.62,-143.712234087527,155.6</t>
  </si>
  <si>
    <t>2025-05-05 13:11:00,288886902.627053,474793574.407005,,590,,3234.82,6.56587853208039,259.19</t>
  </si>
  <si>
    <t>2025-05-05 13:11:00,30382385.91823,1325192.58332604,-10.0931254191818,-13,-103.525410798122,-182,-0.0214164533074659,-3.59</t>
  </si>
  <si>
    <t>2025-05-05 13:12:00,575,,566,,575,,562.5,,,,,566,560</t>
  </si>
  <si>
    <t>2025-05-05 13:12:00,490,,488,,485,,486,,,,,488,484</t>
  </si>
  <si>
    <t>2025-05-05 13:12:00,5800,,5680,,5600,,5660,,,,,5700,5600</t>
  </si>
  <si>
    <t>2025-05-05 13:12:00,20000,,20100,,19475,,19975,,,,,20100,19675</t>
  </si>
  <si>
    <t>2025-05-05 13:12:00,773949704.12027,30910049102.692,-1191.33333333333,-180,-1340.17666666667,-1225.32,285.655025690957,-824.98</t>
  </si>
  <si>
    <t>2025-05-05 13:12:00,1177627064.22035,5709878784.18983,83.6412698412696,446,760.708682539681,1062.65,146.35147197962,234.29</t>
  </si>
  <si>
    <t>2025-05-05 13:12:00,289510232.190318,495764658.939423,,-718,,-1228.4,-5.36987281201812,-185.3</t>
  </si>
  <si>
    <t>2025-05-05 13:12:00,30326131.7455969,1345094.23505635,0.192652329749101,3,137.625248335893,158.54,0.0352177421269173,2.82</t>
  </si>
  <si>
    <t>2025-05-05 13:13:00,575,,566,,575,,562.5,,,,,566,560</t>
  </si>
  <si>
    <t>2025-05-05 13:13:00,490,,488,,485,,486,,,,488,488,484</t>
  </si>
  <si>
    <t>2025-05-05 13:13:00,5800,,5680,,5600,,5660,,,,,5700,5600</t>
  </si>
  <si>
    <t>2025-05-05 13:13:00,20000,,20100,,19475,,19975,,,,,20100,19675</t>
  </si>
  <si>
    <t>2025-05-05 13:13:00,768713462.825346,32297490584.7727,-2995.85714285714,-3218,-1074.06923809524,-1162.58,15.8232728379073,-946.11</t>
  </si>
  <si>
    <t>2025-05-05 13:13:00,1143689364.28864,5830361643.33288,-3364.55519480519,-2377,-1833.23253246753,-1241.75,193.360940743482,-793.04</t>
  </si>
  <si>
    <t>2025-05-05 13:13:00,288590226.915149,483043809.657164,,-297,,-1264.29,-0.314731756773078,-123.39</t>
  </si>
  <si>
    <t>2025-05-05 13:13:00,30346360.8919492,1380812.51713717,0.799201305238938,4,58.8431298856568,-75.69,0.0053967199127694,0.2</t>
  </si>
  <si>
    <t>2025-05-05 13:14:00,575,,566,,575,,562.5,,566,566,,567,560</t>
  </si>
  <si>
    <t>2025-05-05 13:14:00,490,,488,,485,,486,,,,,488,484</t>
  </si>
  <si>
    <t>2025-05-05 13:14:00,5800,,5680,,5600,,5660,5680,,5670,,5700,5600</t>
  </si>
  <si>
    <t>2025-05-05 13:14:00,20000,,20100,,19475,,19975,,,,,20100,19675</t>
  </si>
  <si>
    <t>2025-05-05 13:14:00,864387655.952531,31692190082.4712,-2438.56547619048,-4476,-234.298833333333,-3204.38,-912.034461073011,-2107.56</t>
  </si>
  <si>
    <t>2025-05-05 13:14:00,1258634035.96673,5760153165.55419,981.709522202943,1703,1216.9310031489,1319.7,-33.7882610273551,820.65</t>
  </si>
  <si>
    <t>2025-05-05 13:14:00,291958757.072937,525096095.735358,,1473,,6781.62,-9.15114042250512,518.09</t>
  </si>
  <si>
    <t>2025-05-05 13:14:00,30280002.2407406,1458973.73317827,-58.0698737373738,-9,-1717.74621111111,-550.15,0.0344766081526173,-4.74</t>
  </si>
  <si>
    <t>2025-05-05 13:15:00,575,,566,,575,,562.5,,566,,,566,560</t>
  </si>
  <si>
    <t>2025-05-05 13:15:00,490,,488,,485,,486,,,,488,488,484</t>
  </si>
  <si>
    <t>2025-05-05 13:15:00,5800,,5680,,5600,,5660,,,,5670,5700,5600</t>
  </si>
  <si>
    <t>2025-05-05 13:15:00,20000,,20100,,19475,,20000,,,,,20100,19675</t>
  </si>
  <si>
    <t>2025-05-05 13:15:00,826275917.15503,31903579456.0039,-2142.36190476191,-5625,1181.60899999999,-2249.37,224.131884720126,-2020.12</t>
  </si>
  <si>
    <t>2025-05-05 13:15:00,1248145778.95995,5518281816.90978,-1646.83167263771,-1212,-595.659191670399,-390.19,-48.8612585904443,-357.98</t>
  </si>
  <si>
    <t>2025-05-05 13:15:00,291053321.14469,512101765.942116,,386,,3361.68,20.9988873216185,236.81</t>
  </si>
  <si>
    <t>2025-05-05 13:15:00,29425374.2998133,1402417.79670507,15.4700757575758,10,246.195866341991,134.9,0.043219979106549,2.76</t>
  </si>
  <si>
    <t>2025-05-05 13:16:00,575,,566,,575,,562.5,,,,,566,560</t>
  </si>
  <si>
    <t>2025-05-05 13:16:00,490,,488,,485,,486,,,488,,488,484</t>
  </si>
  <si>
    <t>2025-05-05 13:16:00,5800,,5680,,5600,,5660,,,,,5700,5600</t>
  </si>
  <si>
    <t>2025-05-05 13:16:00,20000,,20100,,19475,,19975,,,,,20100,19675</t>
  </si>
  <si>
    <t>2025-05-05 13:16:00,815021671.953645,31776252160.2849,-2215.09562289564,-1074,-1547.53868013469,-2729.73,-329.59616843118,-1491.02</t>
  </si>
  <si>
    <t>2025-05-05 13:16:00,1260348844.28935,5846276842.1319,1592.79523809524,2457,559.815428571429,1165.2,-116.506979084599,790.24</t>
  </si>
  <si>
    <t>2025-05-05 13:16:00,290201760.134054,504658700.607915,,-880,,-8066.2,2.46006850158308,-366.1</t>
  </si>
  <si>
    <t>2025-05-05 13:16:00,29500501.8696046,1362410.97931638,22.2010101010101,7,42.5856868686868,104.92,0.0160118944848389,2.37</t>
  </si>
  <si>
    <t>2025-05-05 13:17:00,575,,566,,575,,562.5,,,,,566,560</t>
  </si>
  <si>
    <t>2025-05-05 13:17:00,490,,488,,485,,486,,,,,488,484</t>
  </si>
  <si>
    <t>2025-05-05 13:17:00,5800,,5680,,5600,,5660,,,,,5700,5600</t>
  </si>
  <si>
    <t>2025-05-05 13:17:00,20000,,20100,,19475,,19975,,,,,20100,19675</t>
  </si>
  <si>
    <t>2025-05-05 13:17:00,774986999.062533,32419967252.2398,-1154.44603174603,-3266,670.352888888887,-1713.11,-301.381126788274,-1271.52</t>
  </si>
  <si>
    <t>2025-05-05 13:17:00,1256725720.15274,5605837423.94209,-844.085561105561,-1094,-407.054299034299,-547.81,171.183612028931,-396.35</t>
  </si>
  <si>
    <t>2025-05-05 13:17:00,289677687.027693,500222005.237976,,-253,,-576.91,19.987666857004,-48.7</t>
  </si>
  <si>
    <t>2025-05-05 13:17:00,29535026.3986688,1385315.54788308,-0.51830206830207,12,8.29876681096681,131.27,-0.0341415745174856,2.34</t>
  </si>
  <si>
    <t>2025-05-05 13:18:00,575,,566,,575,,562.5,,,,,567,560</t>
  </si>
  <si>
    <t>2025-05-05 13:18:00,490,,488,,485,,486,,,,,488,484</t>
  </si>
  <si>
    <t>2025-05-05 13:18:00,5800,,5680,,5600,,5660,,,,,5700,5600</t>
  </si>
  <si>
    <t>2025-05-05 13:18:00,20000,,20100,,19475,,19975,,,,,20100,19675</t>
  </si>
  <si>
    <t>2025-05-05 13:18:00,739451407.759051,31451175667.1324,-534.857142857144,-1212,997.462539682538,810.96,-241.365762756512,594.58</t>
  </si>
  <si>
    <t>2025-05-05 13:18:00,1252638803.48891,5614174721.47458,-869.493879683535,-900,-730.965275414241,-919.76,-8.05182294004691,-491.16</t>
  </si>
  <si>
    <t>2025-05-05 13:18:00,287984903.438984,470418892.654447,,775,,629.12,3.49695246584551,251.24</t>
  </si>
  <si>
    <t>2025-05-05 13:18:00,29091045.3448131,1295786.19930013,0.162499999999998,-4,14.9775,-9.88,-0.0267275456773937,-0.78</t>
  </si>
  <si>
    <t>2025-05-05 13:19:00,575,,566,,575,,562.5,,,,,567,560</t>
  </si>
  <si>
    <t>2025-05-05 13:19:00,490,,488,,485,,486,,,,,488,484</t>
  </si>
  <si>
    <t>2025-05-05 13:19:00,5800,,5680,,5600,,5660,,,5670,,5700,5600</t>
  </si>
  <si>
    <t>2025-05-05 13:19:00,20000,,20100,,19475,,19975,,,,,20100,19675</t>
  </si>
  <si>
    <t>2025-05-05 13:19:00,756537020.153853,31758532320.0119,-736.821428571428,-2220,-421.081845238094,-1845.37,91.9473689927812,-1173.53</t>
  </si>
  <si>
    <t>2025-05-05 13:19:00,1231625216.15961,5193414811.89178,-1081.46311162079,-1055,-586.579722094802,-235.81,-1.2657982520468,-393.84</t>
  </si>
  <si>
    <t>2025-05-05 13:19:00,287928262.946858,466620785.206479,,206,,1234.71,-18.4421099353187,118.79</t>
  </si>
  <si>
    <t>2025-05-05 13:19:00,29133355.6265772,1264691.14529645,2.74964912280701,5,-24.2473107769425,75.49,-0.00209692636694182,1.61</t>
  </si>
  <si>
    <t>2025-05-05 13:20:00,575,,566,,575,,562.5,,,,,567,560</t>
  </si>
  <si>
    <t>2025-05-05 13:20:00,490,,488,,485,,486,,,,,488,484</t>
  </si>
  <si>
    <t>2025-05-05 13:20:00,5800,,5680,,5600,,5660,,,,,5700,5600</t>
  </si>
  <si>
    <t>2025-05-05 13:20:00,20000,,20100,,19475,,20000,,,,,20100,19675</t>
  </si>
  <si>
    <t>2025-05-05 13:20:00,924491761.773311,37743465572.9017,-4419.1487012987,-1574,-2275.60113419913,-1498.34,-105.378783899014,-985.34</t>
  </si>
  <si>
    <t>2025-05-05 13:20:00,1245872835.52965,5859855746.2693,-5088.84077380951,-1530,-3477.15404761904,-1223.56,-2.78315010779554,-730.61</t>
  </si>
  <si>
    <t>2025-05-05 13:20:00,292530458.733552,541177997.637595,,-241,,-24844.18,2.4080801160129,-177.26</t>
  </si>
  <si>
    <t>2025-05-05 13:20:00,28913668.9298217,1446915.11407948,-25.2153968253968,-25,-259.88386031746,-228.85,-0.103977309565261,-7.37</t>
  </si>
  <si>
    <t>2025-05-05 13:22:00,575,,566,,575,,562.5,,,,,567,560</t>
  </si>
  <si>
    <t>2025-05-05 13:22:00,490,,488,,485,,486,,,,,488,484</t>
  </si>
  <si>
    <t>2025-05-05 13:22:00,5800,,5680,,5600,,5660,,,,,5700,5600</t>
  </si>
  <si>
    <t>2025-05-05 13:22:00,20000,,20100,,19475,,19975,,,,,20100,19675</t>
  </si>
  <si>
    <t>2025-05-05 13:22:00,828666953.082196,32369064239.8398,69.8404761904761,302,778.768523809524,575.8,-86.2543572573479,48.6399999999999</t>
  </si>
  <si>
    <t>2025-05-05 13:22:00,1236858228.51265,5864912648.55749,-696.155560224089,309,-640.111882913164,-426.45,-49.3213318562122,-73.65</t>
  </si>
  <si>
    <t>2025-05-05 13:22:00,291075014.511998,525346857.108482,,753,,4505.93,6.7436499137074,310.29</t>
  </si>
  <si>
    <t>2025-05-05 13:22:00,29541582.3500833,1434359.13992408,-27.5328571428572,-31,-425.697828571429,-431.76,0.114441321029833,-9.8</t>
  </si>
  <si>
    <t>2025-05-05 13:23:00,575,,566,,575,,562.5,,,,,567,560</t>
  </si>
  <si>
    <t>2025-05-05 13:23:00,490,,488,,485,,486,,,,,488,484</t>
  </si>
  <si>
    <t>2025-05-05 13:23:00,5800,,5680,,5600,,5660,,,,,5700,5600</t>
  </si>
  <si>
    <t>2025-05-05 13:23:00,20000,,20100,,19475,,20000,,,,,20100,19675</t>
  </si>
  <si>
    <t>2025-05-05 13:23:00,792839705.032836,31446420144.1867,-961.779761904762,-2559,-364.887440476191,-1587.62,-110.880917565235,-1108.29</t>
  </si>
  <si>
    <t>2025-05-05 13:23:00,1268225156.74394,5900980518.09153,55.6898989898987,-290,228.156999999999,-464.89,-144.38089722755,-275.17</t>
  </si>
  <si>
    <t>2025-05-05 13:23:00,289641450.053061,504913332.156802,,415,,3147.26,-5.73026190078413,106.18</t>
  </si>
  <si>
    <t>2025-05-05 13:23:00,29033605.928237,1412158.7219871,1.65238095238095,4,42.4171428571428,35.9,-0.0195713478265079,0.87</t>
  </si>
  <si>
    <t>2025-05-05 13:24:00,575,,566,,575,,562.5,,,,,567,560</t>
  </si>
  <si>
    <t>2025-05-05 13:24:00,490,,488,,485,,486,,,,,488,484</t>
  </si>
  <si>
    <t>2025-05-05 13:24:00,5800,,5680,,5600,,5660,,,,,5700,5600</t>
  </si>
  <si>
    <t>2025-05-05 13:24:00,20000,,20100,,19475,,20000,,,,,20100,19675</t>
  </si>
  <si>
    <t>2025-05-05 13:24:00,792824633.131914,31292910892.3539,-827.984920634921,-533,118.084230158731,167.78,86.0341719079943,32.75</t>
  </si>
  <si>
    <t>2025-05-05 13:24:00,1264974831.52185,6027755468.65639,827.568681318681,1403,266.766730769231,593.32,0.508543523765426,447.32</t>
  </si>
  <si>
    <t>2025-05-05 13:24:00,289064243.780913,497840239.707162,,459,,2950.45,-3.7444547128752,199.76</t>
  </si>
  <si>
    <t>2025-05-05 13:24:00,28424179.946856,1405322.86216633,18.712987012987,20,181.281675324675,200.42,0.0853728164033409,5.68</t>
  </si>
  <si>
    <t>2025-05-05 13:25:00,575,,566,,575,,562.5,,,,,567,560</t>
  </si>
  <si>
    <t>2025-05-05 13:25:00,490,,488,,485,,486,,,,,488,484</t>
  </si>
  <si>
    <t>2025-05-05 13:25:00,5800,,5680,,5600,,5660,,,,,5700,5600</t>
  </si>
  <si>
    <t>2025-05-05 13:25:00,20000,,20100,,19475,,19975,,,,,20100,19675</t>
  </si>
  <si>
    <t>2025-05-05 13:25:00,815561758.514179,31205176622.2117,889.613095238095,3521,572.63470238095,1945.85,-145.779262784889,1184.51</t>
  </si>
  <si>
    <t>2025-05-05 13:25:00,1264467627.91832,5820395938.45049,871.33192640692,951,1245.59932900432,729.87,149.212694748554,487.12</t>
  </si>
  <si>
    <t>2025-05-05 13:25:00,289588305.226476,499639504.214984,,-19,,188.78,-0.466397980794664,97.84</t>
  </si>
  <si>
    <t>2025-05-05 13:25:00,29485390.5411484,1457534.98978898,0.838888888888892,2,45.4924444444445,23.26,0.0169188532253662,0.67</t>
  </si>
  <si>
    <t>2025-05-05 13:26:00,575,,566,,575,,562.5,,,,,567,560</t>
  </si>
  <si>
    <t>2025-05-05 13:26:00,490,,488,,485,,486,,,,,488,484</t>
  </si>
  <si>
    <t>2025-05-05 13:26:00,5800,,5680,,5600,,5660,,,5670,,5700,5600</t>
  </si>
  <si>
    <t>2025-05-05 13:26:00,20000,,20100,,19475,,20000,,,,,20100,19675</t>
  </si>
  <si>
    <t>2025-05-05 13:26:00,858269610.738016,31211176603.6221,-455.669841269839,-1119,94.383142857148,-3473.86,-705.874866996646,-1953.59</t>
  </si>
  <si>
    <t>2025-05-05 13:26:00,1221387639.15483,6027734430.33351,-1446.33216320716,-2129,-444.628340455841,-1282.39,70.7869961108023,-711.69</t>
  </si>
  <si>
    <t>2025-05-05 13:26:00,294431051.602358,521423418.200668,,118,,-12035.63,-15.0136194657747,-349.92</t>
  </si>
  <si>
    <t>2025-05-05 13:26:00,28155608.9641361,1438764.56196145,-25.8175927897239,-24,-242.143246185508,-281.31,0.0283078747245627,-5.36</t>
  </si>
  <si>
    <t>2025-05-05 13:27:00,575,,566,,575,,562.5,,,,,567,560</t>
  </si>
  <si>
    <t>2025-05-05 13:27:00,490,,488,,485,,486,,,,,488,484</t>
  </si>
  <si>
    <t>2025-05-05 13:27:00,5800,,5680,,5600,,5660,,,,,5700,5600</t>
  </si>
  <si>
    <t>2025-05-05 13:27:00,20000,,20100,,19475,,20000,,,,,20100,19675</t>
  </si>
  <si>
    <t>2025-05-05 13:27:00,851801266.019478,33307212568.5763,-927.789177489178,427,344.669238095237,-481.25,738.223490136653,-355.74</t>
  </si>
  <si>
    <t>2025-05-05 13:27:00,1250902041.16354,5954758929.19777,-1119.77777777778,-2697,-243.125277777778,-1474.27,-223.385020926973,-960.83</t>
  </si>
  <si>
    <t>2025-05-05 13:27:00,291307641.649508,530671519.374285,,-347,,1314.89,16.2117140786226,28.57</t>
  </si>
  <si>
    <t>2025-05-05 13:27:00,29758689.312603,1525665.80328548,3.28253968253968,10,66.8223015873015,130.05,-0.0040037052384468,3.13</t>
  </si>
  <si>
    <t>2025-05-05 13:28:00,575,,566,,575,,562.5,,,,,567,560</t>
  </si>
  <si>
    <t>2025-05-05 13:28:00,490,,488,,485,,486,,,,,488,484</t>
  </si>
  <si>
    <t>2025-05-05 13:28:00,5800,,5680,,5600,,5660,,,5670,,5700,5600</t>
  </si>
  <si>
    <t>2025-05-05 13:28:00,20000,,20100,,19475,,20000,,,,,20100,19675</t>
  </si>
  <si>
    <t>2025-05-05 13:28:00,781342687.726506,30916501874.6015,483.824432103844,2515,1376.21961984095,2207.87,141.253194332897,720.56</t>
  </si>
  <si>
    <t>2025-05-05 13:28:00,1224230446.87344,5654513678.91164,-683.373809523809,-442,-51.9226190476186,25.1,217.380993410876,27.54</t>
  </si>
  <si>
    <t>2025-05-05 13:28:00,289567500.078869,492555081.964479,,462,,3105.51,-0.597984665294204,212.2</t>
  </si>
  <si>
    <t>2025-05-05 13:28:00,29555457.9789881,1437839.09244839,11.9041666666667,11,134.811041666667,134,0.00236588839537263,3.5</t>
  </si>
  <si>
    <t>2025-05-05 13:29:00,575,,566,,575,,562.5,,,,,567,560</t>
  </si>
  <si>
    <t>2025-05-05 13:29:00,490,,488,,485,,486,,,,,488,484</t>
  </si>
  <si>
    <t>2025-05-05 13:29:00,5800,,5680,,5600,,5660,,,,,5700,5600</t>
  </si>
  <si>
    <t>2025-05-05 13:29:00,20000,,20100,,19475,,20000,,,,,20100,19675</t>
  </si>
  <si>
    <t>2025-05-05 13:29:00,795160429.073451,32874832140.1605,-606.503968253969,-1965,401.879682539682,692.12,382.655991983593,411.42</t>
  </si>
  <si>
    <t>2025-05-05 13:29:00,1216256766.06914,5804218445.13996,-61.1578947368419,-630,-747.475789473684,-842.86,23.186030828372,-498.85</t>
  </si>
  <si>
    <t>2025-05-05 13:29:00,289687692.486486,508931636.95965,,123,,-690.170000000001,-4.87010135169181,-36.78</t>
  </si>
  <si>
    <t>2025-05-05 13:29:00,28521349.9645385,1418918.12984804,-14.8510364145658,-20,-5.08635658263304,-33.84,0.0469637327915856,-1.05</t>
  </si>
  <si>
    <t>2025-05-05 13:30:00,575,,566,,575,,562.5,,,,,567,560</t>
  </si>
  <si>
    <t>2025-05-05 13:30:00,490,,488,,485,,486,,,,,488,484</t>
  </si>
  <si>
    <t>2025-05-05 13:30:00,5800,,5680,,5600,,5660,,,,,5700,5600</t>
  </si>
  <si>
    <t>2025-05-05 13:30:00,20000,,20100,,19475,,19975,,,,,20100,19675</t>
  </si>
  <si>
    <t>2025-05-05 13:30:00,733422410.974102,31519359524.3262,-588.618300653595,-303,158.506535947712,461.71,36.6932678795963,125.27</t>
  </si>
  <si>
    <t>2025-05-05 13:30:00,1216167432.50962,5536319735.74425,122.373717948718,366,374.781856227106,138.22,19.8116662919572,117.41</t>
  </si>
  <si>
    <t>2025-05-05 13:30:00,288539853.334491,489799839.71787,,365,,951.92,-7.9678453668452,7.87</t>
  </si>
  <si>
    <t>2025-05-05 13:30:00,29481899.6381774,1367100.78564685,5.06666666666667,3,24.0813333333333,22.62,0.00832804528217628,0.56</t>
  </si>
  <si>
    <t>2025-05-05 13:31:00,575,,566,,575,,562.5,,,,,567,560</t>
  </si>
  <si>
    <t>2025-05-05 13:31:00,490,,488,,485,,486,,,,,488,484</t>
  </si>
  <si>
    <t>2025-05-05 13:31:00,5800,,5680,,5600,,5660,,,,,5700,5600</t>
  </si>
  <si>
    <t>2025-05-05 13:31:00,20000,,20100,,19475,,20000,,,,,20100,19675</t>
  </si>
  <si>
    <t>2025-05-05 13:31:00,853225223.896465,33775120359.2315,-1695.76785714286,-3914,-1421.55607142856,-2747.75,222.546273872854,-1396.73</t>
  </si>
  <si>
    <t>2025-05-05 13:31:00,1235515014.7253,6101077095.2822,-1015.46461412151,-944,-266.739395730706,-343.74,69.2309608139669,-298.72</t>
  </si>
  <si>
    <t>2025-05-05 13:31:00,291250428.528822,535005882.300422,,403,,1968.9,-3.79628225814657,185.7</t>
  </si>
  <si>
    <t>2025-05-05 13:31:00,28707083.534916,1504827.7895283,-13.8469696969697,-5,-61.8152748917749,-116.71,-0.0192172404361228,-2.96</t>
  </si>
  <si>
    <t>2025-05-05 13:32:00,575,,566,,575,,562.5,,,,,567,560</t>
  </si>
  <si>
    <t>2025-05-05 13:32:00,490,,488,,485,,486,,,,,488,484</t>
  </si>
  <si>
    <t>2025-05-05 13:32:00,5800,,5680,,5600,,5660,,,5670,,5700,5600</t>
  </si>
  <si>
    <t>2025-05-05 13:32:00,20000,,20100,,19475,,20000,,,,,20100,19675</t>
  </si>
  <si>
    <t>2025-05-05 13:32:00,843526530.348108,32515250557.1463,-1071.64757412399,-926,-59.0684209344102,-482.77,-155.797752233156,-376.57</t>
  </si>
  <si>
    <t>2025-05-05 13:32:00,1280304836.10877,6190874008.80835,-400.568560503823,924,73.114184930275,6.14999999999994,-62.8546907275015,191.44</t>
  </si>
  <si>
    <t>2025-05-05 13:32:00,291329795.408853,538169798.120277,,445,,-578.83,-14.7324094301253,29.88</t>
  </si>
  <si>
    <t>2025-05-05 13:32:00,29284884.1617865,1592862.46058269,-34.8759523809524,-46,-289.878740476191,-1088.7,-0.0720397319008,-22.68</t>
  </si>
  <si>
    <t>2025-05-05 13:33:00,575,,566,,575,,562.5,,,,,567,560</t>
  </si>
  <si>
    <t>2025-05-05 13:33:00,490,,488,,485,,486,,,,,488,484</t>
  </si>
  <si>
    <t>2025-05-05 13:33:00,5800,,5680,,5600,,5660,,,,5670,5700,5600</t>
  </si>
  <si>
    <t>2025-05-05 13:33:00,20000,,20100,,19475,,20000,,,,,20100,19675</t>
  </si>
  <si>
    <t>2025-05-05 13:33:00,977065682.985682,35797575518.0855,4772.63175158176,7098,1895.90717465868,2046.52,503.689523523614,1386.45</t>
  </si>
  <si>
    <t>2025-05-05 13:33:00,1278224299.30477,6592688568.10517,509.692380952381,1942,918.169352380952,-56.93,-34.1826228047438,375.86</t>
  </si>
  <si>
    <t>2025-05-05 13:33:00,293289457.302354,563869683.066355,,-1332,,-3023.14,2.88305672596171,-285.07</t>
  </si>
  <si>
    <t>2025-05-05 13:33:00,30184224.6856875,1917637.55398356,-30.4539682539682,-65,-269.633785714285,-646.32,-0.109594205955289,-14.24</t>
  </si>
  <si>
    <t>2025-05-05 13:34:00,575,,566,,575,,562.5,566,,,,567,560</t>
  </si>
  <si>
    <t>2025-05-05 13:34:00,490,,488,,485,,486,,,,,490,484</t>
  </si>
  <si>
    <t>2025-05-05 13:34:00,5800,,5680,,5600,,5660,,,,,5700,5600</t>
  </si>
  <si>
    <t>2025-05-05 13:34:00,20300,,20100,,19475,,20000,,,,,20100,19675</t>
  </si>
  <si>
    <t>2025-05-05 13:34:00,910087383.772164,35189682258.0818,3329.65,5570,3508.71508333333,4547.6,92.0928382630871,2934.73</t>
  </si>
  <si>
    <t>2025-05-05 13:34:00,1290565478.37757,6537559249.82707,-2606.98894851918,-2103,496.938700854701,31.0900000000002,369.01416838527,-251.16</t>
  </si>
  <si>
    <t>2025-05-05 13:34:00,293502527.486164,571874191.145576,,601,,-399.199999999999,-10.4568964002471,-37.44</t>
  </si>
  <si>
    <t>2025-05-05 13:34:00,31055784.6577996,1929588.38818998,37.5608843537414,41,676.403214285713,640.7,0.231740084803822,17.26</t>
  </si>
  <si>
    <t>2025-05-05 13:35:00,575,,566,,575,,562.5,,,,,567,560</t>
  </si>
  <si>
    <t>2025-05-05 13:35:00,490,,488,,485,,486,489,,,,490,484</t>
  </si>
  <si>
    <t>2025-05-05 13:35:00,5800,,5680,,5600,,5660,,,,,5700,5600</t>
  </si>
  <si>
    <t>2025-05-05 13:35:00,20000,,20100,,19475,,20000,,,,,20100,19675</t>
  </si>
  <si>
    <t>2025-05-05 13:35:00,845203680.707465,35187728105.4203,955.051587301588,4324,2961.64952380953,3993.87,-377.056843157617,2286.44</t>
  </si>
  <si>
    <t>2025-05-05 13:35:00,1265281689.35893,6429348539.9136,-1693.38181252827,-2368,-73.656641508367,-389.68,408.464832446679,-343.14</t>
  </si>
  <si>
    <t>2025-05-05 13:35:00,293145526.822658,576934411.153707,,436,,539.65,-2.48306086050556,-39.99</t>
  </si>
  <si>
    <t>2025-05-05 13:35:00,30582272.408604,1847440.32748384,3.45703741546246,13,659.61978893453,-1415.43,-0.00809284531092928,1.84</t>
  </si>
  <si>
    <t>2025-05-05 13:36:00,575,,566,,575,,562.5,,,,,567,560</t>
  </si>
  <si>
    <t>2025-05-05 13:36:00,490,,488,,485,,486,,,,,490,484</t>
  </si>
  <si>
    <t>2025-05-05 13:36:00,5800,,5680,,5600,,5660,,,,,5700,5600</t>
  </si>
  <si>
    <t>2025-05-05 13:36:00,20000,,20100,,19475,,20000,,,,,20100,19675</t>
  </si>
  <si>
    <t>2025-05-05 13:36:00,887809162.165517,35537216258.5862,615.630952380952,1707,1569.715,1824.74,-126.695116365241,1045.04</t>
  </si>
  <si>
    <t>2025-05-05 13:36:00,1277721930.69639,6377626346.96971,-1616.79611876915,-1589,873.847746031746,868.26,501.359678424311,215.74</t>
  </si>
  <si>
    <t>2025-05-05 13:36:00,292603744.350473,572139945.018014,,348,,1485.14,0.509173648998231,96.4</t>
  </si>
  <si>
    <t>2025-05-05 13:36:00,29467168.3768153,1800758.93021668,-3.5952380952381,14,-19.8338095238095,24.65,0.0277119779359379,1.05</t>
  </si>
  <si>
    <t>2025-05-05 13:37:00,575,,566,,575,,562.5,,,,,567,560</t>
  </si>
  <si>
    <t>2025-05-05 13:37:00,490,,488,,485,,486,,,,,490,484</t>
  </si>
  <si>
    <t>2025-05-05 13:37:00,5800,,5680,,5600,,5660,,,,,5700,5600</t>
  </si>
  <si>
    <t>2025-05-05 13:37:00,20300,,20100,,19475,,20000,,,,,20100,19675</t>
  </si>
  <si>
    <t>2025-05-05 13:37:00,872995517.755885,35567418653.5699,-1825.04047619048,-1649,-764.860964285712,-1072.35,223.23118027637,-783.43</t>
  </si>
  <si>
    <t>2025-05-05 13:37:00,1261230008.83618,6607961528.79122,-1386.51216869484,-1151,142.572478234342,-20.82,50.4527401255749,60.7800000000001</t>
  </si>
  <si>
    <t>2025-05-05 13:37:00,291505167.371674,554842049.318615,,-49,,671.48,-6.0097300834675,16.62</t>
  </si>
  <si>
    <t>2025-05-05 13:37:00,29876657.8503574,1946504.61502197,1.13636363636364,5,15.7104545454546,67.2,-0.00322109826468731,1.74</t>
  </si>
  <si>
    <t>2025-05-05 13:38:00,575,,566,,575,,562.5,,,,,567,560</t>
  </si>
  <si>
    <t>2025-05-05 13:38:00,490,,488,,485,,486,,,,,490,484</t>
  </si>
  <si>
    <t>2025-05-05 13:38:00,5800,,5680,,5600,,5660,,,,,5700,5600</t>
  </si>
  <si>
    <t>2025-05-05 13:38:00,20300,,20100,,19475,,20000,,,,,20100,19675</t>
  </si>
  <si>
    <t>2025-05-05 13:38:00,893618881.078026,33791506184.062,-438.165476190476,-849,-86.7137499999999,-328.52,-383.15995529091,-268.31</t>
  </si>
  <si>
    <t>2025-05-05 13:38:00,1260150569.29218,6329708065.51881,-7.65470085470108,-35,325.819965811965,-17.75,34.308571562245,58.93</t>
  </si>
  <si>
    <t>2025-05-05 13:38:00,293805616.115528,593733093.634956,,-351,,-365.29,-4.03769089175955,-15.78</t>
  </si>
  <si>
    <t>2025-05-05 13:38:00,30323175.8273225,2047001.67921551,-6.65512689145715,0,17.4551937805314,72.56,0.00291971448730923,1.61</t>
  </si>
  <si>
    <t>2025-05-05 13:39:00,575,,566,,575,,562.5,,,,,567,560</t>
  </si>
  <si>
    <t>2025-05-05 13:39:00,490,,488,,485,,486,,,,,490,484</t>
  </si>
  <si>
    <t>2025-05-05 13:39:00,5800,,5680,,5600,,5660,,,,,5700,5600</t>
  </si>
  <si>
    <t>2025-05-05 13:39:00,20300,,20100,,19475,,20000,,,,,20100,19675</t>
  </si>
  <si>
    <t>2025-05-05 13:39:00,943542702.779357,35587143122.5867,-545.537301587302,-4474,2042.17558333333,113.77,-743.986217526394,-656.37</t>
  </si>
  <si>
    <t>2025-05-05 13:39:00,1283801779.1103,6485704301.80565,634.024531684941,2344,1069.84329355998,1663.39,84.9059036021935,934.77</t>
  </si>
  <si>
    <t>2025-05-05 13:39:00,295856238.088189,637231773.161819,,768,,4318.9,11.7404426309594,358.66</t>
  </si>
  <si>
    <t>2025-05-05 13:39:00,30115093.1763665,1970539.36979552,12.7192555938038,67,192.317077667814,599.2,-0.207585992807939,17.84</t>
  </si>
  <si>
    <t>2025-05-05 13:40:00,575,,566,,575,,562.5,,,,,567,560</t>
  </si>
  <si>
    <t>2025-05-05 13:40:00,490,,488,,485,,486,,,,489,490,484</t>
  </si>
  <si>
    <t>2025-05-05 13:40:00,5800,,5690,,5600,,5660,,,,,5700,5600</t>
  </si>
  <si>
    <t>2025-05-05 13:40:00,20300,,20100,,19475,,20000,,,,,20100,19675</t>
  </si>
  <si>
    <t>2025-05-05 13:40:00,949650046.340284,36096533314.2784,-862.424908424909,-2868,19.301648351648,-1374.07,-185.479851357995,-866.18</t>
  </si>
  <si>
    <t>2025-05-05 13:40:00,1256341220.19786,6586639197.75893,-2478.95085147962,-1854,-1534.2578146287,-2434.98,-71.2291593512471,-1677.04</t>
  </si>
  <si>
    <t>2025-05-05 13:40:00,297202945.499603,613917317.840324,,364,,-201.63,1.24106186002289,75.56</t>
  </si>
  <si>
    <t>2025-05-05 13:40:00,29781270.4404016,1992850.72593558,-5.25714285714286,-10,-48.7058571428571,-98.92,-0.0300931934035883,-2.96</t>
  </si>
  <si>
    <t>2025-05-05 13:41:00,575,,567,,575,,562.5,567,,,,567,560</t>
  </si>
  <si>
    <t>2025-05-05 13:41:00,490,,488,,485,,486,,,,489,490,484</t>
  </si>
  <si>
    <t>2025-05-05 13:41:00,5800,,5690,,5600,,5660,,5680,,,5700,5600</t>
  </si>
  <si>
    <t>2025-05-05 13:41:00,20300,,20100,,19475,,20000,,,,,20100,19675</t>
  </si>
  <si>
    <t>2025-05-05 13:41:00,1005952602.62394,35455802682.3043,-33.9357142857113,-4338,806.167000000007,-8209.29,212.287707923425,-4690.03</t>
  </si>
  <si>
    <t>2025-05-05 13:41:00,1304519662.44491,6426931815.49066,-3651.02741163354,-4944,-1395.83939176339,-4438.8,-267.596005661317,-2444.86</t>
  </si>
  <si>
    <t>2025-05-05 13:41:00,300447887.336359,602841353.374524,,-1163,,-5708.21,-6.70345684002328,-452.09</t>
  </si>
  <si>
    <t>2025-05-05 13:41:00,32031119.2265878,2065077.03658415,0.304295572675046,-16,476.251342386204,635,0.155627217283977,7.68</t>
  </si>
  <si>
    <t>2025-05-05 13:42:00,575,,566,,575,,562.5,566,,,,567,560</t>
  </si>
  <si>
    <t>2025-05-05 13:42:00,490,,488,,485,,486,,489,,,490,484</t>
  </si>
  <si>
    <t>2025-05-05 13:42:00,5800,,5690,,5600,,5670,,,,,5700,5600</t>
  </si>
  <si>
    <t>2025-05-05 13:42:00,20300,,20100,,19475,,20000,,,,,20100,19675</t>
  </si>
  <si>
    <t>2025-05-05 13:42:00,897999131.641058,36374603819.3801,821.551587301586,1409,3309.57408730159,3173.34,95.0174975871161,1954.64</t>
  </si>
  <si>
    <t>2025-05-05 13:42:00,1260140887.61912,6345052646.40853,-2188.23302675584,-1417,-652.339132664429,-692.14,-71.6727176233087,-751.51</t>
  </si>
  <si>
    <t>2025-05-05 13:42:00,297961658.365361,555162141.956405,,-251,,1611.82,3.29282627421005,-12.28</t>
  </si>
  <si>
    <t>2025-05-05 13:42:00,33094182.9689496,1883681.84274502,29.4089455320799,40,167.483749886929,589.8,0.0962828465840354,8.01</t>
  </si>
  <si>
    <t>2025-05-05 13:43:00,575,,566,,575,,562.5,,,,,567,560</t>
  </si>
  <si>
    <t>2025-05-05 13:43:00,490,,488,,485,,486,489,,,,490,484</t>
  </si>
  <si>
    <t>2025-05-05 13:43:00,5800,,5690,,5600,,5670,5690,,,,5700,5600</t>
  </si>
  <si>
    <t>2025-05-05 13:43:00,20300,,20100,,19475,,20000,,,,,20100,19675</t>
  </si>
  <si>
    <t>2025-05-05 13:43:00,958707513.504676,37120163975.5664,-1791.95750915751,-3270,-582.99804029304,-1488.47,-198.226389999373,-1000.22</t>
  </si>
  <si>
    <t>2025-05-05 13:43:00,1227649838.15786,6503950268.8195,-634.676157900391,-722,177.367084998464,-223.4,374.13336819456,-72.66</t>
  </si>
  <si>
    <t>2025-05-05 13:43:00,298904048.378364,576990054.106322,,-47,,-775.82,14.9186206028705,-17.82</t>
  </si>
  <si>
    <t>2025-05-05 13:43:00,33495995.4895337,2018474.91103142,-0.334523809523807,-6,10.3649047619048,-24.2,-0.0205086540008718,-0.89</t>
  </si>
  <si>
    <t>2025-05-05 13:44:00,575,,566,,575,,562.5,,,,,567,560</t>
  </si>
  <si>
    <t>2025-05-05 13:44:00,490,,488,,485,,486,,,,,490,484</t>
  </si>
  <si>
    <t>2025-05-05 13:44:00,5800,,5690,,5600,,5670,,,,,5700,5600</t>
  </si>
  <si>
    <t>2025-05-05 13:44:00,20300,,20100,,19475,,20000,,,,,20100,19675</t>
  </si>
  <si>
    <t>2025-05-05 13:44:00,980462568.964819,36373632348.9031,533.176190476191,-760,792.033857142857,-498.04,166.547765489,-183.53</t>
  </si>
  <si>
    <t>2025-05-05 13:44:00,1230021323.24596,6351526046.16342,306.881167851756,1761,466.539105257487,405.34,213.04325331133,276.43</t>
  </si>
  <si>
    <t>2025-05-05 13:44:00,299790111.415421,603751774.497407,,-389,,-620,-1.44286245298635,-152.01</t>
  </si>
  <si>
    <t>2025-05-05 13:44:00,30241852.4757962,2097938.48921694,-16.150758061072,-17,341.917068332266,-1713.62,-0.0465263934803151,-2.9</t>
  </si>
  <si>
    <t>2025-05-05 13:45:00,575,,567,,575,,562.5,,,,,567,560</t>
  </si>
  <si>
    <t>2025-05-05 13:45:00,490,,488,,485,,486,,,489,,490,484</t>
  </si>
  <si>
    <t>2025-05-05 13:45:00,5800,,5690,,5600,,5660,,,,,5700,5600</t>
  </si>
  <si>
    <t>2025-05-05 13:45:00,20300,,20100,,19475,,20000,,,,,20100,19675</t>
  </si>
  <si>
    <t>2025-05-05 13:45:00,972035968.159107,36057250997.6301,23.5238095238095,-1266,16.8857142857144,-898.56,-77.0172109644543,-614.36</t>
  </si>
  <si>
    <t>2025-05-05 13:45:00,1340498637.3832,6351828695.11226,-714.55351981352,-77,106.045801709401,503.96,-68.0658605965062,298.71</t>
  </si>
  <si>
    <t>2025-05-05 13:45:00,295768006.96609,623053791.706853,,319,,1074.75,14.3643018616434,99.99</t>
  </si>
  <si>
    <t>2025-05-05 13:45:00,30563669.3476155,2221930.53686977,18.0015219705769,26,171.816634557685,235.7,0.175171004840178,6.7</t>
  </si>
  <si>
    <t>2025-05-05 13:46:00,575,,566,,575,,562.5,,,,,567,560</t>
  </si>
  <si>
    <t>2025-05-05 13:46:00,490,,488,,485,,486,,,,,490,484</t>
  </si>
  <si>
    <t>2025-05-05 13:46:00,5800,,5690,,5600,,5670,,,,,5700,5600</t>
  </si>
  <si>
    <t>2025-05-05 13:46:00,20300,,20100,,19475,,20000,,,,,20100,19675</t>
  </si>
  <si>
    <t>2025-05-05 13:46:00,913974855.883715,37872148397.6008,348.045238095238,866,713.629999999997,243.72,-149.957581699002,309.29</t>
  </si>
  <si>
    <t>2025-05-05 13:46:00,1284816564.9955,6189363281.60163,-1414.21504023482,-1521,-609.326716885269,-1285.77,-0.948358506572847,-816.61</t>
  </si>
  <si>
    <t>2025-05-05 13:46:00,298957274.656904,600546551.389933,,518,,95.6700000000001,-3.36562316052297,71.45</t>
  </si>
  <si>
    <t>2025-05-05 13:46:00,31612265.5255297,2165339.04032959,2.41988095238095,-6,55.1424178571428,-113.95,-0.0487870888975254,-3.08</t>
  </si>
  <si>
    <t>2025-05-05 13:47:00,575,,566,,575,,562.5,,,,,567,560</t>
  </si>
  <si>
    <t>2025-05-05 13:47:00,490,,488,,485,,486,,,,489,490,484</t>
  </si>
  <si>
    <t>2025-05-05 13:47:00,5800,,5690,,5600,,5670,,,,,5700,5600</t>
  </si>
  <si>
    <t>2025-05-05 13:47:00,20300,,20100,,19475,,20000,,,,,20100,19675</t>
  </si>
  <si>
    <t>2025-05-05 13:47:00,878496962.463611,37147876528.9718,600.980952380954,191,1589.80976190477,399.84,-437.508855007334,312.53</t>
  </si>
  <si>
    <t>2025-05-05 13:47:00,1325982972.39877,6308260233.73497,-1590.08487961614,-2212,-557.497505342651,-1188.05,163.603021428594,-1005.78</t>
  </si>
  <si>
    <t>2025-05-05 13:47:00,293834209.852466,590388203.368082,,292,,402.41,-3.34441397674839,57.93</t>
  </si>
  <si>
    <t>2025-05-05 13:47:00,30859373.1870405,2131164.80333397,11.4011904761905,-26,102.336404761905,-148.21,-0.096773004176829,-4.56</t>
  </si>
  <si>
    <t>2025-05-05 13:48:00,575,,566,,575,,562.5,,,,,567,560</t>
  </si>
  <si>
    <t>2025-05-05 13:48:00,490,,488,,485,,486,,,,489,490,484</t>
  </si>
  <si>
    <t>2025-05-05 13:48:00,5800,,5680,,5600,,5670,,,,,5700,5600</t>
  </si>
  <si>
    <t>2025-05-05 13:48:00,20000,,20100,,19475,,20000,,,,,20100,19675</t>
  </si>
  <si>
    <t>2025-05-05 13:48:00,877784094.366628,37311674680.8972,-709.016756070017,-2874,779.574454686616,786.22,-203.722931194758,201.23</t>
  </si>
  <si>
    <t>2025-05-05 13:48:00,1298278020.93601,6316069481.47935,-346.413699555841,1308,0.0121032966584102,283.57,113.8714790676,329.8</t>
  </si>
  <si>
    <t>2025-05-05 13:48:00,293962695.700349,558054047.52609,,794,,6414.28,-12.7057526309411,388.9</t>
  </si>
  <si>
    <t>2025-05-05 13:48:00,30180945.1987763,2166231.18337026,26.3203412274001,28,137.428982836771,146.33,-0.00843284212838389,4.51</t>
  </si>
  <si>
    <t>2025-05-05 13:49:00,575,,566,,575,,562.5,,,,,567,560</t>
  </si>
  <si>
    <t>2025-05-05 13:49:00,490,,488,,485,,486,,489,,,490,484</t>
  </si>
  <si>
    <t>2025-05-05 13:49:00,5800,,5690,,5600,,5670,,,,,5700,5600</t>
  </si>
  <si>
    <t>2025-05-05 13:49:00,20300,,20100,,19475,,20000,,,,,20100,19675</t>
  </si>
  <si>
    <t>2025-05-05 13:49:00,879091032.26478,36637907619.5868,-2289.50793650794,-1835,-688.925634920634,-665.55,-143.801016965102,-869.44</t>
  </si>
  <si>
    <t>2025-05-05 13:49:00,1252860414.4409,6395089246.74863,-183.81410782704,930,34.6401019430743,-365.38,-661.755617773015,-57.7800000000001</t>
  </si>
  <si>
    <t>2025-05-05 13:49:00,298174024.572893,572010023.225802,,-954,,-3665.31,3.99565754894959,-361.6</t>
  </si>
  <si>
    <t>2025-05-05 13:49:00,30017923.779321,2198146.88333669,16.321978021978,9,99.8658937728938,73.91,0.0473333746969136,2.59</t>
  </si>
  <si>
    <t>2025-05-05 13:50:00,575,,566,,575,,562.5,,,,,567,560</t>
  </si>
  <si>
    <t>2025-05-05 13:50:00,490,,488,,485,,486,,,,,490,484</t>
  </si>
  <si>
    <t>2025-05-05 13:50:00,5800,,5690,,5600,,5670,,,,,5700,5600</t>
  </si>
  <si>
    <t>2025-05-05 13:50:00,20000,,20100,,19475,,20000,,,,,20100,19675</t>
  </si>
  <si>
    <t>2025-05-05 13:50:00,887560084.669008,35084388284.8037,-181.676587301586,1819,216.953769841271,-56.4699999999999,103.706118181845,31.69</t>
  </si>
  <si>
    <t>2025-05-05 13:50:00,1334289875.24527,6293270600.9055,125.145775729647,191,364.81441218638,448.83,80.3993139677673,279.78</t>
  </si>
  <si>
    <t>2025-05-05 13:50:00,297390217.729795,573187564.962137,,-147,,1686.29,6.24105603675338,66.17</t>
  </si>
  <si>
    <t>2025-05-05 13:50:00,31281892.2294132,2162497.56219983,7.01571428571429,-16,73.5919142857143,6.61999999999999,-0.0242385226692719,-0.0600000000000002</t>
  </si>
  <si>
    <t>2025-05-05 13:51:00,575,,567,,575,,562.5,,,,,567,560</t>
  </si>
  <si>
    <t>2025-05-05 13:51:00,490,,488,,485,,486,,,,,490,484</t>
  </si>
  <si>
    <t>2025-05-05 13:51:00,5800,,5690,,5600,,5670,,,,,5700,5600</t>
  </si>
  <si>
    <t>2025-05-05 13:51:00,20300,,20100,,19475,,20000,,,,,20100,19675</t>
  </si>
  <si>
    <t>2025-05-05 13:51:00,942239107.29068,36599134539.4392,670.563819875776,1467,78.9432903726704,196.12,132.296006794212,262.49</t>
  </si>
  <si>
    <t>2025-05-05 13:51:00,1301975713.31535,5900466422.3217,-1711.80320827489,-2113,-662.147568957457,-907.48,213.198529934847,-848.66</t>
  </si>
  <si>
    <t>2025-05-05 13:51:00,298682196.869671,592167830.890364,,334,,-1035.76,12.6489911566935,203.15</t>
  </si>
  <si>
    <t>2025-05-05 13:51:00,30644567.7342141,2190830.95359001,0.0249783549783527,-23,-2.17521818181819,-101.37,-0.0567133161754697,-2.99</t>
  </si>
  <si>
    <t>2025-05-05 13:52:00,575,,566,,575,,562.5,,,,,567,560</t>
  </si>
  <si>
    <t>2025-05-05 13:52:00,490,,488,,485,,486,,,,,490,484</t>
  </si>
  <si>
    <t>2025-05-05 13:52:00,5800,,5680,,5600,,5670,,,5670,,5700,5600</t>
  </si>
  <si>
    <t>2025-05-05 13:52:00,20300,,20100,,19475,,20000,,,,,20100,19675</t>
  </si>
  <si>
    <t>2025-05-05 13:52:00,872006896.741393,35551252832.2118,402.93781512605,-370,603.04012605042,682.22,-107.583294596963,384.57</t>
  </si>
  <si>
    <t>2025-05-05 13:52:00,1321741312.80864,5954397908.26355,1201.36666666666,1516,951.795333333331,901.65,-109.291371276353,702.16</t>
  </si>
  <si>
    <t>2025-05-05 13:52:00,293632569.834031,589619477.865966,,552,,3012.22,-13.8463194242109,176.43</t>
  </si>
  <si>
    <t>2025-05-05 13:52:00,30926681.0181183,2355784.87565978,15.9057359307359,91,43.1378441558441,452.95,-0.336000624734999,16.49</t>
  </si>
  <si>
    <t>2025-05-05 13:53:00,575,,566,,575,,563.5,,,,,567,560</t>
  </si>
  <si>
    <t>2025-05-05 13:53:00,490,,488,,485,,486,,,,,490,484</t>
  </si>
  <si>
    <t>2025-05-05 13:53:00,5800,,5680,,5600,,5670,,,,,5700,5600</t>
  </si>
  <si>
    <t>2025-05-05 13:53:00,20000,,20100,,19475,,20000,,,,,20100,19675</t>
  </si>
  <si>
    <t>2025-05-05 13:53:00,781173829.173236,32387494190.5849,-15058.9952380952,-2135,-1237.44361507937,1801.26,-211.274499510136,1428.45</t>
  </si>
  <si>
    <t>2025-05-05 13:53:00,1288883696.81638,5405664047.15582,-815.820660833225,-236,-162.766901136215,-143.33,-192.883737657806,-4.76000000000004</t>
  </si>
  <si>
    <t>2025-05-05 13:53:00,291936929.832689,520495210.684852,,-232,,26855.37,-5.90517378413473,330.51</t>
  </si>
  <si>
    <t>2025-05-05 13:53:00,30672172.3062645,1865391.15151452,5.46935383737709,24,-53.0941990083559,752.98,-0.00668223778512621,6.3</t>
  </si>
  <si>
    <t>2025-05-05 13:55:00,575,,566,,575,,563.5,,,,566,567,560</t>
  </si>
  <si>
    <t>2025-05-05 13:55:00,490,,488,,485,,486,,,,,490,484</t>
  </si>
  <si>
    <t>2025-05-05 13:55:00,5800,,5680,,5600,,5670,,,,,5700,5600</t>
  </si>
  <si>
    <t>2025-05-05 13:55:00,20000,,20100,,19475,,20000,,,,,20100,19675</t>
  </si>
  <si>
    <t>2025-05-05 13:55:00,796865259.505589,33576598981.5068,-3384.32619047619,-2580,-813.293607142855,220.67,588.986990434171,-180.31</t>
  </si>
  <si>
    <t>2025-05-05 13:55:00,1278409143.68544,5568983416.89913,2433.0258354532,1080,1208.00705751761,-715.6,-493.629758842639,22.78</t>
  </si>
  <si>
    <t>2025-05-05 13:55:00,292517429.672499,514817167.476681,,247,,12404.22,2.51181661821753,749.5</t>
  </si>
  <si>
    <t>2025-05-05 13:55:00,30532412.8319762,1801342.45865447,-10.82,12,-94.2686499999998,175.59,-0.0327025162092885,3.68</t>
  </si>
  <si>
    <t>2025-05-05 13:56:00,575,,566,,575,,563.5,,,566,,567,560</t>
  </si>
  <si>
    <t>2025-05-05 13:56:00,490,,488,,485,,486,,,,,490,484</t>
  </si>
  <si>
    <t>2025-05-05 13:56:00,5800,,5680,,5600,,5670,,,5680,,5700,5600</t>
  </si>
  <si>
    <t>2025-05-05 13:56:00,20000,,20100,,19475,,20000,,,,,20100,19675</t>
  </si>
  <si>
    <t>2025-05-05 13:56:00,702099744.467563,32054275590.0491,2561.84370573871,9095,-1036.50353131868,727.15,203.394473941611,2168.2</t>
  </si>
  <si>
    <t>2025-05-05 13:56:00,1247427746.06368,5212053098.85625,-3392.58426266006,-3047,-2379.56796629895,-2875.31,12.5191859797931,-1653.28</t>
  </si>
  <si>
    <t>2025-05-05 13:56:00,291113147.054363,427898257.879806,,-2182,,7780.27,-21.12356751359,53.01</t>
  </si>
  <si>
    <t>2025-05-05 13:56:00,29191429.3348994,1480755.40405216,-16.8357132307368,-46,-244.694476168058,-36.85,0.0221425709103823,-2.89</t>
  </si>
  <si>
    <t>2025-05-05 13:57:00,575,,566,,575,,563.5,,,,,567,560</t>
  </si>
  <si>
    <t>2025-05-05 13:57:00,490,,488,,485,,486,,,,488,490,484</t>
  </si>
  <si>
    <t>2025-05-05 13:57:00,5800,,5680,,5600,,5670,,,,5670,5700,5600</t>
  </si>
  <si>
    <t>2025-05-05 13:57:00,20000,,20100,,19475,,20000,,,,,20100,19675</t>
  </si>
  <si>
    <t>2025-05-05 13:57:00,725467135.361491,31372874869.5898,2458.72976190476,5505,338.584880952379,1883.85,-39.4866492653805,2006.25</t>
  </si>
  <si>
    <t>2025-05-05 13:57:00,1229052287.24006,4689410471.0568,-1131.87719566372,-1641,-682.566939696681,-1143.68,348.051960865453,-892.72</t>
  </si>
  <si>
    <t>2025-05-05 13:57:00,291110163.301715,430503318.584022,,-1621,,-3661.17,9.85144484339176,-433.46</t>
  </si>
  <si>
    <t>2025-05-05 13:57:00,28675379.515996,1419066.48515945,-4.43331932773109,17,-78.3585151260504,-37.84,-0.0320034622668876,-0.56</t>
  </si>
  <si>
    <t>2025-05-05 13:58:00,575,,566,,575,,563.5,,,,,567,560</t>
  </si>
  <si>
    <t>2025-05-05 13:58:00,490,,488,,485,,486,,,488,,490,484</t>
  </si>
  <si>
    <t>2025-05-05 13:58:00,5800,,5680,,5600,,5670,,,,,5700,5600</t>
  </si>
  <si>
    <t>2025-05-05 13:58:00,20000,,20100,,19475,,20000,,,,,20100,19675</t>
  </si>
  <si>
    <t>2025-05-05 13:58:00,696946879.882861,29945517296.9303,1882.54761904762,2977,1571.58452380953,2188.41,-210.378599492898,1679.76</t>
  </si>
  <si>
    <t>2025-05-05 13:58:00,1235022667.01358,4735609298.38574,1396.51990341708,2162,811.938211687755,1207.75,-153.07878082481,1040.83</t>
  </si>
  <si>
    <t>2025-05-05 13:58:00,288398410.262751,429217334.689516,,774,,4127.26,-0.403011409284593,189.15</t>
  </si>
  <si>
    <t>2025-05-05 13:58:00,29525628.8999058,1492937.96273332,6.60680555555557,0,278.4075125,251.01,0.124589428701827,5.83</t>
  </si>
  <si>
    <t>2025-05-05 13:59:00,575,,566,,575,,563.5,566,,,566,567,560</t>
  </si>
  <si>
    <t>2025-05-05 13:59:00,490,,488,,485,,486,,,488,,490,484</t>
  </si>
  <si>
    <t>2025-05-05 13:59:00,5800,,5680,,5600,,5670,5680,,5670,,5700,5600</t>
  </si>
  <si>
    <t>2025-05-05 13:59:00,20000,,20100,,19475,,20000,,,,,20100,19675</t>
  </si>
  <si>
    <t>2025-05-05 13:59:00,629613566.985111,27471082807.0146,-3705.56136363636,-2301,-1767.65811363636,150.23,1997.01368003258,-508.7</t>
  </si>
  <si>
    <t>2025-05-05 13:59:00,1193726933.31837,3847202163.2339,-609.672993130058,668,42.5712909373246,2831.76,-844.406845702596,1421.46</t>
  </si>
  <si>
    <t>2025-05-05 13:59:00,287274366.171691,358215341.672224,,4234,,14793.29,-39.1716201389126,1395.78</t>
  </si>
  <si>
    <t>2025-05-05 13:59:00,28518996.9536638,1233163.65979766,29.9838591489811,26,570.370781849857,922.11,0.00909955022450315,7.68</t>
  </si>
  <si>
    <t>2025-05-05 14:00:00,575,,566,,575,,563.5,,,,,567,560</t>
  </si>
  <si>
    <t>2025-05-05 14:00:00,490,,488,,485,,486,,488,488,,490,484</t>
  </si>
  <si>
    <t>2025-05-05 14:00:00,5800,,5680,,5600,,5670,,5680,,5670,5700,5600</t>
  </si>
  <si>
    <t>2025-05-05 14:00:00,20000,,20100,,19475,,20000,,,,,20100,19675</t>
  </si>
  <si>
    <t>2025-05-05 14:00:00,576609720.387568,27032070044.4999,-10206.4404761905,-7302,-4820.58123015873,-2433.11,263.429431416034,-2224.59</t>
  </si>
  <si>
    <t>2025-05-05 14:00:00,1156192026.81343,4171051872.00607,1703.19192193005,2288,-391.035571880374,-728.92,433.689253771248,44.4400000000002</t>
  </si>
  <si>
    <t>2025-05-05 14:00:00,285495888.421947,316828241.136614,,-1843,,-4484.84,-0.178898620789549,-489.73</t>
  </si>
  <si>
    <t>2025-05-05 14:00:00,28632493.4647381,1077749.74601125,12.2915708812261,32,86.7865498084292,270.75,-0.0251905749556002,7.66</t>
  </si>
  <si>
    <t>2025-05-05 14:01:00,575,,566,,575,,563.5,,,,565,567,560</t>
  </si>
  <si>
    <t>2025-05-05 14:01:00,490,,488,,485,,486,,,488,,490,484</t>
  </si>
  <si>
    <t>2025-05-05 14:01:00,5800,,5680,,5600,,5670,,,5670,5660,5700,5600</t>
  </si>
  <si>
    <t>2025-05-05 14:01:00,20000,,20100,,19475,,20000,,,,,20100,19675</t>
  </si>
  <si>
    <t>2025-05-05 14:01:00,425146742.406577,18678760111.1108,-15877.7549311799,-10306,-9705.7318399656,1498.61,382.242419281716,-1606.83</t>
  </si>
  <si>
    <t>2025-05-05 14:01:00,1082840956.01283,2483629797.62692,7143.49379332545,11093,4024.1603624551,10970.05,-1126.90949737858,5923.55</t>
  </si>
  <si>
    <t>2025-05-05 14:01:00,273845245.131436,239517723.299668,,818,,15844.04,0.559863047212929,737.86</t>
  </si>
  <si>
    <t>2025-05-05 14:01:00,26443416.257213,523836.137968871,-15.2653760645395,-32,-134.375844771133,269.26,0.102698147595929,1.52</t>
  </si>
  <si>
    <t>2025-05-05 14:02:00,575,,566,,575,,563.5,,565,565,,567,560</t>
  </si>
  <si>
    <t>2025-05-05 14:02:00,490,,488,,485,,486,,,,488,490,484</t>
  </si>
  <si>
    <t>2025-05-05 14:02:00,5800,,5680,,5600,,5670,,,5660,5670,5700,5600</t>
  </si>
  <si>
    <t>2025-05-05 14:02:00,20000,,20100,,19475,,20000,,,,,20100,19675</t>
  </si>
  <si>
    <t>2025-05-05 14:02:00,513113533.212072,19958723672.4895,60594.6177436895,28097,34584.9352024803,9676.39,-1144.7111441968,7852.45</t>
  </si>
  <si>
    <t>2025-05-05 14:02:00,1102681688.39375,2142346243.58288,7555.28702081569,5560,3554.97998060083,2951.24,761.549346301563,1533.3</t>
  </si>
  <si>
    <t>2025-05-05 14:02:00,278542825.68778,242608424.062772,,5887,,13693.31,32.5249671140914,1239.29</t>
  </si>
  <si>
    <t>2025-05-05 14:02:00,27270710.2742544,730716.826819155,209.587434450892,163,1847.64080315158,1297.55,-0.109967498591076,32.94</t>
  </si>
  <si>
    <t>2025-05-05 14:03:00,575,,566,,575,,563.5,,,565,,567,560</t>
  </si>
  <si>
    <t>2025-05-05 14:03:00,490,,488,,485,,486,,,,488,490,484</t>
  </si>
  <si>
    <t>2025-05-05 14:03:00,5800,,5680,,5600,,5670,,,,,5700,5600</t>
  </si>
  <si>
    <t>2025-05-05 14:03:00,20000,,20100,,19475,,20000,,,,,20100,19675</t>
  </si>
  <si>
    <t>2025-05-05 14:03:00,533658531.14209,21826156277.9391,6652.84593450029,5337,4644.94993205346,4507.63,-728.849622974199,3147.4</t>
  </si>
  <si>
    <t>2025-05-05 14:03:00,1118914992.00617,2012586389.36535,-4463.0726495727,-2350,-2618.74273504278,-374.94,245.635856684705,-778.3</t>
  </si>
  <si>
    <t>2025-05-05 14:03:00,277040124.998034,258116148.407087,,747,,5661.36,11.6842453072315,307.07</t>
  </si>
  <si>
    <t>2025-05-05 14:03:00,26640067.4703549,704698.399085151,14.6750793650794,39,206.105847619048,361.76,-0.0268067702735356,8.71</t>
  </si>
  <si>
    <t>2025-05-05 14:04:00,575,,566,,575,,562.5,,,,566,567,560</t>
  </si>
  <si>
    <t>2025-05-05 14:04:00,490,,488,,485,,486,,,,,490,484</t>
  </si>
  <si>
    <t>2025-05-05 14:04:00,5800,,5680,,5600,,5670,,5680,,,5700,5600</t>
  </si>
  <si>
    <t>2025-05-05 14:04:00,20000,,20100,,19475,,20000,,,,,20100,19675</t>
  </si>
  <si>
    <t>2025-05-05 14:04:00,526964010.920108,28324278175.345,-474.821052631584,-1529,-3421.12268421053,-2840.1,204.19438593454,-1455.76</t>
  </si>
  <si>
    <t>2025-05-05 14:04:00,1088888706.94494,3655362129.74817,-2574.95043007102,-2185,-1546.64859852022,-926.19,37.4049407935565,-643.35</t>
  </si>
  <si>
    <t>2025-05-05 14:04:00,277443446.124894,293798412.158651,,-2741,,-8115.23,28.2459271691262,-644.95</t>
  </si>
  <si>
    <t>2025-05-05 14:04:00,27596997.4513307,841329.780563569,-11.0315151515151,7,-179.002384415584,-7.31999999999998,-0.0422487408743548,0.78</t>
  </si>
  <si>
    <t>2025-05-05 14:05:00,575,,566,,575,,563.5,,,,,567,560</t>
  </si>
  <si>
    <t>2025-05-05 14:05:00,490,,488,,485,,486,,,488,,490,484</t>
  </si>
  <si>
    <t>2025-05-05 14:05:00,5800,,5680,,5600,,5670,5680,,,,5700,5600</t>
  </si>
  <si>
    <t>2025-05-05 14:05:00,20000,,20100,,19475,,20025,,,,,20100,19675</t>
  </si>
  <si>
    <t>2025-05-05 14:05:00,576177850.071282,24042306850.1669,2539.16359649123,2581,1390.17555263158,902.18,-171.070342013577,554.21</t>
  </si>
  <si>
    <t>2025-05-05 14:05:00,1138497328.22602,3249948702.40737,1305.67952751735,3045,1087.3088919964,1482.85,-17.2598337873867,1044.63</t>
  </si>
  <si>
    <t>2025-05-05 14:05:00,283984442.636453,318931070.834214,,356,,-535.33,19.4970958286056,19.35</t>
  </si>
  <si>
    <t>2025-05-05 14:05:00,28135666.672591,907590.782301486,-2.24757417379369,-3,248.309487730969,-20.47,-0.00785293099345379,-0.37</t>
  </si>
  <si>
    <t>2025-05-05 14:06:00,575,,566,,575,,563.5,,,,,567,560</t>
  </si>
  <si>
    <t>2025-05-05 14:06:00,490,,488,,485,,486,,,,,490,484</t>
  </si>
  <si>
    <t>2025-05-05 14:06:00,5800,,5680,,5600,,5670,5680,,,,5700,5600</t>
  </si>
  <si>
    <t>2025-05-05 14:06:00,20000,,20100,,19475,,20000,,,,,20100,19675</t>
  </si>
  <si>
    <t>2025-05-05 14:06:00,620897824.478713,29997060472.6208,2140.22349121467,137,1500.16750343774,-213.45,134.284339500823,-617.53</t>
  </si>
  <si>
    <t>2025-05-05 14:06:00,1159202513.65779,4115554797.57218,1211.65219647502,1294,751.211680084407,834.72,10.9220807979595,612.82</t>
  </si>
  <si>
    <t>2025-05-05 14:06:00,286555239.609266,345264078.581416,,597,,-3702.37,30.0476648828983,38.81</t>
  </si>
  <si>
    <t>2025-05-05 14:06:00,27727913.1608174,1057864.60713326,2.3065393207582,-7,-69.1308997857415,-186.37,0.041331714320792,-2.05</t>
  </si>
  <si>
    <t>2025-05-05 14:07:00,575,,566,,575,,563.5,,,565,,567,560</t>
  </si>
  <si>
    <t>2025-05-05 14:07:00,490,,488,,485,,486,,,,,490,484</t>
  </si>
  <si>
    <t>2025-05-05 14:07:00,5800,,5680,,5600,,5670,,,5670,5660,5700,5600</t>
  </si>
  <si>
    <t>2025-05-05 14:07:00,20000,,20100,,19475,,20000,,,,,20100,19675</t>
  </si>
  <si>
    <t>2025-05-05 14:07:00,467320110.350311,24157753738.1462,-4271.68968253968,1577,-3795.12439682539,-308.6,-877.83241918342,114.26</t>
  </si>
  <si>
    <t>2025-05-05 14:07:00,1055822066.07121,2622254535.41594,-6730.9400498003,-5705,-2833.72634321731,-1532.64,101.273165360321,-1449.31</t>
  </si>
  <si>
    <t>2025-05-05 14:07:00,280270094.942472,249374796.440374,,-2085,,-4439.14,-3.97926622167853,-436.89</t>
  </si>
  <si>
    <t>2025-05-05 14:07:00,26853667.102548,693124.393227312,33.7018207282913,6,283.574429971989,216.19,-0.00746704878410085,3.04</t>
  </si>
  <si>
    <t>2025-05-05 14:08:00,575,,566,,575,,563.5,,,565,,567,560</t>
  </si>
  <si>
    <t>2025-05-05 14:08:00,490,,488,,485,,486,,,,,490,484</t>
  </si>
  <si>
    <t>2025-05-05 14:08:00,5800,,5680,,5600,,5670,,,,,5700,5600</t>
  </si>
  <si>
    <t>2025-05-05 14:08:00,20000,,20100,,19475,,20000,,,,,20100,19675</t>
  </si>
  <si>
    <t>2025-05-05 14:08:00,489525253.698152,21429111686.2406,-4833.47424242424,-4158,-1934.24128282829,-810.71,-228.696101601751,-629.22</t>
  </si>
  <si>
    <t>2025-05-05 14:08:00,1096715155.32527,2399073001.92579,-839.95,-812,-820.85,-458.12,91.8777096879306,-447.02</t>
  </si>
  <si>
    <t>2025-05-05 14:08:00,280850676.343434,215353568.091427,,-18,,-1893.87,3.59752096049217,-105.38</t>
  </si>
  <si>
    <t>2025-05-05 14:08:00,25498129.7561929,710629.492444943,-5.46417829756768,-7,584.473405582705,528.75,0.0490473990286622,-0.28</t>
  </si>
  <si>
    <t>2025-05-05 14:09:00,575,,566,,575,,563.5,,,,,567,560</t>
  </si>
  <si>
    <t>2025-05-05 14:09:00,490,,488,,485,,486,,,,,490,484</t>
  </si>
  <si>
    <t>2025-05-05 14:09:00,5800,,5680,,5600,,5670,,,,,5700,5600</t>
  </si>
  <si>
    <t>2025-05-05 14:09:00,20000,,20100,,19475,,20000,,,,,20100,19675</t>
  </si>
  <si>
    <t>2025-05-05 14:09:00,475349898.629902,20799309266.5958,-2113.672207486,-2509,-1152.94097995874,-1646.86,309.605191468655,-1121.88</t>
  </si>
  <si>
    <t>2025-05-05 14:09:00,1079738632.67919,2300237724.43179,-271.840771283046,-664,-148.496532864419,-149.71,-78.3116443464555,-53.9800000000001</t>
  </si>
  <si>
    <t>2025-05-05 14:09:00,281376252.326135,222510783.581278,,-1201,,-239.070000000001,-6.0182296328648,-322.6</t>
  </si>
  <si>
    <t>2025-05-05 14:09:00,28277621.4568437,710351.5116814,-5.91095270666406,-2,651.325634629668,694.6,0.0217341347831056,2.65</t>
  </si>
  <si>
    <t>2025-05-05 14:10:00,575,,566,,575,,563.5,,,,565,567,560</t>
  </si>
  <si>
    <t>2025-05-05 14:10:00,490,,488,,485,,486,,,,,490,484</t>
  </si>
  <si>
    <t>2025-05-05 14:10:00,5800,,5680,,5600,,5670,,,,,5700,5600</t>
  </si>
  <si>
    <t>2025-05-05 14:10:00,20000,,20100,,19475,,20000,,,,,20100,19675</t>
  </si>
  <si>
    <t>2025-05-05 14:10:00,410336249.701454,19184266439.1037,-2861.44772727273,-6020,-1041.52237121212,-2074.17,93.808131451371,-1943.31</t>
  </si>
  <si>
    <t>2025-05-05 14:10:00,1084220512.77168,1662053440.81148,-465.223033005642,-1262,39.4033147528804,-281,251.21065919373,-363.58</t>
  </si>
  <si>
    <t>2025-05-05 14:10:00,273507446.618781,198742042.091284,,502,,797.3,9.72820201386603,128.22</t>
  </si>
  <si>
    <t>2025-05-05 14:10:00,28018720.7562206,610591.178702189,28.0337388632873,23,4110.59911569893,4267.27,-0.0062808513223897,17.92</t>
  </si>
  <si>
    <t>2025-05-05 14:11:00,575,,566,,575,,563.5,,,,565,567,560</t>
  </si>
  <si>
    <t>2025-05-05 14:11:00,490,,488,,485,,486,,,,,490,484</t>
  </si>
  <si>
    <t>2025-05-05 14:11:00,5800,,5680,,5600,,5670,,,,5660,5700,5600</t>
  </si>
  <si>
    <t>2025-05-05 14:11:00,20000,,20100,,19475,,20025,,,,,20100,19675</t>
  </si>
  <si>
    <t>2025-05-05 14:11:00,396647520.872699,20541876149.3016,-1989.48837032533,-3888,-3063.10329507449,-4437.53,324.551049639267,-2915.91</t>
  </si>
  <si>
    <t>2025-05-05 14:11:00,1046261151.29589,2346062930.22341,827.850915750915,3760,-406.571245421246,651.12,-63.8581980491487,1239.36</t>
  </si>
  <si>
    <t>2025-05-05 14:11:00,279738585.89885,186467513.867221,,-1280,,-10465.8,15.4969666478358,-399.75</t>
  </si>
  <si>
    <t>2025-05-05 14:11:00,26958220.2972615,603676.735050668,1.52808575856971,-8,145.108738086936,-1313.93,0.115683058325436,-4.79</t>
  </si>
  <si>
    <t>2025-05-05 14:12:00,575,,566,,575,,562.5,,,,,567,560</t>
  </si>
  <si>
    <t>2025-05-05 14:12:00,490,,488,,485,,485,,,,,490,484</t>
  </si>
  <si>
    <t>2025-05-05 14:12:00,5800,,5680,,5600,,5670,,,,,5700,5600</t>
  </si>
  <si>
    <t>2025-05-05 14:12:00,20000,,20100,,19475,,20000,,,,,20100,19675</t>
  </si>
  <si>
    <t>2025-05-05 14:12:00,474891303.644827,28772833698.2476,-8399.025,1009,-3476.24839285714,42.0500000000002,-394.84991951547,-297.94</t>
  </si>
  <si>
    <t>2025-05-05 14:12:00,1093695756.04594,4764536447.29549,-224.941707717569,226,-184.729720853858,706.3,-49.7960180688867,511.22</t>
  </si>
  <si>
    <t>2025-05-05 14:12:00,276339864.299889,237810787.554789,,-125,,-2882.95,15.2803703652059,-86.24</t>
  </si>
  <si>
    <t>2025-05-05 14:12:00,29815119.7421716,840058.868404897,10.28,9,-21.9666,-23.23,0.0199129570810063,-0.64</t>
  </si>
  <si>
    <t>2025-05-05 14:13:00,575,,566,,575,,563.5,,,565,,567,560</t>
  </si>
  <si>
    <t>2025-05-05 14:13:00,490,,488,,485,,486,,,,,490,484</t>
  </si>
  <si>
    <t>2025-05-05 14:13:00,5800,,5680,,5600,,5670,,5670,,,5700,5600</t>
  </si>
  <si>
    <t>2025-05-05 14:13:00,20000,,20100,,19475,,20000,,,,,20100,19675</t>
  </si>
  <si>
    <t>2025-05-05 14:13:00,425198610.41944,20358575279.187,-124.222222222222,214,890.327777777779,2633.76,-988.616298665962,1651.77</t>
  </si>
  <si>
    <t>2025-05-05 14:13:00,1073219555.15768,2225389980.40149,259.365722827897,-686,1163.62501426544,-253.33,336.82118126866,-535.29</t>
  </si>
  <si>
    <t>2025-05-05 14:13:00,274570990.26589,194791252.368945,,-922,,391.51,-2.5653025221335,-377.55</t>
  </si>
  <si>
    <t>2025-05-05 14:13:00,28031282.6979158,655478.795424059,41.495308025308,25,596.406650632701,365.73,0.0752467868994481,8.62</t>
  </si>
  <si>
    <t>2025-05-05 14:14:00,575,,566,,575,,563.5,,,,,567,560</t>
  </si>
  <si>
    <t>2025-05-05 14:14:00,490,,488,,485,,486,488,,,,490,484</t>
  </si>
  <si>
    <t>2025-05-05 14:14:00,5800,,5680,,5600,,5670,,,,,5700,5600</t>
  </si>
  <si>
    <t>2025-05-05 14:14:00,20000,,20100,,19475,,20025,,,,,20100,19675</t>
  </si>
  <si>
    <t>2025-05-05 14:14:00,466746775.315266,22110432667.3172,-2599.18095238095,-2840,-247.448761904762,-229.28,-177.756158771341,-289.99</t>
  </si>
  <si>
    <t>2025-05-05 14:14:00,1097674464.47749,2086291899.42389,1076.52490842491,1603,764.724531135531,1135.82,140.99164627669,759.93</t>
  </si>
  <si>
    <t>2025-05-05 14:14:00,280624958.860012,214291799.62819,,5,,713.09,10.023168093939,55.2</t>
  </si>
  <si>
    <t>2025-05-05 14:14:00,27229620.8141288,755398.836504393,27.8714936379411,36,604.12445953827,628.64,0.157753166496101,14.98</t>
  </si>
  <si>
    <t>2025-05-05 14:15:00,575,,566,,575,,563.5,,,,,567,560</t>
  </si>
  <si>
    <t>2025-05-05 14:15:00,490,,488,,485,,486,,,,,490,484</t>
  </si>
  <si>
    <t>2025-05-05 14:15:00,5800,,5680,,5600,,5670,,,,,5700,5600</t>
  </si>
  <si>
    <t>2025-05-05 14:15:00,20000,,20100,,19475,,20025,,,,,20100,19675</t>
  </si>
  <si>
    <t>2025-05-05 14:15:00,410411585.734019,22835323641.6107,-405.532420732421,2084,-75.5765990991017,-1327.61,124.88893184253,-463.16</t>
  </si>
  <si>
    <t>2025-05-05 14:15:00,1100385562.08184,2448941576.06729,-2209.78571428571,-2262,-1004.472,-1409.48,123.259312847457,-917.84</t>
  </si>
  <si>
    <t>2025-05-05 14:15:00,282023511.772996,243900653.907668,,758,,-296.78,-3.96813331727349,61.04</t>
  </si>
  <si>
    <t>2025-05-05 14:15:00,28167966.4732129,860018.302396674,-28.8536713286713,-35,-274.532902097902,-271.65,-0.0631656488366872,-7.6</t>
  </si>
  <si>
    <t>2025-05-05 14:16:00,575,,566,,575,,563.5,,566,,,567,560</t>
  </si>
  <si>
    <t>2025-05-05 14:16:00,490,,488,,485,,486,,,,,490,484</t>
  </si>
  <si>
    <t>2025-05-05 14:16:00,5800,,5680,,5600,,5670,,5680,,5670,5700,5600</t>
  </si>
  <si>
    <t>2025-05-05 14:16:00,20000,,20100,,19475,,20025,,,,,20100,19675</t>
  </si>
  <si>
    <t>2025-05-05 14:16:00,465410866.854074,25230586377.2283,-9421.30606060606,-8968,-5939.03819552669,-4640.23,-270.714343733346,-3739.1</t>
  </si>
  <si>
    <t>2025-05-05 14:16:00,1043990151.98304,2574822314.67295,-5527.44537815126,-3571,-3909.46378151261,-2038.14,-144.660744395794,-1489.68</t>
  </si>
  <si>
    <t>2025-05-05 14:16:00,282608461.841825,233882689.033823,,-2244,,-9552.2,-4.59137128609687,-912.07</t>
  </si>
  <si>
    <t>2025-05-05 14:16:00,28862967.6086713,959098.354814493,-63.5555555555556,-21,-1443.84955555556,-576.18,0.0923737147707282,-12.07</t>
  </si>
  <si>
    <t>2025-05-05 14:17:00,575,,566,,575,,563.5,,,,,567,560</t>
  </si>
  <si>
    <t>2025-05-05 14:17:00,490,,488,,485,,486,,,,,490,484</t>
  </si>
  <si>
    <t>2025-05-05 14:17:00,5800,,5680,,5600,,5670,,5680,,,5700,5600</t>
  </si>
  <si>
    <t>2025-05-05 14:17:00,20000,,20100,,19475,,20000,,,,,20100,19675</t>
  </si>
  <si>
    <t>2025-05-05 14:17:00,479988476.41343,25069722594.435,-1767.66568144499,-2015,-1358.83691954023,-1209.18,-650.420352157861,-857.92</t>
  </si>
  <si>
    <t>2025-05-05 14:17:00,1069167448.06937,2979922333.11028,-31.321551724138,-566,8.28210344827584,-258.14,-108.866628784726,-194.25</t>
  </si>
  <si>
    <t>2025-05-05 14:17:00,282755061.97941,242167986.09078,,-416,,-942.65,-10.0821672314164,-77.36</t>
  </si>
  <si>
    <t>2025-05-05 14:17:00,28412467.3406168,1009684.65094617,7.19296448532031,-10,-30.376322965212,-211.09,0.0384368768485664,-5.34</t>
  </si>
  <si>
    <t>2025-05-05 14:18:00,575,,566,,575,,563.5,,,,,567,560</t>
  </si>
  <si>
    <t>2025-05-05 14:18:00,490,,488,,485,,486,,,,,490,484</t>
  </si>
  <si>
    <t>2025-05-05 14:18:00,5800,,5680,,5600,,5670,,,,,5700,5600</t>
  </si>
  <si>
    <t>2025-05-05 14:18:00,20000,,20100,,19475,,20025,,,,,20100,19675</t>
  </si>
  <si>
    <t>2025-05-05 14:18:00,481914226.739349,23787796326.1208,-357.496825396823,-1528,190.624920634923,-310.54,105.635746586727,-596.27</t>
  </si>
  <si>
    <t>2025-05-05 14:18:00,1121280651.12429,2604483905.89375,53.5336796536794,889,126.629219047619,546.47,-115.402510636483,343.73</t>
  </si>
  <si>
    <t>2025-05-05 14:18:00,281223656.310315,229549352.752835,,250,,278.98,-2.28697007931378,41.86</t>
  </si>
  <si>
    <t>2025-05-05 14:18:00,31721321.2568667,1054407.3591737,38.7997085422828,-2,311.229328704299,94.59,-0.039474795115635,2.4</t>
  </si>
  <si>
    <t>2025-05-05 14:19:00,575,,566,,575,,563.5,,,,,567,560</t>
  </si>
  <si>
    <t>2025-05-05 14:19:00,490,,488,,485,,486,,,,,490,484</t>
  </si>
  <si>
    <t>2025-05-05 14:19:00,5800,,5680,,5600,,5670,,,5670,,5700,5600</t>
  </si>
  <si>
    <t>2025-05-05 14:19:00,20000,,20100,,19475,,20000,,,,,20100,19675</t>
  </si>
  <si>
    <t>2025-05-05 14:19:00,413507611.303498,22541751652.7411,3624.62489177489,3145,2576.8999004329,1464.75,120.543033159817,1056.95</t>
  </si>
  <si>
    <t>2025-05-05 14:19:00,1106740817.54349,2155361447.80152,2858.92237762238,4790,1161.12442657343,1091.37,-99.804544382136,785.66</t>
  </si>
  <si>
    <t>2025-05-05 14:19:00,274578802.790912,203779693.790837,,-718,,3639.34,-22.4240160299807,76.85</t>
  </si>
  <si>
    <t>2025-05-05 14:19:00,27252750.6914748,764464.809374619,68.5225108225108,56,534.895391774892,346.57,0.127686582720675,9.27</t>
  </si>
  <si>
    <t>2025-05-05 14:20:00,575,,566,,575,,563.5,,,,,567,560</t>
  </si>
  <si>
    <t>2025-05-05 14:20:00,490,,488,,485,,486,,,,,490,484</t>
  </si>
  <si>
    <t>2025-05-05 14:20:00,5800,,5680,,5600,,5670,,,,5660,5700,5600</t>
  </si>
  <si>
    <t>2025-05-05 14:20:00,20000,,20100,,19475,,20025,,,,,20100,19675</t>
  </si>
  <si>
    <t>2025-05-05 14:20:00,374570288.114607,20669145269.4506,-3389.4105008234,-7240,-2142.45537401918,-3442.7,-445.406211678572,-2794.84</t>
  </si>
  <si>
    <t>2025-05-05 14:20:00,1084557442.26153,2092444228.7967,430.290627705628,1194,296.553551515151,124.17,-88.7541086032731,95.24</t>
  </si>
  <si>
    <t>2025-05-05 14:20:00,273872722.267785,173780808.461035,,-4,,4521.99,21.4834542113,214.73</t>
  </si>
  <si>
    <t>2025-05-05 14:20:00,27151047.6070693,678789.973798251,3.190343391482,-4,-25.6188722457961,-110.24,0.0394330716835497,-1.92</t>
  </si>
  <si>
    <t>2025-05-05 14:21:00,575,,566,,575,,563.5,,,,,567,560</t>
  </si>
  <si>
    <t>2025-05-05 14:21:00,490,,488,,485,,486,,,,,490,484</t>
  </si>
  <si>
    <t>2025-05-05 14:21:00,5800,,5680,,5600,,5670,,,,,5700,5600</t>
  </si>
  <si>
    <t>2025-05-05 14:21:00,20000,,20100,,19475,,20000,,,,,20100,19675</t>
  </si>
  <si>
    <t>2025-05-05 14:21:00,365195326.556174,20970788767.174,8853.73690476191,4165,5757.98419047619,2012.57,-60.8332477919065,1571.11</t>
  </si>
  <si>
    <t>2025-05-05 14:21:00,1056151328.91177,1554464963.14712,1505.14133022774,-467,704.294856366458,-646.67,-183.733755509344,-372.55</t>
  </si>
  <si>
    <t>2025-05-05 14:21:00,277302595.501899,157439445.348672,,-646,,-1611.08,-0.569812458577147,-308.91</t>
  </si>
  <si>
    <t>2025-05-05 14:21:00,27384306.0467945,723186.325342099,15.1117528223411,-1,138.583059417706,171.49,-0.0211635293581688,2.37</t>
  </si>
  <si>
    <t>2025-05-05 14:22:00,575,,566,,575,,563.5,,,,565,567,560</t>
  </si>
  <si>
    <t>2025-05-05 14:22:00,490,,488,,485,,486,,,,,490,484</t>
  </si>
  <si>
    <t>2025-05-05 14:22:00,5800,,5680,,5600,,5670,,,5660,,5700,5600</t>
  </si>
  <si>
    <t>2025-05-05 14:22:00,20000,,20100,,19475,,20025,,,,,20100,19675</t>
  </si>
  <si>
    <t>2025-05-05 14:22:00,271058381.927033,15724193596.8866,-10821.371031746,2610,-12974.125702381,-3394.48,1171.60971331143,-1510.39</t>
  </si>
  <si>
    <t>2025-05-05 14:22:00,1042866880.29712,851883360.423251,6280.25107243029,6754,3847.99499096487,4471.44,271.518567722097,3237.52</t>
  </si>
  <si>
    <t>2025-05-05 14:22:00,272948890.408911,81855126.5256315,,3254,,18784.15,-9.73800559360931,1732.57</t>
  </si>
  <si>
    <t>2025-05-05 14:22:00,24829377.0461372,409783.353711651,26.6353038791274,-87,209.458321946354,107.99,-0.198079207800823,-3.12</t>
  </si>
  <si>
    <t>2025-05-05 14:23:00,575,,566,,575,,563.5,,,565,,567,560</t>
  </si>
  <si>
    <t>2025-05-05 14:23:00,490,,488,,485,,486,,,487,,490,484</t>
  </si>
  <si>
    <t>2025-05-05 14:23:00,5800,,5680,,5600,,5670,,,5660,,5700,5600</t>
  </si>
  <si>
    <t>2025-05-05 14:23:00,20000,,20100,,19475,,20025,,,,,20100,19675</t>
  </si>
  <si>
    <t>2025-05-05 14:23:00,250534785.008127,16406603376.7187,2146.25912698413,1855,-178.557000000002,-583.95,78.6798292068558,96.4999999999999</t>
  </si>
  <si>
    <t>2025-05-05 14:23:00,959324972.001279,1281279001.09361,474.830897966768,-69,-31.4299690768172,-538.07,-273.538249792778,-265.09</t>
  </si>
  <si>
    <t>2025-05-05 14:23:00,274994388.853077,80836739.0556767,,424,,4959.17,-31.4641936204693,371.1</t>
  </si>
  <si>
    <t>2025-05-05 14:23:00,27785118.9841721,584544.246931096,-9.65940476190476,-50,-273.24155952381,-317.81,-0.0215366685911135,-9.53</t>
  </si>
  <si>
    <t>2025-05-05 14:24:00,575,,566,,575,,563.5,,,,,567,560</t>
  </si>
  <si>
    <t>2025-05-05 14:24:00,490,,488,,485,,486,,,,,490,484</t>
  </si>
  <si>
    <t>2025-05-05 14:24:00,5800,,5680,,5600,,5670,,,,,5700,5600</t>
  </si>
  <si>
    <t>2025-05-05 14:24:00,20000,,20100,,19475,,20000,,,,,20100,19675</t>
  </si>
  <si>
    <t>2025-05-05 14:24:00,247859215.385797,15185691521.6055,-3541.40833333333,-2124,-1588.33683333333,-300.16,-386.914586057432,-420.67</t>
  </si>
  <si>
    <t>2025-05-05 14:24:00,1034661986.79478,1085344488.57323,288.085714285714,75,357.197714285714,566.76,-123.207972500107,364.52</t>
  </si>
  <si>
    <t>2025-05-05 14:24:00,272443537.12948,59753887.3518894,,-937,,-1732.06,-0.409846428470128,-162.27</t>
  </si>
  <si>
    <t>2025-05-05 14:24:00,28851642.9211533,596000.186013515,0.940783792911456,11,51.8571606743522,124.33,-0.00321624917056047,3.77</t>
  </si>
  <si>
    <t>2025-05-05 14:25:00,575,,566,,575,,563.5,,565,,565,567,560</t>
  </si>
  <si>
    <t>2025-05-05 14:25:00,490,,488,,485,,486,,,,487,490,484</t>
  </si>
  <si>
    <t>2025-05-05 14:25:00,5800,,5680,,5600,,5670,,,5660,,5700,5600</t>
  </si>
  <si>
    <t>2025-05-05 14:25:00,20000,,20100,,19475,,20025,,,,,20100,19675</t>
  </si>
  <si>
    <t>2025-05-05 14:25:00,197713473.663837,16519570598.5514,-21618.4884448314,-19516,-15938.9733465698,-13747.17,1362.0468685995,-8881.57</t>
  </si>
  <si>
    <t>2025-05-05 14:25:00,977344476.929095,1014088362.44136,-909.240350877197,-4481,-2684.39609022557,-3841.14,-20.5393893058892,-2733.8</t>
  </si>
  <si>
    <t>2025-05-05 14:25:00,271484495.186688,11132513.0693585,,860,,-5569.99,30.7794428527745,-147.63</t>
  </si>
  <si>
    <t>2025-05-05 14:25:00,26774572.9359233,408137.230191378,-19.7518848308554,-28,-234.928444952596,-223.21,0.00287522225178183,-6.44</t>
  </si>
  <si>
    <t>2025-05-05 14:26:00,575,,566,,575,,563.5,,,,,567,560</t>
  </si>
  <si>
    <t>2025-05-05 14:26:00,490,,488,,485,,486,,,,,490,484</t>
  </si>
  <si>
    <t>2025-05-05 14:26:00,5800,,5680,,5600,,5670,5670,,,,5700,5650</t>
  </si>
  <si>
    <t>2025-05-05 14:26:00,20000,,20100,,19475,,20000,,,,,20100,19675</t>
  </si>
  <si>
    <t>2025-05-05 14:26:00,179217282.575331,15771105079.8815,-790.576962650875,159,-662.175749863662,-310.76,387.889758190248,92.9300000000001</t>
  </si>
  <si>
    <t>2025-05-05 14:26:00,955461063.833859,1258345383.40904,1354.3074382833,1670,833.754200833649,951.22,-286.136369708898,691.86</t>
  </si>
  <si>
    <t>2025-05-05 14:26:00,271995269.521343,19298350.1728539,,1560,,4700.8,14.5827435866784,479.13</t>
  </si>
  <si>
    <t>2025-05-05 14:26:00,25562348.6051293,236912.634482384,-49.0217741935484,-44,-454.529610215054,-400.9,0.16993697978888,-10.6</t>
  </si>
  <si>
    <t>2025-05-05 14:27:00,575,,566,,575,,563.5,,,,,567,560</t>
  </si>
  <si>
    <t>2025-05-05 14:27:00,490,,488,,485,,486,,,,487,490,485</t>
  </si>
  <si>
    <t>2025-05-05 14:27:00,5800,,5680,,5600,,5670,,,5660,,5700,5650</t>
  </si>
  <si>
    <t>2025-05-05 14:27:00,20000,,20100,,19475,,20025,,,,,20100,19675</t>
  </si>
  <si>
    <t>2025-05-05 14:27:00,220467813.408869,20405249514.639,2921.02673796791,5547,939.536660724894,695.48,349.986364073994,1039.4</t>
  </si>
  <si>
    <t>2025-05-05 14:27:00,995857290.418047,1888353325.01439,-752.748753058536,-458,-175.912303783173,-264.67,-93.8263545619001,-290.06</t>
  </si>
  <si>
    <t>2025-05-05 14:27:00,274157921.522903,50459858.3583011,,-13,,-3150.74,-7.9134174851469,-154.19</t>
  </si>
  <si>
    <t>2025-05-05 14:27:00,28069930.9307232,505828.85761879,-21.3825198412698,23,-396.455105753968,-184.26,0.0339411444690693,0.0999999999999999</t>
  </si>
  <si>
    <t>2025-05-05 14:28:00,575,,566,,575,,563.5,,,,,567,560</t>
  </si>
  <si>
    <t>2025-05-05 14:28:00,490,,488,,485,,486,,,487,,490,485</t>
  </si>
  <si>
    <t>2025-05-05 14:28:00,5800,,5680,,5600,,5670,5670,,5660,,5700,5650</t>
  </si>
  <si>
    <t>2025-05-05 14:28:00,20000,,20100,,19475,,20000,,,,,20100,19675</t>
  </si>
  <si>
    <t>2025-05-05 14:28:00,256566228.400037,15605941461.338,-2094.17857142857,-477,-63.2211428571366,703.24,-409.769217177109,-41.35</t>
  </si>
  <si>
    <t>2025-05-05 14:28:00,1060147964.0213,962991273.25987,-2733.25250544662,-1232,-118.87640087146,238.02,-69.2794215993307,-76.6</t>
  </si>
  <si>
    <t>2025-05-05 14:28:00,267400167.320595,87941892.2013317,,1715,,9475.57,-25.6291178817749,745.19</t>
  </si>
  <si>
    <t>2025-05-05 14:28:00,28022502.1145906,429538.264795795,10.2996482683983,26,171.637574404762,240.75,-0.00317289924035029,7.48</t>
  </si>
  <si>
    <t>2025-05-05 14:30:00,575,,566,,575,,563.5,,,,,567,560</t>
  </si>
  <si>
    <t>2025-05-05 14:30:00,490,,488,,485,,486,,,487,,490,485</t>
  </si>
  <si>
    <t>2025-05-05 14:30:00,5800,,5680,,5600,,5670,,,5660,,5700,5650</t>
  </si>
  <si>
    <t>2025-05-05 14:30:00,20000,,20100,,19475,,20025,,,,,20100,19675</t>
  </si>
  <si>
    <t>2025-05-05 14:30:00,274182048.518953,16151065069.1725,523.95780873753,2311,576.043752960834,1738.63,-220.68972571205,1432.18</t>
  </si>
  <si>
    <t>2025-05-05 14:30:00,1038482052.71383,663522691.584281,-500.968691340988,1564,248.969080246068,1566.24,-225.577887260696,928.27</t>
  </si>
  <si>
    <t>2025-05-05 14:30:00,271678596.880334,32992870.2616252,,1381,,5617.44,-3.34420354210622,396.45</t>
  </si>
  <si>
    <t>2025-05-05 14:30:00,26066442.3143121,230230.464239056,4.95714285714287,9,14.1367142857144,52.18,0.0257831646797779,1.71</t>
  </si>
  <si>
    <t>2025-05-05 14:31:00,575,,566,,575,,563.5,,,565,,567,560</t>
  </si>
  <si>
    <t>2025-05-05 14:31:00,490,,488,,485,,487,,,,,490,485</t>
  </si>
  <si>
    <t>2025-05-05 14:31:00,5800,,5680,,5600,,5670,,5670,,5660,5700,5650</t>
  </si>
  <si>
    <t>2025-05-05 14:31:00,20000,,20100,,19475,,20025,,,,,20100,19675</t>
  </si>
  <si>
    <t>2025-05-05 14:31:00,166842018.792174,9880631923.32179,25244.6458152958,-2476,24012.9353290043,7526.8,4550.27368965646,4890.31</t>
  </si>
  <si>
    <t>2025-05-05 14:31:00,1046009848.3866,697769273.877063,27758.5910770264,20325,10917.9712493388,6249.24,-348.285064871885,4756.07</t>
  </si>
  <si>
    <t>2025-05-05 14:31:00,266592606.344137,46000610.9644568,,-640,,757.2,-8.86777411642755,-95.43</t>
  </si>
  <si>
    <t>2025-05-05 14:31:00,29856057.4986975,203307.522788481,18.2743548441223,21,135.32370958757,213.2,-0.00828216675624691,6.02</t>
  </si>
  <si>
    <t>2025-05-05 14:32:00,575,,566,,575,,563.5,,,,,567,560</t>
  </si>
  <si>
    <t>2025-05-05 14:32:00,490,,488,,485,,487,,,,,490,485</t>
  </si>
  <si>
    <t>2025-05-05 14:32:00,5800,,5680,,5600,,5670,,,,,5700,5650</t>
  </si>
  <si>
    <t>2025-05-05 14:32:00,20000,,20100,,19475,,20025,,,,,20100,19675</t>
  </si>
  <si>
    <t>2025-05-05 14:32:00,179735779.936228,11112981850.5835,2080.80763736265,2103,564.956667399274,346.4,44.4211677615998,413.58</t>
  </si>
  <si>
    <t>2025-05-05 14:32:00,1015410253.42036,-306600935.386019,259.473626373627,1051,251.943203296704,716.17,-2.85545191433705,426.59</t>
  </si>
  <si>
    <t>2025-05-05 14:32:00,270366022.898169,-10214992.8397621,,1184,,3109.95,7.01085284886356,283.42</t>
  </si>
  <si>
    <t>2025-05-05 14:32:00,27155803.9540195,231043.491368486,26.7386521586522,22,122.367495442846,-128.48,0.0879764392144008,0.99</t>
  </si>
  <si>
    <t>2025-05-05 14:33:00,575,,566,,575,,563.5,,,,,567,560</t>
  </si>
  <si>
    <t>2025-05-05 14:33:00,490,,488,,485,,487,,,,,490,485</t>
  </si>
  <si>
    <t>2025-05-05 14:33:00,5800,,5680,,5600,,5670,,5670,,,5700,5650</t>
  </si>
  <si>
    <t>2025-05-05 14:33:00,20000,,20100,,19475,,20000,,,,,20100,19675</t>
  </si>
  <si>
    <t>2025-05-05 14:33:00,232648483.442375,14545958216.2233,855.266666666667,1796,280.651,771.16,-36.9500091582195,717.49</t>
  </si>
  <si>
    <t>2025-05-05 14:33:00,1040241111.8002,423587587.841748,-730.488095238095,-422,-348.372976190476,-356.42,111.437646077685,-276.03</t>
  </si>
  <si>
    <t>2025-05-05 14:33:00,271980466.701232,59054837.5492178,,-461,,-1521.55,2.00841121249454,-174.53</t>
  </si>
  <si>
    <t>2025-05-05 14:33:00,29251853.0997087,521363.281411136,12.8177497665733,40,144.790151447245,204.53,0.0535927054716999,7.07</t>
  </si>
  <si>
    <t>2025-05-05 14:34:00,575,,566,,575,,563.5,,,,,567,560</t>
  </si>
  <si>
    <t>2025-05-05 14:34:00,490,,488,,485,,486,,,,,490,485</t>
  </si>
  <si>
    <t>2025-05-05 14:34:00,5800,,5680,,5600,,5670,,,,,5700,5650</t>
  </si>
  <si>
    <t>2025-05-05 14:34:00,20000,,20100,,19475,,20000,,,,,20100,19675</t>
  </si>
  <si>
    <t>2025-05-05 14:34:00,266666057.37421,15018091706.4939,1264.35,1683,-177.7425,-19.67,324.203969110215,-17.45</t>
  </si>
  <si>
    <t>2025-05-05 14:34:00,1022483670.21722,704138119.577292,333.012280701754,1287,116.680666666667,503.81,-89.4091749329782,440.36</t>
  </si>
  <si>
    <t>2025-05-05 14:34:00,266159215.393333,45564809.8323095,,689,,2443.32,3.46758998356068,181</t>
  </si>
  <si>
    <t>2025-05-05 14:34:00,27834904.8676535,319472.804430431,-0.364972769166315,12,-20.5322148303309,85.83,0.0118727624235839,1.5</t>
  </si>
  <si>
    <t>2025-05-05 14:35:00,575,,566,,575,,563.5,,,,,567,560</t>
  </si>
  <si>
    <t>2025-05-05 14:35:00,490,,488,,485,,486,,,,,490,485</t>
  </si>
  <si>
    <t>2025-05-05 14:35:00,5800,,5680,,5600,,5670,,,,,5700,5650</t>
  </si>
  <si>
    <t>2025-05-05 14:35:00,20000,,20100,,19475,,20025,,,,,20100,19675</t>
  </si>
  <si>
    <t>2025-05-05 14:35:00,218624687.205012,21589527541.8408,-4551.54838709676,-1089,-2697.09397849462,-886.01,146.602786475631,-673.43</t>
  </si>
  <si>
    <t>2025-05-05 14:35:00,1002749177.74942,1762811646.67368,-588.190755113591,-482,-72.3175767644926,-256.85,-33.5153156836099,-74.02</t>
  </si>
  <si>
    <t>2025-05-05 14:35:00,274766496.215754,66083964.97874,,-259,,-2783.83,-4.86014004847438,-186.69</t>
  </si>
  <si>
    <t>2025-05-05 14:35:00,30774863.2420767,486300.896889934,-4.625,-19,-4.55833333333333,-71.05,-0.0151828017767016,-2.66</t>
  </si>
  <si>
    <t>2025-05-05 14:36:00,575,,566,,575,,563.5,,,,565,567,560</t>
  </si>
  <si>
    <t>2025-05-05 14:36:00,490,,488,,485,,487,,,,,490,485</t>
  </si>
  <si>
    <t>2025-05-05 14:36:00,5800,,5680,,5600,,5670,,,5660,,5700,5650</t>
  </si>
  <si>
    <t>2025-05-05 14:36:00,20000,,20100,,19475,,20025,,,,,20100,19675</t>
  </si>
  <si>
    <t>2025-05-05 14:36:00,215795731.444206,11803322259.4823,-3867.79846560847,-1141,-2116.56804232804,-3337.63,25.8789062536145,-2505.02</t>
  </si>
  <si>
    <t>2025-05-05 14:36:00,1007914711.41294,-111849151.24947,1444.5132730817,-110,1524.52513257893,641.77,193.157024141099,439.47</t>
  </si>
  <si>
    <t>2025-05-05 14:36:00,272806910.928587,6747004.19839079,,665,,2182.62,-14.8041120717775,298.08</t>
  </si>
  <si>
    <t>2025-05-05 14:36:00,27574622.5984988,128362.905811378,-20.4347121326511,-18,-94.8730158692876,-76.99,0.0713178514060791,-2.26</t>
  </si>
  <si>
    <t>2025-05-05 14:37:00,575,,566,,575,,563.5,,565,,,567,560</t>
  </si>
  <si>
    <t>2025-05-05 14:37:00,490,,489,,485,,487,,488,,,490,485</t>
  </si>
  <si>
    <t>2025-05-05 14:37:00,5800,,5680,,5600,,5670,,,,,5700,5650</t>
  </si>
  <si>
    <t>2025-05-05 14:37:00,20000,,20100,,19475,,20025,,,,,20100,19675</t>
  </si>
  <si>
    <t>2025-05-05 14:37:00,263540140.631245,17362284268.1488,-2373.99277777778,-3563,-1456.45268571429,-2203.17,99.1307309738239,-2210.84</t>
  </si>
  <si>
    <t>2025-05-05 14:37:00,1096307489.15845,876498492.43344,-2883.39459874136,-2146,-1785.62783224112,-1178.1,21.8181521249144,-1134.31</t>
  </si>
  <si>
    <t>2025-05-05 14:37:00,276025924.255459,58328930.6030559,,-1201,,-465.02,-10.6178107874172,-206.21</t>
  </si>
  <si>
    <t>2025-05-05 14:37:00,31338602.627216,698718.542843992,-0.071337579617829,-2,171.849217470428,119.1,0.141902355069563,3.79</t>
  </si>
  <si>
    <t>2025-05-05 14:38:00,575,,566,,575,,563.5,,,,,567,560</t>
  </si>
  <si>
    <t>2025-05-05 14:38:00,490,,488,,485,,487,,,,,490,485</t>
  </si>
  <si>
    <t>2025-05-05 14:38:00,5800,,5680,,5600,,5670,,,,,5700,5650</t>
  </si>
  <si>
    <t>2025-05-05 14:38:00,20000,,20100,,19475,,20025,,,,,20100,19675</t>
  </si>
  <si>
    <t>2025-05-05 14:38:00,330526928.415602,22448239644.3715,-193.468253968253,89,-123.455968253967,-1371.83,-472.23094662101,-863.08</t>
  </si>
  <si>
    <t>2025-05-05 14:38:00,1062112719.19552,1712942327.44873,-2690.99650537634,-3031,-1038.75311827957,-1226.55,138.812763556479,-1025.76</t>
  </si>
  <si>
    <t>2025-05-05 14:38:00,280808866.195259,212354317.962559,,-1590,,-4335.93,-32.9114101652573,-464.22</t>
  </si>
  <si>
    <t>2025-05-05 14:38:00,29973879.88002,1035710.19527422,20.8847252747253,46,244.63963956044,218.22,0.119432438990284,6.95</t>
  </si>
  <si>
    <t>2025-05-05 14:39:00,575,,566,,575,,563.5,,,,,567,560</t>
  </si>
  <si>
    <t>2025-05-05 14:39:00,490,,488,,485,,487,,,,,490,485</t>
  </si>
  <si>
    <t>2025-05-05 14:39:00,5800,,5680,,5600,,5670,,,,,5700,5650</t>
  </si>
  <si>
    <t>2025-05-05 14:39:00,20000,,20100,,19475,,20025,,,,,20100,19675</t>
  </si>
  <si>
    <t>2025-05-05 14:39:00,338529276.377598,21803612956.1828,3073.05454545455,4030,1221.90209090909,1101.44,128.540493024075,1064.24</t>
  </si>
  <si>
    <t>2025-05-05 14:39:00,1072946607.79456,1349497999.16683,-417.949908424909,-1781,126.639142857143,-361.83,-312.565786690898,-324.97</t>
  </si>
  <si>
    <t>2025-05-05 14:39:00,277983647.779347,125658372.763711,,-162,,393.2,-3.89776937178898,-62.23</t>
  </si>
  <si>
    <t>2025-05-05 14:39:00,27656976.12131,788042.619684442,8.66880952380953,6,80.8025047619048,12.57,0.0139375020669513,0.56</t>
  </si>
  <si>
    <t>2025-05-05 14:40:00,575,,566,,575,,563.5,,,,,567,560</t>
  </si>
  <si>
    <t>2025-05-05 14:40:00,490,,488,,485,,486,,,,,490,485</t>
  </si>
  <si>
    <t>2025-05-05 14:40:00,5800,,5680,,5600,,5670,,5670,5660,,5700,5650</t>
  </si>
  <si>
    <t>2025-05-05 14:40:00,20000,,20100,,19475,,20025,,,,,20100,19675</t>
  </si>
  <si>
    <t>2025-05-05 14:40:00,249606154.822667,23526242164.9489,2827.76103532482,2587,-1887.47895690708,-1625.23,5.60479849596553,-224.57</t>
  </si>
  <si>
    <t>2025-05-05 14:40:00,1040663795.97138,1958787205.96971,-1284.84609094609,-1488,-658.21324945425,-669.7,-30.6157091960876,-504.86</t>
  </si>
  <si>
    <t>2025-05-05 14:40:00,273037953.510023,123119160.467884,,-937,,-4437.76,-21.9936344313951,-393.88</t>
  </si>
  <si>
    <t>2025-05-05 14:40:00,26012014.8208068,707111.832192874,-23.7074151654797,-27,-106.313115556487,-151.43,0.0987070309126279,-4.41</t>
  </si>
  <si>
    <t>2025-05-05 14:41:00,575,,566,,575,,563.5,,,,,567,560</t>
  </si>
  <si>
    <t>2025-05-05 14:41:00,490,,488,,485,,487,,,,,490,485</t>
  </si>
  <si>
    <t>2025-05-05 14:41:00,5800,,5680,,5600,,5670,,,,,5700,5650</t>
  </si>
  <si>
    <t>2025-05-05 14:41:00,20000,,20100,,19475,,20000,,,,,20100,19675</t>
  </si>
  <si>
    <t>2025-05-05 14:41:00,339758733.347255,16660431665.7442,567.565763546798,-29,199.771145320197,-81.15,129.210642774657,-272.26</t>
  </si>
  <si>
    <t>2025-05-05 14:41:00,1108300995.552,1308468835.39739,346.678835978836,-19,486.293582010582,375.93,44.0248534346247,175.63</t>
  </si>
  <si>
    <t>2025-05-05 14:41:00,271629985.786181,152651885.891192,,540,,1242.24,-4.49676487207686,79.64</t>
  </si>
  <si>
    <t>2025-05-05 14:41:00,27714779.9898223,822043.154385549,-2.37344322344323,-15,35.2092637362637,-14.74,0.0825920627257148,-0.94</t>
  </si>
  <si>
    <t>2025-05-05 14:42:00,575,,566,,575,,563.5,,,,,567,560</t>
  </si>
  <si>
    <t>2025-05-05 14:42:00,490,,488,,485,,487,,,,,490,485</t>
  </si>
  <si>
    <t>2025-05-05 14:42:00,5800,,5680,,5600,,5670,,,,5660,5700,5650</t>
  </si>
  <si>
    <t>2025-05-05 14:42:00,20000,,20100,,19475,,20025,,,,,20100,19675</t>
  </si>
  <si>
    <t>2025-05-05 14:42:00,317443076.60668,17171935235.8465,-436.859511864945,-240,-294.675030060517,-185.2,-217.946443414753,-173.89</t>
  </si>
  <si>
    <t>2025-05-05 14:42:00,1036779530.43029,1661059792.13683,-1354.57867965368,-3856,-532.149642857145,-876.69,-215.236605989782,-698.95</t>
  </si>
  <si>
    <t>2025-05-05 14:42:00,270159729.017319,116037808.563545,,-528,,-1008.41,-4.8830705019826,-178.46</t>
  </si>
  <si>
    <t>2025-05-05 14:42:00,25093064.7698827,595648.282284881,4.43436539306104,-31,44.5529940711462,-14.8,-0.0337900288654982,-0.79</t>
  </si>
  <si>
    <t>2025-05-05 14:43:00,575,,567,,575,,563.5,,,,,567,560</t>
  </si>
  <si>
    <t>2025-05-05 14:43:00,490,,,485,485,,487,,,,,490,485</t>
  </si>
  <si>
    <t>2025-05-05 14:43:00,5800,,5680,,5600,,5670,,,5660,,5700,5650</t>
  </si>
  <si>
    <t>2025-05-05 14:43:00,20000,,20100,,19475,,20000,,,,,20100,19675</t>
  </si>
  <si>
    <t>2025-05-05 14:43:00,33268057.5148657,3246822522.2402,-1906.462001287,-3317,-702.630483590732,111.21,-112.509182905533,-767.79</t>
  </si>
  <si>
    <t>2025-05-05 14:43:00,942044476.963568,-1795848078.91681,1086.44976076555,3063,570.166545454546,1073.39,-196.667761411499,902.75</t>
  </si>
  <si>
    <t>2025-05-05 14:43:00,267403201.460432,66950430.4391626,,1023,,7055.08,-20.7694292246318,572.67</t>
  </si>
  <si>
    <t>2025-05-05 14:43:00,26250498.7546594,265356.88127402,4.11759259259259,-1,-37.5797222222222,42.75,-0.0929688997688829,-0.37</t>
  </si>
  <si>
    <t>2025-05-05 14:44:00,,,,,575,,563.5,,,,,567,560</t>
  </si>
  <si>
    <t>2025-05-05 14:44:00,490,,,485,485,,487,,,,,490,485</t>
  </si>
  <si>
    <t>2025-05-05 14:44:00,5800,,5680,,5600,,5670,,,5660,5650,5700,5650</t>
  </si>
  <si>
    <t>2025-05-05 14:44:00,20000,,,,19475,,20025,,,,,20100,19675</t>
  </si>
  <si>
    <t>2025-05-05 14:44:00,-61119551.7016249,-1544279580.38801,5318.42499999999,1561,3764.5099047619,1070.77,738.436317232777,137.33</t>
  </si>
  <si>
    <t>2025-05-05 14:44:00,870227083.914414,-3011011208.47321,682.931855500824,982,1762.57543349754,1417.59,36.9951078210303,535.85</t>
  </si>
  <si>
    <t>2025-05-05 14:44:00,266417069.880398,-160147308.667523,,1100,,16997.01,-31.5673467512951,1188.04</t>
  </si>
  <si>
    <t>2025-05-05 14:44:00,26036688.6791395,-460440.06602389,52.6749404761905,65,393.334611309524,374.86,-0.0280675089737932,13.53</t>
  </si>
  <si>
    <t>2025-05-05 14:45:00,575,,566,,575,,563.5,,565,,,567,560</t>
  </si>
  <si>
    <t>2025-05-05 14:45:00,490,,488,,485,,487,,,487,,490,485</t>
  </si>
  <si>
    <t>2025-05-05 14:45:00,5800,,5680,,5600,,5670,5670,,,,5700,5650</t>
  </si>
  <si>
    <t>2025-05-05 14:45:00,20000,,,,19475,,20025,,,,,20100,19675</t>
  </si>
  <si>
    <t>2025-05-05 14:45:00,54272350.3910196,12098163678.1516,-7485.42960927962,-4666,-2797.20965262515,-900.7,-715.297558715422,-861.93</t>
  </si>
  <si>
    <t>2025-05-05 14:45:00,954766708.273274,-280199476.671821,-2170.62586553232,-1693,-1369.47716455945,-1123.12,-80.4427468734583,-740.05</t>
  </si>
  <si>
    <t>2025-05-05 14:45:00,270236867.827817,-19462484.6759642,,1404,,-12795.85,-4.01693471035733,-348.22</t>
  </si>
  <si>
    <t>2025-05-05 14:45:00,26575895.2139484,-35487.5231981069,-22.0643188405797,-63,-297.875287619047,-235.07,-0.118392894499794,-11.51</t>
  </si>
  <si>
    <t>2025-05-05 14:46:00,575,,566,,575,,563.5,,,564,,567,560</t>
  </si>
  <si>
    <t>2025-05-05 14:46:00,490,,488,,470,,486,,,,,490,485</t>
  </si>
  <si>
    <t>2025-05-05 14:46:00,5800,,5680,,5600,,5660,,,5650,5660,5700,5650</t>
  </si>
  <si>
    <t>2025-05-05 14:46:00,20000,,,,19475,,20000,,,,,20100,19675</t>
  </si>
  <si>
    <t>2025-05-05 14:46:00,120369711.36415,15851666545.3121,18530.6268253968,6909,10395.2804190476,6972.71,-1002.86115755179,3830.26</t>
  </si>
  <si>
    <t>2025-05-05 14:46:00,1012958080.94303,529974370.357237,1591.65387864825,360,2278.48866935485,1760.15,-46.9652015185128,931.09</t>
  </si>
  <si>
    <t>2025-05-05 14:46:00,260397751.814337,4190740.88494915,,-2168,,-5244.01,-26.5227528312113,-809.59</t>
  </si>
  <si>
    <t>2025-05-05 14:46:00,29287178.1681045,-193862.284448436,88.9565949280476,98,92.9609383272393,782.16,-0.180237873136609,20.47</t>
  </si>
  <si>
    <t>2025-05-05 14:47:00,,,566,,575,,563.5,,,564,,567,560</t>
  </si>
  <si>
    <t>2025-05-05 14:47:00,490,,,485,470,,487,,,,487,490,485</t>
  </si>
  <si>
    <t>2025-05-05 14:47:00,5800,,,5650,5600,,5670,,,5650,5660,5700,5650</t>
  </si>
  <si>
    <t>2025-05-05 14:47:00,20000,,,,19475,,20025,,,,,20100,19675</t>
  </si>
  <si>
    <t>2025-05-05 14:47:00,-33566880.4902141,5297713040.70045,4036.71200828157,10230,996.517691511387,5583.84,-1468.45034306206,5288.43</t>
  </si>
  <si>
    <t>2025-05-05 14:47:00,949865939.035302,-1642447016.57422,-343.343211476968,-504,-348.698020050127,-1159.02,145.055423988246,-284.44</t>
  </si>
  <si>
    <t>2025-05-05 14:47:00,261652044.595252,-152985872.519807,,-993,,-4605.8,-36.8549722153807,-598.04</t>
  </si>
  <si>
    <t>2025-05-05 14:47:00,24925380.3604202,-547037.781588677,-58.1135723160516,-64,-570.228438094517,-632.44,0.154419748942604,-18.05</t>
  </si>
  <si>
    <t>2025-05-05 14:48:00,575,,566,,575,,563.5,564,,,,567,560</t>
  </si>
  <si>
    <t>2025-05-05 14:48:00,490,,488,,485,,486,,,487,,490,485</t>
  </si>
  <si>
    <t>2025-05-05 14:48:00,5800,,,5650,5600,,5670,,,5650,,5700,5650</t>
  </si>
  <si>
    <t>2025-05-05 14:48:00,20000,,,,19475,,20025,,,,,20100,19675</t>
  </si>
  <si>
    <t>2025-05-05 14:48:00,55122756.982712,8030961256.85827,2696.06309523809,2856,1801.32358333333,2555.85,361.672667261821,2049.57</t>
  </si>
  <si>
    <t>2025-05-05 14:48:00,956423571.154878,-351511090.611438,800.380531400966,1209,951.262223188408,1319.56,-223.392868330113,921.44</t>
  </si>
  <si>
    <t>2025-05-05 14:48:00,262584066.800687,-111645000.663047,,526,,2988.72,-53.7148666991123,189.99</t>
  </si>
  <si>
    <t>2025-05-05 14:48:00,26687066.8173342,-424883.202423102,-4.92607553366174,-25,-69.975786863711,-73.25,0.0193031575131721,-2.73</t>
  </si>
  <si>
    <t>2025-05-05 14:49:00,575,,566,,575,,563.5,,,,,567,560</t>
  </si>
  <si>
    <t>2025-05-05 14:49:00,490,,488,,470,,487,,487,,,490,485</t>
  </si>
  <si>
    <t>2025-05-05 14:49:00,5800,,,5650,5600,,5660,,,,5650,5700,5650</t>
  </si>
  <si>
    <t>2025-05-05 14:49:00,20000,,,,19475,,20025,,,,,20100,19675</t>
  </si>
  <si>
    <t>2025-05-05 14:49:00,65431729.1951395,5438108950.80955,8.48470418470388,96,-205.063621212123,-68.1200000000002,209.520453436813,17.21</t>
  </si>
  <si>
    <t>2025-05-05 14:49:00,1007014877.48535,-1093446149.80105,-283.918833749233,1101,619.639748085952,759.11,-442.705254625957,441.14</t>
  </si>
  <si>
    <t>2025-05-05 14:49:00,258023688.534483,-127867121.182761,,-480,,2287.2,3.05933544194119,98.08</t>
  </si>
  <si>
    <t>2025-05-05 14:49:00,26416345.4166481,-710428.623088312,-11.7314902869823,-34,-193.523587377535,-219.2,0.146169087086854,-8.13</t>
  </si>
  <si>
    <t>2025-05-05 14:50:00,,,566,,575,,563.5,,,564,,567,560</t>
  </si>
  <si>
    <t>2025-05-05 14:50:00,490,,488,,470,,487,,,,,490,485</t>
  </si>
  <si>
    <t>2025-05-05 14:50:00,5800,,,5650,5600,,5670,5660,,5660,,5700,5650</t>
  </si>
  <si>
    <t>2025-05-05 14:50:00,20000,,,,19475,,20025,,,,,20100,19675</t>
  </si>
  <si>
    <t>2025-05-05 14:50:00,-38598661.6131295,3686588162.29716,4708.61851024794,2320,1051.01124444184,1367.14,-892.77855376749,919.22</t>
  </si>
  <si>
    <t>2025-05-05 14:50:00,985199804.921576,-1881851850.16379,-1321.07275043796,1128,-495.420747310659,423.21,196.670649960419,204.43</t>
  </si>
  <si>
    <t>2025-05-05 14:50:00,262876435.194871,-246969998.447357,,1788,,1028.41,21.3444101543228,454.14</t>
  </si>
  <si>
    <t>2025-05-05 14:50:00,27608666.240275,-1075801.53393465,11.9351359830236,29,49.8731935015426,280.11,-0.0866143467732946,8.56</t>
  </si>
  <si>
    <t>2025-05-05 14:51:00,,,566,,575,,563.5,,,,,567,560</t>
  </si>
  <si>
    <t>2025-05-05 14:51:00,490,,488,,470,,487,,,,,490,485</t>
  </si>
  <si>
    <t>2025-05-05 14:51:00,5800,,,5650,5600,,5670,,,,,5700,5650</t>
  </si>
  <si>
    <t>2025-05-05 14:51:00,20000,,,,19475,,20025,,,,,20100,19675</t>
  </si>
  <si>
    <t>2025-05-05 14:51:00,-138124408.029533,2899642648.84559,3015.89880952381,4087,-59.6476666666666,1359.15,350.533281939312,961.92</t>
  </si>
  <si>
    <t>2025-05-05 14:51:00,966797129.379406,-1546789005.2573,605.186928104576,-630,-411.066941176469,-870.77,72.2497682224324,-672.11</t>
  </si>
  <si>
    <t>2025-05-05 14:51:00,260930827.390575,-318514140.605669,,2271,,4339.57,37.5917123863086,556.68</t>
  </si>
  <si>
    <t>2025-05-05 14:51:00,26356370.0746515,-1254093.23926604,38.1254879717609,29,-223.224833732015,742.45,-0.0643743284027764,13.49</t>
  </si>
  <si>
    <t>2025-05-05 14:52:00,,,566,,575,,563.5,,,564,,567,560</t>
  </si>
  <si>
    <t>2025-05-05 14:52:00,490,,488,,470,,487,,,,,490,485</t>
  </si>
  <si>
    <t>2025-05-05 14:52:00,5800,,,5650,5600,,5660,5660,,5660,5650,5700,5650</t>
  </si>
  <si>
    <t>2025-05-05 14:52:00,20000,,,20000,19475,,20025,,,,,20100,19675</t>
  </si>
  <si>
    <t>2025-05-05 14:52:00,-221205889.153308,4082614369.10417,-4253.85571095571,-374,-2867.77432400932,-1804.83,457.538009260475,95.3300000000003</t>
  </si>
  <si>
    <t>2025-05-05 14:52:00,828288715.550223,-2376539426.33795,-3640.40080049261,84,-855.363923029558,2205.76,24.4291910107324,1832.23</t>
  </si>
  <si>
    <t>2025-05-05 14:52:00,259430598.505749,-393445882.583433,,-108,,5047.73,35.4806821260954,522.55</t>
  </si>
  <si>
    <t>2025-05-05 14:52:00,27238883.4158667,-1563656.93200069,-15.1261449701795,-47,-187.043763227393,-446.22,-0.0191285941532786,-14.68</t>
  </si>
  <si>
    <t>2025-05-05 14:53:00,,,,563,575,,563.5,564,,,,567,560</t>
  </si>
  <si>
    <t>2025-05-05 14:53:00,490,,,485,470,,487,,,,,490,485</t>
  </si>
  <si>
    <t>2025-05-05 14:53:00,5800,,,5650,5600,,5660,5660,,5660,5650,5700,5650</t>
  </si>
  <si>
    <t>2025-05-05 14:53:00,20000,,,19900,19475,,20025,,,,,20100,19675</t>
  </si>
  <si>
    <t>2025-05-05 14:53:00,-147627779.247513,-4849512320.24876,4637.75762570763,14747,1796.20094472194,8020.05,-2368.37861287947,7591.29</t>
  </si>
  <si>
    <t>2025-05-05 14:53:00,826022222.045821,-4534398187.22245,-705.922588705647,-3322,-319.2544017991,-1379.78,-243.254995905262,-1226.8</t>
  </si>
  <si>
    <t>2025-05-05 14:53:00,250790001.616391,-387281417.000166,,-19,,3819.26,24.9627526181967,115.44</t>
  </si>
  <si>
    <t>2025-05-05 14:53:00,23563448.4019649,-1927520.62649117,2.51117831541218,4,-24.4636001344086,63.41,0.108388786067869,3.07</t>
  </si>
  <si>
    <t>2025-05-05 14:54:00,,,,563,575,,563.5,,,,563,567,560</t>
  </si>
  <si>
    <t>2025-05-05 14:54:00,490,,,485,470,,487,,,,,490,485</t>
  </si>
  <si>
    <t>2025-05-05 14:54:00,5800,,,5650,5600,,5670,,,5650,,5700,5650</t>
  </si>
  <si>
    <t>2025-05-05 14:54:00,20000,,,19900,19475,,20000,,,,,20100,19675</t>
  </si>
  <si>
    <t>2025-05-05 14:54:00,-340056892.700032,-8890856459.75567,-5860.33789682539,-6848,-1355.8920334249,-2564.34,490.14326086538,-1673.37</t>
  </si>
  <si>
    <t>2025-05-05 14:54:00,655969837.926489,-6058252670.35539,-2015.63416875522,-2714,-2068.71301169591,-2664.27,381.227868632933,-1325.34</t>
  </si>
  <si>
    <t>2025-05-05 14:54:00,245857092.976777,-700470244.44836,,2398,,7998.42,-175.809942817079,1748.16</t>
  </si>
  <si>
    <t>2025-05-05 14:54:00,17882149.9308811,-2884883.26360448,-18.7575547115344,-1,-411.852356144177,599.4,0.111890107426519,8.48</t>
  </si>
  <si>
    <t>2025-05-05 14:55:00,,,,563,575,,563.5,,,,563,567,560</t>
  </si>
  <si>
    <t>2025-05-05 14:55:00,490,,,485,470,,487,,,,486,490,485</t>
  </si>
  <si>
    <t>2025-05-05 14:55:00,5800,,,5650,5600,,5670,,5650,5650,5640,5700,5650</t>
  </si>
  <si>
    <t>2025-05-05 14:55:00,20000,,,19950,19475,,20025,,,,,20100,19675</t>
  </si>
  <si>
    <t>2025-05-05 14:55:00,-314364394.966337,-11990860696.2669,-6954.61452991452,-1273,-3234.23155555556,-1296.8,-454.655292175991,-732.97</t>
  </si>
  <si>
    <t>2025-05-05 14:55:00,775958329.348739,-4824100660.25046,-1336.87258551432,-985,-1437.89531614022,-1526.1,159.776217749149,-1108.68</t>
  </si>
  <si>
    <t>2025-05-05 14:55:00,242815195.53039,-979434785.478595,,1108,,-3524.16,-128.873119062423,99.1000000000001</t>
  </si>
  <si>
    <t>2025-05-05 14:55:00,18927262.4473937,-3119025.19735111,-49.8328013948117,-19,-289.418089574449,-121.2,0.0858959699926496,-6.49</t>
  </si>
  <si>
    <t>2025-05-05 14:56:00,,560,,563,575,,563.5,,,,563,567,560</t>
  </si>
  <si>
    <t>2025-05-05 14:56:00,490,,,485,470,,487,,,,,490,485</t>
  </si>
  <si>
    <t>2025-05-05 14:56:00,5800,,,5650,5600,,5670,5650,,5650,,5700,5650</t>
  </si>
  <si>
    <t>2025-05-05 14:56:00,20000,,,19950,19475,,20025,,,,,20100,19675</t>
  </si>
  <si>
    <t>2025-05-05 14:56:00,-359627111.764291,-9766349160.2333,-6626.4697309587,-12126,-1339.08073914362,-362.13,79.5427647524961,-2303.57</t>
  </si>
  <si>
    <t>2025-05-05 14:56:00,861005469.468364,-5567331468.22661,-972.057142857142,-456,-31.565214285714,727.86,116.146430378938,365</t>
  </si>
  <si>
    <t>2025-05-05 14:56:00,238649924.673074,-1167989734.27039,,3868,,3741.79,-80.9437564499082,1999.12</t>
  </si>
  <si>
    <t>2025-05-05 14:56:00,17348834.0346523,-3344166.30459557,5.35674081237911,6,-159.346890038685,0.109999999999988,-0.14574213316289,0.28</t>
  </si>
  <si>
    <t>2025-05-05 14:57:00,,,,563,575,,563.5,,,,,567,560</t>
  </si>
  <si>
    <t>2025-05-05 14:57:00,490,,,485,470,,487,,,,,490,485</t>
  </si>
  <si>
    <t>2025-05-05 14:57:00,5800,,,5650,5600,,5660,,,5640,,5700,5650</t>
  </si>
  <si>
    <t>2025-05-05 14:57:00,20000,,,19950,19475,,20025,,,,,20100,19900</t>
  </si>
  <si>
    <t>2025-05-05 14:57:00,-294393453.723306,-10376745930.0694,-3537.54242424243,-4658,-692.531388888891,-971.36,-276.125225360182,-1157.75</t>
  </si>
  <si>
    <t>2025-05-05 14:57:00,810151733.212982,-5346001333.16877,295.940756302521,479,-267.384588235294,-332.81,-73.0843218160357,-90.51</t>
  </si>
  <si>
    <t>2025-05-05 14:57:00,247390260.268205,-1038757078.34955,,608,,-452.12,-15.9782045814706,-28.71</t>
  </si>
  <si>
    <t>2025-05-05 14:57:00,22008115.9760618,-3084466.7713595,-10.8355953839869,3,-92.9903415689192,-106.2,0.146520745880497,-4.29</t>
  </si>
  <si>
    <t>2025-05-05 14:59:00,,,,563,575,,563.5,,,,,567,560</t>
  </si>
  <si>
    <t>2025-05-05 14:59:00,490,,,485,470,,487,,,,,490,485</t>
  </si>
  <si>
    <t>2025-05-05 14:59:00,5800,,,5650,5600,,5670,,5650,5650,,5700,5650</t>
  </si>
  <si>
    <t>2025-05-05 14:59:00,20000,,,19950,19475,,20025,,,,,20100,19900</t>
  </si>
  <si>
    <t>2025-05-05 14:59:00,-372377422.801405,-14891608016.8951,1087.72113997114,2030,2054.43338672439,3778.76,-153.837291487371,1504.16</t>
  </si>
  <si>
    <t>2025-05-05 14:59:00,816748164.660287,-6914323686.21156,-2357.27329749104,5311,-413.409184587814,-182.16,-408.23119147183,-291.57</t>
  </si>
  <si>
    <t>2025-05-05 14:59:00,245346716.583824,-896731382.995891,,968,,-459.79,-142.883512506909,-19.92</t>
  </si>
  <si>
    <t>2025-05-05 14:59:00,14948174.3225736,-4029795.02962702,9.85944773363891,26,198.112737238987,291.08,-0.163042335343757,5.18</t>
  </si>
  <si>
    <t>2025-05-05 15:00:00,,,,,575,,562.5,,,,,567,560</t>
  </si>
  <si>
    <t>2025-05-05 15:00:00,490,,,485,485,,486,,,,,490,485</t>
  </si>
  <si>
    <t>2025-05-05 15:00:00,5800,,,5650,5600,,5660,5650,,5650,,5700,5650</t>
  </si>
  <si>
    <t>2025-05-05 15:00:00,20000,,,19950,19475,,20025,,,,,20100,19900</t>
  </si>
  <si>
    <t>2025-05-05 15:00:00,-197106556.47575,7950922609.09567,13673.7143939394,8329,1408.01642424243,1041.98,-466.44863578701,1813.11</t>
  </si>
  <si>
    <t>2025-05-05 15:00:00,942709352.398761,-3072813621.43116,-873.418094325852,-898,-992.671756796205,-1494.51,244.419892926011,-1002.86</t>
  </si>
  <si>
    <t>2025-05-05 15:00:00,224970676.880403,-1465220248.81763,,3488,,2374.53,-108.755167812765,2073.04</t>
  </si>
  <si>
    <t>2025-05-05 15:00:00,17229799.2658929,-3102197.88705488,-9.06806364858808,3,-123.097775885253,-139.77,-0.0174791746961175,-4.07</t>
  </si>
  <si>
    <t>2025-05-05 15:01:00,,,,563,575,,563.5,,,,,567,560</t>
  </si>
  <si>
    <t>2025-05-05 15:01:00,490,,,485,470,,487,,,,,490,485</t>
  </si>
  <si>
    <t>2025-05-05 15:01:00,5800,,,5650,5600,,5670,,,,,5700,5650</t>
  </si>
  <si>
    <t>2025-05-05 15:01:00,,19900,,19950,19475,,20025,,,,,20100,19900</t>
  </si>
  <si>
    <t>2025-05-05 15:01:00,-389179549.870393,-20205258392.663,5681.27557997558,6633,899.185738095237,1391.63,1457.46283102263,1515.96</t>
  </si>
  <si>
    <t>2025-05-05 15:01:00,807744668.59445,-7568899967.77334,859.93073870574,835,1130.79066483517,2461.67,16.0258350002572,1147.78</t>
  </si>
  <si>
    <t>2025-05-05 15:01:00,215279941.442265,-2149754593.72657,,-3,,-27.01,1.18503060748215,30.33</t>
  </si>
  <si>
    <t>2025-05-05 15:01:00,-2773271.05071715,-5177693.36142003,1,1,0.05,0.05,0.0018677757642795,0.01</t>
  </si>
  <si>
    <t>2025-05-05 15:02:00,,,,563,575,,563.5,,,,,567,560</t>
  </si>
  <si>
    <t>2025-05-05 15:02:00,490,,,485,470,,487,,,,,490,485</t>
  </si>
  <si>
    <t>2025-05-05 15:02:00,5800,,,5650,5600,,5670,,,,,5700,5650</t>
  </si>
  <si>
    <t>2025-05-05 15:02:00,,19900,,19950,19475,,20025,,,,,20100,19900</t>
  </si>
  <si>
    <t>2025-05-05 15:02:00,-458248796.320675,-21118242709.9919,-561.042857142857,-1008,-117.366976190477,-326.18,-482.304910019383,-278.46</t>
  </si>
  <si>
    <t>2025-05-05 15:02:00,685874736.771369,-7977146202.08304,-1190.22725885226,-1781,-757.868356227106,-981.21,289.430302184155,-724.7</t>
  </si>
  <si>
    <t>2025-05-05 15:02:00,223256793.289525,-1779403305.70235,,0,,0,0,0</t>
  </si>
  <si>
    <t>2025-05-05 15:02:00,-4501566.30396742,-5314314.54878149,0,0,0,0,0,0</t>
  </si>
  <si>
    <t>2025-05-05 15:03:00,,,,563,575,,563.5,,,,,567,560</t>
  </si>
  <si>
    <t>2025-05-05 15:03:00,490,,,485,470,,487,,,,,490,485</t>
  </si>
  <si>
    <t>2025-05-05 15:03:00,5800,,,5650,5600,,5670,,,,,5700,5650</t>
  </si>
  <si>
    <t>2025-05-05 15:03:00,,19900,,19950,19475,,20050,,,,,20100,19900</t>
  </si>
  <si>
    <t>2025-05-05 15:03:00,-437041362.161203,-23155086522.4391,-246.148646514775,1003,-136.363651251971,623.07,-696.914080376836,966.56</t>
  </si>
  <si>
    <t>2025-05-05 15:03:00,754473690.304949,-8314510647.38644,304.681423386051,1541,-79.6369445164634,124.99,-103.14636048074,189.22</t>
  </si>
  <si>
    <t>2025-05-05 15:03:00,226831198.29577,-1604392889.36238,,0,,0,0,0</t>
  </si>
  <si>
    <t>2025-05-05 15:03:00,-6512239.71399244,-5415977.83189604,0,0,0,0,0,0</t>
  </si>
  <si>
    <t>2025-05-05 15:04:00,,560,,563,575,,563.5,,,,,567,560</t>
  </si>
  <si>
    <t>2025-05-05 15:04:00,490,,,485,470,,487,,,,,490,485</t>
  </si>
  <si>
    <t>2025-05-05 15:04:00,5800,,,5650,5600,,5670,,,,,5700,5650</t>
  </si>
  <si>
    <t>2025-05-05 15:04:00,,19900,,19950,19475,,20050,,,,,20100,19900</t>
  </si>
  <si>
    <t>2025-05-05 15:04:00,-497142652.50284,-25828221674.81,-257.825324675325,-309,102.891649350648,1376.78,-512.816809269406,542.02</t>
  </si>
  <si>
    <t>2025-05-05 15:04:00,859571277.144568,-8566576279.6146,136.316666666667,1119,-390.353722222222,333.4,-152.395925747621,267.47</t>
  </si>
  <si>
    <t>2025-05-05 15:04:00,234780909.951587,-1219139983.93717,,0,,0,0,0</t>
  </si>
  <si>
    <t>2025-05-05 15:04:00,-7600526.35178153,-5447933.77407835,0,0,0,0,0,0</t>
  </si>
  <si>
    <t>2025-05-05 15:05:00,,560,,563,575,,563.5,,,,,567,560</t>
  </si>
  <si>
    <t>2025-05-05 15:05:00,490,,,485,470,,486,,,,,490,485</t>
  </si>
  <si>
    <t>2025-05-05 15:05:00,5800,,,5640,5600,,5670,,,,,5700,5650</t>
  </si>
  <si>
    <t>2025-05-05 15:05:00,,19900,,19900,19475,,20050,,,,,20100,19900</t>
  </si>
  <si>
    <t>2025-05-05 15:05:00,-556503680.413756,-30415400349.6534,1889.21294261294,2167,166.340820512818,593.28,-112.676595663221,757.39</t>
  </si>
  <si>
    <t>2025-05-05 15:05:00,416631387.888071,-12805770289.7544,-43.5534687534687,862,234.664812687313,685.47,-142.525264528568,409.75</t>
  </si>
  <si>
    <t>2025-05-05 15:05:00,246335859.63217,-580615647.538021,,0,,0,0,0</t>
  </si>
  <si>
    <t>2025-05-05 15:05:00,-9293208.40275476,-4848477.53953141,0,0,0,0,0,0</t>
  </si>
  <si>
    <t>2025-05-05 15:06:00,,560,,563,575,,562.5,,,,,567,560</t>
  </si>
  <si>
    <t>2025-05-05 15:06:00,490,,,485,470,,486,,,,,490,485</t>
  </si>
  <si>
    <t>2025-05-05 15:06:00,5800,,,5640,5600,,5670,,,,,5700,5650</t>
  </si>
  <si>
    <t>2025-05-05 15:06:00,,19900,,19900,19475,,20050,,,,,20100,19900</t>
  </si>
  <si>
    <t>2025-05-05 15:06:00,-499864456.833875,-27400002297.8507,-2567.06104851031,-1257,-1150.20137694169,250.55,449.880230175195,-817.93</t>
  </si>
  <si>
    <t>2025-05-05 15:06:00,706573262.293334,-10028633384.3271,-493.886548572518,446,155.940391522282,394.5,-234.168646422243,355</t>
  </si>
  <si>
    <t>2025-05-05 15:06:00,244007928.5637,-728323439.514749,,0,,0,0,0</t>
  </si>
  <si>
    <t>2025-05-05 15:06:00,-9301183.75579907,-5304726.84497896,0,0,0,0,0,0</t>
  </si>
  <si>
    <t>2025-05-05 15:07:00,,560,,563,575,,563.5,,,,,567,560</t>
  </si>
  <si>
    <t>2025-05-05 15:07:00,490,,,485,470,,487,,,,,490,485</t>
  </si>
  <si>
    <t>2025-05-05 15:07:00,5800,,,5650,5600,,5670,,,,,5700,5650</t>
  </si>
  <si>
    <t>2025-05-05 15:07:00,,19900,,19950,19475,,20050,,,,,20100,19900</t>
  </si>
  <si>
    <t>2025-05-05 15:07:00,-648311109.790022,-29756922047.1348,-2338.66666666668,2685,-1458.07848484851,7146.78,515.060729026884,1471.11</t>
  </si>
  <si>
    <t>2025-05-05 15:07:00,857925353.17135,-8355439346.52926,467.822842897844,928,74.713031847782,197.6,-197.22463306174,417.72</t>
  </si>
  <si>
    <t>2025-05-05 15:07:00,238813773.260186,-1029074141.28214,,0,,0,0,0</t>
  </si>
  <si>
    <t>2025-05-05 15:07:00,-5540981.53896118,-5513276.93589141,0,0,0,0,0,0</t>
  </si>
  <si>
    <t>2025-05-05 15:08:00,,,,563,575,,563.5,,,,,567,560</t>
  </si>
  <si>
    <t>2025-05-05 15:08:00,490,,,485,470,,487,,,,,490,485</t>
  </si>
  <si>
    <t>2025-05-05 15:08:00,5800,,,5650,5600,,5670,,,,,5700,5650</t>
  </si>
  <si>
    <t>2025-05-05 15:08:00,,,,19950,19475,,20025,,,,,20100,19900</t>
  </si>
  <si>
    <t>2025-05-05 15:08:00,-513011912.282808,-26766093120.8737,60.3846320346321,1491,-267.038748917749,-51.3500000000001,-646.355858342142,420.64</t>
  </si>
  <si>
    <t>2025-05-05 15:08:00,796374870.939159,-8442637477.96791,-525.072222222222,707,-218.703333333333,174.33,-193.470099038661,360.89</t>
  </si>
  <si>
    <t>2025-05-05 15:08:00,218787085.185347,-1990901869.49659,,0,,0,0,0</t>
  </si>
  <si>
    <t>2025-05-05 15:08:00,1746511.98860766,-4974307.18828453,0,0,0,0,0,0</t>
  </si>
  <si>
    <t>2025-05-05 15:09:00,,560,,563,575,,562.5,,,,,567,560</t>
  </si>
  <si>
    <t>2025-05-05 15:09:00,490,,,485,470,,487,,,,,490,485</t>
  </si>
  <si>
    <t>2025-05-05 15:09:00,5800,,,5650,5600,,5670,,,,,5700,5650</t>
  </si>
  <si>
    <t>2025-05-05 15:09:00,,19900,,19950,19475,,20050,,,,,20100,19900</t>
  </si>
  <si>
    <t>2025-05-05 15:09:00,-465312482.091807,-24292122369.535,672.225289089995,1148,198.309998491704,342.31,203.984974535968,453.75</t>
  </si>
  <si>
    <t>2025-05-05 15:09:00,750211696.950106,-10090991111.982,-19.4164141414142,809,363.204272727272,551.02,-312.128500631878,318.13</t>
  </si>
  <si>
    <t>2025-05-05 15:09:00,233805619.058215,-1287853838.81276,,0,,0,0,0</t>
  </si>
  <si>
    <t>2025-05-05 15:09:00,-7056813.31066027,-5635897.15625087,0,0,0,0,0,0</t>
  </si>
  <si>
    <t>2025-05-05 15:10:00,,560,,563,575,,563.5,,,,,567,560</t>
  </si>
  <si>
    <t>2025-05-05 15:10:00,490,,,485,470,,486,,,485,,490,485</t>
  </si>
  <si>
    <t>2025-05-05 15:10:00,5800,,,5650,5600,,5670,,,,,5700,5650</t>
  </si>
  <si>
    <t>2025-05-05 15:10:00,,19900,,19950,19475,,20050,,,,,20100,19900</t>
  </si>
  <si>
    <t>2025-05-05 15:10:00,-927883205.80369,-36406685282.6314,-1603.63611111111,-1585,-716.230444444444,-812.15,683.010343218289,-1137.17</t>
  </si>
  <si>
    <t>2025-05-05 15:10:00,643680997.135053,-10768005640.4059,-1217.60380116959,926,-111.498669590643,505.83,-347.267629669645,622.63</t>
  </si>
  <si>
    <t>2025-05-05 15:10:00,239938214.124892,-1004886757.60936,,0,,0,0,0</t>
  </si>
  <si>
    <t>2025-05-05 15:10:00,-9947411.36464764,-5487329.28807695,0,0,0,0,0,0</t>
  </si>
  <si>
    <t>2025-05-05 15:11:00,,560,,563,575,,563.5,,,,,567,560</t>
  </si>
  <si>
    <t>2025-05-05 15:11:00,490,,,485,470,,487,,,485,,490,485</t>
  </si>
  <si>
    <t>2025-05-05 15:11:00,5800,,,5640,5600,,5670,,,,,5700,5650</t>
  </si>
  <si>
    <t>2025-05-05 15:11:00,,19900,,19950,19475,,20050,,,,,20100,19900</t>
  </si>
  <si>
    <t>2025-05-05 15:11:00,-674605686.348668,-37527018460.3319,-66.2095959595959,916,3.26262626262705,162.03,-314.712947770958,200.48</t>
  </si>
  <si>
    <t>2025-05-05 15:11:00,783252322.383067,-10582009159.0461,191.893333333334,1327,89.0404000000001,535.14,-278.250950092603,623.45</t>
  </si>
  <si>
    <t>2025-05-05 15:11:00,244080181.108883,-798086859.936273,,0,,0,0,0</t>
  </si>
  <si>
    <t>2025-05-05 15:11:00,-9750508.24985417,-5619555.03679723,0,0,0,0,0,0</t>
  </si>
  <si>
    <t>2025-05-05 15:12:00,,560,,563,575,,563.5,,,,,567,560</t>
  </si>
  <si>
    <t>2025-05-05 15:12:00,490,,,485,470,,486,,,,,490,485</t>
  </si>
  <si>
    <t>2025-05-05 15:12:00,5800,,,5640,5600,,5670,,,,,5700,5650</t>
  </si>
  <si>
    <t>2025-05-05 15:12:00,,19900,,19950,19475,,20050,,,,,20100,19900</t>
  </si>
  <si>
    <t>2025-05-05 15:12:00,-811324357.160282,-41449050899.6852,-20.1838383838383,1419,-36.7854747474746,100.47,-516.305534001286,344.72</t>
  </si>
  <si>
    <t>2025-05-05 15:12:00,656547110.986933,-11720210580.1591,116.397759103641,263,-77.7537114845956,-1066.92,184.411559135926,96.17</t>
  </si>
  <si>
    <t>2025-05-05 15:12:00,245170320.437309,-741508047.016936,,0,,0,0,0</t>
  </si>
  <si>
    <t>2025-05-05 15:12:00,-10085997.6694044,-5608846.63224337,0,0,0,0,0,0</t>
  </si>
  <si>
    <t>2025-05-05 15:13:00,,560,,563,575,,563.5,,,,,567,560</t>
  </si>
  <si>
    <t>2025-05-05 15:13:00,490,,,485,470,,486,,,,,490,485</t>
  </si>
  <si>
    <t>2025-05-05 15:13:00,5800,,,5640,5600,,5670,,,,,5700,5650</t>
  </si>
  <si>
    <t>2025-05-05 15:13:00,,19900,,19900,19475,,20050,,,,,20100,19900</t>
  </si>
  <si>
    <t>2025-05-05 15:13:00,-897934975.898049,-39614434317.8508,-116.538461538461,611,300.875384615386,580.59,75.893202561998,439.4</t>
  </si>
  <si>
    <t>2025-05-05 15:13:00,781881448.193079,-11847104723.0457,315.464285714285,942,21.0682142857141,102.51,-142.347624911766,167.58</t>
  </si>
  <si>
    <t>2025-05-05 15:13:00,246987120.017466,-657847630.660503,,0,,0,0,0</t>
  </si>
  <si>
    <t>2025-05-05 15:13:00,-10529698.3388813,-5492650.36822502,0,0,0,0,0,0</t>
  </si>
  <si>
    <t>2025-05-05 15:14:00,,560,,563,575,,563.5,,,,,567,560</t>
  </si>
  <si>
    <t>2025-05-05 15:14:00,490,,,485,470,,486,,,,485,490,485</t>
  </si>
  <si>
    <t>2025-05-05 15:14:00,5800,,,5640,5600,,5670,,,,,5700,5650</t>
  </si>
  <si>
    <t>2025-05-05 15:14:00,,19900,,19950,19475,,20050,,,,,20100,19900</t>
  </si>
  <si>
    <t>2025-05-05 15:14:00,-966060535.29653,-40587494711.3633,-874.18253968254,1153,-158.876428571429,-111.08,-553.164150777508,99.84</t>
  </si>
  <si>
    <t>2025-05-05 15:14:00,686227801.722136,-11741651810.4787,-4762.26007326007,-4118,-996.399043956044,-1077.15,674.968437834032,-1467.7</t>
  </si>
  <si>
    <t>2025-05-05 15:14:00,245076817.493494,-777484886.164537,,0,,0,0,0</t>
  </si>
  <si>
    <t>2025-05-05 15:14:00,-10066331.4522338,-5763380.82234437,0,0,0,0,0,0</t>
  </si>
  <si>
    <t>2025-05-05 15:15:00,,,,563,575,,562.5,,,,,567,560</t>
  </si>
  <si>
    <t>2025-05-05 15:15:00,490,,,485,470,,486,,,485,,490,485</t>
  </si>
  <si>
    <t>2025-05-05 15:15:00,5800,,,5640,5600,,5670,,,,,5700,5650</t>
  </si>
  <si>
    <t>2025-05-05 15:15:00,,19900,,19950,19475,,20050,,,,,20100,19900</t>
  </si>
  <si>
    <t>2025-05-05 15:15:00,-624202848.408767,-37104130279.2619,-70.2834713595583,-380,-1.47496376811594,-7.55,-207.126101834533,28.47</t>
  </si>
  <si>
    <t>2025-05-05 15:15:00,622033100.047651,-14928215491.192,1159.56952380952,327,82.4128761904763,-16.2799999999999,-629.372749669131,122.27</t>
  </si>
  <si>
    <t>2025-05-05 15:15:00,243412906.72438,-890078615.198233,,0,,0,0,0</t>
  </si>
  <si>
    <t>2025-05-05 15:15:00,-10333654.5447193,-5786205.15299422,0,0,0,0,0,0</t>
  </si>
  <si>
    <t>2025-05-05 15:16:00,,,,563,575,,562.5,,,,,567,560</t>
  </si>
  <si>
    <t>2025-05-05 15:16:00,490,,,485,470,,486,,,,,490,485</t>
  </si>
  <si>
    <t>2025-05-05 15:16:00,5800,,,5640,5600,,5670,,,,,5700,5650</t>
  </si>
  <si>
    <t>2025-05-05 15:16:00,,19900,,19950,19475,,20050,,,,,20100,19900</t>
  </si>
  <si>
    <t>2025-05-05 15:16:00,-620153906.451313,-37627274292.1679,0,0,0,0,0,0</t>
  </si>
  <si>
    <t>2025-05-05 15:16:00,458489754.666937,-16853691767.9549,0,0,0,0,0,0</t>
  </si>
  <si>
    <t>2025-05-05 15:16:00,244389057.160163,-818464872.014205,,0,,0,0,0</t>
  </si>
  <si>
    <t>2025-05-05 15:16:00,-10804740.5143272,-5772727.18263161,0,0,0,0,0,0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</si>
</sst>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B95" s="2"/>
        <tr r="C95" s="2"/>
        <tr r="E95" s="2"/>
        <tr r="D95" s="2"/>
        <tr r="F95" s="2"/>
        <tr r="G95" s="2"/>
      </tp>
      <tp t="s">
        <v>N/A</v>
        <stp/>
        <stp>VOLUME</stp>
        <stp>.SPXWP5780</stp>
        <tr r="B95" s="2"/>
        <tr r="C95" s="2"/>
        <tr r="E95" s="2"/>
        <tr r="D95" s="2"/>
        <tr r="F95" s="2"/>
        <tr r="G95" s="2"/>
      </tp>
      <tp t="s">
        <v>N/A</v>
        <stp/>
        <stp>VOLUME</stp>
        <stp>.SPXWC5790</stp>
        <tr r="D94" s="2"/>
        <tr r="G94" s="2"/>
        <tr r="C94" s="2"/>
        <tr r="F94" s="2"/>
        <tr r="B94" s="2"/>
        <tr r="E94" s="2"/>
      </tp>
      <tp t="s">
        <v>N/A</v>
        <stp/>
        <stp>VOLUME</stp>
        <stp>.SPXWP5790</stp>
        <tr r="D94" s="2"/>
        <tr r="G94" s="2"/>
        <tr r="C94" s="2"/>
        <tr r="F94" s="2"/>
        <tr r="B94" s="2"/>
        <tr r="E94" s="2"/>
      </tp>
      <tp t="s">
        <v>N/A</v>
        <stp/>
        <stp>VOLUME</stp>
        <stp>.SPXWC5740</stp>
        <tr r="D99" s="2"/>
        <tr r="B99" s="2"/>
        <tr r="F99" s="2"/>
        <tr r="E99" s="2"/>
        <tr r="G99" s="2"/>
        <tr r="C99" s="2"/>
      </tp>
      <tp t="s">
        <v>N/A</v>
        <stp/>
        <stp>VOLUME</stp>
        <stp>.SPXWP5740</stp>
        <tr r="D99" s="2"/>
        <tr r="B99" s="2"/>
        <tr r="F99" s="2"/>
        <tr r="E99" s="2"/>
        <tr r="G99" s="2"/>
        <tr r="C99" s="2"/>
      </tp>
      <tp t="s">
        <v>N/A</v>
        <stp/>
        <stp>VOLUME</stp>
        <stp>.SPXWC5750</stp>
        <tr r="G98" s="2"/>
        <tr r="E98" s="2"/>
        <tr r="B98" s="2"/>
        <tr r="D98" s="2"/>
        <tr r="F98" s="2"/>
        <tr r="C98" s="2"/>
      </tp>
      <tp t="s">
        <v>N/A</v>
        <stp/>
        <stp>VOLUME</stp>
        <stp>.SPXWP5750</stp>
        <tr r="G98" s="2"/>
        <tr r="E98" s="2"/>
        <tr r="B98" s="2"/>
        <tr r="D98" s="2"/>
        <tr r="F98" s="2"/>
        <tr r="C98" s="2"/>
      </tp>
      <tp t="s">
        <v>N/A</v>
        <stp/>
        <stp>VOLUME</stp>
        <stp>.SPXWC5760</stp>
        <tr r="G97" s="2"/>
        <tr r="B97" s="2"/>
        <tr r="D97" s="2"/>
        <tr r="C97" s="2"/>
        <tr r="E97" s="2"/>
        <tr r="F97" s="2"/>
      </tp>
      <tp t="s">
        <v>N/A</v>
        <stp/>
        <stp>VOLUME</stp>
        <stp>.SPXWP5760</stp>
        <tr r="G97" s="2"/>
        <tr r="B97" s="2"/>
        <tr r="D97" s="2"/>
        <tr r="C97" s="2"/>
        <tr r="E97" s="2"/>
        <tr r="F97" s="2"/>
      </tp>
      <tp t="s">
        <v>N/A</v>
        <stp/>
        <stp>VOLUME</stp>
        <stp>.SPXWC5770</stp>
        <tr r="C96" s="2"/>
        <tr r="G96" s="2"/>
        <tr r="B96" s="2"/>
        <tr r="F96" s="2"/>
        <tr r="D96" s="2"/>
        <tr r="E96" s="2"/>
      </tp>
      <tp t="s">
        <v>N/A</v>
        <stp/>
        <stp>VOLUME</stp>
        <stp>.SPXWP5770</stp>
        <tr r="C96" s="2"/>
        <tr r="G96" s="2"/>
        <tr r="B96" s="2"/>
        <tr r="F96" s="2"/>
        <tr r="D96" s="2"/>
        <tr r="E96" s="2"/>
      </tp>
      <tp t="s">
        <v>N/A</v>
        <stp/>
        <stp>VOLUME</stp>
        <stp>.SPXWC5700</stp>
        <tr r="F103" s="2"/>
        <tr r="E103" s="2"/>
        <tr r="B103" s="2"/>
        <tr r="G103" s="2"/>
        <tr r="D103" s="2"/>
        <tr r="C103" s="2"/>
      </tp>
      <tp t="s">
        <v>N/A</v>
        <stp/>
        <stp>VOLUME</stp>
        <stp>.SPXWP5700</stp>
        <tr r="F103" s="2"/>
        <tr r="E103" s="2"/>
        <tr r="B103" s="2"/>
        <tr r="G103" s="2"/>
        <tr r="D103" s="2"/>
        <tr r="C103" s="2"/>
      </tp>
      <tp t="s">
        <v>N/A</v>
        <stp/>
        <stp>VOLUME</stp>
        <stp>.SPXWC5710</stp>
        <tr r="B102" s="2"/>
        <tr r="C102" s="2"/>
        <tr r="G102" s="2"/>
        <tr r="F102" s="2"/>
        <tr r="D102" s="2"/>
        <tr r="E102" s="2"/>
      </tp>
      <tp t="s">
        <v>N/A</v>
        <stp/>
        <stp>VOLUME</stp>
        <stp>.SPXWP5710</stp>
        <tr r="B102" s="2"/>
        <tr r="C102" s="2"/>
        <tr r="G102" s="2"/>
        <tr r="F102" s="2"/>
        <tr r="D102" s="2"/>
        <tr r="E102" s="2"/>
      </tp>
      <tp t="s">
        <v>N/A</v>
        <stp/>
        <stp>VOLUME</stp>
        <stp>.SPXWC5720</stp>
        <tr r="E101" s="2"/>
        <tr r="D101" s="2"/>
        <tr r="F101" s="2"/>
        <tr r="C101" s="2"/>
        <tr r="B101" s="2"/>
        <tr r="G101" s="2"/>
      </tp>
      <tp t="s">
        <v>N/A</v>
        <stp/>
        <stp>VOLUME</stp>
        <stp>.SPXWP5720</stp>
        <tr r="E101" s="2"/>
        <tr r="D101" s="2"/>
        <tr r="F101" s="2"/>
        <tr r="C101" s="2"/>
        <tr r="B101" s="2"/>
        <tr r="G101" s="2"/>
      </tp>
      <tp t="s">
        <v>N/A</v>
        <stp/>
        <stp>VOLUME</stp>
        <stp>.SPXWC5730</stp>
        <tr r="F100" s="2"/>
        <tr r="B100" s="2"/>
        <tr r="C100" s="2"/>
        <tr r="G100" s="2"/>
        <tr r="D100" s="2"/>
        <tr r="E100" s="2"/>
      </tp>
      <tp t="s">
        <v>N/A</v>
        <stp/>
        <stp>VOLUME</stp>
        <stp>.SPXWP5730</stp>
        <tr r="F100" s="2"/>
        <tr r="B100" s="2"/>
        <tr r="C100" s="2"/>
        <tr r="G100" s="2"/>
        <tr r="D100" s="2"/>
        <tr r="E100" s="2"/>
      </tp>
      <tp>
        <v>18.3</v>
        <stp/>
        <stp>LAST</stp>
        <stp>.SPY250505P581</stp>
        <tr r="DB5" s="1"/>
        <tr r="DB5" s="1"/>
      </tp>
      <tp>
        <v>0.01</v>
        <stp/>
        <stp>LAST</stp>
        <stp>.SPY250505C581</stp>
        <tr r="DA5" s="1"/>
        <tr r="DA5" s="1"/>
      </tp>
      <tp>
        <v>14.9</v>
        <stp/>
        <stp>LAST</stp>
        <stp>.SPY250505P580</stp>
        <tr r="DB6" s="1"/>
        <tr r="DB6" s="1"/>
      </tp>
      <tp>
        <v>0.01</v>
        <stp/>
        <stp>LAST</stp>
        <stp>.SPY250505C580</stp>
        <tr r="DA6" s="1"/>
        <tr r="DA6" s="1"/>
      </tp>
      <tp>
        <v>14.49</v>
        <stp/>
        <stp>LAST</stp>
        <stp>.SPY250505P582</stp>
        <tr r="DB4" s="1"/>
        <tr r="DB4" s="1"/>
      </tp>
      <tp>
        <v>0.01</v>
        <stp/>
        <stp>LAST</stp>
        <stp>.SPY250505C582</stp>
        <tr r="DA4" s="1"/>
        <tr r="DA4" s="1"/>
      </tp>
      <tp>
        <v>6.05</v>
        <stp/>
        <stp>LAST</stp>
        <stp>.SPY250505P569</stp>
        <tr r="DB17" s="1"/>
        <tr r="DB17" s="1"/>
      </tp>
      <tp>
        <v>0.01</v>
        <stp/>
        <stp>LAST</stp>
        <stp>.SPY250505C569</stp>
        <tr r="DA17" s="1"/>
        <tr r="DA17" s="1"/>
      </tp>
      <tp>
        <v>4.8499999999999996</v>
        <stp/>
        <stp>LAST</stp>
        <stp>.SPY250505P568</stp>
        <tr r="DB18" s="1"/>
        <tr r="DB18" s="1"/>
      </tp>
      <tp>
        <v>0.01</v>
        <stp/>
        <stp>LAST</stp>
        <stp>.SPY250505C568</stp>
        <tr r="DA18" s="1"/>
        <tr r="DA18" s="1"/>
      </tp>
      <tp>
        <v>0.01</v>
        <stp/>
        <stp>LAST</stp>
        <stp>.SPY250505P561</stp>
        <tr r="DB25" s="1"/>
        <tr r="DB25" s="1"/>
      </tp>
      <tp>
        <v>1.82</v>
        <stp/>
        <stp>LAST</stp>
        <stp>.SPY250505C561</stp>
        <tr r="DA25" s="1"/>
        <tr r="DA25" s="1"/>
      </tp>
      <tp>
        <v>0.01</v>
        <stp/>
        <stp>LAST</stp>
        <stp>.SPY250505P560</stp>
        <tr r="DB26" s="1"/>
        <tr r="DB26" s="1"/>
      </tp>
      <tp>
        <v>2.98</v>
        <stp/>
        <stp>LAST</stp>
        <stp>.SPY250505C560</stp>
        <tr r="DA26" s="1"/>
        <tr r="DA26" s="1"/>
      </tp>
      <tp>
        <v>0.18</v>
        <stp/>
        <stp>LAST</stp>
        <stp>.SPY250505P563</stp>
        <tr r="DB23" s="1"/>
        <tr r="DB23" s="1"/>
      </tp>
      <tp>
        <v>0.19</v>
        <stp/>
        <stp>LAST</stp>
        <stp>.SPY250505C563</stp>
        <tr r="DA23" s="1"/>
        <tr r="DA23" s="1"/>
      </tp>
      <tp>
        <v>0.01</v>
        <stp/>
        <stp>LAST</stp>
        <stp>.SPY250505P562</stp>
        <tr r="DB24" s="1"/>
        <tr r="DB24" s="1"/>
      </tp>
      <tp>
        <v>1.02</v>
        <stp/>
        <stp>LAST</stp>
        <stp>.SPY250505C562</stp>
        <tr r="DA24" s="1"/>
        <tr r="DA24" s="1"/>
      </tp>
      <tp>
        <v>2.04</v>
        <stp/>
        <stp>LAST</stp>
        <stp>.SPY250505P565</stp>
        <tr r="DB21" s="1"/>
        <tr r="DB21" s="1"/>
      </tp>
      <tp>
        <v>0.01</v>
        <stp/>
        <stp>LAST</stp>
        <stp>.SPY250505C565</stp>
        <tr r="DA21" s="1"/>
        <tr r="DA21" s="1"/>
      </tp>
      <tp>
        <v>1.03</v>
        <stp/>
        <stp>LAST</stp>
        <stp>.SPY250505P564</stp>
        <tr r="DB22" s="1"/>
        <tr r="DB22" s="1"/>
      </tp>
      <tp>
        <v>0.01</v>
        <stp/>
        <stp>LAST</stp>
        <stp>.SPY250505C564</stp>
        <tr r="DA22" s="1"/>
        <tr r="DA22" s="1"/>
      </tp>
      <tp>
        <v>4.13</v>
        <stp/>
        <stp>LAST</stp>
        <stp>.SPY250505P567</stp>
        <tr r="DB19" s="1"/>
        <tr r="DB19" s="1"/>
      </tp>
      <tp>
        <v>0.01</v>
        <stp/>
        <stp>LAST</stp>
        <stp>.SPY250505C567</stp>
        <tr r="DA19" s="1"/>
        <tr r="DA19" s="1"/>
      </tp>
      <tp>
        <v>3.05</v>
        <stp/>
        <stp>LAST</stp>
        <stp>.SPY250505P566</stp>
        <tr r="DB20" s="1"/>
        <tr r="DB20" s="1"/>
      </tp>
      <tp>
        <v>0.01</v>
        <stp/>
        <stp>LAST</stp>
        <stp>.SPY250505C566</stp>
        <tr r="DA20" s="1"/>
        <tr r="DA20" s="1"/>
      </tp>
      <tp>
        <v>15.3</v>
        <stp/>
        <stp>LAST</stp>
        <stp>.SPY250505P579</stp>
        <tr r="DB7" s="1"/>
        <tr r="DB7" s="1"/>
      </tp>
      <tp>
        <v>0.01</v>
        <stp/>
        <stp>LAST</stp>
        <stp>.SPY250505C579</stp>
        <tr r="DA7" s="1"/>
        <tr r="DA7" s="1"/>
      </tp>
      <tp>
        <v>12.04</v>
        <stp/>
        <stp>LAST</stp>
        <stp>.SPY250505P578</stp>
        <tr r="DB8" s="1"/>
        <tr r="DB8" s="1"/>
      </tp>
      <tp>
        <v>0.01</v>
        <stp/>
        <stp>LAST</stp>
        <stp>.SPY250505C578</stp>
        <tr r="DA8" s="1"/>
        <tr r="DA8" s="1"/>
      </tp>
      <tp>
        <v>7.78</v>
        <stp/>
        <stp>LAST</stp>
        <stp>.SPY250505P571</stp>
        <tr r="DB15" s="1"/>
        <tr r="DB15" s="1"/>
      </tp>
      <tp>
        <v>0.01</v>
        <stp/>
        <stp>LAST</stp>
        <stp>.SPY250505C571</stp>
        <tr r="DA15" s="1"/>
        <tr r="DA15" s="1"/>
      </tp>
      <tp>
        <v>7.1</v>
        <stp/>
        <stp>LAST</stp>
        <stp>.SPY250505P570</stp>
        <tr r="DB16" s="1"/>
        <tr r="DB16" s="1"/>
      </tp>
      <tp>
        <v>0.01</v>
        <stp/>
        <stp>LAST</stp>
        <stp>.SPY250505C570</stp>
        <tr r="DA16" s="1"/>
        <tr r="DA16" s="1"/>
      </tp>
      <tp>
        <v>9.65</v>
        <stp/>
        <stp>LAST</stp>
        <stp>.SPY250505P573</stp>
        <tr r="DB13" s="1"/>
        <tr r="DB13" s="1"/>
      </tp>
      <tp>
        <v>0.01</v>
        <stp/>
        <stp>LAST</stp>
        <stp>.SPY250505C573</stp>
        <tr r="DA13" s="1"/>
        <tr r="DA13" s="1"/>
      </tp>
      <tp>
        <v>8.56</v>
        <stp/>
        <stp>LAST</stp>
        <stp>.SPY250505P572</stp>
        <tr r="DB14" s="1"/>
        <tr r="DB14" s="1"/>
      </tp>
      <tp>
        <v>0.01</v>
        <stp/>
        <stp>LAST</stp>
        <stp>.SPY250505C572</stp>
        <tr r="DA14" s="1"/>
        <tr r="DA14" s="1"/>
      </tp>
      <tp>
        <v>11.99</v>
        <stp/>
        <stp>LAST</stp>
        <stp>.SPY250505P575</stp>
        <tr r="DB11" s="1"/>
        <tr r="DB11" s="1"/>
      </tp>
      <tp>
        <v>0.01</v>
        <stp/>
        <stp>LAST</stp>
        <stp>.SPY250505C575</stp>
        <tr r="DA11" s="1"/>
        <tr r="DA11" s="1"/>
      </tp>
      <tp>
        <v>10.65</v>
        <stp/>
        <stp>LAST</stp>
        <stp>.SPY250505P574</stp>
        <tr r="DB12" s="1"/>
        <tr r="DB12" s="1"/>
      </tp>
      <tp>
        <v>0.01</v>
        <stp/>
        <stp>LAST</stp>
        <stp>.SPY250505C574</stp>
        <tr r="DA12" s="1"/>
        <tr r="DA12" s="1"/>
      </tp>
      <tp>
        <v>10.41</v>
        <stp/>
        <stp>LAST</stp>
        <stp>.SPY250505P577</stp>
        <tr r="DB9" s="1"/>
        <tr r="DB9" s="1"/>
      </tp>
      <tp>
        <v>0.01</v>
        <stp/>
        <stp>LAST</stp>
        <stp>.SPY250505C577</stp>
        <tr r="DA9" s="1"/>
        <tr r="DA9" s="1"/>
      </tp>
      <tp>
        <v>12.12</v>
        <stp/>
        <stp>LAST</stp>
        <stp>.SPY250505P576</stp>
        <tr r="DB10" s="1"/>
        <tr r="DB10" s="1"/>
      </tp>
      <tp>
        <v>0.01</v>
        <stp/>
        <stp>LAST</stp>
        <stp>.SPY250505C576</stp>
        <tr r="DA10" s="1"/>
        <tr r="DA10" s="1"/>
      </tp>
      <tp>
        <v>0.01</v>
        <stp/>
        <stp>LAST</stp>
        <stp>.SPY250505P549</stp>
        <tr r="DB37" s="1"/>
        <tr r="DB37" s="1"/>
      </tp>
      <tp>
        <v>14.28</v>
        <stp/>
        <stp>LAST</stp>
        <stp>.SPY250505C549</stp>
        <tr r="DA37" s="1"/>
        <tr r="DA37" s="1"/>
      </tp>
      <tp>
        <v>0.01</v>
        <stp/>
        <stp>LAST</stp>
        <stp>.SPY250505P548</stp>
        <tr r="DB38" s="1"/>
        <tr r="DB38" s="1"/>
      </tp>
      <tp>
        <v>14.95</v>
        <stp/>
        <stp>LAST</stp>
        <stp>.SPY250505C548</stp>
        <tr r="DA38" s="1"/>
        <tr r="DA38" s="1"/>
      </tp>
      <tp>
        <v>0.01</v>
        <stp/>
        <stp>LAST</stp>
        <stp>.SPY250505P559</stp>
        <tr r="DB27" s="1"/>
        <tr r="DB27" s="1"/>
      </tp>
      <tp>
        <v>4</v>
        <stp/>
        <stp>LAST</stp>
        <stp>.SPY250505C559</stp>
        <tr r="DA27" s="1"/>
        <tr r="DA27" s="1"/>
      </tp>
      <tp>
        <v>0.01</v>
        <stp/>
        <stp>LAST</stp>
        <stp>.SPY250505P558</stp>
        <tr r="DB28" s="1"/>
        <tr r="DB28" s="1"/>
      </tp>
      <tp>
        <v>4.99</v>
        <stp/>
        <stp>LAST</stp>
        <stp>.SPY250505C558</stp>
        <tr r="DA28" s="1"/>
        <tr r="DA28" s="1"/>
      </tp>
      <tp>
        <v>0.01</v>
        <stp/>
        <stp>LAST</stp>
        <stp>.SPY250505P551</stp>
        <tr r="DB35" s="1"/>
        <tr r="DB35" s="1"/>
      </tp>
      <tp>
        <v>11.64</v>
        <stp/>
        <stp>LAST</stp>
        <stp>.SPY250505C551</stp>
        <tr r="DA35" s="1"/>
        <tr r="DA35" s="1"/>
      </tp>
      <tp>
        <v>0.01</v>
        <stp/>
        <stp>LAST</stp>
        <stp>.SPY250505P550</stp>
        <tr r="DB36" s="1"/>
        <tr r="DB36" s="1"/>
      </tp>
      <tp>
        <v>12.9</v>
        <stp/>
        <stp>LAST</stp>
        <stp>.SPY250505C550</stp>
        <tr r="DA36" s="1"/>
        <tr r="DA36" s="1"/>
      </tp>
      <tp>
        <v>0.01</v>
        <stp/>
        <stp>LAST</stp>
        <stp>.SPY250505P553</stp>
        <tr r="DB33" s="1"/>
        <tr r="DB33" s="1"/>
      </tp>
      <tp>
        <v>10.27</v>
        <stp/>
        <stp>LAST</stp>
        <stp>.SPY250505C553</stp>
        <tr r="DA33" s="1"/>
        <tr r="DA33" s="1"/>
      </tp>
      <tp>
        <v>0.01</v>
        <stp/>
        <stp>LAST</stp>
        <stp>.SPY250505P552</stp>
        <tr r="DB34" s="1"/>
        <tr r="DB34" s="1"/>
      </tp>
      <tp>
        <v>11.18</v>
        <stp/>
        <stp>LAST</stp>
        <stp>.SPY250505C552</stp>
        <tr r="DA34" s="1"/>
        <tr r="DA34" s="1"/>
      </tp>
      <tp>
        <v>0.05</v>
        <stp/>
        <stp>LAST</stp>
        <stp>.SPY250505P555</stp>
        <tr r="DB31" s="1"/>
        <tr r="DB31" s="1"/>
      </tp>
      <tp>
        <v>8</v>
        <stp/>
        <stp>LAST</stp>
        <stp>.SPY250505C555</stp>
        <tr r="DA31" s="1"/>
        <tr r="DA31" s="1"/>
      </tp>
      <tp>
        <v>0.01</v>
        <stp/>
        <stp>LAST</stp>
        <stp>.SPY250505P554</stp>
        <tr r="DB32" s="1"/>
        <tr r="DB32" s="1"/>
      </tp>
      <tp>
        <v>8.92</v>
        <stp/>
        <stp>LAST</stp>
        <stp>.SPY250505C554</stp>
        <tr r="DA32" s="1"/>
        <tr r="DA32" s="1"/>
      </tp>
      <tp>
        <v>0.01</v>
        <stp/>
        <stp>LAST</stp>
        <stp>.SPY250505P557</stp>
        <tr r="DB29" s="1"/>
        <tr r="DB29" s="1"/>
      </tp>
      <tp>
        <v>5.83</v>
        <stp/>
        <stp>LAST</stp>
        <stp>.SPY250505C557</stp>
        <tr r="DA29" s="1"/>
        <tr r="DA29" s="1"/>
      </tp>
      <tp>
        <v>0.01</v>
        <stp/>
        <stp>LAST</stp>
        <stp>.SPY250505P556</stp>
        <tr r="DB30" s="1"/>
        <tr r="DB30" s="1"/>
      </tp>
      <tp>
        <v>6.98</v>
        <stp/>
        <stp>LAST</stp>
        <stp>.SPY250505C556</stp>
        <tr r="DA30" s="1"/>
        <tr r="DA30" s="1"/>
      </tp>
      <tp t="s">
        <v>N/A</v>
        <stp/>
        <stp>VOLUME</stp>
        <stp>.SPXWC5680</stp>
        <tr r="C105" s="2"/>
        <tr r="F105" s="2"/>
        <tr r="D105" s="2"/>
        <tr r="E105" s="2"/>
        <tr r="B105" s="2"/>
        <tr r="G105" s="2"/>
      </tp>
      <tp t="s">
        <v>N/A</v>
        <stp/>
        <stp>VOLUME</stp>
        <stp>.SPXWP5680</stp>
        <tr r="C105" s="2"/>
        <tr r="F105" s="2"/>
        <tr r="D105" s="2"/>
        <tr r="E105" s="2"/>
        <tr r="B105" s="2"/>
        <tr r="G105" s="2"/>
      </tp>
      <tp t="s">
        <v>N/A</v>
        <stp/>
        <stp>VOLUME</stp>
        <stp>.SPXWC5690</stp>
        <tr r="D104" s="2"/>
        <tr r="C104" s="2"/>
        <tr r="E104" s="2"/>
        <tr r="F104" s="2"/>
        <tr r="B104" s="2"/>
        <tr r="G104" s="2"/>
      </tp>
      <tp t="s">
        <v>N/A</v>
        <stp/>
        <stp>VOLUME</stp>
        <stp>.SPXWP5690</stp>
        <tr r="D104" s="2"/>
        <tr r="C104" s="2"/>
        <tr r="E104" s="2"/>
        <tr r="F104" s="2"/>
        <tr r="B104" s="2"/>
        <tr r="G104" s="2"/>
      </tp>
      <tp t="s">
        <v>N/A</v>
        <stp/>
        <stp>VOLUME</stp>
        <stp>.SPXWC5640</stp>
        <tr r="B109" s="2"/>
        <tr r="G109" s="2"/>
        <tr r="F109" s="2"/>
        <tr r="E109" s="2"/>
        <tr r="D109" s="2"/>
        <tr r="C109" s="2"/>
      </tp>
      <tp t="s">
        <v>N/A</v>
        <stp/>
        <stp>VOLUME</stp>
        <stp>.SPXWP5640</stp>
        <tr r="B109" s="2"/>
        <tr r="G109" s="2"/>
        <tr r="F109" s="2"/>
        <tr r="E109" s="2"/>
        <tr r="D109" s="2"/>
        <tr r="C109" s="2"/>
      </tp>
      <tp t="s">
        <v>N/A</v>
        <stp/>
        <stp>VOLUME</stp>
        <stp>.SPXWC5650</stp>
        <tr r="F108" s="2"/>
        <tr r="D108" s="2"/>
        <tr r="B108" s="2"/>
        <tr r="E108" s="2"/>
        <tr r="C108" s="2"/>
        <tr r="G108" s="2"/>
      </tp>
      <tp t="s">
        <v>N/A</v>
        <stp/>
        <stp>VOLUME</stp>
        <stp>.SPXWP5650</stp>
        <tr r="F108" s="2"/>
        <tr r="D108" s="2"/>
        <tr r="B108" s="2"/>
        <tr r="E108" s="2"/>
        <tr r="C108" s="2"/>
        <tr r="G108" s="2"/>
      </tp>
      <tp t="s">
        <v>N/A</v>
        <stp/>
        <stp>VOLUME</stp>
        <stp>.SPXWC5660</stp>
        <tr r="F107" s="2"/>
        <tr r="G107" s="2"/>
        <tr r="D107" s="2"/>
        <tr r="E107" s="2"/>
        <tr r="B107" s="2"/>
        <tr r="C107" s="2"/>
      </tp>
      <tp t="s">
        <v>N/A</v>
        <stp/>
        <stp>VOLUME</stp>
        <stp>.SPXWP5660</stp>
        <tr r="F107" s="2"/>
        <tr r="G107" s="2"/>
        <tr r="D107" s="2"/>
        <tr r="E107" s="2"/>
        <tr r="B107" s="2"/>
        <tr r="C107" s="2"/>
      </tp>
      <tp t="s">
        <v>N/A</v>
        <stp/>
        <stp>VOLUME</stp>
        <stp>.SPXWC5670</stp>
        <tr r="G106" s="2"/>
        <tr r="D106" s="2"/>
        <tr r="F106" s="2"/>
        <tr r="B106" s="2"/>
        <tr r="C106" s="2"/>
        <tr r="E106" s="2"/>
      </tp>
      <tp t="s">
        <v>N/A</v>
        <stp/>
        <stp>VOLUME</stp>
        <stp>.SPXWP5670</stp>
        <tr r="G106" s="2"/>
        <tr r="D106" s="2"/>
        <tr r="F106" s="2"/>
        <tr r="B106" s="2"/>
        <tr r="C106" s="2"/>
        <tr r="E106" s="2"/>
      </tp>
      <tp t="s">
        <v>N/A</v>
        <stp/>
        <stp>VOLUME</stp>
        <stp>.SPXWC5600</stp>
        <tr r="C113" s="2"/>
        <tr r="G113" s="2"/>
        <tr r="E113" s="2"/>
        <tr r="B113" s="2"/>
        <tr r="F113" s="2"/>
        <tr r="D113" s="2"/>
      </tp>
      <tp t="s">
        <v>N/A</v>
        <stp/>
        <stp>VOLUME</stp>
        <stp>.SPXWP5600</stp>
        <tr r="C113" s="2"/>
        <tr r="G113" s="2"/>
        <tr r="E113" s="2"/>
        <tr r="B113" s="2"/>
        <tr r="F113" s="2"/>
        <tr r="D113" s="2"/>
      </tp>
      <tp t="s">
        <v>N/A</v>
        <stp/>
        <stp>VOLUME</stp>
        <stp>.SPXWC5610</stp>
        <tr r="C112" s="2"/>
        <tr r="B112" s="2"/>
        <tr r="E112" s="2"/>
        <tr r="G112" s="2"/>
        <tr r="F112" s="2"/>
        <tr r="D112" s="2"/>
      </tp>
      <tp t="s">
        <v>N/A</v>
        <stp/>
        <stp>VOLUME</stp>
        <stp>.SPXWP5610</stp>
        <tr r="C112" s="2"/>
        <tr r="B112" s="2"/>
        <tr r="E112" s="2"/>
        <tr r="G112" s="2"/>
        <tr r="F112" s="2"/>
        <tr r="D112" s="2"/>
      </tp>
      <tp t="s">
        <v>N/A</v>
        <stp/>
        <stp>VOLUME</stp>
        <stp>.SPXWC5620</stp>
        <tr r="C111" s="2"/>
        <tr r="E111" s="2"/>
        <tr r="G111" s="2"/>
        <tr r="F111" s="2"/>
        <tr r="B111" s="2"/>
        <tr r="D111" s="2"/>
      </tp>
      <tp t="s">
        <v>N/A</v>
        <stp/>
        <stp>VOLUME</stp>
        <stp>.SPXWP5620</stp>
        <tr r="C111" s="2"/>
        <tr r="E111" s="2"/>
        <tr r="G111" s="2"/>
        <tr r="F111" s="2"/>
        <tr r="B111" s="2"/>
        <tr r="D111" s="2"/>
      </tp>
      <tp t="s">
        <v>N/A</v>
        <stp/>
        <stp>VOLUME</stp>
        <stp>.SPXWC5630</stp>
        <tr r="G110" s="2"/>
        <tr r="D110" s="2"/>
        <tr r="B110" s="2"/>
        <tr r="C110" s="2"/>
        <tr r="F110" s="2"/>
        <tr r="E110" s="2"/>
      </tp>
      <tp t="s">
        <v>N/A</v>
        <stp/>
        <stp>VOLUME</stp>
        <stp>.SPXWP5630</stp>
        <tr r="G110" s="2"/>
        <tr r="D110" s="2"/>
        <tr r="B110" s="2"/>
        <tr r="C110" s="2"/>
        <tr r="F110" s="2"/>
        <tr r="E110" s="2"/>
      </tp>
      <tp t="s">
        <v>N/A</v>
        <stp/>
        <stp>VOLUME</stp>
        <stp>.SPXWC5580</stp>
        <tr r="C115" s="2"/>
        <tr r="B115" s="2"/>
        <tr r="D115" s="2"/>
        <tr r="G115" s="2"/>
        <tr r="E115" s="2"/>
        <tr r="F115" s="2"/>
      </tp>
      <tp t="s">
        <v>N/A</v>
        <stp/>
        <stp>VOLUME</stp>
        <stp>.SPXWP5580</stp>
        <tr r="C115" s="2"/>
        <tr r="B115" s="2"/>
        <tr r="D115" s="2"/>
        <tr r="G115" s="2"/>
        <tr r="E115" s="2"/>
        <tr r="F115" s="2"/>
      </tp>
      <tp t="s">
        <v>N/A</v>
        <stp/>
        <stp>VOLUME</stp>
        <stp>.SPXWC5590</stp>
        <tr r="B114" s="2"/>
        <tr r="F114" s="2"/>
        <tr r="G114" s="2"/>
        <tr r="E114" s="2"/>
        <tr r="C114" s="2"/>
        <tr r="D114" s="2"/>
      </tp>
      <tp t="s">
        <v>N/A</v>
        <stp/>
        <stp>VOLUME</stp>
        <stp>.SPXWP5590</stp>
        <tr r="B114" s="2"/>
        <tr r="F114" s="2"/>
        <tr r="G114" s="2"/>
        <tr r="E114" s="2"/>
        <tr r="C114" s="2"/>
        <tr r="D114" s="2"/>
      </tp>
      <tp t="s">
        <v>N/A</v>
        <stp/>
        <stp>VOLUME</stp>
        <stp>.SPXWC5540</stp>
        <tr r="B119" s="2"/>
        <tr r="C119" s="2"/>
        <tr r="E119" s="2"/>
        <tr r="D119" s="2"/>
        <tr r="G119" s="2"/>
        <tr r="F119" s="2"/>
      </tp>
      <tp t="s">
        <v>N/A</v>
        <stp/>
        <stp>VOLUME</stp>
        <stp>.SPXWP5540</stp>
        <tr r="B119" s="2"/>
        <tr r="C119" s="2"/>
        <tr r="E119" s="2"/>
        <tr r="D119" s="2"/>
        <tr r="G119" s="2"/>
        <tr r="F119" s="2"/>
      </tp>
      <tp t="s">
        <v>N/A</v>
        <stp/>
        <stp>VOLUME</stp>
        <stp>.SPXWC5550</stp>
        <tr r="G118" s="2"/>
        <tr r="C118" s="2"/>
        <tr r="B118" s="2"/>
        <tr r="D118" s="2"/>
        <tr r="E118" s="2"/>
        <tr r="F118" s="2"/>
      </tp>
      <tp t="s">
        <v>N/A</v>
        <stp/>
        <stp>VOLUME</stp>
        <stp>.SPXWP5550</stp>
        <tr r="G118" s="2"/>
        <tr r="C118" s="2"/>
        <tr r="B118" s="2"/>
        <tr r="D118" s="2"/>
        <tr r="E118" s="2"/>
        <tr r="F118" s="2"/>
      </tp>
      <tp t="s">
        <v>N/A</v>
        <stp/>
        <stp>VOLUME</stp>
        <stp>.SPXWC5560</stp>
        <tr r="C117" s="2"/>
        <tr r="B117" s="2"/>
        <tr r="D117" s="2"/>
        <tr r="G117" s="2"/>
        <tr r="F117" s="2"/>
        <tr r="E117" s="2"/>
      </tp>
      <tp t="s">
        <v>N/A</v>
        <stp/>
        <stp>VOLUME</stp>
        <stp>.SPXWP5560</stp>
        <tr r="C117" s="2"/>
        <tr r="B117" s="2"/>
        <tr r="D117" s="2"/>
        <tr r="G117" s="2"/>
        <tr r="F117" s="2"/>
        <tr r="E117" s="2"/>
      </tp>
      <tp t="s">
        <v>N/A</v>
        <stp/>
        <stp>VOLUME</stp>
        <stp>.SPXWC5570</stp>
        <tr r="D116" s="2"/>
        <tr r="C116" s="2"/>
        <tr r="F116" s="2"/>
        <tr r="B116" s="2"/>
        <tr r="G116" s="2"/>
        <tr r="E116" s="2"/>
      </tp>
      <tp t="s">
        <v>N/A</v>
        <stp/>
        <stp>VOLUME</stp>
        <stp>.SPXWP5570</stp>
        <tr r="D116" s="2"/>
        <tr r="C116" s="2"/>
        <tr r="F116" s="2"/>
        <tr r="B116" s="2"/>
        <tr r="G116" s="2"/>
        <tr r="E116" s="2"/>
      </tp>
      <tp t="s">
        <v>N/A</v>
        <stp/>
        <stp>VOLUME</stp>
        <stp>.SPXWC5500</stp>
        <tr r="C123" s="2"/>
        <tr r="B123" s="2"/>
        <tr r="G123" s="2"/>
        <tr r="D123" s="2"/>
        <tr r="F123" s="2"/>
        <tr r="E123" s="2"/>
      </tp>
      <tp t="s">
        <v>N/A</v>
        <stp/>
        <stp>VOLUME</stp>
        <stp>.SPXWP5500</stp>
        <tr r="C123" s="2"/>
        <tr r="B123" s="2"/>
        <tr r="G123" s="2"/>
        <tr r="D123" s="2"/>
        <tr r="F123" s="2"/>
        <tr r="E123" s="2"/>
      </tp>
      <tp t="s">
        <v>N/A</v>
        <stp/>
        <stp>VOLUME</stp>
        <stp>.SPXWC5510</stp>
        <tr r="B122" s="2"/>
        <tr r="F122" s="2"/>
        <tr r="E122" s="2"/>
        <tr r="C122" s="2"/>
        <tr r="G122" s="2"/>
        <tr r="D122" s="2"/>
      </tp>
      <tp t="s">
        <v>N/A</v>
        <stp/>
        <stp>VOLUME</stp>
        <stp>.SPXWP5510</stp>
        <tr r="B122" s="2"/>
        <tr r="F122" s="2"/>
        <tr r="E122" s="2"/>
        <tr r="C122" s="2"/>
        <tr r="G122" s="2"/>
        <tr r="D122" s="2"/>
      </tp>
      <tp t="s">
        <v>N/A</v>
        <stp/>
        <stp>VOLUME</stp>
        <stp>.SPXWC5520</stp>
        <tr r="C121" s="2"/>
        <tr r="E121" s="2"/>
        <tr r="F121" s="2"/>
        <tr r="G121" s="2"/>
        <tr r="D121" s="2"/>
        <tr r="B121" s="2"/>
      </tp>
      <tp t="s">
        <v>N/A</v>
        <stp/>
        <stp>VOLUME</stp>
        <stp>.SPXWP5520</stp>
        <tr r="C121" s="2"/>
        <tr r="E121" s="2"/>
        <tr r="F121" s="2"/>
        <tr r="G121" s="2"/>
        <tr r="D121" s="2"/>
        <tr r="B121" s="2"/>
      </tp>
      <tp t="s">
        <v>N/A</v>
        <stp/>
        <stp>VOLUME</stp>
        <stp>.SPXWC5530</stp>
        <tr r="B120" s="2"/>
        <tr r="D120" s="2"/>
        <tr r="C120" s="2"/>
        <tr r="E120" s="2"/>
        <tr r="F120" s="2"/>
        <tr r="G120" s="2"/>
      </tp>
      <tp t="s">
        <v>N/A</v>
        <stp/>
        <stp>VOLUME</stp>
        <stp>.SPXWP5530</stp>
        <tr r="B120" s="2"/>
        <tr r="D120" s="2"/>
        <tr r="C120" s="2"/>
        <tr r="E120" s="2"/>
        <tr r="F120" s="2"/>
        <tr r="G120" s="2"/>
      </tp>
      <tp t="s">
        <v>N/A</v>
        <stp/>
        <stp>VOLUME</stp>
        <stp>.SPXWC5480</stp>
        <tr r="D125" s="2"/>
        <tr r="E125" s="2"/>
        <tr r="C125" s="2"/>
        <tr r="G125" s="2"/>
        <tr r="F125" s="2"/>
        <tr r="B125" s="2"/>
      </tp>
      <tp t="s">
        <v>N/A</v>
        <stp/>
        <stp>VOLUME</stp>
        <stp>.SPXWP5480</stp>
        <tr r="D125" s="2"/>
        <tr r="E125" s="2"/>
        <tr r="C125" s="2"/>
        <tr r="G125" s="2"/>
        <tr r="F125" s="2"/>
        <tr r="B125" s="2"/>
      </tp>
      <tp t="s">
        <v>N/A</v>
        <stp/>
        <stp>VOLUME</stp>
        <stp>.SPXWC5490</stp>
        <tr r="B124" s="2"/>
        <tr r="F124" s="2"/>
        <tr r="C124" s="2"/>
        <tr r="D124" s="2"/>
        <tr r="E124" s="2"/>
        <tr r="G124" s="2"/>
      </tp>
      <tp t="s">
        <v>N/A</v>
        <stp/>
        <stp>VOLUME</stp>
        <stp>.SPXWP5490</stp>
        <tr r="B124" s="2"/>
        <tr r="F124" s="2"/>
        <tr r="C124" s="2"/>
        <tr r="D124" s="2"/>
        <tr r="E124" s="2"/>
        <tr r="G124" s="2"/>
      </tp>
      <tp t="s">
        <v>N/A</v>
        <stp/>
        <stp>VOLUME</stp>
        <stp>.SPXWC5440</stp>
        <tr r="F129" s="2"/>
        <tr r="E129" s="2"/>
        <tr r="C129" s="2"/>
        <tr r="B129" s="2"/>
        <tr r="G129" s="2"/>
        <tr r="D129" s="2"/>
      </tp>
      <tp t="s">
        <v>N/A</v>
        <stp/>
        <stp>VOLUME</stp>
        <stp>.SPXWP5440</stp>
        <tr r="F129" s="2"/>
        <tr r="E129" s="2"/>
        <tr r="C129" s="2"/>
        <tr r="B129" s="2"/>
        <tr r="G129" s="2"/>
        <tr r="D129" s="2"/>
      </tp>
      <tp t="s">
        <v>N/A</v>
        <stp/>
        <stp>VOLUME</stp>
        <stp>.SPXWC5450</stp>
        <tr r="G128" s="2"/>
        <tr r="C128" s="2"/>
        <tr r="F128" s="2"/>
        <tr r="E128" s="2"/>
        <tr r="B128" s="2"/>
        <tr r="D128" s="2"/>
      </tp>
      <tp t="s">
        <v>N/A</v>
        <stp/>
        <stp>VOLUME</stp>
        <stp>.SPXWP5450</stp>
        <tr r="G128" s="2"/>
        <tr r="C128" s="2"/>
        <tr r="F128" s="2"/>
        <tr r="E128" s="2"/>
        <tr r="B128" s="2"/>
        <tr r="D128" s="2"/>
      </tp>
      <tp t="s">
        <v>N/A</v>
        <stp/>
        <stp>VOLUME</stp>
        <stp>.SPXWC5460</stp>
        <tr r="E127" s="2"/>
        <tr r="F127" s="2"/>
        <tr r="D127" s="2"/>
        <tr r="G127" s="2"/>
        <tr r="B127" s="2"/>
        <tr r="C127" s="2"/>
      </tp>
      <tp t="s">
        <v>N/A</v>
        <stp/>
        <stp>VOLUME</stp>
        <stp>.SPXWP5460</stp>
        <tr r="E127" s="2"/>
        <tr r="F127" s="2"/>
        <tr r="D127" s="2"/>
        <tr r="G127" s="2"/>
        <tr r="B127" s="2"/>
        <tr r="C127" s="2"/>
      </tp>
      <tp t="s">
        <v>N/A</v>
        <stp/>
        <stp>VOLUME</stp>
        <stp>.SPXWC5470</stp>
        <tr r="F126" s="2"/>
        <tr r="E126" s="2"/>
        <tr r="D126" s="2"/>
        <tr r="C126" s="2"/>
        <tr r="B126" s="2"/>
        <tr r="G126" s="2"/>
      </tp>
      <tp t="s">
        <v>N/A</v>
        <stp/>
        <stp>VOLUME</stp>
        <stp>.SPXWP5470</stp>
        <tr r="F126" s="2"/>
        <tr r="E126" s="2"/>
        <tr r="D126" s="2"/>
        <tr r="C126" s="2"/>
        <tr r="B126" s="2"/>
        <tr r="G126" s="2"/>
      </tp>
      <tp t="s">
        <v>N/A</v>
        <stp/>
        <stp>VOLUME</stp>
        <stp>.SPXWC5420</stp>
        <tr r="D131" s="2"/>
        <tr r="E131" s="2"/>
        <tr r="B131" s="2"/>
        <tr r="G131" s="2"/>
        <tr r="C131" s="2"/>
        <tr r="F131" s="2"/>
      </tp>
      <tp t="s">
        <v>N/A</v>
        <stp/>
        <stp>VOLUME</stp>
        <stp>.SPXWP5420</stp>
        <tr r="D131" s="2"/>
        <tr r="E131" s="2"/>
        <tr r="B131" s="2"/>
        <tr r="G131" s="2"/>
        <tr r="C131" s="2"/>
        <tr r="F131" s="2"/>
      </tp>
      <tp t="s">
        <v>N/A</v>
        <stp/>
        <stp>VOLUME</stp>
        <stp>.SPXWC5430</stp>
        <tr r="E130" s="2"/>
        <tr r="B130" s="2"/>
        <tr r="F130" s="2"/>
        <tr r="C130" s="2"/>
        <tr r="D130" s="2"/>
        <tr r="G130" s="2"/>
      </tp>
      <tp t="s">
        <v>N/A</v>
        <stp/>
        <stp>VOLUME</stp>
        <stp>.SPXWP5430</stp>
        <tr r="E130" s="2"/>
        <tr r="B130" s="2"/>
        <tr r="F130" s="2"/>
        <tr r="C130" s="2"/>
        <tr r="D130" s="2"/>
        <tr r="G130" s="2"/>
      </tp>
      <tp>
        <v>564.79999999999995</v>
        <stp/>
        <stp>MARK</stp>
        <stp>SPY</stp>
        <tr r="G84" s="1"/>
        <tr r="A3" s="1"/>
      </tp>
      <tp>
        <v>5659.91</v>
        <stp/>
        <stp>MARK</stp>
        <stp>SPX</stp>
        <tr r="E82" s="1"/>
      </tp>
      <tp>
        <v>-0.85</v>
        <stp/>
        <stp>DELTA</stp>
        <stp>.SPY250516P582</stp>
        <tr r="CI4" s="1"/>
        <tr r="CI4" s="1"/>
      </tp>
      <tp>
        <v>0.12</v>
        <stp/>
        <stp>DELTA</stp>
        <stp>.SPY250516C582</stp>
        <tr r="CH4" s="1"/>
        <tr r="CH4" s="1"/>
      </tp>
      <tp>
        <v>-0.84</v>
        <stp/>
        <stp>DELTA</stp>
        <stp>.SPY250516P581</stp>
        <tr r="CI5" s="1"/>
        <tr r="CI5" s="1"/>
      </tp>
      <tp>
        <v>0.14000000000000001</v>
        <stp/>
        <stp>DELTA</stp>
        <stp>.SPY250516C581</stp>
        <tr r="CH5" s="1"/>
        <tr r="CH5" s="1"/>
      </tp>
      <tp>
        <v>-0.83</v>
        <stp/>
        <stp>DELTA</stp>
        <stp>.SPY250516P580</stp>
        <tr r="CI6" s="1"/>
        <tr r="CI6" s="1"/>
      </tp>
      <tp>
        <v>0.15</v>
        <stp/>
        <stp>DELTA</stp>
        <stp>.SPY250516C580</stp>
        <tr r="CH6" s="1"/>
        <tr r="CH6" s="1"/>
      </tp>
      <tp>
        <v>-0.82</v>
        <stp/>
        <stp>DELTA</stp>
        <stp>.SPY250505P580</stp>
        <tr r="CE6" s="1"/>
        <tr r="CE6" s="1"/>
      </tp>
      <tp>
        <v>0</v>
        <stp/>
        <stp>DELTA</stp>
        <stp>.SPY250505C580</stp>
        <tr r="CD6" s="1"/>
        <tr r="CD6" s="1"/>
      </tp>
      <tp>
        <v>-0.82</v>
        <stp/>
        <stp>DELTA</stp>
        <stp>.SPY250505P581</stp>
        <tr r="CE5" s="1"/>
        <tr r="CE5" s="1"/>
      </tp>
      <tp>
        <v>0</v>
        <stp/>
        <stp>DELTA</stp>
        <stp>.SPY250505C581</stp>
        <tr r="CD5" s="1"/>
        <tr r="CD5" s="1"/>
      </tp>
      <tp>
        <v>-0.83</v>
        <stp/>
        <stp>DELTA</stp>
        <stp>.SPY250505P582</stp>
        <tr r="CE4" s="1"/>
        <tr r="CE4" s="1"/>
      </tp>
      <tp>
        <v>0</v>
        <stp/>
        <stp>DELTA</stp>
        <stp>.SPY250505C582</stp>
        <tr r="CD4" s="1"/>
        <tr r="CD4" s="1"/>
      </tp>
      <tp>
        <v>-0.89</v>
        <stp/>
        <stp>DELTA</stp>
        <stp>.SPY250509P580</stp>
        <tr r="CG6" s="1"/>
        <tr r="CG6" s="1"/>
      </tp>
      <tp>
        <v>0</v>
        <stp/>
        <stp>DELTA</stp>
        <stp>.SPY250509C580</stp>
        <tr r="CF6" s="1"/>
        <tr r="CF6" s="1"/>
      </tp>
      <tp>
        <v>-0.9</v>
        <stp/>
        <stp>DELTA</stp>
        <stp>.SPY250509P581</stp>
        <tr r="CG5" s="1"/>
        <tr r="CG5" s="1"/>
      </tp>
      <tp>
        <v>0</v>
        <stp/>
        <stp>DELTA</stp>
        <stp>.SPY250509C581</stp>
        <tr r="CF5" s="1"/>
        <tr r="CF5" s="1"/>
      </tp>
      <tp>
        <v>-0.9</v>
        <stp/>
        <stp>DELTA</stp>
        <stp>.SPY250509P582</stp>
        <tr r="CG4" s="1"/>
        <tr r="CG4" s="1"/>
      </tp>
      <tp>
        <v>0</v>
        <stp/>
        <stp>DELTA</stp>
        <stp>.SPY250509C582</stp>
        <tr r="CF4" s="1"/>
        <tr r="CF4" s="1"/>
      </tp>
      <tp>
        <v>0</v>
        <stp/>
        <stp>DELTA</stp>
        <stp>.SPY250505P554</stp>
        <tr r="CE32" s="1"/>
        <tr r="CE32" s="1"/>
      </tp>
      <tp>
        <v>-0.01</v>
        <stp/>
        <stp>DELTA</stp>
        <stp>.SPY250509P558</stp>
        <tr r="CG28" s="1"/>
        <tr r="CG28" s="1"/>
      </tp>
      <tp>
        <v>1</v>
        <stp/>
        <stp>DELTA</stp>
        <stp>.SPY250505C554</stp>
        <tr r="CD32" s="1"/>
        <tr r="CD32" s="1"/>
      </tp>
      <tp>
        <v>1</v>
        <stp/>
        <stp>DELTA</stp>
        <stp>.SPY250509C558</stp>
        <tr r="CF28" s="1"/>
        <tr r="CF28" s="1"/>
      </tp>
      <tp>
        <v>0</v>
        <stp/>
        <stp>DELTA</stp>
        <stp>.SPY250505P555</stp>
        <tr r="CE31" s="1"/>
        <tr r="CE31" s="1"/>
      </tp>
      <tp>
        <v>-0.01</v>
        <stp/>
        <stp>DELTA</stp>
        <stp>.SPY250509P559</stp>
        <tr r="CG27" s="1"/>
        <tr r="CG27" s="1"/>
      </tp>
      <tp>
        <v>1</v>
        <stp/>
        <stp>DELTA</stp>
        <stp>.SPY250505C555</stp>
        <tr r="CD31" s="1"/>
        <tr r="CD31" s="1"/>
      </tp>
      <tp>
        <v>1</v>
        <stp/>
        <stp>DELTA</stp>
        <stp>.SPY250509C559</stp>
        <tr r="CF27" s="1"/>
        <tr r="CF27" s="1"/>
      </tp>
      <tp>
        <v>0</v>
        <stp/>
        <stp>DELTA</stp>
        <stp>.SPY250505P556</stp>
        <tr r="CE30" s="1"/>
        <tr r="CE30" s="1"/>
      </tp>
      <tp>
        <v>1</v>
        <stp/>
        <stp>DELTA</stp>
        <stp>.SPY250505C556</stp>
        <tr r="CD30" s="1"/>
        <tr r="CD30" s="1"/>
      </tp>
      <tp>
        <v>-0.01</v>
        <stp/>
        <stp>DELTA</stp>
        <stp>.SPY250505P557</stp>
        <tr r="CE29" s="1"/>
        <tr r="CE29" s="1"/>
      </tp>
      <tp>
        <v>1</v>
        <stp/>
        <stp>DELTA</stp>
        <stp>.SPY250505C557</stp>
        <tr r="CD29" s="1"/>
        <tr r="CD29" s="1"/>
      </tp>
      <tp>
        <v>0</v>
        <stp/>
        <stp>DELTA</stp>
        <stp>.SPY250505P550</stp>
        <tr r="CE36" s="1"/>
        <tr r="CE36" s="1"/>
      </tp>
      <tp>
        <v>1</v>
        <stp/>
        <stp>DELTA</stp>
        <stp>.SPY250505C550</stp>
        <tr r="CD36" s="1"/>
        <tr r="CD36" s="1"/>
      </tp>
      <tp>
        <v>0</v>
        <stp/>
        <stp>DELTA</stp>
        <stp>.SPY250505P551</stp>
        <tr r="CE35" s="1"/>
        <tr r="CE35" s="1"/>
      </tp>
      <tp>
        <v>1</v>
        <stp/>
        <stp>DELTA</stp>
        <stp>.SPY250505C551</stp>
        <tr r="CD35" s="1"/>
        <tr r="CD35" s="1"/>
      </tp>
      <tp>
        <v>0</v>
        <stp/>
        <stp>DELTA</stp>
        <stp>.SPY250505P552</stp>
        <tr r="CE34" s="1"/>
        <tr r="CE34" s="1"/>
      </tp>
      <tp>
        <v>1</v>
        <stp/>
        <stp>DELTA</stp>
        <stp>.SPY250505C552</stp>
        <tr r="CD34" s="1"/>
        <tr r="CD34" s="1"/>
      </tp>
      <tp>
        <v>0</v>
        <stp/>
        <stp>DELTA</stp>
        <stp>.SPY250505P553</stp>
        <tr r="CE33" s="1"/>
        <tr r="CE33" s="1"/>
      </tp>
      <tp>
        <v>1</v>
        <stp/>
        <stp>DELTA</stp>
        <stp>.SPY250505C553</stp>
        <tr r="CD33" s="1"/>
        <tr r="CD33" s="1"/>
      </tp>
      <tp>
        <v>0</v>
        <stp/>
        <stp>DELTA</stp>
        <stp>.SPY250509P550</stp>
        <tr r="CG36" s="1"/>
        <tr r="CG36" s="1"/>
      </tp>
      <tp>
        <v>1</v>
        <stp/>
        <stp>DELTA</stp>
        <stp>.SPY250509C550</stp>
        <tr r="CF36" s="1"/>
        <tr r="CF36" s="1"/>
      </tp>
      <tp>
        <v>0</v>
        <stp/>
        <stp>DELTA</stp>
        <stp>.SPY250509P551</stp>
        <tr r="CG35" s="1"/>
        <tr r="CG35" s="1"/>
      </tp>
      <tp>
        <v>1</v>
        <stp/>
        <stp>DELTA</stp>
        <stp>.SPY250509C551</stp>
        <tr r="CF35" s="1"/>
        <tr r="CF35" s="1"/>
      </tp>
      <tp>
        <v>0</v>
        <stp/>
        <stp>DELTA</stp>
        <stp>.SPY250509P552</stp>
        <tr r="CG34" s="1"/>
        <tr r="CG34" s="1"/>
      </tp>
      <tp>
        <v>1</v>
        <stp/>
        <stp>DELTA</stp>
        <stp>.SPY250509C552</stp>
        <tr r="CF34" s="1"/>
        <tr r="CF34" s="1"/>
      </tp>
      <tp>
        <v>0</v>
        <stp/>
        <stp>DELTA</stp>
        <stp>.SPY250509P553</stp>
        <tr r="CG33" s="1"/>
        <tr r="CG33" s="1"/>
      </tp>
      <tp>
        <v>1</v>
        <stp/>
        <stp>DELTA</stp>
        <stp>.SPY250509C553</stp>
        <tr r="CF33" s="1"/>
        <tr r="CF33" s="1"/>
      </tp>
      <tp>
        <v>-0.01</v>
        <stp/>
        <stp>DELTA</stp>
        <stp>.SPY250505P558</stp>
        <tr r="CE28" s="1"/>
        <tr r="CE28" s="1"/>
      </tp>
      <tp>
        <v>0</v>
        <stp/>
        <stp>DELTA</stp>
        <stp>.SPY250509P554</stp>
        <tr r="CG32" s="1"/>
        <tr r="CG32" s="1"/>
      </tp>
      <tp>
        <v>1</v>
        <stp/>
        <stp>DELTA</stp>
        <stp>.SPY250505C558</stp>
        <tr r="CD28" s="1"/>
        <tr r="CD28" s="1"/>
      </tp>
      <tp>
        <v>1</v>
        <stp/>
        <stp>DELTA</stp>
        <stp>.SPY250509C554</stp>
        <tr r="CF32" s="1"/>
        <tr r="CF32" s="1"/>
      </tp>
      <tp>
        <v>-0.01</v>
        <stp/>
        <stp>DELTA</stp>
        <stp>.SPY250505P559</stp>
        <tr r="CE27" s="1"/>
        <tr r="CE27" s="1"/>
      </tp>
      <tp>
        <v>0</v>
        <stp/>
        <stp>DELTA</stp>
        <stp>.SPY250509P555</stp>
        <tr r="CG31" s="1"/>
        <tr r="CG31" s="1"/>
      </tp>
      <tp>
        <v>1</v>
        <stp/>
        <stp>DELTA</stp>
        <stp>.SPY250505C559</stp>
        <tr r="CD27" s="1"/>
        <tr r="CD27" s="1"/>
      </tp>
      <tp>
        <v>1</v>
        <stp/>
        <stp>DELTA</stp>
        <stp>.SPY250509C555</stp>
        <tr r="CF31" s="1"/>
        <tr r="CF31" s="1"/>
      </tp>
      <tp>
        <v>0</v>
        <stp/>
        <stp>DELTA</stp>
        <stp>.SPY250509P556</stp>
        <tr r="CG30" s="1"/>
        <tr r="CG30" s="1"/>
      </tp>
      <tp>
        <v>-0.18</v>
        <stp/>
        <stp>DELTA</stp>
        <stp>.SPY250516P549</stp>
        <tr r="CI37" s="1"/>
        <tr r="CI37" s="1"/>
      </tp>
      <tp>
        <v>1</v>
        <stp/>
        <stp>DELTA</stp>
        <stp>.SPY250509C556</stp>
        <tr r="CF30" s="1"/>
        <tr r="CF30" s="1"/>
      </tp>
      <tp>
        <v>0.84</v>
        <stp/>
        <stp>DELTA</stp>
        <stp>.SPY250516C549</stp>
        <tr r="CH37" s="1"/>
        <tr r="CH37" s="1"/>
      </tp>
      <tp>
        <v>-0.01</v>
        <stp/>
        <stp>DELTA</stp>
        <stp>.SPY250509P557</stp>
        <tr r="CG29" s="1"/>
        <tr r="CG29" s="1"/>
      </tp>
      <tp>
        <v>-0.16</v>
        <stp/>
        <stp>DELTA</stp>
        <stp>.SPY250516P548</stp>
        <tr r="CI38" s="1"/>
        <tr r="CI38" s="1"/>
      </tp>
      <tp>
        <v>1</v>
        <stp/>
        <stp>DELTA</stp>
        <stp>.SPY250509C557</stp>
        <tr r="CF29" s="1"/>
        <tr r="CF29" s="1"/>
      </tp>
      <tp>
        <v>0.85</v>
        <stp/>
        <stp>DELTA</stp>
        <stp>.SPY250516C548</stp>
        <tr r="CH38" s="1"/>
        <tr r="CH38" s="1"/>
      </tp>
      <tp>
        <v>0</v>
        <stp/>
        <stp>DELTA</stp>
        <stp>.SPY250509P548</stp>
        <tr r="CG38" s="1"/>
        <tr r="CG38" s="1"/>
      </tp>
      <tp>
        <v>-0.31</v>
        <stp/>
        <stp>DELTA</stp>
        <stp>.SPY250516P557</stp>
        <tr r="CI29" s="1"/>
        <tr r="CI29" s="1"/>
      </tp>
      <tp>
        <v>1</v>
        <stp/>
        <stp>DELTA</stp>
        <stp>.SPY250509C548</stp>
        <tr r="CF38" s="1"/>
        <tr r="CF38" s="1"/>
      </tp>
      <tp>
        <v>0.7</v>
        <stp/>
        <stp>DELTA</stp>
        <stp>.SPY250516C557</stp>
        <tr r="CH29" s="1"/>
        <tr r="CH29" s="1"/>
      </tp>
      <tp>
        <v>0</v>
        <stp/>
        <stp>DELTA</stp>
        <stp>.SPY250509P549</stp>
        <tr r="CG37" s="1"/>
        <tr r="CG37" s="1"/>
      </tp>
      <tp>
        <v>-0.28999999999999998</v>
        <stp/>
        <stp>DELTA</stp>
        <stp>.SPY250516P556</stp>
        <tr r="CI30" s="1"/>
        <tr r="CI30" s="1"/>
      </tp>
      <tp>
        <v>1</v>
        <stp/>
        <stp>DELTA</stp>
        <stp>.SPY250509C549</stp>
        <tr r="CF37" s="1"/>
        <tr r="CF37" s="1"/>
      </tp>
      <tp>
        <v>0.72</v>
        <stp/>
        <stp>DELTA</stp>
        <stp>.SPY250516C556</stp>
        <tr r="CH30" s="1"/>
        <tr r="CH30" s="1"/>
      </tp>
      <tp>
        <v>-0.27</v>
        <stp/>
        <stp>DELTA</stp>
        <stp>.SPY250516P555</stp>
        <tr r="CI31" s="1"/>
        <tr r="CI31" s="1"/>
      </tp>
      <tp>
        <v>0.74</v>
        <stp/>
        <stp>DELTA</stp>
        <stp>.SPY250516C555</stp>
        <tr r="CH31" s="1"/>
        <tr r="CH31" s="1"/>
      </tp>
      <tp>
        <v>-0.25</v>
        <stp/>
        <stp>DELTA</stp>
        <stp>.SPY250516P554</stp>
        <tr r="CI32" s="1"/>
        <tr r="CI32" s="1"/>
      </tp>
      <tp>
        <v>0.75</v>
        <stp/>
        <stp>DELTA</stp>
        <stp>.SPY250516C554</stp>
        <tr r="CH32" s="1"/>
        <tr r="CH32" s="1"/>
      </tp>
      <tp>
        <v>-0.24</v>
        <stp/>
        <stp>DELTA</stp>
        <stp>.SPY250516P553</stp>
        <tr r="CI33" s="1"/>
        <tr r="CI33" s="1"/>
      </tp>
      <tp>
        <v>0.77</v>
        <stp/>
        <stp>DELTA</stp>
        <stp>.SPY250516C553</stp>
        <tr r="CH33" s="1"/>
        <tr r="CH33" s="1"/>
      </tp>
      <tp>
        <v>-0.22</v>
        <stp/>
        <stp>DELTA</stp>
        <stp>.SPY250516P552</stp>
        <tr r="CI34" s="1"/>
        <tr r="CI34" s="1"/>
      </tp>
      <tp>
        <v>0.79</v>
        <stp/>
        <stp>DELTA</stp>
        <stp>.SPY250516C552</stp>
        <tr r="CH34" s="1"/>
        <tr r="CH34" s="1"/>
      </tp>
      <tp>
        <v>-0.21</v>
        <stp/>
        <stp>DELTA</stp>
        <stp>.SPY250516P551</stp>
        <tr r="CI35" s="1"/>
        <tr r="CI35" s="1"/>
      </tp>
      <tp>
        <v>0.81</v>
        <stp/>
        <stp>DELTA</stp>
        <stp>.SPY250516C551</stp>
        <tr r="CH35" s="1"/>
        <tr r="CH35" s="1"/>
      </tp>
      <tp>
        <v>-0.19</v>
        <stp/>
        <stp>DELTA</stp>
        <stp>.SPY250516P550</stp>
        <tr r="CI36" s="1"/>
        <tr r="CI36" s="1"/>
      </tp>
      <tp>
        <v>0.82</v>
        <stp/>
        <stp>DELTA</stp>
        <stp>.SPY250516C550</stp>
        <tr r="CH36" s="1"/>
        <tr r="CH36" s="1"/>
      </tp>
      <tp>
        <v>0</v>
        <stp/>
        <stp>DELTA</stp>
        <stp>.SPY250505P548</stp>
        <tr r="CE38" s="1"/>
        <tr r="CE38" s="1"/>
      </tp>
      <tp>
        <v>1</v>
        <stp/>
        <stp>DELTA</stp>
        <stp>.SPY250505C548</stp>
        <tr r="CD38" s="1"/>
        <tr r="CD38" s="1"/>
      </tp>
      <tp>
        <v>0</v>
        <stp/>
        <stp>DELTA</stp>
        <stp>.SPY250505P549</stp>
        <tr r="CE37" s="1"/>
        <tr r="CE37" s="1"/>
      </tp>
      <tp>
        <v>1</v>
        <stp/>
        <stp>DELTA</stp>
        <stp>.SPY250505C549</stp>
        <tr r="CD37" s="1"/>
        <tr r="CD37" s="1"/>
      </tp>
      <tp>
        <v>-0.35</v>
        <stp/>
        <stp>DELTA</stp>
        <stp>.SPY250516P559</stp>
        <tr r="CI27" s="1"/>
        <tr r="CI27" s="1"/>
      </tp>
      <tp>
        <v>0.65</v>
        <stp/>
        <stp>DELTA</stp>
        <stp>.SPY250516C559</stp>
        <tr r="CH27" s="1"/>
        <tr r="CH27" s="1"/>
      </tp>
      <tp>
        <v>-0.33</v>
        <stp/>
        <stp>DELTA</stp>
        <stp>.SPY250516P558</stp>
        <tr r="CI28" s="1"/>
        <tr r="CI28" s="1"/>
      </tp>
      <tp>
        <v>0.67</v>
        <stp/>
        <stp>DELTA</stp>
        <stp>.SPY250516C558</stp>
        <tr r="CH28" s="1"/>
        <tr r="CH28" s="1"/>
      </tp>
      <tp>
        <v>-0.77</v>
        <stp/>
        <stp>DELTA</stp>
        <stp>.SPY250505P574</stp>
        <tr r="CE12" s="1"/>
        <tr r="CE12" s="1"/>
      </tp>
      <tp>
        <v>-0.89</v>
        <stp/>
        <stp>DELTA</stp>
        <stp>.SPY250509P578</stp>
        <tr r="CG8" s="1"/>
        <tr r="CG8" s="1"/>
      </tp>
      <tp>
        <v>-0.54</v>
        <stp/>
        <stp>DELTA</stp>
        <stp>.SPY250516P567</stp>
        <tr r="CI19" s="1"/>
        <tr r="CI19" s="1"/>
      </tp>
      <tp>
        <v>0</v>
        <stp/>
        <stp>DELTA</stp>
        <stp>.SPY250505C574</stp>
        <tr r="CD12" s="1"/>
        <tr r="CD12" s="1"/>
      </tp>
      <tp>
        <v>0</v>
        <stp/>
        <stp>DELTA</stp>
        <stp>.SPY250509C578</stp>
        <tr r="CF8" s="1"/>
        <tr r="CF8" s="1"/>
      </tp>
      <tp>
        <v>0.46</v>
        <stp/>
        <stp>DELTA</stp>
        <stp>.SPY250516C567</stp>
        <tr r="CH19" s="1"/>
        <tr r="CH19" s="1"/>
      </tp>
      <tp>
        <v>-0.78</v>
        <stp/>
        <stp>DELTA</stp>
        <stp>.SPY250505P575</stp>
        <tr r="CE11" s="1"/>
        <tr r="CE11" s="1"/>
      </tp>
      <tp>
        <v>-0.89</v>
        <stp/>
        <stp>DELTA</stp>
        <stp>.SPY250509P579</stp>
        <tr r="CG7" s="1"/>
        <tr r="CG7" s="1"/>
      </tp>
      <tp>
        <v>-0.52</v>
        <stp/>
        <stp>DELTA</stp>
        <stp>.SPY250516P566</stp>
        <tr r="CI20" s="1"/>
        <tr r="CI20" s="1"/>
      </tp>
      <tp>
        <v>0</v>
        <stp/>
        <stp>DELTA</stp>
        <stp>.SPY250505C575</stp>
        <tr r="CD11" s="1"/>
        <tr r="CD11" s="1"/>
      </tp>
      <tp>
        <v>0</v>
        <stp/>
        <stp>DELTA</stp>
        <stp>.SPY250509C579</stp>
        <tr r="CF7" s="1"/>
        <tr r="CF7" s="1"/>
      </tp>
      <tp>
        <v>0.48</v>
        <stp/>
        <stp>DELTA</stp>
        <stp>.SPY250516C566</stp>
        <tr r="CH20" s="1"/>
        <tr r="CH20" s="1"/>
      </tp>
      <tp>
        <v>-0.79</v>
        <stp/>
        <stp>DELTA</stp>
        <stp>.SPY250505P576</stp>
        <tr r="CE10" s="1"/>
        <tr r="CE10" s="1"/>
      </tp>
      <tp>
        <v>-0.49</v>
        <stp/>
        <stp>DELTA</stp>
        <stp>.SPY250516P565</stp>
        <tr r="CI21" s="1"/>
        <tr r="CI21" s="1"/>
      </tp>
      <tp>
        <v>0</v>
        <stp/>
        <stp>DELTA</stp>
        <stp>.SPY250505C576</stp>
        <tr r="CD10" s="1"/>
        <tr r="CD10" s="1"/>
      </tp>
      <tp>
        <v>0.51</v>
        <stp/>
        <stp>DELTA</stp>
        <stp>.SPY250516C565</stp>
        <tr r="CH21" s="1"/>
        <tr r="CH21" s="1"/>
      </tp>
      <tp>
        <v>-0.8</v>
        <stp/>
        <stp>DELTA</stp>
        <stp>.SPY250505P577</stp>
        <tr r="CE9" s="1"/>
        <tr r="CE9" s="1"/>
      </tp>
      <tp>
        <v>-0.47</v>
        <stp/>
        <stp>DELTA</stp>
        <stp>.SPY250516P564</stp>
        <tr r="CI22" s="1"/>
        <tr r="CI22" s="1"/>
      </tp>
      <tp>
        <v>0</v>
        <stp/>
        <stp>DELTA</stp>
        <stp>.SPY250505C577</stp>
        <tr r="CD9" s="1"/>
        <tr r="CD9" s="1"/>
      </tp>
      <tp>
        <v>0.53</v>
        <stp/>
        <stp>DELTA</stp>
        <stp>.SPY250516C564</stp>
        <tr r="CH22" s="1"/>
        <tr r="CH22" s="1"/>
      </tp>
      <tp>
        <v>-0.71</v>
        <stp/>
        <stp>DELTA</stp>
        <stp>.SPY250505P570</stp>
        <tr r="CE16" s="1"/>
        <tr r="CE16" s="1"/>
      </tp>
      <tp>
        <v>-0.45</v>
        <stp/>
        <stp>DELTA</stp>
        <stp>.SPY250516P563</stp>
        <tr r="CI23" s="1"/>
        <tr r="CI23" s="1"/>
      </tp>
      <tp>
        <v>0.01</v>
        <stp/>
        <stp>DELTA</stp>
        <stp>.SPY250505C570</stp>
        <tr r="CD16" s="1"/>
        <tr r="CD16" s="1"/>
      </tp>
      <tp>
        <v>0.56000000000000005</v>
        <stp/>
        <stp>DELTA</stp>
        <stp>.SPY250516C563</stp>
        <tr r="CH23" s="1"/>
        <tr r="CH23" s="1"/>
      </tp>
      <tp>
        <v>-0.73</v>
        <stp/>
        <stp>DELTA</stp>
        <stp>.SPY250505P571</stp>
        <tr r="CE15" s="1"/>
        <tr r="CE15" s="1"/>
      </tp>
      <tp>
        <v>-0.42</v>
        <stp/>
        <stp>DELTA</stp>
        <stp>.SPY250516P562</stp>
        <tr r="CI24" s="1"/>
        <tr r="CI24" s="1"/>
      </tp>
      <tp>
        <v>0.01</v>
        <stp/>
        <stp>DELTA</stp>
        <stp>.SPY250505C571</stp>
        <tr r="CD15" s="1"/>
        <tr r="CD15" s="1"/>
      </tp>
      <tp>
        <v>0.57999999999999996</v>
        <stp/>
        <stp>DELTA</stp>
        <stp>.SPY250516C562</stp>
        <tr r="CH24" s="1"/>
        <tr r="CH24" s="1"/>
      </tp>
      <tp>
        <v>-0.74</v>
        <stp/>
        <stp>DELTA</stp>
        <stp>.SPY250505P572</stp>
        <tr r="CE14" s="1"/>
        <tr r="CE14" s="1"/>
      </tp>
      <tp>
        <v>-0.4</v>
        <stp/>
        <stp>DELTA</stp>
        <stp>.SPY250516P561</stp>
        <tr r="CI25" s="1"/>
        <tr r="CI25" s="1"/>
      </tp>
      <tp>
        <v>0.01</v>
        <stp/>
        <stp>DELTA</stp>
        <stp>.SPY250505C572</stp>
        <tr r="CD14" s="1"/>
        <tr r="CD14" s="1"/>
      </tp>
      <tp>
        <v>0.61</v>
        <stp/>
        <stp>DELTA</stp>
        <stp>.SPY250516C561</stp>
        <tr r="CH25" s="1"/>
        <tr r="CH25" s="1"/>
      </tp>
      <tp>
        <v>-0.75</v>
        <stp/>
        <stp>DELTA</stp>
        <stp>.SPY250505P573</stp>
        <tr r="CE13" s="1"/>
        <tr r="CE13" s="1"/>
      </tp>
      <tp>
        <v>-0.38</v>
        <stp/>
        <stp>DELTA</stp>
        <stp>.SPY250516P560</stp>
        <tr r="CI26" s="1"/>
        <tr r="CI26" s="1"/>
      </tp>
      <tp>
        <v>0.01</v>
        <stp/>
        <stp>DELTA</stp>
        <stp>.SPY250505C573</stp>
        <tr r="CD13" s="1"/>
        <tr r="CD13" s="1"/>
      </tp>
      <tp>
        <v>0.63</v>
        <stp/>
        <stp>DELTA</stp>
        <stp>.SPY250516C560</stp>
        <tr r="CH26" s="1"/>
        <tr r="CH26" s="1"/>
      </tp>
      <tp>
        <v>-0.83</v>
        <stp/>
        <stp>DELTA</stp>
        <stp>.SPY250509P570</stp>
        <tr r="CG16" s="1"/>
        <tr r="CG16" s="1"/>
      </tp>
      <tp>
        <v>0.01</v>
        <stp/>
        <stp>DELTA</stp>
        <stp>.SPY250509C570</stp>
        <tr r="CF16" s="1"/>
        <tr r="CF16" s="1"/>
      </tp>
      <tp>
        <v>-0.86</v>
        <stp/>
        <stp>DELTA</stp>
        <stp>.SPY250509P571</stp>
        <tr r="CG15" s="1"/>
        <tr r="CG15" s="1"/>
      </tp>
      <tp>
        <v>0.01</v>
        <stp/>
        <stp>DELTA</stp>
        <stp>.SPY250509C571</stp>
        <tr r="CF15" s="1"/>
        <tr r="CF15" s="1"/>
      </tp>
      <tp>
        <v>-0.87</v>
        <stp/>
        <stp>DELTA</stp>
        <stp>.SPY250509P572</stp>
        <tr r="CG14" s="1"/>
        <tr r="CG14" s="1"/>
      </tp>
      <tp>
        <v>0.01</v>
        <stp/>
        <stp>DELTA</stp>
        <stp>.SPY250509C572</stp>
        <tr r="CF14" s="1"/>
        <tr r="CF14" s="1"/>
      </tp>
      <tp>
        <v>-0.86</v>
        <stp/>
        <stp>DELTA</stp>
        <stp>.SPY250509P573</stp>
        <tr r="CG13" s="1"/>
        <tr r="CG13" s="1"/>
      </tp>
      <tp>
        <v>0.01</v>
        <stp/>
        <stp>DELTA</stp>
        <stp>.SPY250509C573</stp>
        <tr r="CF13" s="1"/>
        <tr r="CF13" s="1"/>
      </tp>
      <tp>
        <v>-0.8</v>
        <stp/>
        <stp>DELTA</stp>
        <stp>.SPY250505P578</stp>
        <tr r="CE8" s="1"/>
        <tr r="CE8" s="1"/>
      </tp>
      <tp>
        <v>-0.87</v>
        <stp/>
        <stp>DELTA</stp>
        <stp>.SPY250509P574</stp>
        <tr r="CG12" s="1"/>
        <tr r="CG12" s="1"/>
      </tp>
      <tp>
        <v>0</v>
        <stp/>
        <stp>DELTA</stp>
        <stp>.SPY250505C578</stp>
        <tr r="CD8" s="1"/>
        <tr r="CD8" s="1"/>
      </tp>
      <tp>
        <v>0</v>
        <stp/>
        <stp>DELTA</stp>
        <stp>.SPY250509C574</stp>
        <tr r="CF12" s="1"/>
        <tr r="CF12" s="1"/>
      </tp>
      <tp>
        <v>-0.81</v>
        <stp/>
        <stp>DELTA</stp>
        <stp>.SPY250505P579</stp>
        <tr r="CE7" s="1"/>
        <tr r="CE7" s="1"/>
      </tp>
      <tp>
        <v>-0.87</v>
        <stp/>
        <stp>DELTA</stp>
        <stp>.SPY250509P575</stp>
        <tr r="CG11" s="1"/>
        <tr r="CG11" s="1"/>
      </tp>
      <tp>
        <v>0</v>
        <stp/>
        <stp>DELTA</stp>
        <stp>.SPY250505C579</stp>
        <tr r="CD7" s="1"/>
        <tr r="CD7" s="1"/>
      </tp>
      <tp>
        <v>0</v>
        <stp/>
        <stp>DELTA</stp>
        <stp>.SPY250509C575</stp>
        <tr r="CF11" s="1"/>
        <tr r="CF11" s="1"/>
      </tp>
      <tp>
        <v>-0.88</v>
        <stp/>
        <stp>DELTA</stp>
        <stp>.SPY250509P576</stp>
        <tr r="CG10" s="1"/>
        <tr r="CG10" s="1"/>
      </tp>
      <tp>
        <v>-0.59</v>
        <stp/>
        <stp>DELTA</stp>
        <stp>.SPY250516P569</stp>
        <tr r="CI17" s="1"/>
        <tr r="CI17" s="1"/>
      </tp>
      <tp>
        <v>0</v>
        <stp/>
        <stp>DELTA</stp>
        <stp>.SPY250509C576</stp>
        <tr r="CF10" s="1"/>
        <tr r="CF10" s="1"/>
      </tp>
      <tp>
        <v>0.4</v>
        <stp/>
        <stp>DELTA</stp>
        <stp>.SPY250516C569</stp>
        <tr r="CH17" s="1"/>
        <tr r="CH17" s="1"/>
      </tp>
      <tp>
        <v>-0.88</v>
        <stp/>
        <stp>DELTA</stp>
        <stp>.SPY250509P577</stp>
        <tr r="CG9" s="1"/>
        <tr r="CG9" s="1"/>
      </tp>
      <tp>
        <v>-0.56999999999999995</v>
        <stp/>
        <stp>DELTA</stp>
        <stp>.SPY250516P568</stp>
        <tr r="CI18" s="1"/>
        <tr r="CI18" s="1"/>
      </tp>
      <tp>
        <v>0</v>
        <stp/>
        <stp>DELTA</stp>
        <stp>.SPY250509C577</stp>
        <tr r="CF9" s="1"/>
        <tr r="CF9" s="1"/>
      </tp>
      <tp>
        <v>0.43</v>
        <stp/>
        <stp>DELTA</stp>
        <stp>.SPY250516C568</stp>
        <tr r="CH18" s="1"/>
        <tr r="CH18" s="1"/>
      </tp>
      <tp>
        <v>-0.41</v>
        <stp/>
        <stp>DELTA</stp>
        <stp>.SPY250505P564</stp>
        <tr r="CE22" s="1"/>
        <tr r="CE22" s="1"/>
      </tp>
      <tp>
        <v>-0.79</v>
        <stp/>
        <stp>DELTA</stp>
        <stp>.SPY250509P568</stp>
        <tr r="CG18" s="1"/>
        <tr r="CG18" s="1"/>
      </tp>
      <tp>
        <v>-0.77</v>
        <stp/>
        <stp>DELTA</stp>
        <stp>.SPY250516P577</stp>
        <tr r="CI9" s="1"/>
        <tr r="CI9" s="1"/>
      </tp>
      <tp>
        <v>1</v>
        <stp/>
        <stp>DELTA</stp>
        <stp>.SPY250505C564</stp>
        <tr r="CD22" s="1"/>
        <tr r="CD22" s="1"/>
      </tp>
      <tp>
        <v>0.01</v>
        <stp/>
        <stp>DELTA</stp>
        <stp>.SPY250509C568</stp>
        <tr r="CF18" s="1"/>
        <tr r="CF18" s="1"/>
      </tp>
      <tp>
        <v>0.21</v>
        <stp/>
        <stp>DELTA</stp>
        <stp>.SPY250516C577</stp>
        <tr r="CH9" s="1"/>
        <tr r="CH9" s="1"/>
      </tp>
      <tp>
        <v>-0.52</v>
        <stp/>
        <stp>DELTA</stp>
        <stp>.SPY250505P565</stp>
        <tr r="CE21" s="1"/>
        <tr r="CE21" s="1"/>
      </tp>
      <tp>
        <v>-0.82</v>
        <stp/>
        <stp>DELTA</stp>
        <stp>.SPY250509P569</stp>
        <tr r="CG17" s="1"/>
        <tr r="CG17" s="1"/>
      </tp>
      <tp>
        <v>-0.75</v>
        <stp/>
        <stp>DELTA</stp>
        <stp>.SPY250516P576</stp>
        <tr r="CI10" s="1"/>
        <tr r="CI10" s="1"/>
      </tp>
      <tp>
        <v>0.08</v>
        <stp/>
        <stp>DELTA</stp>
        <stp>.SPY250505C565</stp>
        <tr r="CD21" s="1"/>
        <tr r="CD21" s="1"/>
      </tp>
      <tp>
        <v>0.01</v>
        <stp/>
        <stp>DELTA</stp>
        <stp>.SPY250509C569</stp>
        <tr r="CF17" s="1"/>
        <tr r="CF17" s="1"/>
      </tp>
      <tp>
        <v>0.23</v>
        <stp/>
        <stp>DELTA</stp>
        <stp>.SPY250516C576</stp>
        <tr r="CH10" s="1"/>
        <tr r="CH10" s="1"/>
      </tp>
      <tp>
        <v>-0.57999999999999996</v>
        <stp/>
        <stp>DELTA</stp>
        <stp>.SPY250505P566</stp>
        <tr r="CE20" s="1"/>
        <tr r="CE20" s="1"/>
      </tp>
      <tp>
        <v>-0.73</v>
        <stp/>
        <stp>DELTA</stp>
        <stp>.SPY250516P575</stp>
        <tr r="CI11" s="1"/>
        <tr r="CI11" s="1"/>
      </tp>
      <tp>
        <v>0.02</v>
        <stp/>
        <stp>DELTA</stp>
        <stp>.SPY250505C566</stp>
        <tr r="CD20" s="1"/>
        <tr r="CD20" s="1"/>
      </tp>
      <tp>
        <v>0.26</v>
        <stp/>
        <stp>DELTA</stp>
        <stp>.SPY250516C575</stp>
        <tr r="CH11" s="1"/>
        <tr r="CH11" s="1"/>
      </tp>
      <tp>
        <v>-0.63</v>
        <stp/>
        <stp>DELTA</stp>
        <stp>.SPY250505P567</stp>
        <tr r="CE19" s="1"/>
        <tr r="CE19" s="1"/>
      </tp>
      <tp>
        <v>-0.71</v>
        <stp/>
        <stp>DELTA</stp>
        <stp>.SPY250516P574</stp>
        <tr r="CI12" s="1"/>
        <tr r="CI12" s="1"/>
      </tp>
      <tp>
        <v>0.01</v>
        <stp/>
        <stp>DELTA</stp>
        <stp>.SPY250505C567</stp>
        <tr r="CD19" s="1"/>
        <tr r="CD19" s="1"/>
      </tp>
      <tp>
        <v>0.28000000000000003</v>
        <stp/>
        <stp>DELTA</stp>
        <stp>.SPY250516C574</stp>
        <tr r="CH12" s="1"/>
        <tr r="CH12" s="1"/>
      </tp>
      <tp>
        <v>-0.01</v>
        <stp/>
        <stp>DELTA</stp>
        <stp>.SPY250505P560</stp>
        <tr r="CE26" s="1"/>
        <tr r="CE26" s="1"/>
      </tp>
      <tp>
        <v>-0.69</v>
        <stp/>
        <stp>DELTA</stp>
        <stp>.SPY250516P573</stp>
        <tr r="CI13" s="1"/>
        <tr r="CI13" s="1"/>
      </tp>
      <tp>
        <v>1</v>
        <stp/>
        <stp>DELTA</stp>
        <stp>.SPY250505C560</stp>
        <tr r="CD26" s="1"/>
        <tr r="CD26" s="1"/>
      </tp>
      <tp>
        <v>0.3</v>
        <stp/>
        <stp>DELTA</stp>
        <stp>.SPY250516C573</stp>
        <tr r="CH13" s="1"/>
        <tr r="CH13" s="1"/>
      </tp>
      <tp>
        <v>-0.01</v>
        <stp/>
        <stp>DELTA</stp>
        <stp>.SPY250505P561</stp>
        <tr r="CE25" s="1"/>
        <tr r="CE25" s="1"/>
      </tp>
      <tp>
        <v>-0.67</v>
        <stp/>
        <stp>DELTA</stp>
        <stp>.SPY250516P572</stp>
        <tr r="CI14" s="1"/>
        <tr r="CI14" s="1"/>
      </tp>
      <tp>
        <v>1</v>
        <stp/>
        <stp>DELTA</stp>
        <stp>.SPY250505C561</stp>
        <tr r="CD25" s="1"/>
        <tr r="CD25" s="1"/>
      </tp>
      <tp>
        <v>0.33</v>
        <stp/>
        <stp>DELTA</stp>
        <stp>.SPY250516C572</stp>
        <tr r="CH14" s="1"/>
        <tr r="CH14" s="1"/>
      </tp>
      <tp>
        <v>-0.03</v>
        <stp/>
        <stp>DELTA</stp>
        <stp>.SPY250505P562</stp>
        <tr r="CE24" s="1"/>
        <tr r="CE24" s="1"/>
      </tp>
      <tp>
        <v>-0.64</v>
        <stp/>
        <stp>DELTA</stp>
        <stp>.SPY250516P571</stp>
        <tr r="CI15" s="1"/>
        <tr r="CI15" s="1"/>
      </tp>
      <tp>
        <v>1</v>
        <stp/>
        <stp>DELTA</stp>
        <stp>.SPY250505C562</stp>
        <tr r="CD24" s="1"/>
        <tr r="CD24" s="1"/>
      </tp>
      <tp>
        <v>0.35</v>
        <stp/>
        <stp>DELTA</stp>
        <stp>.SPY250516C571</stp>
        <tr r="CH15" s="1"/>
        <tr r="CH15" s="1"/>
      </tp>
      <tp>
        <v>-0.18</v>
        <stp/>
        <stp>DELTA</stp>
        <stp>.SPY250505P563</stp>
        <tr r="CE23" s="1"/>
        <tr r="CE23" s="1"/>
      </tp>
      <tp>
        <v>-0.62</v>
        <stp/>
        <stp>DELTA</stp>
        <stp>.SPY250516P570</stp>
        <tr r="CI16" s="1"/>
        <tr r="CI16" s="1"/>
      </tp>
      <tp>
        <v>1</v>
        <stp/>
        <stp>DELTA</stp>
        <stp>.SPY250505C563</stp>
        <tr r="CD23" s="1"/>
        <tr r="CD23" s="1"/>
      </tp>
      <tp>
        <v>0.38</v>
        <stp/>
        <stp>DELTA</stp>
        <stp>.SPY250516C570</stp>
        <tr r="CH16" s="1"/>
        <tr r="CH16" s="1"/>
      </tp>
      <tp>
        <v>-0.01</v>
        <stp/>
        <stp>DELTA</stp>
        <stp>.SPY250509P560</stp>
        <tr r="CG26" s="1"/>
        <tr r="CG26" s="1"/>
      </tp>
      <tp>
        <v>1</v>
        <stp/>
        <stp>DELTA</stp>
        <stp>.SPY250509C560</stp>
        <tr r="CF26" s="1"/>
        <tr r="CF26" s="1"/>
      </tp>
      <tp>
        <v>-0.01</v>
        <stp/>
        <stp>DELTA</stp>
        <stp>.SPY250509P561</stp>
        <tr r="CG25" s="1"/>
        <tr r="CG25" s="1"/>
      </tp>
      <tp>
        <v>1</v>
        <stp/>
        <stp>DELTA</stp>
        <stp>.SPY250509C561</stp>
        <tr r="CF25" s="1"/>
        <tr r="CF25" s="1"/>
      </tp>
      <tp>
        <v>-0.01</v>
        <stp/>
        <stp>DELTA</stp>
        <stp>.SPY250509P562</stp>
        <tr r="CG24" s="1"/>
        <tr r="CG24" s="1"/>
      </tp>
      <tp>
        <v>1</v>
        <stp/>
        <stp>DELTA</stp>
        <stp>.SPY250509C562</stp>
        <tr r="CF24" s="1"/>
        <tr r="CF24" s="1"/>
      </tp>
      <tp>
        <v>-0.02</v>
        <stp/>
        <stp>DELTA</stp>
        <stp>.SPY250509P563</stp>
        <tr r="CG23" s="1"/>
        <tr r="CG23" s="1"/>
      </tp>
      <tp>
        <v>1</v>
        <stp/>
        <stp>DELTA</stp>
        <stp>.SPY250509C563</stp>
        <tr r="CF23" s="1"/>
        <tr r="CF23" s="1"/>
      </tp>
      <tp>
        <v>-0.65</v>
        <stp/>
        <stp>DELTA</stp>
        <stp>.SPY250505P568</stp>
        <tr r="CE18" s="1"/>
        <tr r="CE18" s="1"/>
      </tp>
      <tp>
        <v>-7.0000000000000007E-2</v>
        <stp/>
        <stp>DELTA</stp>
        <stp>.SPY250509P564</stp>
        <tr r="CG22" s="1"/>
        <tr r="CG22" s="1"/>
      </tp>
      <tp>
        <v>0.01</v>
        <stp/>
        <stp>DELTA</stp>
        <stp>.SPY250505C568</stp>
        <tr r="CD18" s="1"/>
        <tr r="CD18" s="1"/>
      </tp>
      <tp>
        <v>1</v>
        <stp/>
        <stp>DELTA</stp>
        <stp>.SPY250509C564</stp>
        <tr r="CF22" s="1"/>
        <tr r="CF22" s="1"/>
      </tp>
      <tp>
        <v>-0.68</v>
        <stp/>
        <stp>DELTA</stp>
        <stp>.SPY250505P569</stp>
        <tr r="CE17" s="1"/>
        <tr r="CE17" s="1"/>
      </tp>
      <tp>
        <v>-0.56000000000000005</v>
        <stp/>
        <stp>DELTA</stp>
        <stp>.SPY250509P565</stp>
        <tr r="CG21" s="1"/>
        <tr r="CG21" s="1"/>
      </tp>
      <tp>
        <v>0.01</v>
        <stp/>
        <stp>DELTA</stp>
        <stp>.SPY250505C569</stp>
        <tr r="CD17" s="1"/>
        <tr r="CD17" s="1"/>
      </tp>
      <tp>
        <v>0.15</v>
        <stp/>
        <stp>DELTA</stp>
        <stp>.SPY250509C565</stp>
        <tr r="CF21" s="1"/>
        <tr r="CF21" s="1"/>
      </tp>
      <tp>
        <v>-0.7</v>
        <stp/>
        <stp>DELTA</stp>
        <stp>.SPY250509P566</stp>
        <tr r="CG20" s="1"/>
        <tr r="CG20" s="1"/>
      </tp>
      <tp>
        <v>-0.81</v>
        <stp/>
        <stp>DELTA</stp>
        <stp>.SPY250516P579</stp>
        <tr r="CI7" s="1"/>
        <tr r="CI7" s="1"/>
      </tp>
      <tp>
        <v>0.02</v>
        <stp/>
        <stp>DELTA</stp>
        <stp>.SPY250509C566</stp>
        <tr r="CF20" s="1"/>
        <tr r="CF20" s="1"/>
      </tp>
      <tp>
        <v>0.17</v>
        <stp/>
        <stp>DELTA</stp>
        <stp>.SPY250516C579</stp>
        <tr r="CH7" s="1"/>
        <tr r="CH7" s="1"/>
      </tp>
      <tp>
        <v>-0.75</v>
        <stp/>
        <stp>DELTA</stp>
        <stp>.SPY250509P567</stp>
        <tr r="CG19" s="1"/>
        <tr r="CG19" s="1"/>
      </tp>
      <tp>
        <v>-0.79</v>
        <stp/>
        <stp>DELTA</stp>
        <stp>.SPY250516P578</stp>
        <tr r="CI8" s="1"/>
        <tr r="CI8" s="1"/>
      </tp>
      <tp>
        <v>0.01</v>
        <stp/>
        <stp>DELTA</stp>
        <stp>.SPY250509C567</stp>
        <tr r="CF19" s="1"/>
        <tr r="CF19" s="1"/>
      </tp>
      <tp>
        <v>0.19</v>
        <stp/>
        <stp>DELTA</stp>
        <stp>.SPY250516C578</stp>
        <tr r="CH8" s="1"/>
        <tr r="CH8" s="1"/>
      </tp>
      <tp>
        <v>487.92</v>
        <stp/>
        <stp>MARK</stp>
        <stp>QQQ</stp>
        <tr r="A44" s="1"/>
        <tr r="G136" s="1"/>
      </tp>
      <tp>
        <v>16.43</v>
        <stp/>
        <stp>LAST</stp>
        <stp>.QQQ250505P502</stp>
        <tr r="DB45" s="1"/>
        <tr r="DB45" s="1"/>
      </tp>
      <tp>
        <v>0.01</v>
        <stp/>
        <stp>LAST</stp>
        <stp>.QQQ250505C502</stp>
        <tr r="DA45" s="1"/>
        <tr r="DA45" s="1"/>
      </tp>
      <tp>
        <v>16.22</v>
        <stp/>
        <stp>LAST</stp>
        <stp>.QQQ250505P501</stp>
        <tr r="DB46" s="1"/>
        <tr r="DB46" s="1"/>
      </tp>
      <tp>
        <v>0.01</v>
        <stp/>
        <stp>LAST</stp>
        <stp>.QQQ250505C501</stp>
        <tr r="DA46" s="1"/>
        <tr r="DA46" s="1"/>
      </tp>
      <tp>
        <v>12.95</v>
        <stp/>
        <stp>LAST</stp>
        <stp>.QQQ250505P500</stp>
        <tr r="DB47" s="1"/>
        <tr r="DB47" s="1"/>
      </tp>
      <tp>
        <v>0.01</v>
        <stp/>
        <stp>LAST</stp>
        <stp>.QQQ250505C500</stp>
        <tr r="DA47" s="1"/>
        <tr r="DA47" s="1"/>
      </tp>
      <tp>
        <v>3.76</v>
        <stp/>
        <stp>LAST</stp>
        <stp>.QQQ250505P489</stp>
        <tr r="DB58" s="1"/>
        <tr r="DB58" s="1"/>
      </tp>
      <tp>
        <v>0.01</v>
        <stp/>
        <stp>LAST</stp>
        <stp>.QQQ250505C489</stp>
        <tr r="DA58" s="1"/>
        <tr r="DA58" s="1"/>
      </tp>
      <tp>
        <v>2.78</v>
        <stp/>
        <stp>LAST</stp>
        <stp>.QQQ250505P488</stp>
        <tr r="DB59" s="1"/>
        <tr r="DB59" s="1"/>
      </tp>
      <tp>
        <v>0.01</v>
        <stp/>
        <stp>LAST</stp>
        <stp>.QQQ250505C488</stp>
        <tr r="DA59" s="1"/>
        <tr r="DA59" s="1"/>
      </tp>
      <tp>
        <v>0.01</v>
        <stp/>
        <stp>LAST</stp>
        <stp>.QQQ250505P483</stp>
        <tr r="DB64" s="1"/>
        <tr r="DB64" s="1"/>
      </tp>
      <tp>
        <v>2.0299999999999998</v>
        <stp/>
        <stp>LAST</stp>
        <stp>.QQQ250505C483</stp>
        <tr r="DA64" s="1"/>
        <tr r="DA64" s="1"/>
      </tp>
      <tp>
        <v>0.01</v>
        <stp/>
        <stp>LAST</stp>
        <stp>.QQQ250505P482</stp>
        <tr r="DB65" s="1"/>
        <tr r="DB65" s="1"/>
      </tp>
      <tp>
        <v>3.68</v>
        <stp/>
        <stp>LAST</stp>
        <stp>.QQQ250505C482</stp>
        <tr r="DA65" s="1"/>
        <tr r="DA65" s="1"/>
      </tp>
      <tp>
        <v>0.01</v>
        <stp/>
        <stp>LAST</stp>
        <stp>.QQQ250505P481</stp>
        <tr r="DB66" s="1"/>
        <tr r="DB66" s="1"/>
      </tp>
      <tp>
        <v>4.54</v>
        <stp/>
        <stp>LAST</stp>
        <stp>.QQQ250505C481</stp>
        <tr r="DA66" s="1"/>
        <tr r="DA66" s="1"/>
      </tp>
      <tp>
        <v>0.01</v>
        <stp/>
        <stp>LAST</stp>
        <stp>.QQQ250505P480</stp>
        <tr r="DB67" s="1"/>
        <tr r="DB67" s="1"/>
      </tp>
      <tp>
        <v>5.31</v>
        <stp/>
        <stp>LAST</stp>
        <stp>.QQQ250505C480</stp>
        <tr r="DA67" s="1"/>
        <tr r="DA67" s="1"/>
      </tp>
      <tp>
        <v>1.69</v>
        <stp/>
        <stp>LAST</stp>
        <stp>.QQQ250505P487</stp>
        <tr r="DB60" s="1"/>
        <tr r="DB60" s="1"/>
      </tp>
      <tp>
        <v>0.02</v>
        <stp/>
        <stp>LAST</stp>
        <stp>.QQQ250505C487</stp>
        <tr r="DA60" s="1"/>
        <tr r="DA60" s="1"/>
      </tp>
      <tp>
        <v>0.82</v>
        <stp/>
        <stp>LAST</stp>
        <stp>.QQQ250505P486</stp>
        <tr r="DB61" s="1"/>
        <tr r="DB61" s="1"/>
      </tp>
      <tp>
        <v>0.09</v>
        <stp/>
        <stp>LAST</stp>
        <stp>.QQQ250505C486</stp>
        <tr r="DA61" s="1"/>
        <tr r="DA61" s="1"/>
      </tp>
      <tp>
        <v>0.16</v>
        <stp/>
        <stp>LAST</stp>
        <stp>.QQQ250505P485</stp>
        <tr r="DB62" s="1"/>
        <tr r="DB62" s="1"/>
      </tp>
      <tp>
        <v>0.48</v>
        <stp/>
        <stp>LAST</stp>
        <stp>.QQQ250505C485</stp>
        <tr r="DA62" s="1"/>
        <tr r="DA62" s="1"/>
      </tp>
      <tp>
        <v>0.01</v>
        <stp/>
        <stp>LAST</stp>
        <stp>.QQQ250505P484</stp>
        <tr r="DB63" s="1"/>
        <tr r="DB63" s="1"/>
      </tp>
      <tp>
        <v>1.19</v>
        <stp/>
        <stp>LAST</stp>
        <stp>.QQQ250505C484</stp>
        <tr r="DA63" s="1"/>
        <tr r="DA63" s="1"/>
      </tp>
      <tp>
        <v>11.82</v>
        <stp/>
        <stp>LAST</stp>
        <stp>.QQQ250505P499</stp>
        <tr r="DB48" s="1"/>
        <tr r="DB48" s="1"/>
      </tp>
      <tp>
        <v>0.01</v>
        <stp/>
        <stp>LAST</stp>
        <stp>.QQQ250505C499</stp>
        <tr r="DA48" s="1"/>
        <tr r="DA48" s="1"/>
      </tp>
      <tp>
        <v>12.1</v>
        <stp/>
        <stp>LAST</stp>
        <stp>.QQQ250505P498</stp>
        <tr r="DB49" s="1"/>
        <tr r="DB49" s="1"/>
      </tp>
      <tp>
        <v>0.01</v>
        <stp/>
        <stp>LAST</stp>
        <stp>.QQQ250505C498</stp>
        <tr r="DA49" s="1"/>
        <tr r="DA49" s="1"/>
      </tp>
      <tp>
        <v>7.23</v>
        <stp/>
        <stp>LAST</stp>
        <stp>.QQQ250505P493</stp>
        <tr r="DB54" s="1"/>
        <tr r="DB54" s="1"/>
      </tp>
      <tp>
        <v>0.01</v>
        <stp/>
        <stp>LAST</stp>
        <stp>.QQQ250505C493</stp>
        <tr r="DA54" s="1"/>
        <tr r="DA54" s="1"/>
      </tp>
      <tp>
        <v>6.15</v>
        <stp/>
        <stp>LAST</stp>
        <stp>.QQQ250505P492</stp>
        <tr r="DB55" s="1"/>
        <tr r="DB55" s="1"/>
      </tp>
      <tp>
        <v>0.01</v>
        <stp/>
        <stp>LAST</stp>
        <stp>.QQQ250505C492</stp>
        <tr r="DA55" s="1"/>
        <tr r="DA55" s="1"/>
      </tp>
      <tp>
        <v>5.83</v>
        <stp/>
        <stp>LAST</stp>
        <stp>.QQQ250505P491</stp>
        <tr r="DB56" s="1"/>
        <tr r="DB56" s="1"/>
      </tp>
      <tp>
        <v>0.01</v>
        <stp/>
        <stp>LAST</stp>
        <stp>.QQQ250505C491</stp>
        <tr r="DA56" s="1"/>
        <tr r="DA56" s="1"/>
      </tp>
      <tp>
        <v>4.75</v>
        <stp/>
        <stp>LAST</stp>
        <stp>.QQQ250505P490</stp>
        <tr r="DB57" s="1"/>
        <tr r="DB57" s="1"/>
      </tp>
      <tp>
        <v>0.01</v>
        <stp/>
        <stp>LAST</stp>
        <stp>.QQQ250505C490</stp>
        <tr r="DA57" s="1"/>
        <tr r="DA57" s="1"/>
      </tp>
      <tp>
        <v>8.0299999999999994</v>
        <stp/>
        <stp>LAST</stp>
        <stp>.QQQ250505P497</stp>
        <tr r="DB50" s="1"/>
        <tr r="DB50" s="1"/>
      </tp>
      <tp>
        <v>0.01</v>
        <stp/>
        <stp>LAST</stp>
        <stp>.QQQ250505C497</stp>
        <tr r="DA50" s="1"/>
        <tr r="DA50" s="1"/>
      </tp>
      <tp>
        <v>9</v>
        <stp/>
        <stp>LAST</stp>
        <stp>.QQQ250505P496</stp>
        <tr r="DB51" s="1"/>
        <tr r="DB51" s="1"/>
      </tp>
      <tp>
        <v>0.01</v>
        <stp/>
        <stp>LAST</stp>
        <stp>.QQQ250505C496</stp>
        <tr r="DA51" s="1"/>
        <tr r="DA51" s="1"/>
      </tp>
      <tp>
        <v>9.3000000000000007</v>
        <stp/>
        <stp>LAST</stp>
        <stp>.QQQ250505P495</stp>
        <tr r="DB52" s="1"/>
        <tr r="DB52" s="1"/>
      </tp>
      <tp>
        <v>0.01</v>
        <stp/>
        <stp>LAST</stp>
        <stp>.QQQ250505C495</stp>
        <tr r="DA52" s="1"/>
        <tr r="DA52" s="1"/>
      </tp>
      <tp>
        <v>7.2</v>
        <stp/>
        <stp>LAST</stp>
        <stp>.QQQ250505P494</stp>
        <tr r="DB53" s="1"/>
        <tr r="DB53" s="1"/>
      </tp>
      <tp>
        <v>0.01</v>
        <stp/>
        <stp>LAST</stp>
        <stp>.QQQ250505C494</stp>
        <tr r="DA53" s="1"/>
        <tr r="DA53" s="1"/>
      </tp>
      <tp>
        <v>0.01</v>
        <stp/>
        <stp>LAST</stp>
        <stp>.QQQ250505P469</stp>
        <tr r="DB78" s="1"/>
        <tr r="DB78" s="1"/>
      </tp>
      <tp>
        <v>17.920000000000002</v>
        <stp/>
        <stp>LAST</stp>
        <stp>.QQQ250505C469</stp>
        <tr r="DA78" s="1"/>
        <tr r="DA78" s="1"/>
      </tp>
      <tp>
        <v>0.01</v>
        <stp/>
        <stp>LAST</stp>
        <stp>.QQQ250505P468</stp>
        <tr r="DB79" s="1"/>
        <tr r="DB79" s="1"/>
      </tp>
      <tp>
        <v>17.7</v>
        <stp/>
        <stp>LAST</stp>
        <stp>.QQQ250505C468</stp>
        <tr r="DA79" s="1"/>
        <tr r="DA79" s="1"/>
      </tp>
      <tp>
        <v>0.01</v>
        <stp/>
        <stp>LAST</stp>
        <stp>.QQQ250505P479</stp>
        <tr r="DB68" s="1"/>
        <tr r="DB68" s="1"/>
      </tp>
      <tp>
        <v>6.22</v>
        <stp/>
        <stp>LAST</stp>
        <stp>.QQQ250505C479</stp>
        <tr r="DA68" s="1"/>
        <tr r="DA68" s="1"/>
      </tp>
      <tp>
        <v>0.01</v>
        <stp/>
        <stp>LAST</stp>
        <stp>.QQQ250505P478</stp>
        <tr r="DB69" s="1"/>
        <tr r="DB69" s="1"/>
      </tp>
      <tp>
        <v>9.65</v>
        <stp/>
        <stp>LAST</stp>
        <stp>.QQQ250505C478</stp>
        <tr r="DA69" s="1"/>
        <tr r="DA69" s="1"/>
      </tp>
      <tp>
        <v>0.01</v>
        <stp/>
        <stp>LAST</stp>
        <stp>.QQQ250505P473</stp>
        <tr r="DB74" s="1"/>
        <tr r="DB74" s="1"/>
      </tp>
      <tp>
        <v>13.27</v>
        <stp/>
        <stp>LAST</stp>
        <stp>.QQQ250505C473</stp>
        <tr r="DA74" s="1"/>
        <tr r="DA74" s="1"/>
      </tp>
      <tp>
        <v>0.01</v>
        <stp/>
        <stp>LAST</stp>
        <stp>.QQQ250505P472</stp>
        <tr r="DB75" s="1"/>
        <tr r="DB75" s="1"/>
      </tp>
      <tp>
        <v>13.11</v>
        <stp/>
        <stp>LAST</stp>
        <stp>.QQQ250505C472</stp>
        <tr r="DA75" s="1"/>
        <tr r="DA75" s="1"/>
      </tp>
      <tp>
        <v>0.01</v>
        <stp/>
        <stp>LAST</stp>
        <stp>.QQQ250505P471</stp>
        <tr r="DB76" s="1"/>
        <tr r="DB76" s="1"/>
      </tp>
      <tp>
        <v>14.25</v>
        <stp/>
        <stp>LAST</stp>
        <stp>.QQQ250505C471</stp>
        <tr r="DA76" s="1"/>
        <tr r="DA76" s="1"/>
      </tp>
      <tp>
        <v>0.01</v>
        <stp/>
        <stp>LAST</stp>
        <stp>.QQQ250505P470</stp>
        <tr r="DB77" s="1"/>
        <tr r="DB77" s="1"/>
      </tp>
      <tp>
        <v>15.25</v>
        <stp/>
        <stp>LAST</stp>
        <stp>.QQQ250505C470</stp>
        <tr r="DA77" s="1"/>
        <tr r="DA77" s="1"/>
      </tp>
      <tp>
        <v>0.01</v>
        <stp/>
        <stp>LAST</stp>
        <stp>.QQQ250505P477</stp>
        <tr r="DB70" s="1"/>
        <tr r="DB70" s="1"/>
      </tp>
      <tp>
        <v>8.11</v>
        <stp/>
        <stp>LAST</stp>
        <stp>.QQQ250505C477</stp>
        <tr r="DA70" s="1"/>
        <tr r="DA70" s="1"/>
      </tp>
      <tp>
        <v>0.01</v>
        <stp/>
        <stp>LAST</stp>
        <stp>.QQQ250505P476</stp>
        <tr r="DB71" s="1"/>
        <tr r="DB71" s="1"/>
      </tp>
      <tp>
        <v>9.52</v>
        <stp/>
        <stp>LAST</stp>
        <stp>.QQQ250505C476</stp>
        <tr r="DA71" s="1"/>
        <tr r="DA71" s="1"/>
      </tp>
      <tp>
        <v>0.01</v>
        <stp/>
        <stp>LAST</stp>
        <stp>.QQQ250505P475</stp>
        <tr r="DB72" s="1"/>
        <tr r="DB72" s="1"/>
      </tp>
      <tp>
        <v>10.1</v>
        <stp/>
        <stp>LAST</stp>
        <stp>.QQQ250505C475</stp>
        <tr r="DA72" s="1"/>
        <tr r="DA72" s="1"/>
      </tp>
      <tp>
        <v>0.01</v>
        <stp/>
        <stp>LAST</stp>
        <stp>.QQQ250505P474</stp>
        <tr r="DB73" s="1"/>
        <tr r="DB73" s="1"/>
      </tp>
      <tp>
        <v>11.29</v>
        <stp/>
        <stp>LAST</stp>
        <stp>.QQQ250505C474</stp>
        <tr r="DA73" s="1"/>
        <tr r="DA73" s="1"/>
      </tp>
      <tp>
        <v>-0.7</v>
        <stp/>
        <stp>DELTA</stp>
        <stp>.QQQ250505P496</stp>
        <tr r="CE51" s="1"/>
        <tr r="CE51" s="1"/>
      </tp>
      <tp>
        <v>-0.42</v>
        <stp/>
        <stp>DELTA</stp>
        <stp>.QQQ250516P485</stp>
        <tr r="CI62" s="1"/>
        <tr r="CI62" s="1"/>
      </tp>
      <tp>
        <v>0.01</v>
        <stp/>
        <stp>DELTA</stp>
        <stp>.QQQ250505C496</stp>
        <tr r="CD51" s="1"/>
        <tr r="CD51" s="1"/>
      </tp>
      <tp>
        <v>0.57999999999999996</v>
        <stp/>
        <stp>DELTA</stp>
        <stp>.QQQ250516C485</stp>
        <tr r="CH62" s="1"/>
        <tr r="CH62" s="1"/>
      </tp>
      <tp>
        <v>-0.7</v>
        <stp/>
        <stp>DELTA</stp>
        <stp>.QQQ250505P497</stp>
        <tr r="CE50" s="1"/>
        <tr r="CE50" s="1"/>
      </tp>
      <tp>
        <v>-0.39</v>
        <stp/>
        <stp>DELTA</stp>
        <stp>.QQQ250516P484</stp>
        <tr r="CI63" s="1"/>
        <tr r="CI63" s="1"/>
      </tp>
      <tp>
        <v>0</v>
        <stp/>
        <stp>DELTA</stp>
        <stp>.QQQ250505C497</stp>
        <tr r="CD50" s="1"/>
        <tr r="CD50" s="1"/>
      </tp>
      <tp>
        <v>0.6</v>
        <stp/>
        <stp>DELTA</stp>
        <stp>.QQQ250516C484</stp>
        <tr r="CH63" s="1"/>
        <tr r="CH63" s="1"/>
      </tp>
      <tp>
        <v>-0.66</v>
        <stp/>
        <stp>DELTA</stp>
        <stp>.QQQ250505P494</stp>
        <tr r="CE53" s="1"/>
        <tr r="CE53" s="1"/>
      </tp>
      <tp>
        <v>-1</v>
        <stp/>
        <stp>DELTA</stp>
        <stp>.QQQ250509P498</stp>
        <tr r="CG49" s="1"/>
        <tr r="CG49" s="1"/>
      </tp>
      <tp>
        <v>-0.47</v>
        <stp/>
        <stp>DELTA</stp>
        <stp>.QQQ250516P487</stp>
        <tr r="CI60" s="1"/>
        <tr r="CI60" s="1"/>
      </tp>
      <tp>
        <v>0.01</v>
        <stp/>
        <stp>DELTA</stp>
        <stp>.QQQ250505C494</stp>
        <tr r="CD53" s="1"/>
        <tr r="CD53" s="1"/>
      </tp>
      <tp>
        <v>0</v>
        <stp/>
        <stp>DELTA</stp>
        <stp>.QQQ250509C498</stp>
        <tr r="CF49" s="1"/>
        <tr r="CF49" s="1"/>
      </tp>
      <tp>
        <v>0.54</v>
        <stp/>
        <stp>DELTA</stp>
        <stp>.QQQ250516C487</stp>
        <tr r="CH60" s="1"/>
        <tr r="CH60" s="1"/>
      </tp>
      <tp>
        <v>-0.67</v>
        <stp/>
        <stp>DELTA</stp>
        <stp>.QQQ250505P495</stp>
        <tr r="CE52" s="1"/>
        <tr r="CE52" s="1"/>
      </tp>
      <tp>
        <v>-1</v>
        <stp/>
        <stp>DELTA</stp>
        <stp>.QQQ250509P499</stp>
        <tr r="CG48" s="1"/>
        <tr r="CG48" s="1"/>
      </tp>
      <tp>
        <v>-0.44</v>
        <stp/>
        <stp>DELTA</stp>
        <stp>.QQQ250516P486</stp>
        <tr r="CI61" s="1"/>
        <tr r="CI61" s="1"/>
      </tp>
      <tp>
        <v>0.01</v>
        <stp/>
        <stp>DELTA</stp>
        <stp>.QQQ250505C495</stp>
        <tr r="CD52" s="1"/>
        <tr r="CD52" s="1"/>
      </tp>
      <tp>
        <v>0</v>
        <stp/>
        <stp>DELTA</stp>
        <stp>.QQQ250509C499</stp>
        <tr r="CF48" s="1"/>
        <tr r="CF48" s="1"/>
      </tp>
      <tp>
        <v>0.56000000000000005</v>
        <stp/>
        <stp>DELTA</stp>
        <stp>.QQQ250516C486</stp>
        <tr r="CH61" s="1"/>
        <tr r="CH61" s="1"/>
      </tp>
      <tp>
        <v>-0.62</v>
        <stp/>
        <stp>DELTA</stp>
        <stp>.QQQ250505P492</stp>
        <tr r="CE55" s="1"/>
        <tr r="CE55" s="1"/>
      </tp>
      <tp>
        <v>-0.33</v>
        <stp/>
        <stp>DELTA</stp>
        <stp>.QQQ250516P481</stp>
        <tr r="CI66" s="1"/>
        <tr r="CI66" s="1"/>
      </tp>
      <tp>
        <v>0.01</v>
        <stp/>
        <stp>DELTA</stp>
        <stp>.QQQ250505C492</stp>
        <tr r="CD55" s="1"/>
        <tr r="CD55" s="1"/>
      </tp>
      <tp>
        <v>0.67</v>
        <stp/>
        <stp>DELTA</stp>
        <stp>.QQQ250516C481</stp>
        <tr r="CH66" s="1"/>
        <tr r="CH66" s="1"/>
      </tp>
      <tp>
        <v>-0.64</v>
        <stp/>
        <stp>DELTA</stp>
        <stp>.QQQ250505P493</stp>
        <tr r="CE54" s="1"/>
        <tr r="CE54" s="1"/>
      </tp>
      <tp>
        <v>-0.31</v>
        <stp/>
        <stp>DELTA</stp>
        <stp>.QQQ250516P480</stp>
        <tr r="CI67" s="1"/>
        <tr r="CI67" s="1"/>
      </tp>
      <tp>
        <v>0.01</v>
        <stp/>
        <stp>DELTA</stp>
        <stp>.QQQ250505C493</stp>
        <tr r="CD54" s="1"/>
        <tr r="CD54" s="1"/>
      </tp>
      <tp>
        <v>0.69</v>
        <stp/>
        <stp>DELTA</stp>
        <stp>.QQQ250516C480</stp>
        <tr r="CH67" s="1"/>
        <tr r="CH67" s="1"/>
      </tp>
      <tp>
        <v>-0.59</v>
        <stp/>
        <stp>DELTA</stp>
        <stp>.QQQ250505P490</stp>
        <tr r="CE57" s="1"/>
        <tr r="CE57" s="1"/>
      </tp>
      <tp>
        <v>-0.37</v>
        <stp/>
        <stp>DELTA</stp>
        <stp>.QQQ250516P483</stp>
        <tr r="CI64" s="1"/>
        <tr r="CI64" s="1"/>
      </tp>
      <tp>
        <v>0.01</v>
        <stp/>
        <stp>DELTA</stp>
        <stp>.QQQ250505C490</stp>
        <tr r="CD57" s="1"/>
        <tr r="CD57" s="1"/>
      </tp>
      <tp>
        <v>0.63</v>
        <stp/>
        <stp>DELTA</stp>
        <stp>.QQQ250516C483</stp>
        <tr r="CH64" s="1"/>
        <tr r="CH64" s="1"/>
      </tp>
      <tp>
        <v>-0.6</v>
        <stp/>
        <stp>DELTA</stp>
        <stp>.QQQ250505P491</stp>
        <tr r="CE56" s="1"/>
        <tr r="CE56" s="1"/>
      </tp>
      <tp>
        <v>-0.35</v>
        <stp/>
        <stp>DELTA</stp>
        <stp>.QQQ250516P482</stp>
        <tr r="CI65" s="1"/>
        <tr r="CI65" s="1"/>
      </tp>
      <tp>
        <v>0.01</v>
        <stp/>
        <stp>DELTA</stp>
        <stp>.QQQ250505C491</stp>
        <tr r="CD56" s="1"/>
        <tr r="CD56" s="1"/>
      </tp>
      <tp>
        <v>0.65</v>
        <stp/>
        <stp>DELTA</stp>
        <stp>.QQQ250516C482</stp>
        <tr r="CH65" s="1"/>
        <tr r="CH65" s="1"/>
      </tp>
      <tp>
        <v>-1</v>
        <stp/>
        <stp>DELTA</stp>
        <stp>.QQQ250509P492</stp>
        <tr r="CG55" s="1"/>
        <tr r="CG55" s="1"/>
      </tp>
      <tp>
        <v>0.01</v>
        <stp/>
        <stp>DELTA</stp>
        <stp>.QQQ250509C492</stp>
        <tr r="CF55" s="1"/>
        <tr r="CF55" s="1"/>
      </tp>
      <tp>
        <v>-1</v>
        <stp/>
        <stp>DELTA</stp>
        <stp>.QQQ250509P493</stp>
        <tr r="CG54" s="1"/>
        <tr r="CG54" s="1"/>
      </tp>
      <tp>
        <v>0.01</v>
        <stp/>
        <stp>DELTA</stp>
        <stp>.QQQ250509C493</stp>
        <tr r="CF54" s="1"/>
        <tr r="CF54" s="1"/>
      </tp>
      <tp>
        <v>-0.85</v>
        <stp/>
        <stp>DELTA</stp>
        <stp>.QQQ250509P490</stp>
        <tr r="CG57" s="1"/>
        <tr r="CG57" s="1"/>
      </tp>
      <tp>
        <v>0.01</v>
        <stp/>
        <stp>DELTA</stp>
        <stp>.QQQ250509C490</stp>
        <tr r="CF57" s="1"/>
        <tr r="CF57" s="1"/>
      </tp>
      <tp>
        <v>-0.92</v>
        <stp/>
        <stp>DELTA</stp>
        <stp>.QQQ250509P491</stp>
        <tr r="CG56" s="1"/>
        <tr r="CG56" s="1"/>
      </tp>
      <tp>
        <v>0.01</v>
        <stp/>
        <stp>DELTA</stp>
        <stp>.QQQ250509C491</stp>
        <tr r="CF56" s="1"/>
        <tr r="CF56" s="1"/>
      </tp>
      <tp>
        <v>-1</v>
        <stp/>
        <stp>DELTA</stp>
        <stp>.QQQ250509P496</stp>
        <tr r="CG51" s="1"/>
        <tr r="CG51" s="1"/>
      </tp>
      <tp>
        <v>-0.51</v>
        <stp/>
        <stp>DELTA</stp>
        <stp>.QQQ250516P489</stp>
        <tr r="CI58" s="1"/>
        <tr r="CI58" s="1"/>
      </tp>
      <tp>
        <v>0.01</v>
        <stp/>
        <stp>DELTA</stp>
        <stp>.QQQ250509C496</stp>
        <tr r="CF51" s="1"/>
        <tr r="CF51" s="1"/>
      </tp>
      <tp>
        <v>0.49</v>
        <stp/>
        <stp>DELTA</stp>
        <stp>.QQQ250516C489</stp>
        <tr r="CH58" s="1"/>
        <tr r="CH58" s="1"/>
      </tp>
      <tp>
        <v>-1</v>
        <stp/>
        <stp>DELTA</stp>
        <stp>.QQQ250509P497</stp>
        <tr r="CG50" s="1"/>
        <tr r="CG50" s="1"/>
      </tp>
      <tp>
        <v>-0.49</v>
        <stp/>
        <stp>DELTA</stp>
        <stp>.QQQ250516P488</stp>
        <tr r="CI59" s="1"/>
        <tr r="CI59" s="1"/>
      </tp>
      <tp>
        <v>0</v>
        <stp/>
        <stp>DELTA</stp>
        <stp>.QQQ250509C497</stp>
        <tr r="CF50" s="1"/>
        <tr r="CF50" s="1"/>
      </tp>
      <tp>
        <v>0.51</v>
        <stp/>
        <stp>DELTA</stp>
        <stp>.QQQ250516C488</stp>
        <tr r="CH59" s="1"/>
        <tr r="CH59" s="1"/>
      </tp>
      <tp>
        <v>-0.73</v>
        <stp/>
        <stp>DELTA</stp>
        <stp>.QQQ250505P498</stp>
        <tr r="CE49" s="1"/>
        <tr r="CE49" s="1"/>
      </tp>
      <tp>
        <v>-1</v>
        <stp/>
        <stp>DELTA</stp>
        <stp>.QQQ250509P494</stp>
        <tr r="CG53" s="1"/>
        <tr r="CG53" s="1"/>
      </tp>
      <tp>
        <v>0</v>
        <stp/>
        <stp>DELTA</stp>
        <stp>.QQQ250505C498</stp>
        <tr r="CD49" s="1"/>
        <tr r="CD49" s="1"/>
      </tp>
      <tp>
        <v>0.01</v>
        <stp/>
        <stp>DELTA</stp>
        <stp>.QQQ250509C494</stp>
        <tr r="CF53" s="1"/>
        <tr r="CF53" s="1"/>
      </tp>
      <tp>
        <v>-0.72</v>
        <stp/>
        <stp>DELTA</stp>
        <stp>.QQQ250505P499</stp>
        <tr r="CE48" s="1"/>
        <tr r="CE48" s="1"/>
      </tp>
      <tp>
        <v>-1</v>
        <stp/>
        <stp>DELTA</stp>
        <stp>.QQQ250509P495</stp>
        <tr r="CG52" s="1"/>
        <tr r="CG52" s="1"/>
      </tp>
      <tp>
        <v>0</v>
        <stp/>
        <stp>DELTA</stp>
        <stp>.QQQ250505C499</stp>
        <tr r="CD48" s="1"/>
        <tr r="CD48" s="1"/>
      </tp>
      <tp>
        <v>0.01</v>
        <stp/>
        <stp>DELTA</stp>
        <stp>.QQQ250509C495</stp>
        <tr r="CF52" s="1"/>
        <tr r="CF52" s="1"/>
      </tp>
      <tp>
        <v>-0.31</v>
        <stp/>
        <stp>DELTA</stp>
        <stp>.QQQ250505P486</stp>
        <tr r="CE61" s="1"/>
        <tr r="CE61" s="1"/>
      </tp>
      <tp>
        <v>-0.66</v>
        <stp/>
        <stp>DELTA</stp>
        <stp>.QQQ250516P495</stp>
        <tr r="CI52" s="1"/>
        <tr r="CI52" s="1"/>
      </tp>
      <tp>
        <v>1</v>
        <stp/>
        <stp>DELTA</stp>
        <stp>.QQQ250505C486</stp>
        <tr r="CD61" s="1"/>
        <tr r="CD61" s="1"/>
      </tp>
      <tp>
        <v>0.34</v>
        <stp/>
        <stp>DELTA</stp>
        <stp>.QQQ250516C495</stp>
        <tr r="CH52" s="1"/>
        <tr r="CH52" s="1"/>
      </tp>
      <tp>
        <v>-0.43</v>
        <stp/>
        <stp>DELTA</stp>
        <stp>.QQQ250505P487</stp>
        <tr r="CE60" s="1"/>
        <tr r="CE60" s="1"/>
      </tp>
      <tp>
        <v>-0.64</v>
        <stp/>
        <stp>DELTA</stp>
        <stp>.QQQ250516P494</stp>
        <tr r="CI53" s="1"/>
        <tr r="CI53" s="1"/>
      </tp>
      <tp>
        <v>1</v>
        <stp/>
        <stp>DELTA</stp>
        <stp>.QQQ250505C487</stp>
        <tr r="CD60" s="1"/>
        <tr r="CD60" s="1"/>
      </tp>
      <tp>
        <v>0.37</v>
        <stp/>
        <stp>DELTA</stp>
        <stp>.QQQ250516C494</stp>
        <tr r="CH53" s="1"/>
        <tr r="CH53" s="1"/>
      </tp>
      <tp>
        <v>-0.03</v>
        <stp/>
        <stp>DELTA</stp>
        <stp>.QQQ250505P484</stp>
        <tr r="CE63" s="1"/>
        <tr r="CE63" s="1"/>
      </tp>
      <tp>
        <v>-0.56999999999999995</v>
        <stp/>
        <stp>DELTA</stp>
        <stp>.QQQ250509P488</stp>
        <tr r="CG59" s="1"/>
        <tr r="CG59" s="1"/>
      </tp>
      <tp>
        <v>-0.7</v>
        <stp/>
        <stp>DELTA</stp>
        <stp>.QQQ250516P497</stp>
        <tr r="CI50" s="1"/>
        <tr r="CI50" s="1"/>
      </tp>
      <tp>
        <v>1</v>
        <stp/>
        <stp>DELTA</stp>
        <stp>.QQQ250505C484</stp>
        <tr r="CD63" s="1"/>
        <tr r="CD63" s="1"/>
      </tp>
      <tp>
        <v>0.44</v>
        <stp/>
        <stp>DELTA</stp>
        <stp>.QQQ250509C488</stp>
        <tr r="CF59" s="1"/>
        <tr r="CF59" s="1"/>
      </tp>
      <tp>
        <v>0.3</v>
        <stp/>
        <stp>DELTA</stp>
        <stp>.QQQ250516C497</stp>
        <tr r="CH50" s="1"/>
        <tr r="CH50" s="1"/>
      </tp>
      <tp>
        <v>-0.13</v>
        <stp/>
        <stp>DELTA</stp>
        <stp>.QQQ250505P485</stp>
        <tr r="CE62" s="1"/>
        <tr r="CE62" s="1"/>
      </tp>
      <tp>
        <v>-0.93</v>
        <stp/>
        <stp>DELTA</stp>
        <stp>.QQQ250509P489</stp>
        <tr r="CG58" s="1"/>
        <tr r="CG58" s="1"/>
      </tp>
      <tp>
        <v>-0.69</v>
        <stp/>
        <stp>DELTA</stp>
        <stp>.QQQ250516P496</stp>
        <tr r="CI51" s="1"/>
        <tr r="CI51" s="1"/>
      </tp>
      <tp>
        <v>1</v>
        <stp/>
        <stp>DELTA</stp>
        <stp>.QQQ250505C485</stp>
        <tr r="CD62" s="1"/>
        <tr r="CD62" s="1"/>
      </tp>
      <tp>
        <v>0.02</v>
        <stp/>
        <stp>DELTA</stp>
        <stp>.QQQ250509C489</stp>
        <tr r="CF58" s="1"/>
        <tr r="CF58" s="1"/>
      </tp>
      <tp>
        <v>0.32</v>
        <stp/>
        <stp>DELTA</stp>
        <stp>.QQQ250516C496</stp>
        <tr r="CH51" s="1"/>
        <tr r="CH51" s="1"/>
      </tp>
      <tp>
        <v>-0.01</v>
        <stp/>
        <stp>DELTA</stp>
        <stp>.QQQ250505P482</stp>
        <tr r="CE65" s="1"/>
        <tr r="CE65" s="1"/>
      </tp>
      <tp>
        <v>-0.56000000000000005</v>
        <stp/>
        <stp>DELTA</stp>
        <stp>.QQQ250516P491</stp>
        <tr r="CI56" s="1"/>
        <tr r="CI56" s="1"/>
      </tp>
      <tp>
        <v>1</v>
        <stp/>
        <stp>DELTA</stp>
        <stp>.QQQ250505C482</stp>
        <tr r="CD65" s="1"/>
        <tr r="CD65" s="1"/>
      </tp>
      <tp>
        <v>0.44</v>
        <stp/>
        <stp>DELTA</stp>
        <stp>.QQQ250516C491</stp>
        <tr r="CH56" s="1"/>
        <tr r="CH56" s="1"/>
      </tp>
      <tp>
        <v>-0.01</v>
        <stp/>
        <stp>DELTA</stp>
        <stp>.QQQ250505P483</stp>
        <tr r="CE64" s="1"/>
        <tr r="CE64" s="1"/>
      </tp>
      <tp>
        <v>-0.54</v>
        <stp/>
        <stp>DELTA</stp>
        <stp>.QQQ250516P490</stp>
        <tr r="CI57" s="1"/>
        <tr r="CI57" s="1"/>
      </tp>
      <tp>
        <v>1</v>
        <stp/>
        <stp>DELTA</stp>
        <stp>.QQQ250505C483</stp>
        <tr r="CD64" s="1"/>
        <tr r="CD64" s="1"/>
      </tp>
      <tp>
        <v>0.46</v>
        <stp/>
        <stp>DELTA</stp>
        <stp>.QQQ250516C490</stp>
        <tr r="CH57" s="1"/>
        <tr r="CH57" s="1"/>
      </tp>
      <tp>
        <v>-0.01</v>
        <stp/>
        <stp>DELTA</stp>
        <stp>.QQQ250505P480</stp>
        <tr r="CE67" s="1"/>
        <tr r="CE67" s="1"/>
      </tp>
      <tp>
        <v>-0.61</v>
        <stp/>
        <stp>DELTA</stp>
        <stp>.QQQ250516P493</stp>
        <tr r="CI54" s="1"/>
        <tr r="CI54" s="1"/>
      </tp>
      <tp>
        <v>1</v>
        <stp/>
        <stp>DELTA</stp>
        <stp>.QQQ250505C480</stp>
        <tr r="CD67" s="1"/>
        <tr r="CD67" s="1"/>
      </tp>
      <tp>
        <v>0.39</v>
        <stp/>
        <stp>DELTA</stp>
        <stp>.QQQ250516C493</stp>
        <tr r="CH54" s="1"/>
        <tr r="CH54" s="1"/>
      </tp>
      <tp>
        <v>-0.01</v>
        <stp/>
        <stp>DELTA</stp>
        <stp>.QQQ250505P481</stp>
        <tr r="CE66" s="1"/>
        <tr r="CE66" s="1"/>
      </tp>
      <tp>
        <v>-0.59</v>
        <stp/>
        <stp>DELTA</stp>
        <stp>.QQQ250516P492</stp>
        <tr r="CI55" s="1"/>
        <tr r="CI55" s="1"/>
      </tp>
      <tp>
        <v>1</v>
        <stp/>
        <stp>DELTA</stp>
        <stp>.QQQ250505C481</stp>
        <tr r="CD66" s="1"/>
        <tr r="CD66" s="1"/>
      </tp>
      <tp>
        <v>0.41</v>
        <stp/>
        <stp>DELTA</stp>
        <stp>.QQQ250516C492</stp>
        <tr r="CH55" s="1"/>
        <tr r="CH55" s="1"/>
      </tp>
      <tp>
        <v>-0.01</v>
        <stp/>
        <stp>DELTA</stp>
        <stp>.QQQ250509P482</stp>
        <tr r="CG65" s="1"/>
        <tr r="CG65" s="1"/>
      </tp>
      <tp>
        <v>0.98</v>
        <stp/>
        <stp>DELTA</stp>
        <stp>.QQQ250509C482</stp>
        <tr r="CF65" s="1"/>
        <tr r="CF65" s="1"/>
      </tp>
      <tp>
        <v>-0.01</v>
        <stp/>
        <stp>DELTA</stp>
        <stp>.QQQ250509P483</stp>
        <tr r="CG64" s="1"/>
        <tr r="CG64" s="1"/>
      </tp>
      <tp>
        <v>0.98</v>
        <stp/>
        <stp>DELTA</stp>
        <stp>.QQQ250509C483</stp>
        <tr r="CF64" s="1"/>
        <tr r="CF64" s="1"/>
      </tp>
      <tp>
        <v>-0.01</v>
        <stp/>
        <stp>DELTA</stp>
        <stp>.QQQ250509P480</stp>
        <tr r="CG67" s="1"/>
        <tr r="CG67" s="1"/>
      </tp>
      <tp>
        <v>0.98</v>
        <stp/>
        <stp>DELTA</stp>
        <stp>.QQQ250509C480</stp>
        <tr r="CF67" s="1"/>
        <tr r="CF67" s="1"/>
      </tp>
      <tp>
        <v>-0.01</v>
        <stp/>
        <stp>DELTA</stp>
        <stp>.QQQ250509P481</stp>
        <tr r="CG66" s="1"/>
        <tr r="CG66" s="1"/>
      </tp>
      <tp>
        <v>0.98</v>
        <stp/>
        <stp>DELTA</stp>
        <stp>.QQQ250509C481</stp>
        <tr r="CF66" s="1"/>
        <tr r="CF66" s="1"/>
      </tp>
      <tp>
        <v>-0.02</v>
        <stp/>
        <stp>DELTA</stp>
        <stp>.QQQ250509P486</stp>
        <tr r="CG61" s="1"/>
        <tr r="CG61" s="1"/>
      </tp>
      <tp>
        <v>-0.75</v>
        <stp/>
        <stp>DELTA</stp>
        <stp>.QQQ250516P499</stp>
        <tr r="CI48" s="1"/>
        <tr r="CI48" s="1"/>
      </tp>
      <tp>
        <v>0.92</v>
        <stp/>
        <stp>DELTA</stp>
        <stp>.QQQ250509C486</stp>
        <tr r="CF61" s="1"/>
        <tr r="CF61" s="1"/>
      </tp>
      <tp>
        <v>0.25</v>
        <stp/>
        <stp>DELTA</stp>
        <stp>.QQQ250516C499</stp>
        <tr r="CH48" s="1"/>
        <tr r="CH48" s="1"/>
      </tp>
      <tp>
        <v>-0.06</v>
        <stp/>
        <stp>DELTA</stp>
        <stp>.QQQ250509P487</stp>
        <tr r="CG60" s="1"/>
        <tr r="CG60" s="1"/>
      </tp>
      <tp>
        <v>-0.73</v>
        <stp/>
        <stp>DELTA</stp>
        <stp>.QQQ250516P498</stp>
        <tr r="CI49" s="1"/>
        <tr r="CI49" s="1"/>
      </tp>
      <tp>
        <v>1</v>
        <stp/>
        <stp>DELTA</stp>
        <stp>.QQQ250509C487</stp>
        <tr r="CF60" s="1"/>
        <tr r="CF60" s="1"/>
      </tp>
      <tp>
        <v>0.27</v>
        <stp/>
        <stp>DELTA</stp>
        <stp>.QQQ250516C498</stp>
        <tr r="CH49" s="1"/>
        <tr r="CH49" s="1"/>
      </tp>
      <tp>
        <v>-0.5</v>
        <stp/>
        <stp>DELTA</stp>
        <stp>.QQQ250505P488</stp>
        <tr r="CE59" s="1"/>
        <tr r="CE59" s="1"/>
      </tp>
      <tp>
        <v>-0.01</v>
        <stp/>
        <stp>DELTA</stp>
        <stp>.QQQ250509P484</stp>
        <tr r="CG63" s="1"/>
        <tr r="CG63" s="1"/>
      </tp>
      <tp>
        <v>0.14000000000000001</v>
        <stp/>
        <stp>DELTA</stp>
        <stp>.QQQ250505C488</stp>
        <tr r="CD59" s="1"/>
        <tr r="CD59" s="1"/>
      </tp>
      <tp>
        <v>0.98</v>
        <stp/>
        <stp>DELTA</stp>
        <stp>.QQQ250509C484</stp>
        <tr r="CF63" s="1"/>
        <tr r="CF63" s="1"/>
      </tp>
      <tp>
        <v>-0.55000000000000004</v>
        <stp/>
        <stp>DELTA</stp>
        <stp>.QQQ250505P489</stp>
        <tr r="CE58" s="1"/>
        <tr r="CE58" s="1"/>
      </tp>
      <tp>
        <v>-0.01</v>
        <stp/>
        <stp>DELTA</stp>
        <stp>.QQQ250509P485</stp>
        <tr r="CG62" s="1"/>
        <tr r="CG62" s="1"/>
      </tp>
      <tp>
        <v>0.02</v>
        <stp/>
        <stp>DELTA</stp>
        <stp>.QQQ250505C489</stp>
        <tr r="CD58" s="1"/>
        <tr r="CD58" s="1"/>
      </tp>
      <tp>
        <v>0.96</v>
        <stp/>
        <stp>DELTA</stp>
        <stp>.QQQ250509C485</stp>
        <tr r="CF62" s="1"/>
        <tr r="CF62" s="1"/>
      </tp>
      <tp>
        <v>0</v>
        <stp/>
        <stp>DELTA</stp>
        <stp>.QQQ250505P476</stp>
        <tr r="CE71" s="1"/>
        <tr r="CE71" s="1"/>
      </tp>
      <tp>
        <v>1</v>
        <stp/>
        <stp>DELTA</stp>
        <stp>.QQQ250505C476</stp>
        <tr r="CD71" s="1"/>
        <tr r="CD71" s="1"/>
      </tp>
      <tp>
        <v>0</v>
        <stp/>
        <stp>DELTA</stp>
        <stp>.QQQ250505P477</stp>
        <tr r="CE70" s="1"/>
        <tr r="CE70" s="1"/>
      </tp>
      <tp>
        <v>1</v>
        <stp/>
        <stp>DELTA</stp>
        <stp>.QQQ250505C477</stp>
        <tr r="CD70" s="1"/>
        <tr r="CD70" s="1"/>
      </tp>
      <tp>
        <v>0</v>
        <stp/>
        <stp>DELTA</stp>
        <stp>.QQQ250505P474</stp>
        <tr r="CE73" s="1"/>
        <tr r="CE73" s="1"/>
      </tp>
      <tp>
        <v>0</v>
        <stp/>
        <stp>DELTA</stp>
        <stp>.QQQ250509P478</stp>
        <tr r="CG69" s="1"/>
        <tr r="CG69" s="1"/>
      </tp>
      <tp>
        <v>1</v>
        <stp/>
        <stp>DELTA</stp>
        <stp>.QQQ250505C474</stp>
        <tr r="CD73" s="1"/>
        <tr r="CD73" s="1"/>
      </tp>
      <tp>
        <v>0.98</v>
        <stp/>
        <stp>DELTA</stp>
        <stp>.QQQ250509C478</stp>
        <tr r="CF69" s="1"/>
        <tr r="CF69" s="1"/>
      </tp>
      <tp>
        <v>0</v>
        <stp/>
        <stp>DELTA</stp>
        <stp>.QQQ250505P475</stp>
        <tr r="CE72" s="1"/>
        <tr r="CE72" s="1"/>
      </tp>
      <tp>
        <v>0</v>
        <stp/>
        <stp>DELTA</stp>
        <stp>.QQQ250509P479</stp>
        <tr r="CG68" s="1"/>
        <tr r="CG68" s="1"/>
      </tp>
      <tp>
        <v>1</v>
        <stp/>
        <stp>DELTA</stp>
        <stp>.QQQ250505C475</stp>
        <tr r="CD72" s="1"/>
        <tr r="CD72" s="1"/>
      </tp>
      <tp>
        <v>0.99</v>
        <stp/>
        <stp>DELTA</stp>
        <stp>.QQQ250509C479</stp>
        <tr r="CF68" s="1"/>
        <tr r="CF68" s="1"/>
      </tp>
      <tp>
        <v>0</v>
        <stp/>
        <stp>DELTA</stp>
        <stp>.QQQ250505P472</stp>
        <tr r="CE75" s="1"/>
        <tr r="CE75" s="1"/>
      </tp>
      <tp>
        <v>1</v>
        <stp/>
        <stp>DELTA</stp>
        <stp>.QQQ250505C472</stp>
        <tr r="CD75" s="1"/>
        <tr r="CD75" s="1"/>
      </tp>
      <tp>
        <v>0</v>
        <stp/>
        <stp>DELTA</stp>
        <stp>.QQQ250505P473</stp>
        <tr r="CE74" s="1"/>
        <tr r="CE74" s="1"/>
      </tp>
      <tp>
        <v>1</v>
        <stp/>
        <stp>DELTA</stp>
        <stp>.QQQ250505C473</stp>
        <tr r="CD74" s="1"/>
        <tr r="CD74" s="1"/>
      </tp>
      <tp>
        <v>0</v>
        <stp/>
        <stp>DELTA</stp>
        <stp>.QQQ250505P470</stp>
        <tr r="CE77" s="1"/>
        <tr r="CE77" s="1"/>
      </tp>
      <tp>
        <v>1</v>
        <stp/>
        <stp>DELTA</stp>
        <stp>.QQQ250505C470</stp>
        <tr r="CD77" s="1"/>
        <tr r="CD77" s="1"/>
      </tp>
      <tp>
        <v>0</v>
        <stp/>
        <stp>DELTA</stp>
        <stp>.QQQ250505P471</stp>
        <tr r="CE76" s="1"/>
        <tr r="CE76" s="1"/>
      </tp>
      <tp>
        <v>1</v>
        <stp/>
        <stp>DELTA</stp>
        <stp>.QQQ250505C471</stp>
        <tr r="CD76" s="1"/>
        <tr r="CD76" s="1"/>
      </tp>
      <tp>
        <v>0</v>
        <stp/>
        <stp>DELTA</stp>
        <stp>.QQQ250509P472</stp>
        <tr r="CG75" s="1"/>
        <tr r="CG75" s="1"/>
      </tp>
      <tp>
        <v>0.99</v>
        <stp/>
        <stp>DELTA</stp>
        <stp>.QQQ250509C472</stp>
        <tr r="CF75" s="1"/>
        <tr r="CF75" s="1"/>
      </tp>
      <tp>
        <v>0</v>
        <stp/>
        <stp>DELTA</stp>
        <stp>.QQQ250509P473</stp>
        <tr r="CG74" s="1"/>
        <tr r="CG74" s="1"/>
      </tp>
      <tp>
        <v>0.99</v>
        <stp/>
        <stp>DELTA</stp>
        <stp>.QQQ250509C473</stp>
        <tr r="CF74" s="1"/>
        <tr r="CF74" s="1"/>
      </tp>
      <tp>
        <v>0</v>
        <stp/>
        <stp>DELTA</stp>
        <stp>.QQQ250509P470</stp>
        <tr r="CG77" s="1"/>
        <tr r="CG77" s="1"/>
      </tp>
      <tp>
        <v>0.99</v>
        <stp/>
        <stp>DELTA</stp>
        <stp>.QQQ250509C470</stp>
        <tr r="CF77" s="1"/>
        <tr r="CF77" s="1"/>
      </tp>
      <tp>
        <v>0</v>
        <stp/>
        <stp>DELTA</stp>
        <stp>.QQQ250509P471</stp>
        <tr r="CG76" s="1"/>
        <tr r="CG76" s="1"/>
      </tp>
      <tp>
        <v>0.99</v>
        <stp/>
        <stp>DELTA</stp>
        <stp>.QQQ250509C471</stp>
        <tr r="CF76" s="1"/>
        <tr r="CF76" s="1"/>
      </tp>
      <tp>
        <v>0</v>
        <stp/>
        <stp>DELTA</stp>
        <stp>.QQQ250509P476</stp>
        <tr r="CG71" s="1"/>
        <tr r="CG71" s="1"/>
      </tp>
      <tp>
        <v>-0.13</v>
        <stp/>
        <stp>DELTA</stp>
        <stp>.QQQ250516P469</stp>
        <tr r="CI78" s="1"/>
        <tr r="CI78" s="1"/>
      </tp>
      <tp>
        <v>0.99</v>
        <stp/>
        <stp>DELTA</stp>
        <stp>.QQQ250509C476</stp>
        <tr r="CF71" s="1"/>
        <tr r="CF71" s="1"/>
      </tp>
      <tp>
        <v>0.85</v>
        <stp/>
        <stp>DELTA</stp>
        <stp>.QQQ250516C469</stp>
        <tr r="CH78" s="1"/>
        <tr r="CH78" s="1"/>
      </tp>
      <tp>
        <v>0</v>
        <stp/>
        <stp>DELTA</stp>
        <stp>.QQQ250509P477</stp>
        <tr r="CG70" s="1"/>
        <tr r="CG70" s="1"/>
      </tp>
      <tp>
        <v>-0.12</v>
        <stp/>
        <stp>DELTA</stp>
        <stp>.QQQ250516P468</stp>
        <tr r="CI79" s="1"/>
        <tr r="CI79" s="1"/>
      </tp>
      <tp>
        <v>0.99</v>
        <stp/>
        <stp>DELTA</stp>
        <stp>.QQQ250509C477</stp>
        <tr r="CF70" s="1"/>
        <tr r="CF70" s="1"/>
      </tp>
      <tp>
        <v>0.87</v>
        <stp/>
        <stp>DELTA</stp>
        <stp>.QQQ250516C468</stp>
        <tr r="CH79" s="1"/>
        <tr r="CH79" s="1"/>
      </tp>
      <tp>
        <v>0</v>
        <stp/>
        <stp>DELTA</stp>
        <stp>.QQQ250505P478</stp>
        <tr r="CE69" s="1"/>
        <tr r="CE69" s="1"/>
      </tp>
      <tp>
        <v>0</v>
        <stp/>
        <stp>DELTA</stp>
        <stp>.QQQ250509P474</stp>
        <tr r="CG73" s="1"/>
        <tr r="CG73" s="1"/>
      </tp>
      <tp>
        <v>1</v>
        <stp/>
        <stp>DELTA</stp>
        <stp>.QQQ250505C478</stp>
        <tr r="CD69" s="1"/>
        <tr r="CD69" s="1"/>
      </tp>
      <tp>
        <v>0.99</v>
        <stp/>
        <stp>DELTA</stp>
        <stp>.QQQ250509C474</stp>
        <tr r="CF73" s="1"/>
        <tr r="CF73" s="1"/>
      </tp>
      <tp>
        <v>0</v>
        <stp/>
        <stp>DELTA</stp>
        <stp>.QQQ250505P479</stp>
        <tr r="CE68" s="1"/>
        <tr r="CE68" s="1"/>
      </tp>
      <tp>
        <v>0</v>
        <stp/>
        <stp>DELTA</stp>
        <stp>.QQQ250509P475</stp>
        <tr r="CG72" s="1"/>
        <tr r="CG72" s="1"/>
      </tp>
      <tp>
        <v>1</v>
        <stp/>
        <stp>DELTA</stp>
        <stp>.QQQ250505C479</stp>
        <tr r="CD68" s="1"/>
        <tr r="CD68" s="1"/>
      </tp>
      <tp>
        <v>0.99</v>
        <stp/>
        <stp>DELTA</stp>
        <stp>.QQQ250509C475</stp>
        <tr r="CF72" s="1"/>
        <tr r="CF72" s="1"/>
      </tp>
      <tp>
        <v>-0.22</v>
        <stp/>
        <stp>DELTA</stp>
        <stp>.QQQ250516P475</stp>
        <tr r="CI72" s="1"/>
        <tr r="CI72" s="1"/>
      </tp>
      <tp>
        <v>0.78</v>
        <stp/>
        <stp>DELTA</stp>
        <stp>.QQQ250516C475</stp>
        <tr r="CH72" s="1"/>
        <tr r="CH72" s="1"/>
      </tp>
      <tp>
        <v>-0.2</v>
        <stp/>
        <stp>DELTA</stp>
        <stp>.QQQ250516P474</stp>
        <tr r="CI73" s="1"/>
        <tr r="CI73" s="1"/>
      </tp>
      <tp>
        <v>0.79</v>
        <stp/>
        <stp>DELTA</stp>
        <stp>.QQQ250516C474</stp>
        <tr r="CH73" s="1"/>
        <tr r="CH73" s="1"/>
      </tp>
      <tp>
        <v>0</v>
        <stp/>
        <stp>DELTA</stp>
        <stp>.QQQ250509P468</stp>
        <tr r="CG79" s="1"/>
        <tr r="CG79" s="1"/>
      </tp>
      <tp>
        <v>-0.25</v>
        <stp/>
        <stp>DELTA</stp>
        <stp>.QQQ250516P477</stp>
        <tr r="CI70" s="1"/>
        <tr r="CI70" s="1"/>
      </tp>
      <tp>
        <v>0.99</v>
        <stp/>
        <stp>DELTA</stp>
        <stp>.QQQ250509C468</stp>
        <tr r="CF79" s="1"/>
        <tr r="CF79" s="1"/>
      </tp>
      <tp>
        <v>0.74</v>
        <stp/>
        <stp>DELTA</stp>
        <stp>.QQQ250516C477</stp>
        <tr r="CH70" s="1"/>
        <tr r="CH70" s="1"/>
      </tp>
      <tp>
        <v>0</v>
        <stp/>
        <stp>DELTA</stp>
        <stp>.QQQ250509P469</stp>
        <tr r="CG78" s="1"/>
        <tr r="CG78" s="1"/>
      </tp>
      <tp>
        <v>-0.23</v>
        <stp/>
        <stp>DELTA</stp>
        <stp>.QQQ250516P476</stp>
        <tr r="CI71" s="1"/>
        <tr r="CI71" s="1"/>
      </tp>
      <tp>
        <v>0.99</v>
        <stp/>
        <stp>DELTA</stp>
        <stp>.QQQ250509C469</stp>
        <tr r="CF78" s="1"/>
        <tr r="CF78" s="1"/>
      </tp>
      <tp>
        <v>0.76</v>
        <stp/>
        <stp>DELTA</stp>
        <stp>.QQQ250516C476</stp>
        <tr r="CH71" s="1"/>
        <tr r="CH71" s="1"/>
      </tp>
      <tp>
        <v>-0.16</v>
        <stp/>
        <stp>DELTA</stp>
        <stp>.QQQ250516P471</stp>
        <tr r="CI76" s="1"/>
        <tr r="CI76" s="1"/>
      </tp>
      <tp>
        <v>0.84</v>
        <stp/>
        <stp>DELTA</stp>
        <stp>.QQQ250516C471</stp>
        <tr r="CH76" s="1"/>
        <tr r="CH76" s="1"/>
      </tp>
      <tp>
        <v>-0.15</v>
        <stp/>
        <stp>DELTA</stp>
        <stp>.QQQ250516P470</stp>
        <tr r="CI77" s="1"/>
        <tr r="CI77" s="1"/>
      </tp>
      <tp>
        <v>0.82</v>
        <stp/>
        <stp>DELTA</stp>
        <stp>.QQQ250516C470</stp>
        <tr r="CH77" s="1"/>
        <tr r="CH77" s="1"/>
      </tp>
      <tp>
        <v>-0.19</v>
        <stp/>
        <stp>DELTA</stp>
        <stp>.QQQ250516P473</stp>
        <tr r="CI74" s="1"/>
        <tr r="CI74" s="1"/>
      </tp>
      <tp>
        <v>0.81</v>
        <stp/>
        <stp>DELTA</stp>
        <stp>.QQQ250516C473</stp>
        <tr r="CH74" s="1"/>
        <tr r="CH74" s="1"/>
      </tp>
      <tp>
        <v>-0.17</v>
        <stp/>
        <stp>DELTA</stp>
        <stp>.QQQ250516P472</stp>
        <tr r="CI75" s="1"/>
        <tr r="CI75" s="1"/>
      </tp>
      <tp>
        <v>0.85</v>
        <stp/>
        <stp>DELTA</stp>
        <stp>.QQQ250516C472</stp>
        <tr r="CH75" s="1"/>
        <tr r="CH75" s="1"/>
      </tp>
      <tp>
        <v>-0.28999999999999998</v>
        <stp/>
        <stp>DELTA</stp>
        <stp>.QQQ250516P479</stp>
        <tr r="CI68" s="1"/>
        <tr r="CI68" s="1"/>
      </tp>
      <tp>
        <v>0.71</v>
        <stp/>
        <stp>DELTA</stp>
        <stp>.QQQ250516C479</stp>
        <tr r="CH68" s="1"/>
        <tr r="CH68" s="1"/>
      </tp>
      <tp>
        <v>-0.27</v>
        <stp/>
        <stp>DELTA</stp>
        <stp>.QQQ250516P478</stp>
        <tr r="CI69" s="1"/>
        <tr r="CI69" s="1"/>
      </tp>
      <tp>
        <v>0.73</v>
        <stp/>
        <stp>DELTA</stp>
        <stp>.QQQ250516C478</stp>
        <tr r="CH69" s="1"/>
        <tr r="CH69" s="1"/>
      </tp>
      <tp>
        <v>0</v>
        <stp/>
        <stp>DELTA</stp>
        <stp>.QQQ250505P468</stp>
        <tr r="CE79" s="1"/>
        <tr r="CE79" s="1"/>
      </tp>
      <tp>
        <v>1</v>
        <stp/>
        <stp>DELTA</stp>
        <stp>.QQQ250505C468</stp>
        <tr r="CD79" s="1"/>
        <tr r="CD79" s="1"/>
      </tp>
      <tp>
        <v>0</v>
        <stp/>
        <stp>DELTA</stp>
        <stp>.QQQ250505P469</stp>
        <tr r="CE78" s="1"/>
        <tr r="CE78" s="1"/>
      </tp>
      <tp>
        <v>1</v>
        <stp/>
        <stp>DELTA</stp>
        <stp>.QQQ250505C469</stp>
        <tr r="CD78" s="1"/>
        <tr r="CD78" s="1"/>
      </tp>
      <tp>
        <v>-0.8</v>
        <stp/>
        <stp>DELTA</stp>
        <stp>.QQQ250516P501</stp>
        <tr r="CI46" s="1"/>
        <tr r="CI46" s="1"/>
      </tp>
      <tp>
        <v>0.21</v>
        <stp/>
        <stp>DELTA</stp>
        <stp>.QQQ250516C501</stp>
        <tr r="CH46" s="1"/>
        <tr r="CH46" s="1"/>
      </tp>
      <tp>
        <v>-0.76</v>
        <stp/>
        <stp>DELTA</stp>
        <stp>.QQQ250516P500</stp>
        <tr r="CI47" s="1"/>
        <tr r="CI47" s="1"/>
      </tp>
      <tp>
        <v>0.23</v>
        <stp/>
        <stp>DELTA</stp>
        <stp>.QQQ250516C500</stp>
        <tr r="CH47" s="1"/>
        <tr r="CH47" s="1"/>
      </tp>
      <tp>
        <v>-0.82</v>
        <stp/>
        <stp>DELTA</stp>
        <stp>.QQQ250516P502</stp>
        <tr r="CI45" s="1"/>
        <tr r="CI45" s="1"/>
      </tp>
      <tp>
        <v>0.19</v>
        <stp/>
        <stp>DELTA</stp>
        <stp>.QQQ250516C502</stp>
        <tr r="CH45" s="1"/>
        <tr r="CH45" s="1"/>
      </tp>
      <tp>
        <v>-0.74</v>
        <stp/>
        <stp>DELTA</stp>
        <stp>.QQQ250505P502</stp>
        <tr r="CE45" s="1"/>
        <tr r="CE45" s="1"/>
      </tp>
      <tp>
        <v>0</v>
        <stp/>
        <stp>DELTA</stp>
        <stp>.QQQ250505C502</stp>
        <tr r="CD45" s="1"/>
        <tr r="CD45" s="1"/>
      </tp>
      <tp>
        <v>-0.72</v>
        <stp/>
        <stp>DELTA</stp>
        <stp>.QQQ250505P500</stp>
        <tr r="CE47" s="1"/>
        <tr r="CE47" s="1"/>
      </tp>
      <tp>
        <v>0</v>
        <stp/>
        <stp>DELTA</stp>
        <stp>.QQQ250505C500</stp>
        <tr r="CD47" s="1"/>
        <tr r="CD47" s="1"/>
      </tp>
      <tp>
        <v>-0.73</v>
        <stp/>
        <stp>DELTA</stp>
        <stp>.QQQ250505P501</stp>
        <tr r="CE46" s="1"/>
        <tr r="CE46" s="1"/>
      </tp>
      <tp>
        <v>0</v>
        <stp/>
        <stp>DELTA</stp>
        <stp>.QQQ250505C501</stp>
        <tr r="CD46" s="1"/>
        <tr r="CD46" s="1"/>
      </tp>
      <tp>
        <v>-1</v>
        <stp/>
        <stp>DELTA</stp>
        <stp>.QQQ250509P502</stp>
        <tr r="CG45" s="1"/>
        <tr r="CG45" s="1"/>
      </tp>
      <tp>
        <v>0</v>
        <stp/>
        <stp>DELTA</stp>
        <stp>.QQQ250509C502</stp>
        <tr r="CF45" s="1"/>
        <tr r="CF45" s="1"/>
      </tp>
      <tp>
        <v>-1</v>
        <stp/>
        <stp>DELTA</stp>
        <stp>.QQQ250509P500</stp>
        <tr r="CG47" s="1"/>
        <tr r="CG47" s="1"/>
      </tp>
      <tp>
        <v>0</v>
        <stp/>
        <stp>DELTA</stp>
        <stp>.QQQ250509C500</stp>
        <tr r="CF47" s="1"/>
        <tr r="CF47" s="1"/>
      </tp>
      <tp>
        <v>-1</v>
        <stp/>
        <stp>DELTA</stp>
        <stp>.QQQ250509P501</stp>
        <tr r="CG46" s="1"/>
        <tr r="CG46" s="1"/>
      </tp>
      <tp>
        <v>0</v>
        <stp/>
        <stp>DELTA</stp>
        <stp>.QQQ250509C501</stp>
        <tr r="CF46" s="1"/>
        <tr r="CF46" s="1"/>
      </tp>
      <tp t="s">
        <v>N/A</v>
        <stp/>
        <stp>VOLUME</stp>
        <stp>.SPXWC5840</stp>
        <tr r="E89" s="2"/>
        <tr r="D89" s="2"/>
        <tr r="G89" s="2"/>
        <tr r="C89" s="2"/>
        <tr r="B89" s="2"/>
        <tr r="F89" s="2"/>
      </tp>
      <tp t="s">
        <v>N/A</v>
        <stp/>
        <stp>VOLUME</stp>
        <stp>.SPXWP5840</stp>
        <tr r="E89" s="2"/>
        <tr r="D89" s="2"/>
        <tr r="G89" s="2"/>
        <tr r="C89" s="2"/>
        <tr r="B89" s="2"/>
        <tr r="F89" s="2"/>
      </tp>
      <tp t="s">
        <v>N/A</v>
        <stp/>
        <stp>VOLUME</stp>
        <stp>.SPXWC5850</stp>
        <tr r="G88" s="2"/>
        <tr r="B88" s="2"/>
        <tr r="D88" s="2"/>
        <tr r="F88" s="2"/>
        <tr r="E88" s="2"/>
        <tr r="C88" s="2"/>
      </tp>
      <tp t="s">
        <v>N/A</v>
        <stp/>
        <stp>VOLUME</stp>
        <stp>.SPXWP5850</stp>
        <tr r="G88" s="2"/>
        <tr r="B88" s="2"/>
        <tr r="D88" s="2"/>
        <tr r="F88" s="2"/>
        <tr r="E88" s="2"/>
        <tr r="C88" s="2"/>
      </tp>
      <tp t="s">
        <v>N/A</v>
        <stp/>
        <stp>VOLUME</stp>
        <stp>.SPXWC5860</stp>
        <tr r="D87" s="2"/>
        <tr r="F87" s="2"/>
        <tr r="C87" s="2"/>
        <tr r="B87" s="2"/>
        <tr r="G87" s="2"/>
        <tr r="E87" s="2"/>
      </tp>
      <tp t="s">
        <v>N/A</v>
        <stp/>
        <stp>VOLUME</stp>
        <stp>.SPXWP5860</stp>
        <tr r="D87" s="2"/>
        <tr r="F87" s="2"/>
        <tr r="C87" s="2"/>
        <tr r="B87" s="2"/>
        <tr r="G87" s="2"/>
        <tr r="E87" s="2"/>
      </tp>
      <tp t="s">
        <v>N/A</v>
        <stp/>
        <stp>VOLUME</stp>
        <stp>.SPXWC5870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.SPXWP5870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.SPXWC5800</stp>
        <tr r="F93" s="2"/>
        <tr r="G93" s="2"/>
        <tr r="E93" s="2"/>
        <tr r="C93" s="2"/>
        <tr r="D93" s="2"/>
        <tr r="B93" s="2"/>
      </tp>
      <tp t="s">
        <v>N/A</v>
        <stp/>
        <stp>VOLUME</stp>
        <stp>.SPXWP5800</stp>
        <tr r="F93" s="2"/>
        <tr r="G93" s="2"/>
        <tr r="E93" s="2"/>
        <tr r="C93" s="2"/>
        <tr r="D93" s="2"/>
        <tr r="B93" s="2"/>
      </tp>
      <tp t="s">
        <v>N/A</v>
        <stp/>
        <stp>VOLUME</stp>
        <stp>.SPXWC5810</stp>
        <tr r="F92" s="2"/>
        <tr r="B92" s="2"/>
        <tr r="E92" s="2"/>
        <tr r="D92" s="2"/>
        <tr r="G92" s="2"/>
        <tr r="C92" s="2"/>
      </tp>
      <tp t="s">
        <v>N/A</v>
        <stp/>
        <stp>VOLUME</stp>
        <stp>.SPXWP5810</stp>
        <tr r="F92" s="2"/>
        <tr r="B92" s="2"/>
        <tr r="E92" s="2"/>
        <tr r="D92" s="2"/>
        <tr r="G92" s="2"/>
        <tr r="C92" s="2"/>
      </tp>
      <tp t="s">
        <v>N/A</v>
        <stp/>
        <stp>VOLUME</stp>
        <stp>.SPXWC5820</stp>
        <tr r="E91" s="2"/>
        <tr r="B91" s="2"/>
        <tr r="F91" s="2"/>
        <tr r="G91" s="2"/>
        <tr r="D91" s="2"/>
        <tr r="C91" s="2"/>
      </tp>
      <tp t="s">
        <v>N/A</v>
        <stp/>
        <stp>VOLUME</stp>
        <stp>.SPXWP5820</stp>
        <tr r="E91" s="2"/>
        <tr r="B91" s="2"/>
        <tr r="F91" s="2"/>
        <tr r="G91" s="2"/>
        <tr r="D91" s="2"/>
        <tr r="C91" s="2"/>
      </tp>
      <tp t="s">
        <v>N/A</v>
        <stp/>
        <stp>VOLUME</stp>
        <stp>.SPXWC5830</stp>
        <tr r="B90" s="2"/>
        <tr r="D90" s="2"/>
        <tr r="G90" s="2"/>
        <tr r="C90" s="2"/>
        <tr r="F90" s="2"/>
        <tr r="E90" s="2"/>
      </tp>
      <tp t="s">
        <v>N/A</v>
        <stp/>
        <stp>VOLUME</stp>
        <stp>.SPXWP5830</stp>
        <tr r="B90" s="2"/>
        <tr r="D90" s="2"/>
        <tr r="G90" s="2"/>
        <tr r="C90" s="2"/>
        <tr r="F90" s="2"/>
        <tr r="E90" s="2"/>
      </tp>
      <tp>
        <v>327</v>
        <stp/>
        <stp>ASK</stp>
        <stp>.NDXP250505C19675</stp>
        <tr r="DC168" s="1"/>
        <tr r="DC168" s="1"/>
      </tp>
      <tp>
        <v>0</v>
        <stp/>
        <stp>BID</stp>
        <stp>.NDXP250505C19975</stp>
        <tr r="DE156" s="1"/>
        <tr r="DE156" s="1"/>
      </tp>
      <tp>
        <v>352</v>
        <stp/>
        <stp>ASK</stp>
        <stp>.NDXP250505C19650</stp>
        <tr r="DC169" s="1"/>
        <tr r="DC169" s="1"/>
      </tp>
      <tp>
        <v>17.5</v>
        <stp/>
        <stp>BID</stp>
        <stp>.NDXP250505C19950</stp>
        <tr r="DE157" s="1"/>
        <tr r="DE157" s="1"/>
      </tp>
      <tp>
        <v>377</v>
        <stp/>
        <stp>ASK</stp>
        <stp>.NDXP250505C19625</stp>
        <tr r="DC170" s="1"/>
        <tr r="DC170" s="1"/>
      </tp>
      <tp>
        <v>41.6</v>
        <stp/>
        <stp>BID</stp>
        <stp>.NDXP250505C19925</stp>
        <tr r="DE158" s="1"/>
        <tr r="DE158" s="1"/>
      </tp>
      <tp>
        <v>402</v>
        <stp/>
        <stp>ASK</stp>
        <stp>.NDXP250505C19600</stp>
        <tr r="DC171" s="1"/>
        <tr r="DC171" s="1"/>
      </tp>
      <tp>
        <v>67.099999999999994</v>
        <stp/>
        <stp>BID</stp>
        <stp>.NDXP250505C19900</stp>
        <tr r="DE159" s="1"/>
        <tr r="DE159" s="1"/>
      </tp>
      <tp>
        <v>0.5</v>
        <stp/>
        <stp>ASK</stp>
        <stp>.NDXP250505P19650</stp>
        <tr r="DD169" s="1"/>
        <tr r="DD169" s="1"/>
      </tp>
      <tp>
        <v>0</v>
        <stp/>
        <stp>BID</stp>
        <stp>.NDXP250505P19950</stp>
        <tr r="DF157" s="1"/>
        <tr r="DF157" s="1"/>
      </tp>
      <tp>
        <v>19.8</v>
        <stp/>
        <stp>ASK</stp>
        <stp>.NDXP250505P19675</stp>
        <tr r="DD168" s="1"/>
        <tr r="DD168" s="1"/>
      </tp>
      <tp>
        <v>0.1</v>
        <stp/>
        <stp>BID</stp>
        <stp>.NDXP250505P19975</stp>
        <tr r="DF156" s="1"/>
        <tr r="DF156" s="1"/>
      </tp>
      <tp>
        <v>4.5</v>
        <stp/>
        <stp>ASK</stp>
        <stp>.NDXP250505P19600</stp>
        <tr r="DD171" s="1"/>
        <tr r="DD171" s="1"/>
      </tp>
      <tp>
        <v>0</v>
        <stp/>
        <stp>BID</stp>
        <stp>.NDXP250505P19900</stp>
        <tr r="DF159" s="1"/>
        <tr r="DF159" s="1"/>
      </tp>
      <tp>
        <v>19.8</v>
        <stp/>
        <stp>ASK</stp>
        <stp>.NDXP250505P19625</stp>
        <tr r="DD170" s="1"/>
        <tr r="DD170" s="1"/>
      </tp>
      <tp>
        <v>0</v>
        <stp/>
        <stp>BID</stp>
        <stp>.NDXP250505P19925</stp>
        <tr r="DF158" s="1"/>
        <tr r="DF158" s="1"/>
      </tp>
      <tp>
        <v>211.5</v>
        <stp/>
        <stp>ASK</stp>
        <stp>.NDXP250505C19775</stp>
        <tr r="DC164" s="1"/>
        <tr r="DC164" s="1"/>
      </tp>
      <tp>
        <v>88.2</v>
        <stp/>
        <stp>BID</stp>
        <stp>.NDXP250505C19875</stp>
        <tr r="DE160" s="1"/>
        <tr r="DE160" s="1"/>
      </tp>
      <tp>
        <v>233.5</v>
        <stp/>
        <stp>ASK</stp>
        <stp>.NDXP250505C19750</stp>
        <tr r="DC165" s="1"/>
        <tr r="DC165" s="1"/>
      </tp>
      <tp>
        <v>116.5</v>
        <stp/>
        <stp>BID</stp>
        <stp>.NDXP250505C19850</stp>
        <tr r="DE161" s="1"/>
        <tr r="DE161" s="1"/>
      </tp>
      <tp>
        <v>277.10000000000002</v>
        <stp/>
        <stp>ASK</stp>
        <stp>.NDXP250505C19725</stp>
        <tr r="DC166" s="1"/>
        <tr r="DC166" s="1"/>
      </tp>
      <tp>
        <v>141.5</v>
        <stp/>
        <stp>BID</stp>
        <stp>.NDXP250505C19825</stp>
        <tr r="DE162" s="1"/>
        <tr r="DE162" s="1"/>
      </tp>
      <tp>
        <v>302</v>
        <stp/>
        <stp>ASK</stp>
        <stp>.NDXP250505C19700</stp>
        <tr r="DC167" s="1"/>
        <tr r="DC167" s="1"/>
      </tp>
      <tp>
        <v>166.5</v>
        <stp/>
        <stp>BID</stp>
        <stp>.NDXP250505C19800</stp>
        <tr r="DE163" s="1"/>
        <tr r="DE163" s="1"/>
      </tp>
      <tp>
        <v>19.8</v>
        <stp/>
        <stp>ASK</stp>
        <stp>.NDXP250505P19750</stp>
        <tr r="DD165" s="1"/>
        <tr r="DD165" s="1"/>
      </tp>
      <tp>
        <v>0</v>
        <stp/>
        <stp>BID</stp>
        <stp>.NDXP250505P19850</stp>
        <tr r="DF161" s="1"/>
        <tr r="DF161" s="1"/>
      </tp>
      <tp>
        <v>19.8</v>
        <stp/>
        <stp>ASK</stp>
        <stp>.NDXP250505P19775</stp>
        <tr r="DD164" s="1"/>
        <tr r="DD164" s="1"/>
      </tp>
      <tp>
        <v>0</v>
        <stp/>
        <stp>BID</stp>
        <stp>.NDXP250505P19875</stp>
        <tr r="DF160" s="1"/>
        <tr r="DF160" s="1"/>
      </tp>
      <tp>
        <v>0.2</v>
        <stp/>
        <stp>ASK</stp>
        <stp>.NDXP250505P19700</stp>
        <tr r="DD167" s="1"/>
        <tr r="DD167" s="1"/>
      </tp>
      <tp>
        <v>0</v>
        <stp/>
        <stp>BID</stp>
        <stp>.NDXP250505P19800</stp>
        <tr r="DF163" s="1"/>
        <tr r="DF163" s="1"/>
      </tp>
      <tp>
        <v>19.8</v>
        <stp/>
        <stp>ASK</stp>
        <stp>.NDXP250505P19725</stp>
        <tr r="DD166" s="1"/>
        <tr r="DD166" s="1"/>
      </tp>
      <tp>
        <v>0</v>
        <stp/>
        <stp>BID</stp>
        <stp>.NDXP250505P19825</stp>
        <tr r="DF162" s="1"/>
        <tr r="DF162" s="1"/>
      </tp>
      <tp>
        <v>530.20000000000005</v>
        <stp/>
        <stp>ASK</stp>
        <stp>.NDXP250505C19475</stp>
        <tr r="DC176" s="1"/>
        <tr r="DC176" s="1"/>
      </tp>
      <tp>
        <v>554.6</v>
        <stp/>
        <stp>ASK</stp>
        <stp>.NDXP250505C19450</stp>
        <tr r="DC177" s="1"/>
        <tr r="DC177" s="1"/>
      </tp>
      <tp>
        <v>0.8</v>
        <stp/>
        <stp>ASK</stp>
        <stp>.NDXP250505C20450</stp>
        <tr r="DC137" s="1"/>
        <tr r="DC137" s="1"/>
      </tp>
      <tp>
        <v>578</v>
        <stp/>
        <stp>ASK</stp>
        <stp>.NDXP250505C19425</stp>
        <tr r="DC178" s="1"/>
        <tr r="DC178" s="1"/>
      </tp>
      <tp>
        <v>0.05</v>
        <stp/>
        <stp>ASK</stp>
        <stp>.NDXP250505C20425</stp>
        <tr r="DC138" s="1"/>
        <tr r="DC138" s="1"/>
      </tp>
      <tp>
        <v>603</v>
        <stp/>
        <stp>ASK</stp>
        <stp>.NDXP250505C19400</stp>
        <tr r="DC179" s="1"/>
        <tr r="DC179" s="1"/>
      </tp>
      <tp>
        <v>0.05</v>
        <stp/>
        <stp>ASK</stp>
        <stp>.NDXP250505C20400</stp>
        <tr r="DC139" s="1"/>
        <tr r="DC139" s="1"/>
      </tp>
      <tp>
        <v>19.8</v>
        <stp/>
        <stp>ASK</stp>
        <stp>.NDXP250505P19450</stp>
        <tr r="DD177" s="1"/>
        <tr r="DD177" s="1"/>
      </tp>
      <tp>
        <v>528.1</v>
        <stp/>
        <stp>ASK</stp>
        <stp>.NDXP250505P20450</stp>
        <tr r="DD137" s="1"/>
        <tr r="DD137" s="1"/>
      </tp>
      <tp>
        <v>19.8</v>
        <stp/>
        <stp>ASK</stp>
        <stp>.NDXP250505P19475</stp>
        <tr r="DD176" s="1"/>
        <tr r="DD176" s="1"/>
      </tp>
      <tp>
        <v>0.15</v>
        <stp/>
        <stp>ASK</stp>
        <stp>.NDXP250505P19400</stp>
        <tr r="DD179" s="1"/>
        <tr r="DD179" s="1"/>
      </tp>
      <tp>
        <v>447.9</v>
        <stp/>
        <stp>ASK</stp>
        <stp>.NDXP250505P20400</stp>
        <tr r="DD139" s="1"/>
        <tr r="DD139" s="1"/>
      </tp>
      <tp>
        <v>19.8</v>
        <stp/>
        <stp>ASK</stp>
        <stp>.NDXP250505P19425</stp>
        <tr r="DD178" s="1"/>
        <tr r="DD178" s="1"/>
      </tp>
      <tp>
        <v>500.1</v>
        <stp/>
        <stp>ASK</stp>
        <stp>.NDXP250505P20425</stp>
        <tr r="DD138" s="1"/>
        <tr r="DD138" s="1"/>
      </tp>
      <tp t="s">
        <v>N/A</v>
        <stp/>
        <stp>VOLUME</stp>
        <stp>.NDXPP19975</stp>
        <tr r="D157" s="2"/>
        <tr r="C157" s="2"/>
        <tr r="B157" s="2"/>
        <tr r="F157" s="2"/>
        <tr r="G157" s="2"/>
        <tr r="E157" s="2"/>
      </tp>
      <tp t="s">
        <v>N/A</v>
        <stp/>
        <stp>VOLUME</stp>
        <stp>.NDXPP19950</stp>
        <tr r="D158" s="2"/>
        <tr r="F158" s="2"/>
        <tr r="B158" s="2"/>
        <tr r="G158" s="2"/>
        <tr r="E158" s="2"/>
        <tr r="C158" s="2"/>
      </tp>
      <tp t="s">
        <v>N/A</v>
        <stp/>
        <stp>VOLUME</stp>
        <stp>.NDXPP19925</stp>
        <tr r="E159" s="2"/>
        <tr r="F159" s="2"/>
        <tr r="B159" s="2"/>
        <tr r="C159" s="2"/>
        <tr r="G159" s="2"/>
        <tr r="D159" s="2"/>
      </tp>
      <tp t="s">
        <v>N/A</v>
        <stp/>
        <stp>VOLUME</stp>
        <stp>.NDXPP19900</stp>
        <tr r="E160" s="2"/>
        <tr r="B160" s="2"/>
        <tr r="D160" s="2"/>
        <tr r="G160" s="2"/>
        <tr r="C160" s="2"/>
        <tr r="F160" s="2"/>
      </tp>
      <tp t="s">
        <v>N/A</v>
        <stp/>
        <stp>VOLUME</stp>
        <stp>.NDXPC19950</stp>
        <tr r="D158" s="2"/>
        <tr r="F158" s="2"/>
        <tr r="B158" s="2"/>
        <tr r="G158" s="2"/>
        <tr r="E158" s="2"/>
        <tr r="C158" s="2"/>
      </tp>
      <tp t="s">
        <v>N/A</v>
        <stp/>
        <stp>VOLUME</stp>
        <stp>.NDXPC19975</stp>
        <tr r="D157" s="2"/>
        <tr r="C157" s="2"/>
        <tr r="B157" s="2"/>
        <tr r="F157" s="2"/>
        <tr r="G157" s="2"/>
        <tr r="E157" s="2"/>
      </tp>
      <tp t="s">
        <v>N/A</v>
        <stp/>
        <stp>VOLUME</stp>
        <stp>.NDXPC19900</stp>
        <tr r="E160" s="2"/>
        <tr r="B160" s="2"/>
        <tr r="D160" s="2"/>
        <tr r="G160" s="2"/>
        <tr r="C160" s="2"/>
        <tr r="F160" s="2"/>
      </tp>
      <tp t="s">
        <v>N/A</v>
        <stp/>
        <stp>VOLUME</stp>
        <stp>.NDXPC19925</stp>
        <tr r="E159" s="2"/>
        <tr r="F159" s="2"/>
        <tr r="B159" s="2"/>
        <tr r="C159" s="2"/>
        <tr r="G159" s="2"/>
        <tr r="D159" s="2"/>
      </tp>
      <tp>
        <v>427.2</v>
        <stp/>
        <stp>ASK</stp>
        <stp>.NDXP250505C19575</stp>
        <tr r="DC172" s="1"/>
        <tr r="DC172" s="1"/>
      </tp>
      <tp>
        <v>452.2</v>
        <stp/>
        <stp>ASK</stp>
        <stp>.NDXP250505C19550</stp>
        <tr r="DC173" s="1"/>
        <tr r="DC173" s="1"/>
      </tp>
      <tp>
        <v>480.2</v>
        <stp/>
        <stp>ASK</stp>
        <stp>.NDXP250505C19525</stp>
        <tr r="DC174" s="1"/>
        <tr r="DC174" s="1"/>
      </tp>
      <tp>
        <v>505.2</v>
        <stp/>
        <stp>ASK</stp>
        <stp>.NDXP250505C19500</stp>
        <tr r="DC175" s="1"/>
        <tr r="DC175" s="1"/>
      </tp>
      <tp>
        <v>0.35</v>
        <stp/>
        <stp>ASK</stp>
        <stp>.NDXP250505P19550</stp>
        <tr r="DD173" s="1"/>
        <tr r="DD173" s="1"/>
      </tp>
      <tp>
        <v>19.8</v>
        <stp/>
        <stp>ASK</stp>
        <stp>.NDXP250505P19575</stp>
        <tr r="DD172" s="1"/>
        <tr r="DD172" s="1"/>
      </tp>
      <tp>
        <v>0.05</v>
        <stp/>
        <stp>ASK</stp>
        <stp>.NDXP250505P19500</stp>
        <tr r="DD175" s="1"/>
        <tr r="DD175" s="1"/>
      </tp>
      <tp>
        <v>19.8</v>
        <stp/>
        <stp>ASK</stp>
        <stp>.NDXP250505P19525</stp>
        <tr r="DD174" s="1"/>
        <tr r="DD174" s="1"/>
      </tp>
      <tp t="s">
        <v>N/A</v>
        <stp/>
        <stp>VOLUME</stp>
        <stp>.NDXPP19875</stp>
        <tr r="C161" s="2"/>
        <tr r="E161" s="2"/>
        <tr r="D161" s="2"/>
        <tr r="F161" s="2"/>
        <tr r="G161" s="2"/>
        <tr r="B161" s="2"/>
      </tp>
      <tp t="s">
        <v>N/A</v>
        <stp/>
        <stp>VOLUME</stp>
        <stp>.NDXPP19850</stp>
        <tr r="F162" s="2"/>
        <tr r="B162" s="2"/>
        <tr r="E162" s="2"/>
        <tr r="G162" s="2"/>
        <tr r="D162" s="2"/>
        <tr r="C162" s="2"/>
      </tp>
      <tp t="s">
        <v>N/A</v>
        <stp/>
        <stp>VOLUME</stp>
        <stp>.NDXPP19825</stp>
        <tr r="G163" s="2"/>
        <tr r="B163" s="2"/>
        <tr r="E163" s="2"/>
        <tr r="D163" s="2"/>
        <tr r="F163" s="2"/>
        <tr r="C163" s="2"/>
      </tp>
      <tp t="s">
        <v>N/A</v>
        <stp/>
        <stp>VOLUME</stp>
        <stp>.NDXPP19800</stp>
        <tr r="B164" s="2"/>
        <tr r="E164" s="2"/>
        <tr r="D164" s="2"/>
        <tr r="F164" s="2"/>
        <tr r="G164" s="2"/>
        <tr r="C164" s="2"/>
      </tp>
      <tp t="s">
        <v>N/A</v>
        <stp/>
        <stp>LAST</stp>
        <stp>.SPXW250505P5860</stp>
        <tr r="DB86" s="1"/>
      </tp>
      <tp t="s">
        <v>N/A</v>
        <stp/>
        <stp>LAST</stp>
        <stp>.SPXW250505C5860</stp>
        <tr r="DA86" s="1"/>
      </tp>
      <tp t="s">
        <v>N/A</v>
        <stp/>
        <stp>LAST</stp>
        <stp>.SPXW250505P5870</stp>
        <tr r="DB85" s="1"/>
      </tp>
      <tp t="s">
        <v>N/A</v>
        <stp/>
        <stp>LAST</stp>
        <stp>.SPXW250505C5870</stp>
        <tr r="DA85" s="1"/>
      </tp>
      <tp t="s">
        <v>N/A</v>
        <stp/>
        <stp>LAST</stp>
        <stp>.SPXW250505P5840</stp>
        <tr r="DB88" s="1"/>
      </tp>
      <tp t="s">
        <v>N/A</v>
        <stp/>
        <stp>LAST</stp>
        <stp>.SPXW250505C5840</stp>
        <tr r="DA88" s="1"/>
      </tp>
      <tp>
        <v>185.23</v>
        <stp/>
        <stp>LAST</stp>
        <stp>.SPXW250505P5850</stp>
        <tr r="DB87" s="1"/>
        <tr r="DB87" s="1"/>
      </tp>
      <tp>
        <v>0.03</v>
        <stp/>
        <stp>LAST</stp>
        <stp>.SPXW250505C5850</stp>
        <tr r="DA87" s="1"/>
        <tr r="DA87" s="1"/>
      </tp>
      <tp>
        <v>137.18</v>
        <stp/>
        <stp>LAST</stp>
        <stp>.SPXW250505P5820</stp>
        <tr r="DB90" s="1"/>
        <tr r="DB90" s="1"/>
      </tp>
      <tp>
        <v>0.03</v>
        <stp/>
        <stp>LAST</stp>
        <stp>.SPXW250505C5820</stp>
        <tr r="DA90" s="1"/>
        <tr r="DA90" s="1"/>
      </tp>
      <tp t="s">
        <v>N/A</v>
        <stp/>
        <stp>LAST</stp>
        <stp>.SPXW250505P5830</stp>
        <tr r="DB89" s="1"/>
      </tp>
      <tp t="s">
        <v>N/A</v>
        <stp/>
        <stp>LAST</stp>
        <stp>.SPXW250505C5830</stp>
        <tr r="DA89" s="1"/>
      </tp>
      <tp>
        <v>130.4</v>
        <stp/>
        <stp>LAST</stp>
        <stp>.SPXW250505P5800</stp>
        <tr r="DB92" s="1"/>
        <tr r="DB92" s="1"/>
      </tp>
      <tp>
        <v>0.03</v>
        <stp/>
        <stp>LAST</stp>
        <stp>.SPXW250505C5800</stp>
        <tr r="DA92" s="1"/>
        <tr r="DA92" s="1"/>
      </tp>
      <tp>
        <v>131.22</v>
        <stp/>
        <stp>LAST</stp>
        <stp>.SPXW250505P5810</stp>
        <tr r="DB91" s="1"/>
        <tr r="DB91" s="1"/>
      </tp>
      <tp>
        <v>0.05</v>
        <stp/>
        <stp>LAST</stp>
        <stp>.SPXW250505C5810</stp>
        <tr r="DA91" s="1"/>
        <tr r="DA91" s="1"/>
      </tp>
      <tp t="s">
        <v>N/A</v>
        <stp/>
        <stp>VOLUME</stp>
        <stp>.NDXPC19850</stp>
        <tr r="F162" s="2"/>
        <tr r="B162" s="2"/>
        <tr r="E162" s="2"/>
        <tr r="G162" s="2"/>
        <tr r="D162" s="2"/>
        <tr r="C162" s="2"/>
      </tp>
      <tp t="s">
        <v>N/A</v>
        <stp/>
        <stp>VOLUME</stp>
        <stp>.NDXPC19875</stp>
        <tr r="C161" s="2"/>
        <tr r="E161" s="2"/>
        <tr r="D161" s="2"/>
        <tr r="F161" s="2"/>
        <tr r="G161" s="2"/>
        <tr r="B161" s="2"/>
      </tp>
      <tp t="s">
        <v>N/A</v>
        <stp/>
        <stp>VOLUME</stp>
        <stp>.NDXPC19800</stp>
        <tr r="B164" s="2"/>
        <tr r="E164" s="2"/>
        <tr r="D164" s="2"/>
        <tr r="F164" s="2"/>
        <tr r="G164" s="2"/>
        <tr r="C164" s="2"/>
      </tp>
      <tp t="s">
        <v>N/A</v>
        <stp/>
        <stp>VOLUME</stp>
        <stp>.NDXPC19825</stp>
        <tr r="G163" s="2"/>
        <tr r="B163" s="2"/>
        <tr r="E163" s="2"/>
        <tr r="D163" s="2"/>
        <tr r="F163" s="2"/>
        <tr r="C163" s="2"/>
      </tp>
      <tp>
        <v>726.6</v>
        <stp/>
        <stp>ASK</stp>
        <stp>.NDXP250505C19275</stp>
        <tr r="DC184" s="1"/>
        <tr r="DC184" s="1"/>
      </tp>
      <tp>
        <v>0.05</v>
        <stp/>
        <stp>ASK</stp>
        <stp>.NDXP250505C20275</stp>
        <tr r="DC144" s="1"/>
        <tr r="DC144" s="1"/>
      </tp>
      <tp>
        <v>751.6</v>
        <stp/>
        <stp>ASK</stp>
        <stp>.NDXP250505C19250</stp>
        <tr r="DC185" s="1"/>
        <tr r="DC185" s="1"/>
      </tp>
      <tp>
        <v>0.05</v>
        <stp/>
        <stp>ASK</stp>
        <stp>.NDXP250505C20250</stp>
        <tr r="DC145" s="1"/>
        <tr r="DC145" s="1"/>
      </tp>
      <tp>
        <v>776.6</v>
        <stp/>
        <stp>ASK</stp>
        <stp>.NDXP250505C19225</stp>
        <tr r="DC186" s="1"/>
        <tr r="DC186" s="1"/>
      </tp>
      <tp>
        <v>0.05</v>
        <stp/>
        <stp>ASK</stp>
        <stp>.NDXP250505C20225</stp>
        <tr r="DC146" s="1"/>
        <tr r="DC146" s="1"/>
      </tp>
      <tp>
        <v>802.7</v>
        <stp/>
        <stp>ASK</stp>
        <stp>.NDXP250505C19200</stp>
        <tr r="DC187" s="1"/>
        <tr r="DC187" s="1"/>
      </tp>
      <tp>
        <v>0.05</v>
        <stp/>
        <stp>ASK</stp>
        <stp>.NDXP250505C20200</stp>
        <tr r="DC147" s="1"/>
        <tr r="DC147" s="1"/>
      </tp>
      <tp>
        <v>19.8</v>
        <stp/>
        <stp>ASK</stp>
        <stp>.NDXP250505P19250</stp>
        <tr r="DD185" s="1"/>
        <tr r="DD185" s="1"/>
      </tp>
      <tp>
        <v>297.89999999999998</v>
        <stp/>
        <stp>ASK</stp>
        <stp>.NDXP250505P20250</stp>
        <tr r="DD145" s="1"/>
        <tr r="DD145" s="1"/>
      </tp>
      <tp>
        <v>19.8</v>
        <stp/>
        <stp>ASK</stp>
        <stp>.NDXP250505P19275</stp>
        <tr r="DD184" s="1"/>
        <tr r="DD184" s="1"/>
      </tp>
      <tp>
        <v>322.89999999999998</v>
        <stp/>
        <stp>ASK</stp>
        <stp>.NDXP250505P20275</stp>
        <tr r="DD144" s="1"/>
        <tr r="DD144" s="1"/>
      </tp>
      <tp>
        <v>0.55000000000000004</v>
        <stp/>
        <stp>ASK</stp>
        <stp>.NDXP250505P19200</stp>
        <tr r="DD187" s="1"/>
        <tr r="DD187" s="1"/>
      </tp>
      <tp>
        <v>232.9</v>
        <stp/>
        <stp>ASK</stp>
        <stp>.NDXP250505P20200</stp>
        <tr r="DD147" s="1"/>
        <tr r="DD147" s="1"/>
      </tp>
      <tp>
        <v>19.8</v>
        <stp/>
        <stp>ASK</stp>
        <stp>.NDXP250505P19225</stp>
        <tr r="DD186" s="1"/>
        <tr r="DD186" s="1"/>
      </tp>
      <tp>
        <v>272.89999999999998</v>
        <stp/>
        <stp>ASK</stp>
        <stp>.NDXP250505P20225</stp>
        <tr r="DD146" s="1"/>
        <tr r="DD146" s="1"/>
      </tp>
      <tp>
        <v>628</v>
        <stp/>
        <stp>ASK</stp>
        <stp>.NDXP250505C19375</stp>
        <tr r="DC180" s="1"/>
        <tr r="DC180" s="1"/>
      </tp>
      <tp>
        <v>0.05</v>
        <stp/>
        <stp>ASK</stp>
        <stp>.NDXP250505C20375</stp>
        <tr r="DC140" s="1"/>
        <tr r="DC140" s="1"/>
      </tp>
      <tp>
        <v>653</v>
        <stp/>
        <stp>ASK</stp>
        <stp>.NDXP250505C19350</stp>
        <tr r="DC181" s="1"/>
        <tr r="DC181" s="1"/>
      </tp>
      <tp>
        <v>0.35</v>
        <stp/>
        <stp>ASK</stp>
        <stp>.NDXP250505C20350</stp>
        <tr r="DC141" s="1"/>
        <tr r="DC141" s="1"/>
      </tp>
      <tp>
        <v>678</v>
        <stp/>
        <stp>ASK</stp>
        <stp>.NDXP250505C19325</stp>
        <tr r="DC182" s="1"/>
        <tr r="DC182" s="1"/>
      </tp>
      <tp>
        <v>19.8</v>
        <stp/>
        <stp>ASK</stp>
        <stp>.NDXP250505C20325</stp>
        <tr r="DC142" s="1"/>
        <tr r="DC142" s="1"/>
      </tp>
      <tp>
        <v>701.6</v>
        <stp/>
        <stp>ASK</stp>
        <stp>.NDXP250505C19300</stp>
        <tr r="DC183" s="1"/>
        <tr r="DC183" s="1"/>
      </tp>
      <tp>
        <v>0.05</v>
        <stp/>
        <stp>ASK</stp>
        <stp>.NDXP250505C20300</stp>
        <tr r="DC143" s="1"/>
        <tr r="DC143" s="1"/>
      </tp>
      <tp>
        <v>19.8</v>
        <stp/>
        <stp>ASK</stp>
        <stp>.NDXP250505P19350</stp>
        <tr r="DD181" s="1"/>
        <tr r="DD181" s="1"/>
      </tp>
      <tp>
        <v>397.9</v>
        <stp/>
        <stp>ASK</stp>
        <stp>.NDXP250505P20350</stp>
        <tr r="DD141" s="1"/>
        <tr r="DD141" s="1"/>
      </tp>
      <tp>
        <v>19.8</v>
        <stp/>
        <stp>ASK</stp>
        <stp>.NDXP250505P19375</stp>
        <tr r="DD180" s="1"/>
        <tr r="DD180" s="1"/>
      </tp>
      <tp>
        <v>422.9</v>
        <stp/>
        <stp>ASK</stp>
        <stp>.NDXP250505P20375</stp>
        <tr r="DD140" s="1"/>
        <tr r="DD140" s="1"/>
      </tp>
      <tp>
        <v>0.35</v>
        <stp/>
        <stp>ASK</stp>
        <stp>.NDXP250505P19300</stp>
        <tr r="DD183" s="1"/>
        <tr r="DD183" s="1"/>
      </tp>
      <tp>
        <v>347.9</v>
        <stp/>
        <stp>ASK</stp>
        <stp>.NDXP250505P20300</stp>
        <tr r="DD143" s="1"/>
        <tr r="DD143" s="1"/>
      </tp>
      <tp>
        <v>19.8</v>
        <stp/>
        <stp>ASK</stp>
        <stp>.NDXP250505P19325</stp>
        <tr r="DD182" s="1"/>
        <tr r="DD182" s="1"/>
      </tp>
      <tp>
        <v>372.9</v>
        <stp/>
        <stp>ASK</stp>
        <stp>.NDXP250505P20325</stp>
        <tr r="DD142" s="1"/>
        <tr r="DD142" s="1"/>
      </tp>
      <tp>
        <v>0.1</v>
        <stp/>
        <stp>ASK</stp>
        <stp>.NDXP250505C20075</stp>
        <tr r="DC152" s="1"/>
        <tr r="DC152" s="1"/>
      </tp>
      <tp>
        <v>0.05</v>
        <stp/>
        <stp>ASK</stp>
        <stp>.NDXP250505C20050</stp>
        <tr r="DC153" s="1"/>
        <tr r="DC153" s="1"/>
      </tp>
      <tp>
        <v>0.05</v>
        <stp/>
        <stp>ASK</stp>
        <stp>.NDXP250505C20025</stp>
        <tr r="DC154" s="1"/>
        <tr r="DC154" s="1"/>
      </tp>
      <tp>
        <v>0.05</v>
        <stp/>
        <stp>ASK</stp>
        <stp>.NDXP250505C20000</stp>
        <tr r="DC155" s="1"/>
        <tr r="DC155" s="1"/>
      </tp>
      <tp>
        <v>86.5</v>
        <stp/>
        <stp>ASK</stp>
        <stp>.NDXP250505P20050</stp>
        <tr r="DD153" s="1"/>
        <tr r="DD153" s="1"/>
      </tp>
      <tp>
        <v>108.5</v>
        <stp/>
        <stp>ASK</stp>
        <stp>.NDXP250505P20075</stp>
        <tr r="DD152" s="1"/>
        <tr r="DD152" s="1"/>
      </tp>
      <tp>
        <v>33</v>
        <stp/>
        <stp>ASK</stp>
        <stp>.NDXP250505P20000</stp>
        <tr r="DD155" s="1"/>
        <tr r="DD155" s="1"/>
      </tp>
      <tp>
        <v>58.5</v>
        <stp/>
        <stp>ASK</stp>
        <stp>.NDXP250505P20025</stp>
        <tr r="DD154" s="1"/>
        <tr r="DD154" s="1"/>
      </tp>
      <tp>
        <v>827.7</v>
        <stp/>
        <stp>ASK</stp>
        <stp>.NDXP250505C19175</stp>
        <tr r="DC188" s="1"/>
        <tr r="DC188" s="1"/>
      </tp>
      <tp>
        <v>19.8</v>
        <stp/>
        <stp>ASK</stp>
        <stp>.NDXP250505C20175</stp>
        <tr r="DC148" s="1"/>
        <tr r="DC148" s="1"/>
      </tp>
      <tp>
        <v>852.8</v>
        <stp/>
        <stp>ASK</stp>
        <stp>.NDXP250505C19150</stp>
        <tr r="DC189" s="1"/>
        <tr r="DC189" s="1"/>
      </tp>
      <tp>
        <v>0.05</v>
        <stp/>
        <stp>ASK</stp>
        <stp>.NDXP250505C20150</stp>
        <tr r="DC149" s="1"/>
        <tr r="DC149" s="1"/>
      </tp>
      <tp>
        <v>0.05</v>
        <stp/>
        <stp>ASK</stp>
        <stp>.NDXP250505C20125</stp>
        <tr r="DC150" s="1"/>
        <tr r="DC150" s="1"/>
      </tp>
      <tp>
        <v>0.05</v>
        <stp/>
        <stp>ASK</stp>
        <stp>.NDXP250505C20100</stp>
        <tr r="DC151" s="1"/>
        <tr r="DC151" s="1"/>
      </tp>
      <tp>
        <v>19.8</v>
        <stp/>
        <stp>ASK</stp>
        <stp>.NDXP250505P19150</stp>
        <tr r="DD189" s="1"/>
        <tr r="DD189" s="1"/>
      </tp>
      <tp>
        <v>186.5</v>
        <stp/>
        <stp>ASK</stp>
        <stp>.NDXP250505P20150</stp>
        <tr r="DD149" s="1"/>
        <tr r="DD149" s="1"/>
      </tp>
      <tp>
        <v>19.8</v>
        <stp/>
        <stp>ASK</stp>
        <stp>.NDXP250505P19175</stp>
        <tr r="DD188" s="1"/>
        <tr r="DD188" s="1"/>
      </tp>
      <tp>
        <v>211.5</v>
        <stp/>
        <stp>ASK</stp>
        <stp>.NDXP250505P20175</stp>
        <tr r="DD148" s="1"/>
        <tr r="DD148" s="1"/>
      </tp>
      <tp>
        <v>133.5</v>
        <stp/>
        <stp>ASK</stp>
        <stp>.NDXP250505P20100</stp>
        <tr r="DD151" s="1"/>
        <tr r="DD151" s="1"/>
      </tp>
      <tp>
        <v>158.5</v>
        <stp/>
        <stp>ASK</stp>
        <stp>.NDXP250505P20125</stp>
        <tr r="DD150" s="1"/>
        <tr r="DD150" s="1"/>
      </tp>
      <tp>
        <v>0</v>
        <stp/>
        <stp>BID</stp>
        <stp>.NDXP250505C20175</stp>
        <tr r="DE148" s="1"/>
        <tr r="DE148" s="1"/>
      </tp>
      <tp>
        <v>747.7</v>
        <stp/>
        <stp>BID</stp>
        <stp>.NDXP250505C19175</stp>
        <tr r="DE188" s="1"/>
        <tr r="DE188" s="1"/>
      </tp>
      <tp>
        <v>0</v>
        <stp/>
        <stp>BID</stp>
        <stp>.NDXP250505C20150</stp>
        <tr r="DE149" s="1"/>
        <tr r="DE149" s="1"/>
      </tp>
      <tp>
        <v>772.8</v>
        <stp/>
        <stp>BID</stp>
        <stp>.NDXP250505C19150</stp>
        <tr r="DE189" s="1"/>
        <tr r="DE189" s="1"/>
      </tp>
      <tp>
        <v>0</v>
        <stp/>
        <stp>BID</stp>
        <stp>.NDXP250505C20125</stp>
        <tr r="DE150" s="1"/>
        <tr r="DE150" s="1"/>
      </tp>
      <tp>
        <v>0</v>
        <stp/>
        <stp>BID</stp>
        <stp>.NDXP250505C20100</stp>
        <tr r="DE151" s="1"/>
        <tr r="DE151" s="1"/>
      </tp>
      <tp>
        <v>166.5</v>
        <stp/>
        <stp>BID</stp>
        <stp>.NDXP250505P20150</stp>
        <tr r="DF149" s="1"/>
        <tr r="DF149" s="1"/>
      </tp>
      <tp>
        <v>0</v>
        <stp/>
        <stp>BID</stp>
        <stp>.NDXP250505P19150</stp>
        <tr r="DF189" s="1"/>
        <tr r="DF189" s="1"/>
      </tp>
      <tp>
        <v>191.5</v>
        <stp/>
        <stp>BID</stp>
        <stp>.NDXP250505P20175</stp>
        <tr r="DF148" s="1"/>
        <tr r="DF148" s="1"/>
      </tp>
      <tp>
        <v>0</v>
        <stp/>
        <stp>BID</stp>
        <stp>.NDXP250505P19175</stp>
        <tr r="DF188" s="1"/>
        <tr r="DF188" s="1"/>
      </tp>
      <tp>
        <v>113.5</v>
        <stp/>
        <stp>BID</stp>
        <stp>.NDXP250505P20100</stp>
        <tr r="DF151" s="1"/>
        <tr r="DF151" s="1"/>
      </tp>
      <tp>
        <v>138.5</v>
        <stp/>
        <stp>BID</stp>
        <stp>.NDXP250505P20125</stp>
        <tr r="DF150" s="1"/>
        <tr r="DF150" s="1"/>
      </tp>
      <tp t="s">
        <v>N/A</v>
        <stp/>
        <stp>VOLUME</stp>
        <stp>.NDXPP19375</stp>
        <tr r="D181" s="2"/>
        <tr r="E181" s="2"/>
        <tr r="C181" s="2"/>
        <tr r="F181" s="2"/>
        <tr r="B181" s="2"/>
        <tr r="G181" s="2"/>
      </tp>
      <tp t="s">
        <v>N/A</v>
        <stp/>
        <stp>VOLUME</stp>
        <stp>.NDXPP20375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.NDXPP19350</stp>
        <tr r="C182" s="2"/>
        <tr r="E182" s="2"/>
        <tr r="D182" s="2"/>
        <tr r="G182" s="2"/>
        <tr r="F182" s="2"/>
        <tr r="B182" s="2"/>
      </tp>
      <tp t="s">
        <v>N/A</v>
        <stp/>
        <stp>VOLUME</stp>
        <stp>.NDXPP20350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.NDXPP19325</stp>
        <tr r="G183" s="2"/>
        <tr r="D183" s="2"/>
        <tr r="F183" s="2"/>
        <tr r="B183" s="2"/>
        <tr r="C183" s="2"/>
        <tr r="E183" s="2"/>
      </tp>
      <tp t="s">
        <v>N/A</v>
        <stp/>
        <stp>VOLUME</stp>
        <stp>.NDXPP20325</stp>
        <tr r="G143" s="2"/>
        <tr r="F143" s="2"/>
        <tr r="E143" s="2"/>
        <tr r="C143" s="2"/>
        <tr r="D143" s="2"/>
        <tr r="B143" s="2"/>
      </tp>
      <tp t="s">
        <v>N/A</v>
        <stp/>
        <stp>VOLUME</stp>
        <stp>.NDXPP19300</stp>
        <tr r="B184" s="2"/>
        <tr r="D184" s="2"/>
        <tr r="F184" s="2"/>
        <tr r="G184" s="2"/>
        <tr r="E184" s="2"/>
        <tr r="C184" s="2"/>
      </tp>
      <tp t="s">
        <v>N/A</v>
        <stp/>
        <stp>VOLUME</stp>
        <stp>.NDXPP20300</stp>
        <tr r="G144" s="2"/>
        <tr r="F144" s="2"/>
        <tr r="B144" s="2"/>
        <tr r="D144" s="2"/>
        <tr r="E144" s="2"/>
        <tr r="C144" s="2"/>
      </tp>
      <tp t="s">
        <v>N/A</v>
        <stp/>
        <stp>VOLUME</stp>
        <stp>.NDXPC19350</stp>
        <tr r="C182" s="2"/>
        <tr r="E182" s="2"/>
        <tr r="D182" s="2"/>
        <tr r="G182" s="2"/>
        <tr r="F182" s="2"/>
        <tr r="B182" s="2"/>
      </tp>
      <tp t="s">
        <v>N/A</v>
        <stp/>
        <stp>VOLUME</stp>
        <stp>.NDXPC20350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.NDXPC19375</stp>
        <tr r="D181" s="2"/>
        <tr r="E181" s="2"/>
        <tr r="C181" s="2"/>
        <tr r="F181" s="2"/>
        <tr r="B181" s="2"/>
        <tr r="G181" s="2"/>
      </tp>
      <tp t="s">
        <v>N/A</v>
        <stp/>
        <stp>VOLUME</stp>
        <stp>.NDXPC20375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.NDXPC19300</stp>
        <tr r="B184" s="2"/>
        <tr r="D184" s="2"/>
        <tr r="F184" s="2"/>
        <tr r="G184" s="2"/>
        <tr r="E184" s="2"/>
        <tr r="C184" s="2"/>
      </tp>
      <tp t="s">
        <v>N/A</v>
        <stp/>
        <stp>VOLUME</stp>
        <stp>.NDXPC20300</stp>
        <tr r="G144" s="2"/>
        <tr r="F144" s="2"/>
        <tr r="B144" s="2"/>
        <tr r="D144" s="2"/>
        <tr r="E144" s="2"/>
        <tr r="C144" s="2"/>
      </tp>
      <tp>
        <v>20061.449000000001</v>
        <stp/>
        <stp>MARK</stp>
        <stp>NDX</stp>
        <tr r="E134" s="1"/>
      </tp>
      <tp t="s">
        <v>N/A</v>
        <stp/>
        <stp>VOLUME</stp>
        <stp>.NDXPC19325</stp>
        <tr r="G183" s="2"/>
        <tr r="D183" s="2"/>
        <tr r="F183" s="2"/>
        <tr r="B183" s="2"/>
        <tr r="C183" s="2"/>
        <tr r="E183" s="2"/>
      </tp>
      <tp t="s">
        <v>N/A</v>
        <stp/>
        <stp>VOLUME</stp>
        <stp>.NDXPC20325</stp>
        <tr r="G143" s="2"/>
        <tr r="F143" s="2"/>
        <tr r="E143" s="2"/>
        <tr r="C143" s="2"/>
        <tr r="D143" s="2"/>
        <tr r="B143" s="2"/>
      </tp>
      <tp>
        <v>0</v>
        <stp/>
        <stp>BID</stp>
        <stp>.NDXP250505C20075</stp>
        <tr r="DE152" s="1"/>
        <tr r="DE152" s="1"/>
      </tp>
      <tp>
        <v>0</v>
        <stp/>
        <stp>BID</stp>
        <stp>.NDXP250505C20050</stp>
        <tr r="DE153" s="1"/>
        <tr r="DE153" s="1"/>
      </tp>
      <tp>
        <v>0</v>
        <stp/>
        <stp>BID</stp>
        <stp>.NDXP250505C20025</stp>
        <tr r="DE154" s="1"/>
        <tr r="DE154" s="1"/>
      </tp>
      <tp>
        <v>0</v>
        <stp/>
        <stp>BID</stp>
        <stp>.NDXP250505C20000</stp>
        <tr r="DE155" s="1"/>
        <tr r="DE155" s="1"/>
      </tp>
      <tp>
        <v>66.5</v>
        <stp/>
        <stp>BID</stp>
        <stp>.NDXP250505P20050</stp>
        <tr r="DF153" s="1"/>
        <tr r="DF153" s="1"/>
      </tp>
      <tp>
        <v>88.5</v>
        <stp/>
        <stp>BID</stp>
        <stp>.NDXP250505P20075</stp>
        <tr r="DF152" s="1"/>
        <tr r="DF152" s="1"/>
      </tp>
      <tp>
        <v>23.3</v>
        <stp/>
        <stp>BID</stp>
        <stp>.NDXP250505P20000</stp>
        <tr r="DF155" s="1"/>
        <tr r="DF155" s="1"/>
      </tp>
      <tp>
        <v>41.9</v>
        <stp/>
        <stp>BID</stp>
        <stp>.NDXP250505P20025</stp>
        <tr r="DF154" s="1"/>
        <tr r="DF154" s="1"/>
      </tp>
      <tp t="s">
        <v>N/A</v>
        <stp/>
        <stp>VOLUME</stp>
        <stp>.NDXPP19275</stp>
        <tr r="C185" s="2"/>
        <tr r="G185" s="2"/>
        <tr r="D185" s="2"/>
        <tr r="B185" s="2"/>
        <tr r="E185" s="2"/>
        <tr r="F185" s="2"/>
      </tp>
      <tp t="s">
        <v>N/A</v>
        <stp/>
        <stp>VOLUME</stp>
        <stp>.NDXPP20275</stp>
        <tr r="G145" s="2"/>
        <tr r="C145" s="2"/>
        <tr r="B145" s="2"/>
        <tr r="E145" s="2"/>
        <tr r="D145" s="2"/>
        <tr r="F145" s="2"/>
      </tp>
      <tp t="s">
        <v>N/A</v>
        <stp/>
        <stp>VOLUME</stp>
        <stp>.NDXPP19250</stp>
        <tr r="G186" s="2"/>
        <tr r="D186" s="2"/>
        <tr r="B186" s="2"/>
        <tr r="F186" s="2"/>
        <tr r="E186" s="2"/>
        <tr r="C186" s="2"/>
      </tp>
      <tp t="s">
        <v>N/A</v>
        <stp/>
        <stp>VOLUME</stp>
        <stp>.NDXPP20250</stp>
        <tr r="B146" s="2"/>
        <tr r="C146" s="2"/>
        <tr r="G146" s="2"/>
        <tr r="E146" s="2"/>
        <tr r="F146" s="2"/>
        <tr r="D146" s="2"/>
      </tp>
      <tp t="s">
        <v>N/A</v>
        <stp/>
        <stp>VOLUME</stp>
        <stp>.NDXPP19225</stp>
        <tr r="C187" s="2"/>
        <tr r="F187" s="2"/>
        <tr r="E187" s="2"/>
        <tr r="D187" s="2"/>
        <tr r="B187" s="2"/>
        <tr r="G187" s="2"/>
      </tp>
      <tp t="s">
        <v>N/A</v>
        <stp/>
        <stp>VOLUME</stp>
        <stp>.NDXPP20225</stp>
        <tr r="G147" s="2"/>
        <tr r="E147" s="2"/>
        <tr r="D147" s="2"/>
        <tr r="F147" s="2"/>
        <tr r="B147" s="2"/>
        <tr r="C147" s="2"/>
      </tp>
      <tp t="s">
        <v>N/A</v>
        <stp/>
        <stp>VOLUME</stp>
        <stp>.NDXPP19200</stp>
        <tr r="F188" s="2"/>
        <tr r="B188" s="2"/>
        <tr r="C188" s="2"/>
        <tr r="G188" s="2"/>
        <tr r="E188" s="2"/>
        <tr r="D188" s="2"/>
      </tp>
      <tp t="s">
        <v>N/A</v>
        <stp/>
        <stp>VOLUME</stp>
        <stp>.NDXPP20200</stp>
        <tr r="F148" s="2"/>
        <tr r="D148" s="2"/>
        <tr r="G148" s="2"/>
        <tr r="B148" s="2"/>
        <tr r="C148" s="2"/>
        <tr r="E148" s="2"/>
      </tp>
      <tp t="s">
        <v>N/A</v>
        <stp/>
        <stp>VOLUME</stp>
        <stp>.NDXPC19250</stp>
        <tr r="G186" s="2"/>
        <tr r="D186" s="2"/>
        <tr r="B186" s="2"/>
        <tr r="F186" s="2"/>
        <tr r="E186" s="2"/>
        <tr r="C186" s="2"/>
      </tp>
      <tp t="s">
        <v>N/A</v>
        <stp/>
        <stp>VOLUME</stp>
        <stp>.NDXPC20250</stp>
        <tr r="B146" s="2"/>
        <tr r="C146" s="2"/>
        <tr r="G146" s="2"/>
        <tr r="E146" s="2"/>
        <tr r="F146" s="2"/>
        <tr r="D146" s="2"/>
      </tp>
      <tp t="s">
        <v>N/A</v>
        <stp/>
        <stp>VOLUME</stp>
        <stp>.NDXPC19275</stp>
        <tr r="C185" s="2"/>
        <tr r="G185" s="2"/>
        <tr r="D185" s="2"/>
        <tr r="B185" s="2"/>
        <tr r="E185" s="2"/>
        <tr r="F185" s="2"/>
      </tp>
      <tp t="s">
        <v>N/A</v>
        <stp/>
        <stp>VOLUME</stp>
        <stp>.NDXPC20275</stp>
        <tr r="G145" s="2"/>
        <tr r="C145" s="2"/>
        <tr r="B145" s="2"/>
        <tr r="E145" s="2"/>
        <tr r="D145" s="2"/>
        <tr r="F145" s="2"/>
      </tp>
      <tp t="s">
        <v>N/A</v>
        <stp/>
        <stp>VOLUME</stp>
        <stp>.NDXPC19200</stp>
        <tr r="F188" s="2"/>
        <tr r="B188" s="2"/>
        <tr r="C188" s="2"/>
        <tr r="G188" s="2"/>
        <tr r="E188" s="2"/>
        <tr r="D188" s="2"/>
      </tp>
      <tp t="s">
        <v>N/A</v>
        <stp/>
        <stp>VOLUME</stp>
        <stp>.NDXPC20200</stp>
        <tr r="F148" s="2"/>
        <tr r="D148" s="2"/>
        <tr r="G148" s="2"/>
        <tr r="B148" s="2"/>
        <tr r="C148" s="2"/>
        <tr r="E148" s="2"/>
      </tp>
      <tp t="s">
        <v>N/A</v>
        <stp/>
        <stp>VOLUME</stp>
        <stp>.NDXPC19225</stp>
        <tr r="C187" s="2"/>
        <tr r="F187" s="2"/>
        <tr r="E187" s="2"/>
        <tr r="D187" s="2"/>
        <tr r="B187" s="2"/>
        <tr r="G187" s="2"/>
      </tp>
      <tp t="s">
        <v>N/A</v>
        <stp/>
        <stp>VOLUME</stp>
        <stp>.NDXPC20225</stp>
        <tr r="G147" s="2"/>
        <tr r="E147" s="2"/>
        <tr r="D147" s="2"/>
        <tr r="F147" s="2"/>
        <tr r="B147" s="2"/>
        <tr r="C147" s="2"/>
      </tp>
      <tp>
        <v>0</v>
        <stp/>
        <stp>BID</stp>
        <stp>.NDXP250505C20375</stp>
        <tr r="DE140" s="1"/>
        <tr r="DE140" s="1"/>
      </tp>
      <tp>
        <v>548</v>
        <stp/>
        <stp>BID</stp>
        <stp>.NDXP250505C19375</stp>
        <tr r="DE180" s="1"/>
        <tr r="DE180" s="1"/>
      </tp>
      <tp>
        <v>0</v>
        <stp/>
        <stp>BID</stp>
        <stp>.NDXP250505C20350</stp>
        <tr r="DE141" s="1"/>
        <tr r="DE141" s="1"/>
      </tp>
      <tp>
        <v>573</v>
        <stp/>
        <stp>BID</stp>
        <stp>.NDXP250505C19350</stp>
        <tr r="DE181" s="1"/>
        <tr r="DE181" s="1"/>
      </tp>
      <tp>
        <v>0</v>
        <stp/>
        <stp>BID</stp>
        <stp>.NDXP250505C20325</stp>
        <tr r="DE142" s="1"/>
        <tr r="DE142" s="1"/>
      </tp>
      <tp>
        <v>598</v>
        <stp/>
        <stp>BID</stp>
        <stp>.NDXP250505C19325</stp>
        <tr r="DE182" s="1"/>
        <tr r="DE182" s="1"/>
      </tp>
      <tp>
        <v>0</v>
        <stp/>
        <stp>BID</stp>
        <stp>.NDXP250505C20300</stp>
        <tr r="DE143" s="1"/>
        <tr r="DE143" s="1"/>
      </tp>
      <tp>
        <v>621.6</v>
        <stp/>
        <stp>BID</stp>
        <stp>.NDXP250505C19300</stp>
        <tr r="DE183" s="1"/>
        <tr r="DE183" s="1"/>
      </tp>
      <tp>
        <v>347.9</v>
        <stp/>
        <stp>BID</stp>
        <stp>.NDXP250505P20350</stp>
        <tr r="DF141" s="1"/>
        <tr r="DF141" s="1"/>
      </tp>
      <tp>
        <v>0</v>
        <stp/>
        <stp>BID</stp>
        <stp>.NDXP250505P19350</stp>
        <tr r="DF181" s="1"/>
        <tr r="DF181" s="1"/>
      </tp>
      <tp>
        <v>372.9</v>
        <stp/>
        <stp>BID</stp>
        <stp>.NDXP250505P20375</stp>
        <tr r="DF140" s="1"/>
        <tr r="DF140" s="1"/>
      </tp>
      <tp>
        <v>0</v>
        <stp/>
        <stp>BID</stp>
        <stp>.NDXP250505P19375</stp>
        <tr r="DF180" s="1"/>
        <tr r="DF180" s="1"/>
      </tp>
      <tp>
        <v>297.89999999999998</v>
        <stp/>
        <stp>BID</stp>
        <stp>.NDXP250505P20300</stp>
        <tr r="DF143" s="1"/>
        <tr r="DF143" s="1"/>
      </tp>
      <tp>
        <v>0</v>
        <stp/>
        <stp>BID</stp>
        <stp>.NDXP250505P19300</stp>
        <tr r="DF183" s="1"/>
        <tr r="DF183" s="1"/>
      </tp>
      <tp>
        <v>322.89999999999998</v>
        <stp/>
        <stp>BID</stp>
        <stp>.NDXP250505P20325</stp>
        <tr r="DF142" s="1"/>
        <tr r="DF142" s="1"/>
      </tp>
      <tp>
        <v>0</v>
        <stp/>
        <stp>BID</stp>
        <stp>.NDXP250505P19325</stp>
        <tr r="DF182" s="1"/>
        <tr r="DF182" s="1"/>
      </tp>
      <tp t="s">
        <v>N/A</v>
        <stp/>
        <stp>VOLUME</stp>
        <stp>.NDXPP19175</stp>
        <tr r="C189" s="2"/>
        <tr r="E189" s="2"/>
        <tr r="F189" s="2"/>
        <tr r="G189" s="2"/>
        <tr r="D189" s="2"/>
        <tr r="B189" s="2"/>
      </tp>
      <tp t="s">
        <v>N/A</v>
        <stp/>
        <stp>VOLUME</stp>
        <stp>.NDXPP20175</stp>
        <tr r="B149" s="2"/>
        <tr r="D149" s="2"/>
        <tr r="G149" s="2"/>
        <tr r="F149" s="2"/>
        <tr r="C149" s="2"/>
        <tr r="E149" s="2"/>
      </tp>
      <tp t="s">
        <v>N/A</v>
        <stp/>
        <stp>VOLUME</stp>
        <stp>.NDXPP19150</stp>
        <tr r="E190" s="2"/>
        <tr r="F190" s="2"/>
        <tr r="C190" s="2"/>
        <tr r="G190" s="2"/>
        <tr r="B190" s="2"/>
        <tr r="D190" s="2"/>
      </tp>
      <tp t="s">
        <v>N/A</v>
        <stp/>
        <stp>VOLUME</stp>
        <stp>.NDXPP20150</stp>
        <tr r="F150" s="2"/>
        <tr r="G150" s="2"/>
        <tr r="D150" s="2"/>
        <tr r="C150" s="2"/>
        <tr r="E150" s="2"/>
        <tr r="B150" s="2"/>
      </tp>
      <tp t="s">
        <v>N/A</v>
        <stp/>
        <stp>VOLUME</stp>
        <stp>.NDXPP20125</stp>
        <tr r="E151" s="2"/>
        <tr r="D151" s="2"/>
        <tr r="F151" s="2"/>
        <tr r="B151" s="2"/>
        <tr r="C151" s="2"/>
        <tr r="G151" s="2"/>
      </tp>
      <tp t="s">
        <v>N/A</v>
        <stp/>
        <stp>VOLUME</stp>
        <stp>.NDXPP20100</stp>
        <tr r="G152" s="2"/>
        <tr r="E152" s="2"/>
        <tr r="D152" s="2"/>
        <tr r="F152" s="2"/>
        <tr r="C152" s="2"/>
        <tr r="B152" s="2"/>
      </tp>
      <tp t="s">
        <v>N/A</v>
        <stp/>
        <stp>VOLUME</stp>
        <stp>.NDXPC19150</stp>
        <tr r="E190" s="2"/>
        <tr r="F190" s="2"/>
        <tr r="C190" s="2"/>
        <tr r="G190" s="2"/>
        <tr r="B190" s="2"/>
        <tr r="D190" s="2"/>
      </tp>
      <tp t="s">
        <v>N/A</v>
        <stp/>
        <stp>VOLUME</stp>
        <stp>.NDXPC20150</stp>
        <tr r="F150" s="2"/>
        <tr r="G150" s="2"/>
        <tr r="D150" s="2"/>
        <tr r="C150" s="2"/>
        <tr r="E150" s="2"/>
        <tr r="B150" s="2"/>
      </tp>
      <tp t="s">
        <v>N/A</v>
        <stp/>
        <stp>VOLUME</stp>
        <stp>.NDXPC19175</stp>
        <tr r="C189" s="2"/>
        <tr r="E189" s="2"/>
        <tr r="F189" s="2"/>
        <tr r="G189" s="2"/>
        <tr r="D189" s="2"/>
        <tr r="B189" s="2"/>
      </tp>
      <tp t="s">
        <v>N/A</v>
        <stp/>
        <stp>VOLUME</stp>
        <stp>.NDXPC20175</stp>
        <tr r="B149" s="2"/>
        <tr r="D149" s="2"/>
        <tr r="G149" s="2"/>
        <tr r="F149" s="2"/>
        <tr r="C149" s="2"/>
        <tr r="E149" s="2"/>
      </tp>
      <tp t="s">
        <v>N/A</v>
        <stp/>
        <stp>VOLUME</stp>
        <stp>.NDXPC20100</stp>
        <tr r="G152" s="2"/>
        <tr r="E152" s="2"/>
        <tr r="D152" s="2"/>
        <tr r="F152" s="2"/>
        <tr r="C152" s="2"/>
        <tr r="B152" s="2"/>
      </tp>
      <tp t="s">
        <v>N/A</v>
        <stp/>
        <stp>VOLUME</stp>
        <stp>.NDXPC20125</stp>
        <tr r="E151" s="2"/>
        <tr r="D151" s="2"/>
        <tr r="F151" s="2"/>
        <tr r="B151" s="2"/>
        <tr r="C151" s="2"/>
        <tr r="G151" s="2"/>
      </tp>
      <tp>
        <v>0</v>
        <stp/>
        <stp>BID</stp>
        <stp>.NDXP250505C20275</stp>
        <tr r="DE144" s="1"/>
        <tr r="DE144" s="1"/>
      </tp>
      <tp>
        <v>646.6</v>
        <stp/>
        <stp>BID</stp>
        <stp>.NDXP250505C19275</stp>
        <tr r="DE184" s="1"/>
        <tr r="DE184" s="1"/>
      </tp>
      <tp>
        <v>0</v>
        <stp/>
        <stp>BID</stp>
        <stp>.NDXP250505C20250</stp>
        <tr r="DE145" s="1"/>
        <tr r="DE145" s="1"/>
      </tp>
      <tp>
        <v>671.6</v>
        <stp/>
        <stp>BID</stp>
        <stp>.NDXP250505C19250</stp>
        <tr r="DE185" s="1"/>
        <tr r="DE185" s="1"/>
      </tp>
      <tp>
        <v>0</v>
        <stp/>
        <stp>BID</stp>
        <stp>.NDXP250505C20225</stp>
        <tr r="DE146" s="1"/>
        <tr r="DE146" s="1"/>
      </tp>
      <tp>
        <v>696.6</v>
        <stp/>
        <stp>BID</stp>
        <stp>.NDXP250505C19225</stp>
        <tr r="DE186" s="1"/>
        <tr r="DE186" s="1"/>
      </tp>
      <tp>
        <v>0</v>
        <stp/>
        <stp>BID</stp>
        <stp>.NDXP250505C20200</stp>
        <tr r="DE147" s="1"/>
        <tr r="DE147" s="1"/>
      </tp>
      <tp>
        <v>722.7</v>
        <stp/>
        <stp>BID</stp>
        <stp>.NDXP250505C19200</stp>
        <tr r="DE187" s="1"/>
        <tr r="DE187" s="1"/>
      </tp>
      <tp>
        <v>247.9</v>
        <stp/>
        <stp>BID</stp>
        <stp>.NDXP250505P20250</stp>
        <tr r="DF145" s="1"/>
        <tr r="DF145" s="1"/>
      </tp>
      <tp>
        <v>0</v>
        <stp/>
        <stp>BID</stp>
        <stp>.NDXP250505P19250</stp>
        <tr r="DF185" s="1"/>
        <tr r="DF185" s="1"/>
      </tp>
      <tp>
        <v>272.89999999999998</v>
        <stp/>
        <stp>BID</stp>
        <stp>.NDXP250505P20275</stp>
        <tr r="DF144" s="1"/>
        <tr r="DF144" s="1"/>
      </tp>
      <tp>
        <v>0</v>
        <stp/>
        <stp>BID</stp>
        <stp>.NDXP250505P19275</stp>
        <tr r="DF184" s="1"/>
        <tr r="DF184" s="1"/>
      </tp>
      <tp>
        <v>212.9</v>
        <stp/>
        <stp>BID</stp>
        <stp>.NDXP250505P20200</stp>
        <tr r="DF147" s="1"/>
        <tr r="DF147" s="1"/>
      </tp>
      <tp>
        <v>0</v>
        <stp/>
        <stp>BID</stp>
        <stp>.NDXP250505P19200</stp>
        <tr r="DF187" s="1"/>
        <tr r="DF187" s="1"/>
      </tp>
      <tp>
        <v>222.9</v>
        <stp/>
        <stp>BID</stp>
        <stp>.NDXP250505P20225</stp>
        <tr r="DF146" s="1"/>
        <tr r="DF146" s="1"/>
      </tp>
      <tp>
        <v>0</v>
        <stp/>
        <stp>BID</stp>
        <stp>.NDXP250505P19225</stp>
        <tr r="DF186" s="1"/>
        <tr r="DF186" s="1"/>
      </tp>
      <tp t="s">
        <v>N/A</v>
        <stp/>
        <stp>VOLUME</stp>
        <stp>.NDXPP20075</stp>
        <tr r="C153" s="2"/>
        <tr r="E153" s="2"/>
        <tr r="B153" s="2"/>
        <tr r="F153" s="2"/>
        <tr r="D153" s="2"/>
        <tr r="G153" s="2"/>
      </tp>
      <tp t="s">
        <v>N/A</v>
        <stp/>
        <stp>VOLUME</stp>
        <stp>.NDXPP20050</stp>
        <tr r="E154" s="2"/>
        <tr r="G154" s="2"/>
        <tr r="C154" s="2"/>
        <tr r="D154" s="2"/>
        <tr r="B154" s="2"/>
        <tr r="F154" s="2"/>
      </tp>
      <tp t="s">
        <v>N/A</v>
        <stp/>
        <stp>VOLUME</stp>
        <stp>.NDXPP20025</stp>
        <tr r="F155" s="2"/>
        <tr r="G155" s="2"/>
        <tr r="D155" s="2"/>
        <tr r="E155" s="2"/>
        <tr r="B155" s="2"/>
        <tr r="C155" s="2"/>
      </tp>
      <tp t="s">
        <v>N/A</v>
        <stp/>
        <stp>VOLUME</stp>
        <stp>.NDXPP20000</stp>
        <tr r="D156" s="2"/>
        <tr r="C156" s="2"/>
        <tr r="F156" s="2"/>
        <tr r="G156" s="2"/>
        <tr r="E156" s="2"/>
        <tr r="B156" s="2"/>
      </tp>
      <tp t="s">
        <v>N/A</v>
        <stp/>
        <stp>VOLUME</stp>
        <stp>.NDXPC20050</stp>
        <tr r="E154" s="2"/>
        <tr r="G154" s="2"/>
        <tr r="C154" s="2"/>
        <tr r="D154" s="2"/>
        <tr r="B154" s="2"/>
        <tr r="F154" s="2"/>
      </tp>
      <tp t="s">
        <v>N/A</v>
        <stp/>
        <stp>VOLUME</stp>
        <stp>.NDXPC20075</stp>
        <tr r="C153" s="2"/>
        <tr r="E153" s="2"/>
        <tr r="B153" s="2"/>
        <tr r="F153" s="2"/>
        <tr r="D153" s="2"/>
        <tr r="G153" s="2"/>
      </tp>
      <tp t="s">
        <v>N/A</v>
        <stp/>
        <stp>VOLUME</stp>
        <stp>.NDXPC20000</stp>
        <tr r="D156" s="2"/>
        <tr r="C156" s="2"/>
        <tr r="F156" s="2"/>
        <tr r="G156" s="2"/>
        <tr r="E156" s="2"/>
        <tr r="B156" s="2"/>
      </tp>
      <tp t="s">
        <v>N/A</v>
        <stp/>
        <stp>VOLUME</stp>
        <stp>.NDXPC20025</stp>
        <tr r="F155" s="2"/>
        <tr r="G155" s="2"/>
        <tr r="D155" s="2"/>
        <tr r="E155" s="2"/>
        <tr r="B155" s="2"/>
        <tr r="C155" s="2"/>
      </tp>
      <tp>
        <v>377.2</v>
        <stp/>
        <stp>BID</stp>
        <stp>.NDXP250505C19575</stp>
        <tr r="DE172" s="1"/>
        <tr r="DE172" s="1"/>
      </tp>
      <tp>
        <v>402.2</v>
        <stp/>
        <stp>BID</stp>
        <stp>.NDXP250505C19550</stp>
        <tr r="DE173" s="1"/>
        <tr r="DE173" s="1"/>
      </tp>
      <tp>
        <v>400.2</v>
        <stp/>
        <stp>BID</stp>
        <stp>.NDXP250505C19525</stp>
        <tr r="DE174" s="1"/>
        <tr r="DE174" s="1"/>
      </tp>
      <tp>
        <v>425.2</v>
        <stp/>
        <stp>BID</stp>
        <stp>.NDXP250505C19500</stp>
        <tr r="DE175" s="1"/>
        <tr r="DE175" s="1"/>
      </tp>
      <tp>
        <v>0</v>
        <stp/>
        <stp>BID</stp>
        <stp>.NDXP250505P19550</stp>
        <tr r="DF173" s="1"/>
        <tr r="DF173" s="1"/>
      </tp>
      <tp>
        <v>0</v>
        <stp/>
        <stp>BID</stp>
        <stp>.NDXP250505P19575</stp>
        <tr r="DF172" s="1"/>
        <tr r="DF172" s="1"/>
      </tp>
      <tp>
        <v>0</v>
        <stp/>
        <stp>BID</stp>
        <stp>.NDXP250505P19500</stp>
        <tr r="DF175" s="1"/>
        <tr r="DF175" s="1"/>
      </tp>
      <tp>
        <v>0</v>
        <stp/>
        <stp>BID</stp>
        <stp>.NDXP250505P19525</stp>
        <tr r="DF174" s="1"/>
        <tr r="DF174" s="1"/>
      </tp>
      <tp t="s">
        <v>N/A</v>
        <stp/>
        <stp>VOLUME</stp>
        <stp>.NDXPP19775</stp>
        <tr r="E165" s="2"/>
        <tr r="D165" s="2"/>
        <tr r="B165" s="2"/>
        <tr r="G165" s="2"/>
        <tr r="F165" s="2"/>
        <tr r="C165" s="2"/>
      </tp>
      <tp t="s">
        <v>N/A</v>
        <stp/>
        <stp>VOLUME</stp>
        <stp>.NDXPP19750</stp>
        <tr r="C166" s="2"/>
        <tr r="F166" s="2"/>
        <tr r="E166" s="2"/>
        <tr r="D166" s="2"/>
        <tr r="B166" s="2"/>
        <tr r="G166" s="2"/>
      </tp>
      <tp t="s">
        <v>N/A</v>
        <stp/>
        <stp>VOLUME</stp>
        <stp>.NDXPP19725</stp>
        <tr r="G167" s="2"/>
        <tr r="E167" s="2"/>
        <tr r="F167" s="2"/>
        <tr r="C167" s="2"/>
        <tr r="B167" s="2"/>
        <tr r="D167" s="2"/>
      </tp>
      <tp t="s">
        <v>N/A</v>
        <stp/>
        <stp>VOLUME</stp>
        <stp>.NDXPP19700</stp>
        <tr r="C168" s="2"/>
        <tr r="D168" s="2"/>
        <tr r="F168" s="2"/>
        <tr r="E168" s="2"/>
        <tr r="B168" s="2"/>
        <tr r="G168" s="2"/>
      </tp>
      <tp>
        <v>93.8</v>
        <stp/>
        <stp>LAST</stp>
        <stp>.SPXW250505P5760</stp>
        <tr r="DB96" s="1"/>
        <tr r="DB96" s="1"/>
      </tp>
      <tp>
        <v>0.05</v>
        <stp/>
        <stp>LAST</stp>
        <stp>.SPXW250505C5760</stp>
        <tr r="DA96" s="1"/>
        <tr r="DA96" s="1"/>
      </tp>
      <tp>
        <v>107.04</v>
        <stp/>
        <stp>LAST</stp>
        <stp>.SPXW250505P5770</stp>
        <tr r="DB95" s="1"/>
        <tr r="DB95" s="1"/>
      </tp>
      <tp>
        <v>0.03</v>
        <stp/>
        <stp>LAST</stp>
        <stp>.SPXW250505C5770</stp>
        <tr r="DA95" s="1"/>
        <tr r="DA95" s="1"/>
      </tp>
      <tp>
        <v>90</v>
        <stp/>
        <stp>LAST</stp>
        <stp>.SPXW250505P5740</stp>
        <tr r="DB98" s="1"/>
        <tr r="DB98" s="1"/>
      </tp>
      <tp>
        <v>0.03</v>
        <stp/>
        <stp>LAST</stp>
        <stp>.SPXW250505C5740</stp>
        <tr r="DA98" s="1"/>
        <tr r="DA98" s="1"/>
      </tp>
      <tp>
        <v>90.81</v>
        <stp/>
        <stp>LAST</stp>
        <stp>.SPXW250505P5750</stp>
        <tr r="DB97" s="1"/>
        <tr r="DB97" s="1"/>
      </tp>
      <tp>
        <v>0.03</v>
        <stp/>
        <stp>LAST</stp>
        <stp>.SPXW250505C5750</stp>
        <tr r="DA97" s="1"/>
        <tr r="DA97" s="1"/>
      </tp>
      <tp>
        <v>70.14</v>
        <stp/>
        <stp>LAST</stp>
        <stp>.SPXW250505P5720</stp>
        <tr r="DB100" s="1"/>
        <tr r="DB100" s="1"/>
      </tp>
      <tp>
        <v>0.03</v>
        <stp/>
        <stp>LAST</stp>
        <stp>.SPXW250505C5720</stp>
        <tr r="DA100" s="1"/>
        <tr r="DA100" s="1"/>
      </tp>
      <tp>
        <v>61.87</v>
        <stp/>
        <stp>LAST</stp>
        <stp>.SPXW250505P5730</stp>
        <tr r="DB99" s="1"/>
        <tr r="DB99" s="1"/>
      </tp>
      <tp>
        <v>0.03</v>
        <stp/>
        <stp>LAST</stp>
        <stp>.SPXW250505C5730</stp>
        <tr r="DA99" s="1"/>
        <tr r="DA99" s="1"/>
      </tp>
      <tp>
        <v>50.3</v>
        <stp/>
        <stp>LAST</stp>
        <stp>.SPXW250505P5700</stp>
        <tr r="DB102" s="1"/>
        <tr r="DB102" s="1"/>
      </tp>
      <tp>
        <v>0.05</v>
        <stp/>
        <stp>LAST</stp>
        <stp>.SPXW250505C5700</stp>
        <tr r="DA102" s="1"/>
        <tr r="DA102" s="1"/>
      </tp>
      <tp>
        <v>60.2</v>
        <stp/>
        <stp>LAST</stp>
        <stp>.SPXW250505P5710</stp>
        <tr r="DB101" s="1"/>
        <tr r="DB101" s="1"/>
      </tp>
      <tp>
        <v>0.05</v>
        <stp/>
        <stp>LAST</stp>
        <stp>.SPXW250505C5710</stp>
        <tr r="DA101" s="1"/>
        <tr r="DA101" s="1"/>
      </tp>
      <tp t="s">
        <v>N/A</v>
        <stp/>
        <stp>VOLUME</stp>
        <stp>.NDXPC19750</stp>
        <tr r="C166" s="2"/>
        <tr r="F166" s="2"/>
        <tr r="E166" s="2"/>
        <tr r="D166" s="2"/>
        <tr r="B166" s="2"/>
        <tr r="G166" s="2"/>
      </tp>
      <tp t="s">
        <v>N/A</v>
        <stp/>
        <stp>VOLUME</stp>
        <stp>.NDXPC19775</stp>
        <tr r="E165" s="2"/>
        <tr r="D165" s="2"/>
        <tr r="B165" s="2"/>
        <tr r="G165" s="2"/>
        <tr r="F165" s="2"/>
        <tr r="C165" s="2"/>
      </tp>
      <tp t="s">
        <v>N/A</v>
        <stp/>
        <stp>VOLUME</stp>
        <stp>.NDXPC19700</stp>
        <tr r="C168" s="2"/>
        <tr r="D168" s="2"/>
        <tr r="F168" s="2"/>
        <tr r="E168" s="2"/>
        <tr r="B168" s="2"/>
        <tr r="G168" s="2"/>
      </tp>
      <tp>
        <v>98.12</v>
        <stp/>
        <stp>LAST</stp>
        <stp>.SPXW250505P5780</stp>
        <tr r="DB94" s="1"/>
        <tr r="DB94" s="1"/>
      </tp>
      <tp>
        <v>0.03</v>
        <stp/>
        <stp>LAST</stp>
        <stp>.SPXW250505C5780</stp>
        <tr r="DA94" s="1"/>
        <tr r="DA94" s="1"/>
      </tp>
      <tp>
        <v>127.07</v>
        <stp/>
        <stp>LAST</stp>
        <stp>.SPXW250505P5790</stp>
        <tr r="DB93" s="1"/>
        <tr r="DB93" s="1"/>
      </tp>
      <tp>
        <v>0.03</v>
        <stp/>
        <stp>LAST</stp>
        <stp>.SPXW250505C5790</stp>
        <tr r="DA93" s="1"/>
        <tr r="DA93" s="1"/>
      </tp>
      <tp t="s">
        <v>N/A</v>
        <stp/>
        <stp>VOLUME</stp>
        <stp>.NDXPC19725</stp>
        <tr r="G167" s="2"/>
        <tr r="E167" s="2"/>
        <tr r="F167" s="2"/>
        <tr r="C167" s="2"/>
        <tr r="B167" s="2"/>
        <tr r="D167" s="2"/>
      </tp>
      <tp>
        <v>450.2</v>
        <stp/>
        <stp>BID</stp>
        <stp>.NDXP250505C19475</stp>
        <tr r="DE176" s="1"/>
        <tr r="DE176" s="1"/>
      </tp>
      <tp>
        <v>0</v>
        <stp/>
        <stp>BID</stp>
        <stp>.NDXP250505C20450</stp>
        <tr r="DE137" s="1"/>
        <tr r="DE137" s="1"/>
      </tp>
      <tp>
        <v>474.6</v>
        <stp/>
        <stp>BID</stp>
        <stp>.NDXP250505C19450</stp>
        <tr r="DE177" s="1"/>
        <tr r="DE177" s="1"/>
      </tp>
      <tp>
        <v>0</v>
        <stp/>
        <stp>BID</stp>
        <stp>.NDXP250505C20425</stp>
        <tr r="DE138" s="1"/>
        <tr r="DE138" s="1"/>
      </tp>
      <tp>
        <v>498</v>
        <stp/>
        <stp>BID</stp>
        <stp>.NDXP250505C19425</stp>
        <tr r="DE178" s="1"/>
        <tr r="DE178" s="1"/>
      </tp>
      <tp>
        <v>0</v>
        <stp/>
        <stp>BID</stp>
        <stp>.NDXP250505C20400</stp>
        <tr r="DE139" s="1"/>
        <tr r="DE139" s="1"/>
      </tp>
      <tp>
        <v>523</v>
        <stp/>
        <stp>BID</stp>
        <stp>.NDXP250505C19400</stp>
        <tr r="DE179" s="1"/>
        <tr r="DE179" s="1"/>
      </tp>
      <tp>
        <v>448.1</v>
        <stp/>
        <stp>BID</stp>
        <stp>.NDXP250505P20450</stp>
        <tr r="DF137" s="1"/>
        <tr r="DF137" s="1"/>
      </tp>
      <tp>
        <v>0</v>
        <stp/>
        <stp>BID</stp>
        <stp>.NDXP250505P19450</stp>
        <tr r="DF177" s="1"/>
        <tr r="DF177" s="1"/>
      </tp>
      <tp>
        <v>0</v>
        <stp/>
        <stp>BID</stp>
        <stp>.NDXP250505P19475</stp>
        <tr r="DF176" s="1"/>
        <tr r="DF176" s="1"/>
      </tp>
      <tp>
        <v>397.9</v>
        <stp/>
        <stp>BID</stp>
        <stp>.NDXP250505P20400</stp>
        <tr r="DF139" s="1"/>
        <tr r="DF139" s="1"/>
      </tp>
      <tp>
        <v>0</v>
        <stp/>
        <stp>BID</stp>
        <stp>.NDXP250505P19400</stp>
        <tr r="DF179" s="1"/>
        <tr r="DF179" s="1"/>
      </tp>
      <tp>
        <v>420.1</v>
        <stp/>
        <stp>BID</stp>
        <stp>.NDXP250505P20425</stp>
        <tr r="DF138" s="1"/>
        <tr r="DF138" s="1"/>
      </tp>
      <tp>
        <v>0</v>
        <stp/>
        <stp>BID</stp>
        <stp>.NDXP250505P19425</stp>
        <tr r="DF178" s="1"/>
        <tr r="DF178" s="1"/>
      </tp>
      <tp t="s">
        <v>N/A</v>
        <stp/>
        <stp>VOLUME</stp>
        <stp>.NDXPP19675</stp>
        <tr r="D169" s="2"/>
        <tr r="G169" s="2"/>
        <tr r="B169" s="2"/>
        <tr r="F169" s="2"/>
        <tr r="C169" s="2"/>
        <tr r="E169" s="2"/>
      </tp>
      <tp t="s">
        <v>N/A</v>
        <stp/>
        <stp>VOLUME</stp>
        <stp>.NDXPP19650</stp>
        <tr r="D170" s="2"/>
        <tr r="C170" s="2"/>
        <tr r="E170" s="2"/>
        <tr r="F170" s="2"/>
        <tr r="B170" s="2"/>
        <tr r="G170" s="2"/>
      </tp>
      <tp t="s">
        <v>N/A</v>
        <stp/>
        <stp>VOLUME</stp>
        <stp>.NDXPP19625</stp>
        <tr r="G171" s="2"/>
        <tr r="D171" s="2"/>
        <tr r="E171" s="2"/>
        <tr r="F171" s="2"/>
        <tr r="B171" s="2"/>
        <tr r="C171" s="2"/>
      </tp>
      <tp t="s">
        <v>N/A</v>
        <stp/>
        <stp>VOLUME</stp>
        <stp>.NDXPP19600</stp>
        <tr r="B172" s="2"/>
        <tr r="G172" s="2"/>
        <tr r="D172" s="2"/>
        <tr r="C172" s="2"/>
        <tr r="E172" s="2"/>
        <tr r="F172" s="2"/>
      </tp>
      <tp>
        <v>9.9</v>
        <stp/>
        <stp>LAST</stp>
        <stp>.SPXW250505P5660</stp>
        <tr r="DB106" s="1"/>
        <tr r="DB106" s="1"/>
      </tp>
      <tp>
        <v>0.05</v>
        <stp/>
        <stp>LAST</stp>
        <stp>.SPXW250505C5660</stp>
        <tr r="DA106" s="1"/>
        <tr r="DA106" s="1"/>
      </tp>
      <tp>
        <v>19.829999999999998</v>
        <stp/>
        <stp>LAST</stp>
        <stp>.SPXW250505P5670</stp>
        <tr r="DB105" s="1"/>
        <tr r="DB105" s="1"/>
      </tp>
      <tp>
        <v>0.05</v>
        <stp/>
        <stp>LAST</stp>
        <stp>.SPXW250505C5670</stp>
        <tr r="DA105" s="1"/>
        <tr r="DA105" s="1"/>
      </tp>
      <tp>
        <v>0.05</v>
        <stp/>
        <stp>LAST</stp>
        <stp>.SPXW250505P5640</stp>
        <tr r="DB108" s="1"/>
        <tr r="DB108" s="1"/>
      </tp>
      <tp>
        <v>11</v>
        <stp/>
        <stp>LAST</stp>
        <stp>.SPXW250505C5640</stp>
        <tr r="DA108" s="1"/>
        <tr r="DA108" s="1"/>
      </tp>
      <tp>
        <v>0.5</v>
        <stp/>
        <stp>LAST</stp>
        <stp>.SPXW250505P5650</stp>
        <tr r="DB107" s="1"/>
        <tr r="DB107" s="1"/>
      </tp>
      <tp>
        <v>0.55000000000000004</v>
        <stp/>
        <stp>LAST</stp>
        <stp>.SPXW250505C5650</stp>
        <tr r="DA107" s="1"/>
        <tr r="DA107" s="1"/>
      </tp>
      <tp>
        <v>0.05</v>
        <stp/>
        <stp>LAST</stp>
        <stp>.SPXW250505P5620</stp>
        <tr r="DB110" s="1"/>
        <tr r="DB110" s="1"/>
      </tp>
      <tp>
        <v>29.6</v>
        <stp/>
        <stp>LAST</stp>
        <stp>.SPXW250505C5620</stp>
        <tr r="DA110" s="1"/>
        <tr r="DA110" s="1"/>
      </tp>
      <tp>
        <v>0.03</v>
        <stp/>
        <stp>LAST</stp>
        <stp>.SPXW250505P5630</stp>
        <tr r="DB109" s="1"/>
        <tr r="DB109" s="1"/>
      </tp>
      <tp>
        <v>21.6</v>
        <stp/>
        <stp>LAST</stp>
        <stp>.SPXW250505C5630</stp>
        <tr r="DA109" s="1"/>
        <tr r="DA109" s="1"/>
      </tp>
      <tp>
        <v>0.05</v>
        <stp/>
        <stp>LAST</stp>
        <stp>.SPXW250505P5600</stp>
        <tr r="DB112" s="1"/>
        <tr r="DB112" s="1"/>
      </tp>
      <tp>
        <v>50.67</v>
        <stp/>
        <stp>LAST</stp>
        <stp>.SPXW250505C5600</stp>
        <tr r="DA112" s="1"/>
        <tr r="DA112" s="1"/>
      </tp>
      <tp>
        <v>0.03</v>
        <stp/>
        <stp>LAST</stp>
        <stp>.SPXW250505P5610</stp>
        <tr r="DB111" s="1"/>
        <tr r="DB111" s="1"/>
      </tp>
      <tp>
        <v>39.4</v>
        <stp/>
        <stp>LAST</stp>
        <stp>.SPXW250505C5610</stp>
        <tr r="DA111" s="1"/>
        <tr r="DA111" s="1"/>
      </tp>
      <tp t="s">
        <v>N/A</v>
        <stp/>
        <stp>VOLUME</stp>
        <stp>.NDXPC19650</stp>
        <tr r="D170" s="2"/>
        <tr r="C170" s="2"/>
        <tr r="E170" s="2"/>
        <tr r="F170" s="2"/>
        <tr r="B170" s="2"/>
        <tr r="G170" s="2"/>
      </tp>
      <tp t="s">
        <v>N/A</v>
        <stp/>
        <stp>VOLUME</stp>
        <stp>.NDXPC19675</stp>
        <tr r="D169" s="2"/>
        <tr r="G169" s="2"/>
        <tr r="B169" s="2"/>
        <tr r="F169" s="2"/>
        <tr r="C169" s="2"/>
        <tr r="E169" s="2"/>
      </tp>
      <tp t="s">
        <v>N/A</v>
        <stp/>
        <stp>VOLUME</stp>
        <stp>.NDXPC19600</stp>
        <tr r="B172" s="2"/>
        <tr r="G172" s="2"/>
        <tr r="D172" s="2"/>
        <tr r="C172" s="2"/>
        <tr r="E172" s="2"/>
        <tr r="F172" s="2"/>
      </tp>
      <tp>
        <v>29.6</v>
        <stp/>
        <stp>LAST</stp>
        <stp>.SPXW250505P5680</stp>
        <tr r="DB104" s="1"/>
        <tr r="DB104" s="1"/>
      </tp>
      <tp>
        <v>0.02</v>
        <stp/>
        <stp>LAST</stp>
        <stp>.SPXW250505C5680</stp>
        <tr r="DA104" s="1"/>
        <tr r="DA104" s="1"/>
      </tp>
      <tp>
        <v>39.549999999999997</v>
        <stp/>
        <stp>LAST</stp>
        <stp>.SPXW250505P5690</stp>
        <tr r="DB103" s="1"/>
        <tr r="DB103" s="1"/>
      </tp>
      <tp>
        <v>0.03</v>
        <stp/>
        <stp>LAST</stp>
        <stp>.SPXW250505C5690</stp>
        <tr r="DA103" s="1"/>
        <tr r="DA103" s="1"/>
      </tp>
      <tp t="s">
        <v>N/A</v>
        <stp/>
        <stp>VOLUME</stp>
        <stp>.NDXPC19625</stp>
        <tr r="G171" s="2"/>
        <tr r="D171" s="2"/>
        <tr r="E171" s="2"/>
        <tr r="F171" s="2"/>
        <tr r="B171" s="2"/>
        <tr r="C171" s="2"/>
      </tp>
      <tp>
        <v>108.2</v>
        <stp/>
        <stp>ASK</stp>
        <stp>.NDXP250505C19875</stp>
        <tr r="DC160" s="1"/>
        <tr r="DC160" s="1"/>
      </tp>
      <tp>
        <v>191.5</v>
        <stp/>
        <stp>BID</stp>
        <stp>.NDXP250505C19775</stp>
        <tr r="DE164" s="1"/>
        <tr r="DE164" s="1"/>
      </tp>
      <tp>
        <v>136.5</v>
        <stp/>
        <stp>ASK</stp>
        <stp>.NDXP250505C19850</stp>
        <tr r="DC161" s="1"/>
        <tr r="DC161" s="1"/>
      </tp>
      <tp>
        <v>213.5</v>
        <stp/>
        <stp>BID</stp>
        <stp>.NDXP250505C19750</stp>
        <tr r="DE165" s="1"/>
        <tr r="DE165" s="1"/>
      </tp>
      <tp>
        <v>161.5</v>
        <stp/>
        <stp>ASK</stp>
        <stp>.NDXP250505C19825</stp>
        <tr r="DC162" s="1"/>
        <tr r="DC162" s="1"/>
      </tp>
      <tp>
        <v>227.1</v>
        <stp/>
        <stp>BID</stp>
        <stp>.NDXP250505C19725</stp>
        <tr r="DE166" s="1"/>
        <tr r="DE166" s="1"/>
      </tp>
      <tp>
        <v>186.5</v>
        <stp/>
        <stp>ASK</stp>
        <stp>.NDXP250505C19800</stp>
        <tr r="DC163" s="1"/>
        <tr r="DC163" s="1"/>
      </tp>
      <tp>
        <v>252</v>
        <stp/>
        <stp>BID</stp>
        <stp>.NDXP250505C19700</stp>
        <tr r="DE167" s="1"/>
        <tr r="DE167" s="1"/>
      </tp>
      <tp>
        <v>10</v>
        <stp/>
        <stp>ASK</stp>
        <stp>.NDXP250505P19850</stp>
        <tr r="DD161" s="1"/>
        <tr r="DD161" s="1"/>
      </tp>
      <tp>
        <v>0</v>
        <stp/>
        <stp>BID</stp>
        <stp>.NDXP250505P19750</stp>
        <tr r="DF165" s="1"/>
        <tr r="DF165" s="1"/>
      </tp>
      <tp>
        <v>1.5</v>
        <stp/>
        <stp>ASK</stp>
        <stp>.NDXP250505P19875</stp>
        <tr r="DD160" s="1"/>
        <tr r="DD160" s="1"/>
      </tp>
      <tp>
        <v>0</v>
        <stp/>
        <stp>BID</stp>
        <stp>.NDXP250505P19775</stp>
        <tr r="DF164" s="1"/>
        <tr r="DF164" s="1"/>
      </tp>
      <tp>
        <v>19.8</v>
        <stp/>
        <stp>ASK</stp>
        <stp>.NDXP250505P19800</stp>
        <tr r="DD163" s="1"/>
        <tr r="DD163" s="1"/>
      </tp>
      <tp>
        <v>0</v>
        <stp/>
        <stp>BID</stp>
        <stp>.NDXP250505P19700</stp>
        <tr r="DF167" s="1"/>
        <tr r="DF167" s="1"/>
      </tp>
      <tp>
        <v>19.8</v>
        <stp/>
        <stp>ASK</stp>
        <stp>.NDXP250505P19825</stp>
        <tr r="DD162" s="1"/>
        <tr r="DD162" s="1"/>
      </tp>
      <tp>
        <v>0</v>
        <stp/>
        <stp>BID</stp>
        <stp>.NDXP250505P19725</stp>
        <tr r="DF166" s="1"/>
        <tr r="DF166" s="1"/>
      </tp>
      <tp t="s">
        <v>N/A</v>
        <stp/>
        <stp>VOLUME</stp>
        <stp>.NDXPP19575</stp>
        <tr r="D173" s="2"/>
        <tr r="G173" s="2"/>
        <tr r="C173" s="2"/>
        <tr r="F173" s="2"/>
        <tr r="E173" s="2"/>
        <tr r="B173" s="2"/>
      </tp>
      <tp t="s">
        <v>N/A</v>
        <stp/>
        <stp>VOLUME</stp>
        <stp>.NDXPP19550</stp>
        <tr r="C174" s="2"/>
        <tr r="B174" s="2"/>
        <tr r="F174" s="2"/>
        <tr r="E174" s="2"/>
        <tr r="D174" s="2"/>
        <tr r="G174" s="2"/>
      </tp>
      <tp t="s">
        <v>N/A</v>
        <stp/>
        <stp>VOLUME</stp>
        <stp>.NDXPP19525</stp>
        <tr r="B175" s="2"/>
        <tr r="C175" s="2"/>
        <tr r="D175" s="2"/>
        <tr r="E175" s="2"/>
        <tr r="G175" s="2"/>
        <tr r="F175" s="2"/>
      </tp>
      <tp t="s">
        <v>N/A</v>
        <stp/>
        <stp>VOLUME</stp>
        <stp>.NDXPP19500</stp>
        <tr r="F176" s="2"/>
        <tr r="D176" s="2"/>
        <tr r="C176" s="2"/>
        <tr r="G176" s="2"/>
        <tr r="E176" s="2"/>
        <tr r="B176" s="2"/>
      </tp>
      <tp>
        <v>0.05</v>
        <stp/>
        <stp>LAST</stp>
        <stp>.SPXW250505P5560</stp>
        <tr r="DB116" s="1"/>
        <tr r="DB116" s="1"/>
      </tp>
      <tp>
        <v>107.06</v>
        <stp/>
        <stp>LAST</stp>
        <stp>.SPXW250505C5560</stp>
        <tr r="DA116" s="1"/>
        <tr r="DA116" s="1"/>
      </tp>
      <tp>
        <v>0.03</v>
        <stp/>
        <stp>LAST</stp>
        <stp>.SPXW250505P5570</stp>
        <tr r="DB115" s="1"/>
        <tr r="DB115" s="1"/>
      </tp>
      <tp>
        <v>82.63</v>
        <stp/>
        <stp>LAST</stp>
        <stp>.SPXW250505C5570</stp>
        <tr r="DA115" s="1"/>
        <tr r="DA115" s="1"/>
      </tp>
      <tp>
        <v>0.05</v>
        <stp/>
        <stp>LAST</stp>
        <stp>.SPXW250505P5540</stp>
        <tr r="DB118" s="1"/>
        <tr r="DB118" s="1"/>
      </tp>
      <tp>
        <v>123.43</v>
        <stp/>
        <stp>LAST</stp>
        <stp>.SPXW250505C5540</stp>
        <tr r="DA118" s="1"/>
        <tr r="DA118" s="1"/>
      </tp>
      <tp>
        <v>0.03</v>
        <stp/>
        <stp>LAST</stp>
        <stp>.SPXW250505P5550</stp>
        <tr r="DB117" s="1"/>
        <tr r="DB117" s="1"/>
      </tp>
      <tp>
        <v>99.66</v>
        <stp/>
        <stp>LAST</stp>
        <stp>.SPXW250505C5550</stp>
        <tr r="DA117" s="1"/>
        <tr r="DA117" s="1"/>
      </tp>
      <tp>
        <v>0.03</v>
        <stp/>
        <stp>LAST</stp>
        <stp>.SPXW250505P5520</stp>
        <tr r="DB120" s="1"/>
        <tr r="DB120" s="1"/>
      </tp>
      <tp>
        <v>134.66999999999999</v>
        <stp/>
        <stp>LAST</stp>
        <stp>.SPXW250505C5520</stp>
        <tr r="DA120" s="1"/>
        <tr r="DA120" s="1"/>
      </tp>
      <tp>
        <v>0.05</v>
        <stp/>
        <stp>LAST</stp>
        <stp>.SPXW250505P5530</stp>
        <tr r="DB119" s="1"/>
        <tr r="DB119" s="1"/>
      </tp>
      <tp>
        <v>138.02000000000001</v>
        <stp/>
        <stp>LAST</stp>
        <stp>.SPXW250505C5530</stp>
        <tr r="DA119" s="1"/>
        <tr r="DA119" s="1"/>
      </tp>
      <tp>
        <v>0.03</v>
        <stp/>
        <stp>LAST</stp>
        <stp>.SPXW250505P5500</stp>
        <tr r="DB122" s="1"/>
        <tr r="DB122" s="1"/>
      </tp>
      <tp>
        <v>154.62</v>
        <stp/>
        <stp>LAST</stp>
        <stp>.SPXW250505C5500</stp>
        <tr r="DA122" s="1"/>
        <tr r="DA122" s="1"/>
      </tp>
      <tp>
        <v>0.05</v>
        <stp/>
        <stp>LAST</stp>
        <stp>.SPXW250505P5510</stp>
        <tr r="DB121" s="1"/>
        <tr r="DB121" s="1"/>
      </tp>
      <tp>
        <v>165.8</v>
        <stp/>
        <stp>LAST</stp>
        <stp>.SPXW250505C5510</stp>
        <tr r="DA121" s="1"/>
        <tr r="DA121" s="1"/>
      </tp>
      <tp t="s">
        <v>N/A</v>
        <stp/>
        <stp>VOLUME</stp>
        <stp>.NDXPC19550</stp>
        <tr r="C174" s="2"/>
        <tr r="B174" s="2"/>
        <tr r="F174" s="2"/>
        <tr r="E174" s="2"/>
        <tr r="D174" s="2"/>
        <tr r="G174" s="2"/>
      </tp>
      <tp t="s">
        <v>N/A</v>
        <stp/>
        <stp>VOLUME</stp>
        <stp>.NDXPC19575</stp>
        <tr r="D173" s="2"/>
        <tr r="G173" s="2"/>
        <tr r="C173" s="2"/>
        <tr r="F173" s="2"/>
        <tr r="E173" s="2"/>
        <tr r="B173" s="2"/>
      </tp>
      <tp t="s">
        <v>N/A</v>
        <stp/>
        <stp>VOLUME</stp>
        <stp>.NDXPC19500</stp>
        <tr r="F176" s="2"/>
        <tr r="D176" s="2"/>
        <tr r="C176" s="2"/>
        <tr r="G176" s="2"/>
        <tr r="E176" s="2"/>
        <tr r="B176" s="2"/>
      </tp>
      <tp>
        <v>0.03</v>
        <stp/>
        <stp>LAST</stp>
        <stp>.SPXW250505P5580</stp>
        <tr r="DB114" s="1"/>
        <tr r="DB114" s="1"/>
      </tp>
      <tp>
        <v>89.8</v>
        <stp/>
        <stp>LAST</stp>
        <stp>.SPXW250505C5580</stp>
        <tr r="DA114" s="1"/>
        <tr r="DA114" s="1"/>
      </tp>
      <tp>
        <v>0.03</v>
        <stp/>
        <stp>LAST</stp>
        <stp>.SPXW250505P5590</stp>
        <tr r="DB113" s="1"/>
        <tr r="DB113" s="1"/>
      </tp>
      <tp>
        <v>81.5</v>
        <stp/>
        <stp>LAST</stp>
        <stp>.SPXW250505C5590</stp>
        <tr r="DA113" s="1"/>
        <tr r="DA113" s="1"/>
      </tp>
      <tp t="s">
        <v>N/A</v>
        <stp/>
        <stp>VOLUME</stp>
        <stp>.NDXPC19525</stp>
        <tr r="B175" s="2"/>
        <tr r="C175" s="2"/>
        <tr r="D175" s="2"/>
        <tr r="E175" s="2"/>
        <tr r="G175" s="2"/>
        <tr r="F175" s="2"/>
      </tp>
      <tp>
        <v>0.1</v>
        <stp/>
        <stp>ASK</stp>
        <stp>.NDXP250505C19975</stp>
        <tr r="DC156" s="1"/>
        <tr r="DC156" s="1"/>
      </tp>
      <tp>
        <v>277</v>
        <stp/>
        <stp>BID</stp>
        <stp>.NDXP250505C19675</stp>
        <tr r="DE168" s="1"/>
        <tr r="DE168" s="1"/>
      </tp>
      <tp>
        <v>25.5</v>
        <stp/>
        <stp>ASK</stp>
        <stp>.NDXP250505C19950</stp>
        <tr r="DC157" s="1"/>
        <tr r="DC157" s="1"/>
      </tp>
      <tp>
        <v>302</v>
        <stp/>
        <stp>BID</stp>
        <stp>.NDXP250505C19650</stp>
        <tr r="DE169" s="1"/>
        <tr r="DE169" s="1"/>
      </tp>
      <tp>
        <v>49.3</v>
        <stp/>
        <stp>ASK</stp>
        <stp>.NDXP250505C19925</stp>
        <tr r="DC158" s="1"/>
        <tr r="DC158" s="1"/>
      </tp>
      <tp>
        <v>327</v>
        <stp/>
        <stp>BID</stp>
        <stp>.NDXP250505C19625</stp>
        <tr r="DE170" s="1"/>
        <tr r="DE170" s="1"/>
      </tp>
      <tp>
        <v>87.1</v>
        <stp/>
        <stp>ASK</stp>
        <stp>.NDXP250505C19900</stp>
        <tr r="DC159" s="1"/>
        <tr r="DC159" s="1"/>
      </tp>
      <tp>
        <v>352</v>
        <stp/>
        <stp>BID</stp>
        <stp>.NDXP250505C19600</stp>
        <tr r="DE171" s="1"/>
        <tr r="DE171" s="1"/>
      </tp>
      <tp>
        <v>1.1499999999999999</v>
        <stp/>
        <stp>ASK</stp>
        <stp>.NDXP250505P19950</stp>
        <tr r="DD157" s="1"/>
        <tr r="DD157" s="1"/>
      </tp>
      <tp>
        <v>0</v>
        <stp/>
        <stp>BID</stp>
        <stp>.NDXP250505P19650</stp>
        <tr r="DF169" s="1"/>
        <tr r="DF169" s="1"/>
      </tp>
      <tp>
        <v>16</v>
        <stp/>
        <stp>ASK</stp>
        <stp>.NDXP250505P19975</stp>
        <tr r="DD156" s="1"/>
        <tr r="DD156" s="1"/>
      </tp>
      <tp>
        <v>0</v>
        <stp/>
        <stp>BID</stp>
        <stp>.NDXP250505P19675</stp>
        <tr r="DF168" s="1"/>
        <tr r="DF168" s="1"/>
      </tp>
      <tp>
        <v>0.05</v>
        <stp/>
        <stp>ASK</stp>
        <stp>.NDXP250505P19900</stp>
        <tr r="DD159" s="1"/>
        <tr r="DD159" s="1"/>
      </tp>
      <tp>
        <v>0</v>
        <stp/>
        <stp>BID</stp>
        <stp>.NDXP250505P19600</stp>
        <tr r="DF171" s="1"/>
        <tr r="DF171" s="1"/>
      </tp>
      <tp>
        <v>0.05</v>
        <stp/>
        <stp>ASK</stp>
        <stp>.NDXP250505P19925</stp>
        <tr r="DD158" s="1"/>
        <tr r="DD158" s="1"/>
      </tp>
      <tp>
        <v>0</v>
        <stp/>
        <stp>BID</stp>
        <stp>.NDXP250505P19625</stp>
        <tr r="DF170" s="1"/>
        <tr r="DF170" s="1"/>
      </tp>
      <tp t="s">
        <v>N/A</v>
        <stp/>
        <stp>VOLUME</stp>
        <stp>.NDXPP19475</stp>
        <tr r="C177" s="2"/>
        <tr r="B177" s="2"/>
        <tr r="D177" s="2"/>
        <tr r="F177" s="2"/>
        <tr r="G177" s="2"/>
        <tr r="E177" s="2"/>
      </tp>
      <tp t="s">
        <v>N/A</v>
        <stp/>
        <stp>VOLUME</stp>
        <stp>.NDXPP19450</stp>
        <tr r="G178" s="2"/>
        <tr r="E178" s="2"/>
        <tr r="D178" s="2"/>
        <tr r="B178" s="2"/>
        <tr r="C178" s="2"/>
        <tr r="F178" s="2"/>
      </tp>
      <tp t="s">
        <v>N/A</v>
        <stp/>
        <stp>VOLUME</stp>
        <stp>.NDXPP20450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.NDXPP19425</stp>
        <tr r="B179" s="2"/>
        <tr r="E179" s="2"/>
        <tr r="G179" s="2"/>
        <tr r="C179" s="2"/>
        <tr r="D179" s="2"/>
        <tr r="F179" s="2"/>
      </tp>
      <tp t="s">
        <v>N/A</v>
        <stp/>
        <stp>VOLUME</stp>
        <stp>.NDXPP20425</stp>
        <tr r="G139" s="2"/>
        <tr r="F139" s="2"/>
        <tr r="E139" s="2"/>
        <tr r="D139" s="2"/>
        <tr r="C139" s="2"/>
        <tr r="B139" s="2"/>
      </tp>
      <tp t="s">
        <v>N/A</v>
        <stp/>
        <stp>VOLUME</stp>
        <stp>.NDXPP19400</stp>
        <tr r="E180" s="2"/>
        <tr r="D180" s="2"/>
        <tr r="G180" s="2"/>
        <tr r="B180" s="2"/>
        <tr r="F180" s="2"/>
        <tr r="C180" s="2"/>
      </tp>
      <tp t="s">
        <v>N/A</v>
        <stp/>
        <stp>VOLUME</stp>
        <stp>.NDXPP20400</stp>
        <tr r="G140" s="2"/>
        <tr r="F140" s="2"/>
        <tr r="E140" s="2"/>
        <tr r="D140" s="2"/>
        <tr r="C140" s="2"/>
        <tr r="B140" s="2"/>
      </tp>
      <tp>
        <v>0.05</v>
        <stp/>
        <stp>LAST</stp>
        <stp>.SPXW250505P5460</stp>
        <tr r="DB126" s="1"/>
        <tr r="DB126" s="1"/>
      </tp>
      <tp>
        <v>207.16</v>
        <stp/>
        <stp>LAST</stp>
        <stp>.SPXW250505C5460</stp>
        <tr r="DA126" s="1"/>
        <tr r="DA126" s="1"/>
      </tp>
      <tp>
        <v>0.03</v>
        <stp/>
        <stp>LAST</stp>
        <stp>.SPXW250505P5470</stp>
        <tr r="DB125" s="1"/>
        <tr r="DB125" s="1"/>
      </tp>
      <tp>
        <v>190.8</v>
        <stp/>
        <stp>LAST</stp>
        <stp>.SPXW250505C5470</stp>
        <tr r="DA125" s="1"/>
        <tr r="DA125" s="1"/>
      </tp>
      <tp>
        <v>0.05</v>
        <stp/>
        <stp>LAST</stp>
        <stp>.SPXW250505P5440</stp>
        <tr r="DB128" s="1"/>
        <tr r="DB128" s="1"/>
      </tp>
      <tp>
        <v>226.58</v>
        <stp/>
        <stp>LAST</stp>
        <stp>.SPXW250505C5440</stp>
        <tr r="DA128" s="1"/>
        <tr r="DA128" s="1"/>
      </tp>
      <tp>
        <v>0.03</v>
        <stp/>
        <stp>LAST</stp>
        <stp>.SPXW250505P5450</stp>
        <tr r="DB127" s="1"/>
        <tr r="DB127" s="1"/>
      </tp>
      <tp>
        <v>216.53</v>
        <stp/>
        <stp>LAST</stp>
        <stp>.SPXW250505C5450</stp>
        <tr r="DA127" s="1"/>
        <tr r="DA127" s="1"/>
      </tp>
      <tp>
        <v>0.03</v>
        <stp/>
        <stp>LAST</stp>
        <stp>.SPXW250505P5420</stp>
        <tr r="DB130" s="1"/>
        <tr r="DB130" s="1"/>
      </tp>
      <tp>
        <v>258.43</v>
        <stp/>
        <stp>LAST</stp>
        <stp>.SPXW250505C5420</stp>
        <tr r="DA130" s="1"/>
        <tr r="DA130" s="1"/>
      </tp>
      <tp>
        <v>0.03</v>
        <stp/>
        <stp>LAST</stp>
        <stp>.SPXW250505P5430</stp>
        <tr r="DB129" s="1"/>
        <tr r="DB129" s="1"/>
      </tp>
      <tp>
        <v>243.5</v>
        <stp/>
        <stp>LAST</stp>
        <stp>.SPXW250505C5430</stp>
        <tr r="DA129" s="1"/>
        <tr r="DA129" s="1"/>
      </tp>
      <tp t="s">
        <v>N/A</v>
        <stp/>
        <stp>VOLUME</stp>
        <stp>.NDXPC19450</stp>
        <tr r="G178" s="2"/>
        <tr r="E178" s="2"/>
        <tr r="D178" s="2"/>
        <tr r="B178" s="2"/>
        <tr r="C178" s="2"/>
        <tr r="F178" s="2"/>
      </tp>
      <tp t="s">
        <v>N/A</v>
        <stp/>
        <stp>VOLUME</stp>
        <stp>.NDXPC20450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.NDXPC19475</stp>
        <tr r="C177" s="2"/>
        <tr r="B177" s="2"/>
        <tr r="D177" s="2"/>
        <tr r="F177" s="2"/>
        <tr r="G177" s="2"/>
        <tr r="E177" s="2"/>
      </tp>
      <tp t="s">
        <v>N/A</v>
        <stp/>
        <stp>VOLUME</stp>
        <stp>.NDXPC19400</stp>
        <tr r="E180" s="2"/>
        <tr r="D180" s="2"/>
        <tr r="G180" s="2"/>
        <tr r="B180" s="2"/>
        <tr r="F180" s="2"/>
        <tr r="C180" s="2"/>
      </tp>
      <tp t="s">
        <v>N/A</v>
        <stp/>
        <stp>VOLUME</stp>
        <stp>.NDXPC20400</stp>
        <tr r="G140" s="2"/>
        <tr r="F140" s="2"/>
        <tr r="E140" s="2"/>
        <tr r="D140" s="2"/>
        <tr r="C140" s="2"/>
        <tr r="B140" s="2"/>
      </tp>
      <tp>
        <v>0.03</v>
        <stp/>
        <stp>LAST</stp>
        <stp>.SPXW250505P5480</stp>
        <tr r="DB124" s="1"/>
        <tr r="DB124" s="1"/>
      </tp>
      <tp>
        <v>201.92</v>
        <stp/>
        <stp>LAST</stp>
        <stp>.SPXW250505C5480</stp>
        <tr r="DA124" s="1"/>
        <tr r="DA124" s="1"/>
      </tp>
      <tp>
        <v>0.03</v>
        <stp/>
        <stp>LAST</stp>
        <stp>.SPXW250505P5490</stp>
        <tr r="DB123" s="1"/>
        <tr r="DB123" s="1"/>
      </tp>
      <tp>
        <v>185.15</v>
        <stp/>
        <stp>LAST</stp>
        <stp>.SPXW250505C5490</stp>
        <tr r="DA123" s="1"/>
        <tr r="DA123" s="1"/>
      </tp>
      <tp t="s">
        <v>N/A</v>
        <stp/>
        <stp>VOLUME</stp>
        <stp>.NDXPC19425</stp>
        <tr r="B179" s="2"/>
        <tr r="E179" s="2"/>
        <tr r="G179" s="2"/>
        <tr r="C179" s="2"/>
        <tr r="D179" s="2"/>
        <tr r="F179" s="2"/>
      </tp>
      <tp t="s">
        <v>N/A</v>
        <stp/>
        <stp>VOLUME</stp>
        <stp>.NDXPC20425</stp>
        <tr r="G139" s="2"/>
        <tr r="F139" s="2"/>
        <tr r="E139" s="2"/>
        <tr r="D139" s="2"/>
        <tr r="C139" s="2"/>
        <tr r="B139" s="2"/>
      </tp>
      <tp>
        <v>133.5</v>
        <stp/>
        <stp>ASK</stp>
        <stp>.SPXW250505C5520</stp>
        <tr r="DC120" s="1"/>
        <tr r="DC120" s="1"/>
      </tp>
      <tp>
        <v>0.05</v>
        <stp/>
        <stp>ASK</stp>
        <stp>.SPXW250505P5520</stp>
        <tr r="DD120" s="1"/>
        <tr r="DD120" s="1"/>
      </tp>
      <tp>
        <v>123.5</v>
        <stp/>
        <stp>ASK</stp>
        <stp>.SPXW250505C5530</stp>
        <tr r="DC119" s="1"/>
        <tr r="DC119" s="1"/>
      </tp>
      <tp>
        <v>0.05</v>
        <stp/>
        <stp>ASK</stp>
        <stp>.SPXW250505P5530</stp>
        <tr r="DD119" s="1"/>
        <tr r="DD119" s="1"/>
      </tp>
      <tp>
        <v>153.5</v>
        <stp/>
        <stp>ASK</stp>
        <stp>.SPXW250505C5500</stp>
        <tr r="DC122" s="1"/>
        <tr r="DC122" s="1"/>
      </tp>
      <tp>
        <v>0.05</v>
        <stp/>
        <stp>ASK</stp>
        <stp>.SPXW250505P5500</stp>
        <tr r="DD122" s="1"/>
        <tr r="DD122" s="1"/>
      </tp>
      <tp>
        <v>143.5</v>
        <stp/>
        <stp>ASK</stp>
        <stp>.SPXW250505C5510</stp>
        <tr r="DC121" s="1"/>
        <tr r="DC121" s="1"/>
      </tp>
      <tp>
        <v>0.05</v>
        <stp/>
        <stp>ASK</stp>
        <stp>.SPXW250505P5510</stp>
        <tr r="DD121" s="1"/>
        <tr r="DD121" s="1"/>
      </tp>
      <tp>
        <v>93.5</v>
        <stp/>
        <stp>ASK</stp>
        <stp>.SPXW250505C5560</stp>
        <tr r="DC116" s="1"/>
        <tr r="DC116" s="1"/>
      </tp>
      <tp>
        <v>0.05</v>
        <stp/>
        <stp>ASK</stp>
        <stp>.SPXW250505P5560</stp>
        <tr r="DD116" s="1"/>
        <tr r="DD116" s="1"/>
      </tp>
      <tp>
        <v>83.5</v>
        <stp/>
        <stp>ASK</stp>
        <stp>.SPXW250505C5570</stp>
        <tr r="DC115" s="1"/>
        <tr r="DC115" s="1"/>
      </tp>
      <tp>
        <v>0.05</v>
        <stp/>
        <stp>ASK</stp>
        <stp>.SPXW250505P5570</stp>
        <tr r="DD115" s="1"/>
        <tr r="DD115" s="1"/>
      </tp>
      <tp>
        <v>113.5</v>
        <stp/>
        <stp>ASK</stp>
        <stp>.SPXW250505C5540</stp>
        <tr r="DC118" s="1"/>
        <tr r="DC118" s="1"/>
      </tp>
      <tp>
        <v>0.05</v>
        <stp/>
        <stp>ASK</stp>
        <stp>.SPXW250505P5540</stp>
        <tr r="DD118" s="1"/>
        <tr r="DD118" s="1"/>
      </tp>
      <tp>
        <v>103.5</v>
        <stp/>
        <stp>ASK</stp>
        <stp>.SPXW250505C5550</stp>
        <tr r="DC117" s="1"/>
        <tr r="DC117" s="1"/>
      </tp>
      <tp>
        <v>0.05</v>
        <stp/>
        <stp>ASK</stp>
        <stp>.SPXW250505P5550</stp>
        <tr r="DD117" s="1"/>
        <tr r="DD117" s="1"/>
      </tp>
      <tp>
        <v>73.5</v>
        <stp/>
        <stp>ASK</stp>
        <stp>.SPXW250505C5580</stp>
        <tr r="DC114" s="1"/>
        <tr r="DC114" s="1"/>
      </tp>
      <tp>
        <v>0.05</v>
        <stp/>
        <stp>ASK</stp>
        <stp>.SPXW250505P5580</stp>
        <tr r="DD114" s="1"/>
        <tr r="DD114" s="1"/>
      </tp>
      <tp>
        <v>62.8</v>
        <stp/>
        <stp>ASK</stp>
        <stp>.SPXW250505C5590</stp>
        <tr r="DC113" s="1"/>
        <tr r="DC113" s="1"/>
      </tp>
      <tp>
        <v>0.05</v>
        <stp/>
        <stp>ASK</stp>
        <stp>.SPXW250505P5590</stp>
        <tr r="DD113" s="1"/>
        <tr r="DD113" s="1"/>
      </tp>
      <tp>
        <v>0.89</v>
        <stp/>
        <stp>LAST</stp>
        <stp>.NDXP250505P19275</stp>
        <tr r="DB184" s="1"/>
        <tr r="DB184" s="1"/>
      </tp>
      <tp>
        <v>210</v>
        <stp/>
        <stp>LAST</stp>
        <stp>.NDXP250505P20275</stp>
        <tr r="DB144" s="1"/>
        <tr r="DB144" s="1"/>
      </tp>
      <tp>
        <v>0.13</v>
        <stp/>
        <stp>LAST</stp>
        <stp>.NDXP250505P19250</stp>
        <tr r="DB185" s="1"/>
        <tr r="DB185" s="1"/>
      </tp>
      <tp>
        <v>272.95999999999998</v>
        <stp/>
        <stp>LAST</stp>
        <stp>.NDXP250505P20250</stp>
        <tr r="DB145" s="1"/>
        <tr r="DB145" s="1"/>
      </tp>
      <tp>
        <v>1.31</v>
        <stp/>
        <stp>LAST</stp>
        <stp>.NDXP250505P19225</stp>
        <tr r="DB186" s="1"/>
        <tr r="DB186" s="1"/>
      </tp>
      <tp>
        <v>189.8</v>
        <stp/>
        <stp>LAST</stp>
        <stp>.NDXP250505P20225</stp>
        <tr r="DB146" s="1"/>
        <tr r="DB146" s="1"/>
      </tp>
      <tp>
        <v>0.35</v>
        <stp/>
        <stp>LAST</stp>
        <stp>.NDXP250505P19200</stp>
        <tr r="DB187" s="1"/>
        <tr r="DB187" s="1"/>
      </tp>
      <tp>
        <v>200.1</v>
        <stp/>
        <stp>LAST</stp>
        <stp>.NDXP250505P20200</stp>
        <tr r="DB147" s="1"/>
        <tr r="DB147" s="1"/>
      </tp>
      <tp>
        <v>832.65</v>
        <stp/>
        <stp>LAST</stp>
        <stp>.NDXP250505C19250</stp>
        <tr r="DA185" s="1"/>
        <tr r="DA185" s="1"/>
      </tp>
      <tp>
        <v>0.1</v>
        <stp/>
        <stp>LAST</stp>
        <stp>.NDXP250505C20250</stp>
        <tr r="DA145" s="1"/>
        <tr r="DA145" s="1"/>
      </tp>
      <tp>
        <v>716.33</v>
        <stp/>
        <stp>LAST</stp>
        <stp>.NDXP250505C19275</stp>
        <tr r="DA184" s="1"/>
        <tr r="DA184" s="1"/>
      </tp>
      <tp>
        <v>0.25</v>
        <stp/>
        <stp>LAST</stp>
        <stp>.NDXP250505C20275</stp>
        <tr r="DA144" s="1"/>
        <tr r="DA144" s="1"/>
      </tp>
      <tp>
        <v>945.6</v>
        <stp/>
        <stp>LAST</stp>
        <stp>.NDXP250505C19200</stp>
        <tr r="DA187" s="1"/>
        <tr r="DA187" s="1"/>
      </tp>
      <tp>
        <v>0.05</v>
        <stp/>
        <stp>LAST</stp>
        <stp>.NDXP250505C20200</stp>
        <tr r="DA147" s="1"/>
        <tr r="DA147" s="1"/>
      </tp>
      <tp>
        <v>858.65</v>
        <stp/>
        <stp>LAST</stp>
        <stp>.NDXP250505C19225</stp>
        <tr r="DA186" s="1"/>
        <tr r="DA186" s="1"/>
      </tp>
      <tp>
        <v>0.05</v>
        <stp/>
        <stp>LAST</stp>
        <stp>.NDXP250505C20225</stp>
        <tr r="DA146" s="1"/>
        <tr r="DA146" s="1"/>
      </tp>
      <tp>
        <v>243.1</v>
        <stp/>
        <stp>ASK</stp>
        <stp>.SPXW250505C5420</stp>
        <tr r="DC130" s="1"/>
        <tr r="DC130" s="1"/>
      </tp>
      <tp>
        <v>0.05</v>
        <stp/>
        <stp>ASK</stp>
        <stp>.SPXW250505P5420</stp>
        <tr r="DD130" s="1"/>
        <tr r="DD130" s="1"/>
      </tp>
      <tp>
        <v>233.1</v>
        <stp/>
        <stp>ASK</stp>
        <stp>.SPXW250505C5430</stp>
        <tr r="DC129" s="1"/>
        <tr r="DC129" s="1"/>
      </tp>
      <tp>
        <v>0.05</v>
        <stp/>
        <stp>ASK</stp>
        <stp>.SPXW250505P5430</stp>
        <tr r="DD129" s="1"/>
        <tr r="DD129" s="1"/>
      </tp>
      <tp>
        <v>198.1</v>
        <stp/>
        <stp>ASK</stp>
        <stp>.SPXW250505C5460</stp>
        <tr r="DC126" s="1"/>
        <tr r="DC126" s="1"/>
      </tp>
      <tp>
        <v>0.05</v>
        <stp/>
        <stp>ASK</stp>
        <stp>.SPXW250505P5460</stp>
        <tr r="DD126" s="1"/>
        <tr r="DD126" s="1"/>
      </tp>
      <tp>
        <v>188.1</v>
        <stp/>
        <stp>ASK</stp>
        <stp>.SPXW250505C5470</stp>
        <tr r="DC125" s="1"/>
        <tr r="DC125" s="1"/>
      </tp>
      <tp>
        <v>0.05</v>
        <stp/>
        <stp>ASK</stp>
        <stp>.SPXW250505P5470</stp>
        <tr r="DD125" s="1"/>
        <tr r="DD125" s="1"/>
      </tp>
      <tp>
        <v>218.1</v>
        <stp/>
        <stp>ASK</stp>
        <stp>.SPXW250505C5440</stp>
        <tr r="DC128" s="1"/>
        <tr r="DC128" s="1"/>
      </tp>
      <tp>
        <v>0.05</v>
        <stp/>
        <stp>ASK</stp>
        <stp>.SPXW250505P5440</stp>
        <tr r="DD128" s="1"/>
        <tr r="DD128" s="1"/>
      </tp>
      <tp>
        <v>208.1</v>
        <stp/>
        <stp>ASK</stp>
        <stp>.SPXW250505C5450</stp>
        <tr r="DC127" s="1"/>
        <tr r="DC127" s="1"/>
      </tp>
      <tp>
        <v>0.05</v>
        <stp/>
        <stp>ASK</stp>
        <stp>.SPXW250505P5450</stp>
        <tr r="DD127" s="1"/>
        <tr r="DD127" s="1"/>
      </tp>
      <tp>
        <v>178.1</v>
        <stp/>
        <stp>ASK</stp>
        <stp>.SPXW250505C5480</stp>
        <tr r="DC124" s="1"/>
        <tr r="DC124" s="1"/>
      </tp>
      <tp>
        <v>0.05</v>
        <stp/>
        <stp>ASK</stp>
        <stp>.SPXW250505P5480</stp>
        <tr r="DD124" s="1"/>
        <tr r="DD124" s="1"/>
      </tp>
      <tp>
        <v>168.1</v>
        <stp/>
        <stp>ASK</stp>
        <stp>.SPXW250505C5490</stp>
        <tr r="DC123" s="1"/>
        <tr r="DC123" s="1"/>
      </tp>
      <tp>
        <v>0.05</v>
        <stp/>
        <stp>ASK</stp>
        <stp>.SPXW250505P5490</stp>
        <tr r="DD123" s="1"/>
        <tr r="DD123" s="1"/>
      </tp>
      <tp>
        <v>1.32</v>
        <stp/>
        <stp>LAST</stp>
        <stp>.NDXP250505P19375</stp>
        <tr r="DB180" s="1"/>
        <tr r="DB180" s="1"/>
      </tp>
      <tp>
        <v>0</v>
        <stp/>
        <stp>LAST</stp>
        <stp>.NDXP250505P20375</stp>
        <tr r="DB140" s="1"/>
        <tr r="DB140" s="1"/>
      </tp>
      <tp>
        <v>0.67</v>
        <stp/>
        <stp>LAST</stp>
        <stp>.NDXP250505P19350</stp>
        <tr r="DB181" s="1"/>
        <tr r="DB181" s="1"/>
      </tp>
      <tp>
        <v>276.7</v>
        <stp/>
        <stp>LAST</stp>
        <stp>.NDXP250505P20350</stp>
        <tr r="DB141" s="1"/>
        <tr r="DB141" s="1"/>
      </tp>
      <tp>
        <v>0.24</v>
        <stp/>
        <stp>LAST</stp>
        <stp>.NDXP250505P19325</stp>
        <tr r="DB182" s="1"/>
        <tr r="DB182" s="1"/>
      </tp>
      <tp>
        <v>0</v>
        <stp/>
        <stp>LAST</stp>
        <stp>.NDXP250505P20325</stp>
        <tr r="DB142" s="1"/>
        <tr r="DB142" s="1"/>
      </tp>
      <tp>
        <v>0.05</v>
        <stp/>
        <stp>LAST</stp>
        <stp>.NDXP250505P19300</stp>
        <tr r="DB183" s="1"/>
        <tr r="DB183" s="1"/>
      </tp>
      <tp>
        <v>0</v>
        <stp/>
        <stp>LAST</stp>
        <stp>.NDXP250505P20300</stp>
        <tr r="DB143" s="1"/>
        <tr r="DB143" s="1"/>
      </tp>
      <tp>
        <v>302.89999999999998</v>
        <stp/>
        <stp>LAST</stp>
        <stp>.NDXP250505C19350</stp>
        <tr r="DA181" s="1"/>
        <tr r="DA181" s="1"/>
      </tp>
      <tp>
        <v>0.05</v>
        <stp/>
        <stp>LAST</stp>
        <stp>.NDXP250505C20350</stp>
        <tr r="DA141" s="1"/>
        <tr r="DA141" s="1"/>
      </tp>
      <tp>
        <v>0</v>
        <stp/>
        <stp>LAST</stp>
        <stp>.NDXP250505C19375</stp>
        <tr r="DA180" s="1"/>
        <tr r="DA180" s="1"/>
      </tp>
      <tp>
        <v>0.15</v>
        <stp/>
        <stp>LAST</stp>
        <stp>.NDXP250505C20375</stp>
        <tr r="DA140" s="1"/>
        <tr r="DA140" s="1"/>
      </tp>
      <tp>
        <v>676.53</v>
        <stp/>
        <stp>LAST</stp>
        <stp>.NDXP250505C19300</stp>
        <tr r="DA183" s="1"/>
        <tr r="DA183" s="1"/>
      </tp>
      <tp>
        <v>0.05</v>
        <stp/>
        <stp>LAST</stp>
        <stp>.NDXP250505C20300</stp>
        <tr r="DA143" s="1"/>
        <tr r="DA143" s="1"/>
      </tp>
      <tp>
        <v>725.6</v>
        <stp/>
        <stp>LAST</stp>
        <stp>.NDXP250505C19325</stp>
        <tr r="DA182" s="1"/>
        <tr r="DA182" s="1"/>
      </tp>
      <tp>
        <v>0.15</v>
        <stp/>
        <stp>LAST</stp>
        <stp>.NDXP250505C20325</stp>
        <tr r="DA142" s="1"/>
        <tr r="DA142" s="1"/>
      </tp>
      <tp>
        <v>0.05</v>
        <stp/>
        <stp>ASK</stp>
        <stp>.SPXW250505C5720</stp>
        <tr r="DC100" s="1"/>
        <tr r="DC100" s="1"/>
      </tp>
      <tp>
        <v>72.2</v>
        <stp/>
        <stp>ASK</stp>
        <stp>.SPXW250505P5720</stp>
        <tr r="DD100" s="1"/>
        <tr r="DD100" s="1"/>
      </tp>
      <tp>
        <v>0.05</v>
        <stp/>
        <stp>ASK</stp>
        <stp>.SPXW250505C5730</stp>
        <tr r="DC99" s="1"/>
        <tr r="DC99" s="1"/>
      </tp>
      <tp>
        <v>82.2</v>
        <stp/>
        <stp>ASK</stp>
        <stp>.SPXW250505P5730</stp>
        <tr r="DD99" s="1"/>
        <tr r="DD99" s="1"/>
      </tp>
      <tp>
        <v>0.05</v>
        <stp/>
        <stp>ASK</stp>
        <stp>.SPXW250505C5700</stp>
        <tr r="DC102" s="1"/>
        <tr r="DC102" s="1"/>
      </tp>
      <tp>
        <v>52.2</v>
        <stp/>
        <stp>ASK</stp>
        <stp>.SPXW250505P5700</stp>
        <tr r="DD102" s="1"/>
        <tr r="DD102" s="1"/>
      </tp>
      <tp>
        <v>0.05</v>
        <stp/>
        <stp>ASK</stp>
        <stp>.SPXW250505C5710</stp>
        <tr r="DC101" s="1"/>
        <tr r="DC101" s="1"/>
      </tp>
      <tp>
        <v>62.2</v>
        <stp/>
        <stp>ASK</stp>
        <stp>.SPXW250505P5710</stp>
        <tr r="DD101" s="1"/>
        <tr r="DD101" s="1"/>
      </tp>
      <tp>
        <v>0.05</v>
        <stp/>
        <stp>ASK</stp>
        <stp>.SPXW250505C5760</stp>
        <tr r="DC96" s="1"/>
        <tr r="DC96" s="1"/>
      </tp>
      <tp>
        <v>112.2</v>
        <stp/>
        <stp>ASK</stp>
        <stp>.SPXW250505P5760</stp>
        <tr r="DD96" s="1"/>
        <tr r="DD96" s="1"/>
      </tp>
      <tp>
        <v>0.05</v>
        <stp/>
        <stp>ASK</stp>
        <stp>.SPXW250505C5770</stp>
        <tr r="DC95" s="1"/>
        <tr r="DC95" s="1"/>
      </tp>
      <tp>
        <v>122.2</v>
        <stp/>
        <stp>ASK</stp>
        <stp>.SPXW250505P5770</stp>
        <tr r="DD95" s="1"/>
        <tr r="DD95" s="1"/>
      </tp>
      <tp>
        <v>0.05</v>
        <stp/>
        <stp>ASK</stp>
        <stp>.SPXW250505C5740</stp>
        <tr r="DC98" s="1"/>
        <tr r="DC98" s="1"/>
      </tp>
      <tp>
        <v>92.2</v>
        <stp/>
        <stp>ASK</stp>
        <stp>.SPXW250505P5740</stp>
        <tr r="DD98" s="1"/>
        <tr r="DD98" s="1"/>
      </tp>
      <tp>
        <v>0.05</v>
        <stp/>
        <stp>ASK</stp>
        <stp>.SPXW250505C5750</stp>
        <tr r="DC97" s="1"/>
        <tr r="DC97" s="1"/>
      </tp>
      <tp>
        <v>102.2</v>
        <stp/>
        <stp>ASK</stp>
        <stp>.SPXW250505P5750</stp>
        <tr r="DD97" s="1"/>
        <tr r="DD97" s="1"/>
      </tp>
      <tp>
        <v>-0.35</v>
        <stp/>
        <stp>DELTA</stp>
        <stp>.NDX250516P19825</stp>
        <tr r="CI162" s="1"/>
        <tr r="CI162" s="1"/>
      </tp>
      <tp>
        <v>0.05</v>
        <stp/>
        <stp>ASK</stp>
        <stp>.SPXW250505C5780</stp>
        <tr r="DC94" s="1"/>
        <tr r="DC94" s="1"/>
      </tp>
      <tp>
        <v>132.19999999999999</v>
        <stp/>
        <stp>ASK</stp>
        <stp>.SPXW250505P5780</stp>
        <tr r="DD94" s="1"/>
        <tr r="DD94" s="1"/>
      </tp>
      <tp>
        <v>-0.33</v>
        <stp/>
        <stp>DELTA</stp>
        <stp>.NDX250516P19800</stp>
        <tr r="CI163" s="1"/>
        <tr r="CI163" s="1"/>
      </tp>
      <tp>
        <v>0.05</v>
        <stp/>
        <stp>ASK</stp>
        <stp>.SPXW250505C5790</stp>
        <tr r="DC93" s="1"/>
        <tr r="DC93" s="1"/>
      </tp>
      <tp>
        <v>142.19999999999999</v>
        <stp/>
        <stp>ASK</stp>
        <stp>.SPXW250505P5790</stp>
        <tr r="DD93" s="1"/>
        <tr r="DD93" s="1"/>
      </tp>
      <tp>
        <v>-0.38</v>
        <stp/>
        <stp>DELTA</stp>
        <stp>.NDX250516P19875</stp>
        <tr r="CI160" s="1"/>
        <tr r="CI160" s="1"/>
      </tp>
      <tp>
        <v>-0.36</v>
        <stp/>
        <stp>DELTA</stp>
        <stp>.NDX250516P19850</stp>
        <tr r="CI161" s="1"/>
        <tr r="CI161" s="1"/>
      </tp>
      <tp>
        <v>0.68</v>
        <stp/>
        <stp>DELTA</stp>
        <stp>.NDX250516C19800</stp>
        <tr r="CH163" s="1"/>
        <tr r="CH163" s="1"/>
      </tp>
      <tp>
        <v>0.66</v>
        <stp/>
        <stp>DELTA</stp>
        <stp>.NDX250516C19825</stp>
        <tr r="CH162" s="1"/>
        <tr r="CH162" s="1"/>
      </tp>
      <tp>
        <v>0.65</v>
        <stp/>
        <stp>DELTA</stp>
        <stp>.NDX250516C19850</stp>
        <tr r="CH161" s="1"/>
        <tr r="CH161" s="1"/>
      </tp>
      <tp>
        <v>0.63</v>
        <stp/>
        <stp>DELTA</stp>
        <stp>.NDX250516C19875</stp>
        <tr r="CH160" s="1"/>
        <tr r="CH160" s="1"/>
      </tp>
      <tp>
        <v>79.75</v>
        <stp/>
        <stp>LAST</stp>
        <stp>.NDXP250505P20075</stp>
        <tr r="DB152" s="1"/>
        <tr r="DB152" s="1"/>
      </tp>
      <tp>
        <v>85</v>
        <stp/>
        <stp>LAST</stp>
        <stp>.NDXP250505P20050</stp>
        <tr r="DB153" s="1"/>
        <tr r="DB153" s="1"/>
      </tp>
      <tp>
        <v>34.4</v>
        <stp/>
        <stp>LAST</stp>
        <stp>.NDXP250505P20025</stp>
        <tr r="DB154" s="1"/>
        <tr r="DB154" s="1"/>
      </tp>
      <tp>
        <v>32</v>
        <stp/>
        <stp>LAST</stp>
        <stp>.NDXP250505P20000</stp>
        <tr r="DB155" s="1"/>
        <tr r="DB155" s="1"/>
      </tp>
      <tp>
        <v>0.1</v>
        <stp/>
        <stp>LAST</stp>
        <stp>.NDXP250505C20050</stp>
        <tr r="DA153" s="1"/>
        <tr r="DA153" s="1"/>
      </tp>
      <tp>
        <v>0.05</v>
        <stp/>
        <stp>LAST</stp>
        <stp>.NDXP250505C20075</stp>
        <tr r="DA152" s="1"/>
        <tr r="DA152" s="1"/>
      </tp>
      <tp>
        <v>0.05</v>
        <stp/>
        <stp>LAST</stp>
        <stp>.NDXP250505C20000</stp>
        <tr r="DA155" s="1"/>
        <tr r="DA155" s="1"/>
      </tp>
      <tp>
        <v>0.1</v>
        <stp/>
        <stp>LAST</stp>
        <stp>.NDXP250505C20025</stp>
        <tr r="DA154" s="1"/>
        <tr r="DA154" s="1"/>
      </tp>
      <tp>
        <v>33.4</v>
        <stp/>
        <stp>ASK</stp>
        <stp>.SPXW250505C5620</stp>
        <tr r="DC110" s="1"/>
        <tr r="DC110" s="1"/>
      </tp>
      <tp>
        <v>0.05</v>
        <stp/>
        <stp>ASK</stp>
        <stp>.SPXW250505P5620</stp>
        <tr r="DD110" s="1"/>
        <tr r="DD110" s="1"/>
      </tp>
      <tp>
        <v>22.6</v>
        <stp/>
        <stp>ASK</stp>
        <stp>.SPXW250505C5630</stp>
        <tr r="DC109" s="1"/>
        <tr r="DC109" s="1"/>
      </tp>
      <tp>
        <v>0.05</v>
        <stp/>
        <stp>ASK</stp>
        <stp>.SPXW250505P5630</stp>
        <tr r="DD109" s="1"/>
        <tr r="DD109" s="1"/>
      </tp>
      <tp>
        <v>53.5</v>
        <stp/>
        <stp>ASK</stp>
        <stp>.SPXW250505C5600</stp>
        <tr r="DC112" s="1"/>
        <tr r="DC112" s="1"/>
      </tp>
      <tp>
        <v>0.05</v>
        <stp/>
        <stp>ASK</stp>
        <stp>.SPXW250505P5600</stp>
        <tr r="DD112" s="1"/>
        <tr r="DD112" s="1"/>
      </tp>
      <tp>
        <v>43.5</v>
        <stp/>
        <stp>ASK</stp>
        <stp>.SPXW250505C5610</stp>
        <tr r="DC111" s="1"/>
        <tr r="DC111" s="1"/>
      </tp>
      <tp>
        <v>0.05</v>
        <stp/>
        <stp>ASK</stp>
        <stp>.SPXW250505P5610</stp>
        <tr r="DD111" s="1"/>
        <tr r="DD111" s="1"/>
      </tp>
      <tp>
        <v>0.05</v>
        <stp/>
        <stp>ASK</stp>
        <stp>.SPXW250505C5660</stp>
        <tr r="DC106" s="1"/>
        <tr r="DC106" s="1"/>
      </tp>
      <tp>
        <v>10.199999999999999</v>
        <stp/>
        <stp>ASK</stp>
        <stp>.SPXW250505P5660</stp>
        <tr r="DD106" s="1"/>
        <tr r="DD106" s="1"/>
      </tp>
      <tp>
        <v>0.05</v>
        <stp/>
        <stp>ASK</stp>
        <stp>.SPXW250505C5670</stp>
        <tr r="DC105" s="1"/>
        <tr r="DC105" s="1"/>
      </tp>
      <tp>
        <v>20.5</v>
        <stp/>
        <stp>ASK</stp>
        <stp>.SPXW250505P5670</stp>
        <tr r="DD105" s="1"/>
        <tr r="DD105" s="1"/>
      </tp>
      <tp>
        <v>12.5</v>
        <stp/>
        <stp>ASK</stp>
        <stp>.SPXW250505C5640</stp>
        <tr r="DC108" s="1"/>
        <tr r="DC108" s="1"/>
      </tp>
      <tp>
        <v>0.05</v>
        <stp/>
        <stp>ASK</stp>
        <stp>.SPXW250505P5640</stp>
        <tr r="DD108" s="1"/>
        <tr r="DD108" s="1"/>
      </tp>
      <tp>
        <v>0.45</v>
        <stp/>
        <stp>ASK</stp>
        <stp>.SPXW250505C5650</stp>
        <tr r="DC107" s="1"/>
        <tr r="DC107" s="1"/>
      </tp>
      <tp>
        <v>0.55000000000000004</v>
        <stp/>
        <stp>ASK</stp>
        <stp>.SPXW250505P5650</stp>
        <tr r="DD107" s="1"/>
        <tr r="DD107" s="1"/>
      </tp>
      <tp>
        <v>-0.4</v>
        <stp/>
        <stp>DELTA</stp>
        <stp>.NDX250516P19925</stp>
        <tr r="CI158" s="1"/>
        <tr r="CI158" s="1"/>
      </tp>
      <tp>
        <v>0.05</v>
        <stp/>
        <stp>ASK</stp>
        <stp>.SPXW250505C5680</stp>
        <tr r="DC104" s="1"/>
        <tr r="DC104" s="1"/>
      </tp>
      <tp>
        <v>32.200000000000003</v>
        <stp/>
        <stp>ASK</stp>
        <stp>.SPXW250505P5680</stp>
        <tr r="DD104" s="1"/>
        <tr r="DD104" s="1"/>
      </tp>
      <tp>
        <v>-0.39</v>
        <stp/>
        <stp>DELTA</stp>
        <stp>.NDX250516P19900</stp>
        <tr r="CI159" s="1"/>
        <tr r="CI159" s="1"/>
      </tp>
      <tp>
        <v>0.05</v>
        <stp/>
        <stp>ASK</stp>
        <stp>.SPXW250505C5690</stp>
        <tr r="DC103" s="1"/>
        <tr r="DC103" s="1"/>
      </tp>
      <tp>
        <v>42.2</v>
        <stp/>
        <stp>ASK</stp>
        <stp>.SPXW250505P5690</stp>
        <tr r="DD103" s="1"/>
        <tr r="DD103" s="1"/>
      </tp>
      <tp>
        <v>-0.43</v>
        <stp/>
        <stp>DELTA</stp>
        <stp>.NDX250516P19975</stp>
        <tr r="CI156" s="1"/>
        <tr r="CI156" s="1"/>
      </tp>
      <tp>
        <v>-0.42</v>
        <stp/>
        <stp>DELTA</stp>
        <stp>.NDX250516P19950</stp>
        <tr r="CI157" s="1"/>
        <tr r="CI157" s="1"/>
      </tp>
      <tp>
        <v>0.62</v>
        <stp/>
        <stp>DELTA</stp>
        <stp>.NDX250516C19900</stp>
        <tr r="CH159" s="1"/>
        <tr r="CH159" s="1"/>
      </tp>
      <tp>
        <v>0.6</v>
        <stp/>
        <stp>DELTA</stp>
        <stp>.NDX250516C19925</stp>
        <tr r="CH158" s="1"/>
        <tr r="CH158" s="1"/>
      </tp>
      <tp>
        <v>0.59</v>
        <stp/>
        <stp>DELTA</stp>
        <stp>.NDX250516C19950</stp>
        <tr r="CH157" s="1"/>
        <tr r="CH157" s="1"/>
      </tp>
      <tp>
        <v>0.56999999999999995</v>
        <stp/>
        <stp>DELTA</stp>
        <stp>.NDX250516C19975</stp>
        <tr r="CH156" s="1"/>
        <tr r="CH156" s="1"/>
      </tp>
      <tp>
        <v>2.25</v>
        <stp/>
        <stp>LAST</stp>
        <stp>.NDXP250505P19175</stp>
        <tr r="DB188" s="1"/>
        <tr r="DB188" s="1"/>
      </tp>
      <tp>
        <v>169.8</v>
        <stp/>
        <stp>LAST</stp>
        <stp>.NDXP250505P20175</stp>
        <tr r="DB148" s="1"/>
        <tr r="DB148" s="1"/>
      </tp>
      <tp>
        <v>0.72</v>
        <stp/>
        <stp>LAST</stp>
        <stp>.NDXP250505P19150</stp>
        <tr r="DB189" s="1"/>
        <tr r="DB189" s="1"/>
      </tp>
      <tp>
        <v>150.15</v>
        <stp/>
        <stp>LAST</stp>
        <stp>.NDXP250505P20150</stp>
        <tr r="DB149" s="1"/>
        <tr r="DB149" s="1"/>
      </tp>
      <tp>
        <v>128.77000000000001</v>
        <stp/>
        <stp>LAST</stp>
        <stp>.NDXP250505P20125</stp>
        <tr r="DB150" s="1"/>
        <tr r="DB150" s="1"/>
      </tp>
      <tp>
        <v>98</v>
        <stp/>
        <stp>LAST</stp>
        <stp>.NDXP250505P20100</stp>
        <tr r="DB151" s="1"/>
        <tr r="DB151" s="1"/>
      </tp>
      <tp>
        <v>743.98</v>
        <stp/>
        <stp>LAST</stp>
        <stp>.NDXP250505C19150</stp>
        <tr r="DA189" s="1"/>
        <tr r="DA189" s="1"/>
      </tp>
      <tp>
        <v>0.05</v>
        <stp/>
        <stp>LAST</stp>
        <stp>.NDXP250505C20150</stp>
        <tr r="DA149" s="1"/>
        <tr r="DA149" s="1"/>
      </tp>
      <tp>
        <v>0</v>
        <stp/>
        <stp>LAST</stp>
        <stp>.NDXP250505C19175</stp>
        <tr r="DA188" s="1"/>
        <tr r="DA188" s="1"/>
      </tp>
      <tp>
        <v>0.3</v>
        <stp/>
        <stp>LAST</stp>
        <stp>.NDXP250505C20175</stp>
        <tr r="DA148" s="1"/>
        <tr r="DA148" s="1"/>
      </tp>
      <tp>
        <v>0.05</v>
        <stp/>
        <stp>LAST</stp>
        <stp>.NDXP250505C20100</stp>
        <tr r="DA151" s="1"/>
        <tr r="DA151" s="1"/>
      </tp>
      <tp>
        <v>0.05</v>
        <stp/>
        <stp>LAST</stp>
        <stp>.NDXP250505C20125</stp>
        <tr r="DA150" s="1"/>
        <tr r="DA150" s="1"/>
      </tp>
      <tp>
        <v>0.05</v>
        <stp/>
        <stp>LAST</stp>
        <stp>.NDXP250505P19675</stp>
        <tr r="DB168" s="1"/>
        <tr r="DB168" s="1"/>
      </tp>
      <tp>
        <v>0.05</v>
        <stp/>
        <stp>LAST</stp>
        <stp>.NDXP250505P19650</stp>
        <tr r="DB169" s="1"/>
        <tr r="DB169" s="1"/>
      </tp>
      <tp>
        <v>0.13</v>
        <stp/>
        <stp>LAST</stp>
        <stp>.NDXP250505P19625</stp>
        <tr r="DB170" s="1"/>
        <tr r="DB170" s="1"/>
      </tp>
      <tp>
        <v>0.25</v>
        <stp/>
        <stp>LAST</stp>
        <stp>.NDXP250505P19600</stp>
        <tr r="DB171" s="1"/>
        <tr r="DB171" s="1"/>
      </tp>
      <tp>
        <v>451.15</v>
        <stp/>
        <stp>LAST</stp>
        <stp>.NDXP250505C19650</stp>
        <tr r="DA169" s="1"/>
        <tr r="DA169" s="1"/>
      </tp>
      <tp>
        <v>289.35000000000002</v>
        <stp/>
        <stp>LAST</stp>
        <stp>.NDXP250505C19675</stp>
        <tr r="DA168" s="1"/>
        <tr r="DA168" s="1"/>
      </tp>
      <tp>
        <v>372.15</v>
        <stp/>
        <stp>LAST</stp>
        <stp>.NDXP250505C19600</stp>
        <tr r="DA171" s="1"/>
        <tr r="DA171" s="1"/>
      </tp>
      <tp>
        <v>473.8</v>
        <stp/>
        <stp>LAST</stp>
        <stp>.NDXP250505C19625</stp>
        <tr r="DA170" s="1"/>
        <tr r="DA170" s="1"/>
      </tp>
      <tp>
        <v>0.25</v>
        <stp/>
        <stp>LAST</stp>
        <stp>.NDXP250505P19775</stp>
        <tr r="DB164" s="1"/>
        <tr r="DB164" s="1"/>
      </tp>
      <tp>
        <v>0.13</v>
        <stp/>
        <stp>LAST</stp>
        <stp>.NDXP250505P19750</stp>
        <tr r="DB165" s="1"/>
        <tr r="DB165" s="1"/>
      </tp>
      <tp>
        <v>0.25</v>
        <stp/>
        <stp>LAST</stp>
        <stp>.NDXP250505P19725</stp>
        <tr r="DB166" s="1"/>
        <tr r="DB166" s="1"/>
      </tp>
      <tp>
        <v>0.15</v>
        <stp/>
        <stp>LAST</stp>
        <stp>.NDXP250505P19700</stp>
        <tr r="DB167" s="1"/>
        <tr r="DB167" s="1"/>
      </tp>
      <tp>
        <v>223.87</v>
        <stp/>
        <stp>LAST</stp>
        <stp>.NDXP250505C19750</stp>
        <tr r="DA165" s="1"/>
        <tr r="DA165" s="1"/>
      </tp>
      <tp>
        <v>224.07</v>
        <stp/>
        <stp>LAST</stp>
        <stp>.NDXP250505C19775</stp>
        <tr r="DA164" s="1"/>
        <tr r="DA164" s="1"/>
      </tp>
      <tp>
        <v>322.42</v>
        <stp/>
        <stp>LAST</stp>
        <stp>.NDXP250505C19700</stp>
        <tr r="DA167" s="1"/>
        <tr r="DA167" s="1"/>
      </tp>
      <tp>
        <v>300.3</v>
        <stp/>
        <stp>LAST</stp>
        <stp>.NDXP250505C19725</stp>
        <tr r="DA166" s="1"/>
        <tr r="DA166" s="1"/>
      </tp>
      <tp>
        <v>0.05</v>
        <stp/>
        <stp>LAST</stp>
        <stp>.NDXP250505P19475</stp>
        <tr r="DB176" s="1"/>
        <tr r="DB176" s="1"/>
      </tp>
      <tp>
        <v>0.25</v>
        <stp/>
        <stp>LAST</stp>
        <stp>.NDXP250505P19450</stp>
        <tr r="DB177" s="1"/>
        <tr r="DB177" s="1"/>
      </tp>
      <tp>
        <v>0</v>
        <stp/>
        <stp>LAST</stp>
        <stp>.NDXP250505P20450</stp>
        <tr r="DB137" s="1"/>
        <tr r="DB137" s="1"/>
      </tp>
      <tp>
        <v>0.25</v>
        <stp/>
        <stp>LAST</stp>
        <stp>.NDXP250505P19425</stp>
        <tr r="DB178" s="1"/>
        <tr r="DB178" s="1"/>
      </tp>
      <tp>
        <v>0</v>
        <stp/>
        <stp>LAST</stp>
        <stp>.NDXP250505P20425</stp>
        <tr r="DB138" s="1"/>
        <tr r="DB138" s="1"/>
      </tp>
      <tp>
        <v>0.1</v>
        <stp/>
        <stp>LAST</stp>
        <stp>.NDXP250505P19400</stp>
        <tr r="DB179" s="1"/>
        <tr r="DB179" s="1"/>
      </tp>
      <tp>
        <v>343.1</v>
        <stp/>
        <stp>LAST</stp>
        <stp>.NDXP250505P20400</stp>
        <tr r="DB139" s="1"/>
        <tr r="DB139" s="1"/>
      </tp>
      <tp>
        <v>582.87</v>
        <stp/>
        <stp>LAST</stp>
        <stp>.NDXP250505C19450</stp>
        <tr r="DA177" s="1"/>
        <tr r="DA177" s="1"/>
      </tp>
      <tp>
        <v>0.15</v>
        <stp/>
        <stp>LAST</stp>
        <stp>.NDXP250505C20450</stp>
        <tr r="DA137" s="1"/>
        <tr r="DA137" s="1"/>
      </tp>
      <tp>
        <v>576.23</v>
        <stp/>
        <stp>LAST</stp>
        <stp>.NDXP250505C19475</stp>
        <tr r="DA176" s="1"/>
        <tr r="DA176" s="1"/>
      </tp>
      <tp>
        <v>673.02</v>
        <stp/>
        <stp>LAST</stp>
        <stp>.NDXP250505C19400</stp>
        <tr r="DA179" s="1"/>
        <tr r="DA179" s="1"/>
      </tp>
      <tp>
        <v>0.05</v>
        <stp/>
        <stp>LAST</stp>
        <stp>.NDXP250505C20400</stp>
        <tr r="DA139" s="1"/>
        <tr r="DA139" s="1"/>
      </tp>
      <tp>
        <v>131.30000000000001</v>
        <stp/>
        <stp>LAST</stp>
        <stp>.NDXP250505C19425</stp>
        <tr r="DA178" s="1"/>
        <tr r="DA178" s="1"/>
      </tp>
      <tp>
        <v>14.21</v>
        <stp/>
        <stp>LAST</stp>
        <stp>.NDXP250505C20425</stp>
        <tr r="DA138" s="1"/>
        <tr r="DA138" s="1"/>
      </tp>
      <tp>
        <v>0.25</v>
        <stp/>
        <stp>LAST</stp>
        <stp>.NDXP250505P19575</stp>
        <tr r="DB172" s="1"/>
        <tr r="DB172" s="1"/>
      </tp>
      <tp>
        <v>0.05</v>
        <stp/>
        <stp>LAST</stp>
        <stp>.NDXP250505P19550</stp>
        <tr r="DB173" s="1"/>
        <tr r="DB173" s="1"/>
      </tp>
      <tp>
        <v>0.25</v>
        <stp/>
        <stp>LAST</stp>
        <stp>.NDXP250505P19525</stp>
        <tr r="DB174" s="1"/>
        <tr r="DB174" s="1"/>
      </tp>
      <tp>
        <v>0.05</v>
        <stp/>
        <stp>LAST</stp>
        <stp>.NDXP250505P19500</stp>
        <tr r="DB175" s="1"/>
        <tr r="DB175" s="1"/>
      </tp>
      <tp>
        <v>251</v>
        <stp/>
        <stp>LAST</stp>
        <stp>.NDXP250505C19550</stp>
        <tr r="DA173" s="1"/>
        <tr r="DA173" s="1"/>
      </tp>
      <tp>
        <v>197.8</v>
        <stp/>
        <stp>LAST</stp>
        <stp>.NDXP250505C19575</stp>
        <tr r="DA172" s="1"/>
        <tr r="DA172" s="1"/>
      </tp>
      <tp>
        <v>552.54</v>
        <stp/>
        <stp>LAST</stp>
        <stp>.NDXP250505C19500</stp>
        <tr r="DA175" s="1"/>
        <tr r="DA175" s="1"/>
      </tp>
      <tp>
        <v>509.22</v>
        <stp/>
        <stp>LAST</stp>
        <stp>.NDXP250505C19525</stp>
        <tr r="DA174" s="1"/>
        <tr r="DA174" s="1"/>
      </tp>
      <tp>
        <v>-0.59</v>
        <stp/>
        <stp>DELTA</stp>
        <stp>.NDX250516P20225</stp>
        <tr r="CI146" s="1"/>
        <tr r="CI146" s="1"/>
      </tp>
      <tp>
        <v>-0.11</v>
        <stp/>
        <stp>DELTA</stp>
        <stp>.NDX250516P19225</stp>
        <tr r="CI186" s="1"/>
        <tr r="CI186" s="1"/>
      </tp>
      <tp>
        <v>-0.56999999999999995</v>
        <stp/>
        <stp>DELTA</stp>
        <stp>.NDX250516P20200</stp>
        <tr r="CI147" s="1"/>
        <tr r="CI147" s="1"/>
      </tp>
      <tp>
        <v>-0.1</v>
        <stp/>
        <stp>DELTA</stp>
        <stp>.NDX250516P19200</stp>
        <tr r="CI187" s="1"/>
        <tr r="CI187" s="1"/>
      </tp>
      <tp>
        <v>-0.62</v>
        <stp/>
        <stp>DELTA</stp>
        <stp>.NDX250516P20275</stp>
        <tr r="CI144" s="1"/>
        <tr r="CI144" s="1"/>
      </tp>
      <tp>
        <v>-0.12</v>
        <stp/>
        <stp>DELTA</stp>
        <stp>.NDX250516P19275</stp>
        <tr r="CI184" s="1"/>
        <tr r="CI184" s="1"/>
      </tp>
      <tp>
        <v>-0.6</v>
        <stp/>
        <stp>DELTA</stp>
        <stp>.NDX250516P20250</stp>
        <tr r="CI145" s="1"/>
        <tr r="CI145" s="1"/>
      </tp>
      <tp>
        <v>-0.11</v>
        <stp/>
        <stp>DELTA</stp>
        <stp>.NDX250516P19250</stp>
        <tr r="CI185" s="1"/>
        <tr r="CI185" s="1"/>
      </tp>
      <tp>
        <v>0.42</v>
        <stp/>
        <stp>DELTA</stp>
        <stp>.NDX250516C20200</stp>
        <tr r="CH147" s="1"/>
        <tr r="CH147" s="1"/>
      </tp>
      <tp>
        <v>0.93</v>
        <stp/>
        <stp>DELTA</stp>
        <stp>.NDX250516C19200</stp>
        <tr r="CH187" s="1"/>
        <tr r="CH187" s="1"/>
      </tp>
      <tp>
        <v>0.41</v>
        <stp/>
        <stp>DELTA</stp>
        <stp>.NDX250516C20225</stp>
        <tr r="CH146" s="1"/>
        <tr r="CH146" s="1"/>
      </tp>
      <tp>
        <v>0.93</v>
        <stp/>
        <stp>DELTA</stp>
        <stp>.NDX250516C19225</stp>
        <tr r="CH186" s="1"/>
        <tr r="CH186" s="1"/>
      </tp>
      <tp>
        <v>0.39</v>
        <stp/>
        <stp>DELTA</stp>
        <stp>.NDX250516C20250</stp>
        <tr r="CH145" s="1"/>
        <tr r="CH145" s="1"/>
      </tp>
      <tp>
        <v>0.9</v>
        <stp/>
        <stp>DELTA</stp>
        <stp>.NDX250516C19250</stp>
        <tr r="CH185" s="1"/>
        <tr r="CH185" s="1"/>
      </tp>
      <tp>
        <v>0.37</v>
        <stp/>
        <stp>DELTA</stp>
        <stp>.NDX250516C20275</stp>
        <tr r="CH144" s="1"/>
        <tr r="CH144" s="1"/>
      </tp>
      <tp>
        <v>0.9</v>
        <stp/>
        <stp>DELTA</stp>
        <stp>.NDX250516C19275</stp>
        <tr r="CH184" s="1"/>
        <tr r="CH184" s="1"/>
      </tp>
      <tp>
        <v>-0.65</v>
        <stp/>
        <stp>DELTA</stp>
        <stp>.NDX250516P20325</stp>
        <tr r="CI142" s="1"/>
        <tr r="CI142" s="1"/>
      </tp>
      <tp>
        <v>-0.13</v>
        <stp/>
        <stp>DELTA</stp>
        <stp>.NDX250516P19325</stp>
        <tr r="CI182" s="1"/>
        <tr r="CI182" s="1"/>
      </tp>
      <tp>
        <v>-0.63</v>
        <stp/>
        <stp>DELTA</stp>
        <stp>.NDX250516P20300</stp>
        <tr r="CI143" s="1"/>
        <tr r="CI143" s="1"/>
      </tp>
      <tp>
        <v>-0.13</v>
        <stp/>
        <stp>DELTA</stp>
        <stp>.NDX250516P19300</stp>
        <tr r="CI183" s="1"/>
        <tr r="CI183" s="1"/>
      </tp>
      <tp>
        <v>-0.67</v>
        <stp/>
        <stp>DELTA</stp>
        <stp>.NDX250516P20375</stp>
        <tr r="CI140" s="1"/>
        <tr r="CI140" s="1"/>
      </tp>
      <tp>
        <v>-0.15</v>
        <stp/>
        <stp>DELTA</stp>
        <stp>.NDX250516P19375</stp>
        <tr r="CI180" s="1"/>
        <tr r="CI180" s="1"/>
      </tp>
      <tp>
        <v>-0.66</v>
        <stp/>
        <stp>DELTA</stp>
        <stp>.NDX250516P20350</stp>
        <tr r="CI141" s="1"/>
        <tr r="CI141" s="1"/>
      </tp>
      <tp>
        <v>-0.14000000000000001</v>
        <stp/>
        <stp>DELTA</stp>
        <stp>.NDX250516P19350</stp>
        <tr r="CI181" s="1"/>
        <tr r="CI181" s="1"/>
      </tp>
      <tp>
        <v>0.36</v>
        <stp/>
        <stp>DELTA</stp>
        <stp>.NDX250516C20300</stp>
        <tr r="CH143" s="1"/>
        <tr r="CH143" s="1"/>
      </tp>
      <tp>
        <v>0.9</v>
        <stp/>
        <stp>DELTA</stp>
        <stp>.NDX250516C19300</stp>
        <tr r="CH183" s="1"/>
        <tr r="CH183" s="1"/>
      </tp>
      <tp>
        <v>0.34</v>
        <stp/>
        <stp>DELTA</stp>
        <stp>.NDX250516C20325</stp>
        <tr r="CH142" s="1"/>
        <tr r="CH142" s="1"/>
      </tp>
      <tp>
        <v>0.89</v>
        <stp/>
        <stp>DELTA</stp>
        <stp>.NDX250516C19325</stp>
        <tr r="CH182" s="1"/>
        <tr r="CH182" s="1"/>
      </tp>
      <tp>
        <v>0.33</v>
        <stp/>
        <stp>DELTA</stp>
        <stp>.NDX250516C20350</stp>
        <tr r="CH141" s="1"/>
        <tr r="CH141" s="1"/>
      </tp>
      <tp>
        <v>0.88</v>
        <stp/>
        <stp>DELTA</stp>
        <stp>.NDX250516C19350</stp>
        <tr r="CH181" s="1"/>
        <tr r="CH181" s="1"/>
      </tp>
      <tp>
        <v>0.31</v>
        <stp/>
        <stp>DELTA</stp>
        <stp>.NDX250516C20375</stp>
        <tr r="CH140" s="1"/>
        <tr r="CH140" s="1"/>
      </tp>
      <tp>
        <v>0.87</v>
        <stp/>
        <stp>DELTA</stp>
        <stp>.NDX250516C19375</stp>
        <tr r="CH180" s="1"/>
        <tr r="CH180" s="1"/>
      </tp>
      <tp>
        <v>-0.46</v>
        <stp/>
        <stp>DELTA</stp>
        <stp>.NDX250516P20025</stp>
        <tr r="CI154" s="1"/>
        <tr r="CI154" s="1"/>
      </tp>
      <tp>
        <v>-0.45</v>
        <stp/>
        <stp>DELTA</stp>
        <stp>.NDX250516P20000</stp>
        <tr r="CI155" s="1"/>
        <tr r="CI155" s="1"/>
      </tp>
      <tp>
        <v>-0.49</v>
        <stp/>
        <stp>DELTA</stp>
        <stp>.NDX250516P20075</stp>
        <tr r="CI152" s="1"/>
        <tr r="CI152" s="1"/>
      </tp>
      <tp>
        <v>-0.48</v>
        <stp/>
        <stp>DELTA</stp>
        <stp>.NDX250516P20050</stp>
        <tr r="CI153" s="1"/>
        <tr r="CI153" s="1"/>
      </tp>
      <tp>
        <v>0.55000000000000004</v>
        <stp/>
        <stp>DELTA</stp>
        <stp>.NDX250516C20000</stp>
        <tr r="CH155" s="1"/>
        <tr r="CH155" s="1"/>
      </tp>
      <tp>
        <v>0.54</v>
        <stp/>
        <stp>DELTA</stp>
        <stp>.NDX250516C20025</stp>
        <tr r="CH154" s="1"/>
        <tr r="CH154" s="1"/>
      </tp>
      <tp>
        <v>0.52</v>
        <stp/>
        <stp>DELTA</stp>
        <stp>.NDX250516C20050</stp>
        <tr r="CH153" s="1"/>
        <tr r="CH153" s="1"/>
      </tp>
      <tp>
        <v>0.5</v>
        <stp/>
        <stp>DELTA</stp>
        <stp>.NDX250516C20075</stp>
        <tr r="CH152" s="1"/>
        <tr r="CH152" s="1"/>
      </tp>
      <tp>
        <v>0.27</v>
        <stp/>
        <stp>LAST</stp>
        <stp>.NDXP250505P19875</stp>
        <tr r="DB160" s="1"/>
        <tr r="DB160" s="1"/>
      </tp>
      <tp>
        <v>0.13</v>
        <stp/>
        <stp>LAST</stp>
        <stp>.NDXP250505P19850</stp>
        <tr r="DB161" s="1"/>
        <tr r="DB161" s="1"/>
      </tp>
      <tp>
        <v>0.44</v>
        <stp/>
        <stp>LAST</stp>
        <stp>.NDXP250505P19825</stp>
        <tr r="DB162" s="1"/>
        <tr r="DB162" s="1"/>
      </tp>
      <tp>
        <v>0.05</v>
        <stp/>
        <stp>LAST</stp>
        <stp>.NDXP250505P19800</stp>
        <tr r="DB163" s="1"/>
        <tr r="DB163" s="1"/>
      </tp>
      <tp>
        <v>142.19</v>
        <stp/>
        <stp>LAST</stp>
        <stp>.NDXP250505C19850</stp>
        <tr r="DA161" s="1"/>
        <tr r="DA161" s="1"/>
      </tp>
      <tp>
        <v>162.68</v>
        <stp/>
        <stp>LAST</stp>
        <stp>.NDXP250505C19875</stp>
        <tr r="DA160" s="1"/>
        <tr r="DA160" s="1"/>
      </tp>
      <tp>
        <v>226.81</v>
        <stp/>
        <stp>LAST</stp>
        <stp>.NDXP250505C19800</stp>
        <tr r="DA163" s="1"/>
        <tr r="DA163" s="1"/>
      </tp>
      <tp>
        <v>212.3</v>
        <stp/>
        <stp>LAST</stp>
        <stp>.NDXP250505C19825</stp>
        <tr r="DA162" s="1"/>
        <tr r="DA162" s="1"/>
      </tp>
      <tp>
        <v>-0.53</v>
        <stp/>
        <stp>DELTA</stp>
        <stp>.NDX250516P20125</stp>
        <tr r="CI150" s="1"/>
        <tr r="CI150" s="1"/>
      </tp>
      <tp>
        <v>-0.51</v>
        <stp/>
        <stp>DELTA</stp>
        <stp>.NDX250516P20100</stp>
        <tr r="CI151" s="1"/>
        <tr r="CI151" s="1"/>
      </tp>
      <tp>
        <v>-0.56000000000000005</v>
        <stp/>
        <stp>DELTA</stp>
        <stp>.NDX250516P20175</stp>
        <tr r="CI148" s="1"/>
        <tr r="CI148" s="1"/>
      </tp>
      <tp>
        <v>-0.09</v>
        <stp/>
        <stp>DELTA</stp>
        <stp>.NDX250516P19175</stp>
        <tr r="CI188" s="1"/>
        <tr r="CI188" s="1"/>
      </tp>
      <tp>
        <v>-0.54</v>
        <stp/>
        <stp>DELTA</stp>
        <stp>.NDX250516P20150</stp>
        <tr r="CI149" s="1"/>
        <tr r="CI149" s="1"/>
      </tp>
      <tp>
        <v>-0.09</v>
        <stp/>
        <stp>DELTA</stp>
        <stp>.NDX250516P19150</stp>
        <tr r="CI189" s="1"/>
        <tr r="CI189" s="1"/>
      </tp>
      <tp>
        <v>0.49</v>
        <stp/>
        <stp>DELTA</stp>
        <stp>.NDX250516C20100</stp>
        <tr r="CH151" s="1"/>
        <tr r="CH151" s="1"/>
      </tp>
      <tp>
        <v>0.47</v>
        <stp/>
        <stp>DELTA</stp>
        <stp>.NDX250516C20125</stp>
        <tr r="CH150" s="1"/>
        <tr r="CH150" s="1"/>
      </tp>
      <tp>
        <v>0.46</v>
        <stp/>
        <stp>DELTA</stp>
        <stp>.NDX250516C20150</stp>
        <tr r="CH149" s="1"/>
        <tr r="CH149" s="1"/>
      </tp>
      <tp>
        <v>0.94</v>
        <stp/>
        <stp>DELTA</stp>
        <stp>.NDX250516C19150</stp>
        <tr r="CH189" s="1"/>
        <tr r="CH189" s="1"/>
      </tp>
      <tp>
        <v>0.44</v>
        <stp/>
        <stp>DELTA</stp>
        <stp>.NDX250516C20175</stp>
        <tr r="CH148" s="1"/>
        <tr r="CH148" s="1"/>
      </tp>
      <tp>
        <v>0.91</v>
        <stp/>
        <stp>DELTA</stp>
        <stp>.NDX250516C19175</stp>
        <tr r="CH188" s="1"/>
        <tr r="CH188" s="1"/>
      </tp>
      <tp>
        <v>10</v>
        <stp/>
        <stp>LAST</stp>
        <stp>.NDXP250505P19975</stp>
        <tr r="DB156" s="1"/>
        <tr r="DB156" s="1"/>
      </tp>
      <tp>
        <v>0.35</v>
        <stp/>
        <stp>LAST</stp>
        <stp>.NDXP250505P19950</stp>
        <tr r="DB157" s="1"/>
        <tr r="DB157" s="1"/>
      </tp>
      <tp>
        <v>0.1</v>
        <stp/>
        <stp>LAST</stp>
        <stp>.NDXP250505P19925</stp>
        <tr r="DB158" s="1"/>
        <tr r="DB158" s="1"/>
      </tp>
      <tp>
        <v>0.22</v>
        <stp/>
        <stp>LAST</stp>
        <stp>.NDXP250505P19900</stp>
        <tr r="DB159" s="1"/>
        <tr r="DB159" s="1"/>
      </tp>
      <tp>
        <v>13.9</v>
        <stp/>
        <stp>LAST</stp>
        <stp>.NDXP250505C19950</stp>
        <tr r="DA157" s="1"/>
        <tr r="DA157" s="1"/>
      </tp>
      <tp>
        <v>0.05</v>
        <stp/>
        <stp>LAST</stp>
        <stp>.NDXP250505C19975</stp>
        <tr r="DA156" s="1"/>
        <tr r="DA156" s="1"/>
      </tp>
      <tp>
        <v>86.26</v>
        <stp/>
        <stp>LAST</stp>
        <stp>.NDXP250505C19900</stp>
        <tr r="DA159" s="1"/>
        <tr r="DA159" s="1"/>
      </tp>
      <tp>
        <v>117</v>
        <stp/>
        <stp>LAST</stp>
        <stp>.NDXP250505C19925</stp>
        <tr r="DA158" s="1"/>
        <tr r="DA158" s="1"/>
      </tp>
      <tp>
        <v>-0.25</v>
        <stp/>
        <stp>DELTA</stp>
        <stp>.NDX250516P19625</stp>
        <tr r="CI170" s="1"/>
        <tr r="CI170" s="1"/>
      </tp>
      <tp>
        <v>-0.24</v>
        <stp/>
        <stp>DELTA</stp>
        <stp>.NDX250516P19600</stp>
        <tr r="CI171" s="1"/>
        <tr r="CI171" s="1"/>
      </tp>
      <tp>
        <v>-0.27</v>
        <stp/>
        <stp>DELTA</stp>
        <stp>.NDX250516P19675</stp>
        <tr r="CI168" s="1"/>
        <tr r="CI168" s="1"/>
      </tp>
      <tp>
        <v>-0.26</v>
        <stp/>
        <stp>DELTA</stp>
        <stp>.NDX250516P19650</stp>
        <tr r="CI169" s="1"/>
        <tr r="CI169" s="1"/>
      </tp>
      <tp>
        <v>0.78</v>
        <stp/>
        <stp>DELTA</stp>
        <stp>.NDX250516C19600</stp>
        <tr r="CH171" s="1"/>
        <tr r="CH171" s="1"/>
      </tp>
      <tp>
        <v>0.77</v>
        <stp/>
        <stp>DELTA</stp>
        <stp>.NDX250516C19625</stp>
        <tr r="CH170" s="1"/>
        <tr r="CH170" s="1"/>
      </tp>
      <tp>
        <v>0.75</v>
        <stp/>
        <stp>DELTA</stp>
        <stp>.NDX250516C19650</stp>
        <tr r="CH169" s="1"/>
        <tr r="CH169" s="1"/>
      </tp>
      <tp>
        <v>0.74</v>
        <stp/>
        <stp>DELTA</stp>
        <stp>.NDX250516C19675</stp>
        <tr r="CH168" s="1"/>
        <tr r="CH168" s="1"/>
      </tp>
      <tp>
        <v>0.05</v>
        <stp/>
        <stp>ASK</stp>
        <stp>.SPXW250505C5820</stp>
        <tr r="DC90" s="1"/>
        <tr r="DC90" s="1"/>
      </tp>
      <tp>
        <v>178.4</v>
        <stp/>
        <stp>ASK</stp>
        <stp>.SPXW250505P5820</stp>
        <tr r="DD90" s="1"/>
        <tr r="DD90" s="1"/>
      </tp>
      <tp t="s">
        <v>N/A</v>
        <stp/>
        <stp>ASK</stp>
        <stp>.SPXW250505C5830</stp>
        <tr r="DC89" s="1"/>
      </tp>
      <tp t="s">
        <v>N/A</v>
        <stp/>
        <stp>ASK</stp>
        <stp>.SPXW250505P5830</stp>
        <tr r="DD89" s="1"/>
      </tp>
      <tp>
        <v>0.05</v>
        <stp/>
        <stp>ASK</stp>
        <stp>.SPXW250505C5800</stp>
        <tr r="DC92" s="1"/>
        <tr r="DC92" s="1"/>
      </tp>
      <tp>
        <v>159.9</v>
        <stp/>
        <stp>ASK</stp>
        <stp>.SPXW250505P5800</stp>
        <tr r="DD92" s="1"/>
        <tr r="DD92" s="1"/>
      </tp>
      <tp>
        <v>0.05</v>
        <stp/>
        <stp>ASK</stp>
        <stp>.SPXW250505C5810</stp>
        <tr r="DC91" s="1"/>
        <tr r="DC91" s="1"/>
      </tp>
      <tp>
        <v>168.3</v>
        <stp/>
        <stp>ASK</stp>
        <stp>.SPXW250505P5810</stp>
        <tr r="DD91" s="1"/>
        <tr r="DD91" s="1"/>
      </tp>
      <tp t="s">
        <v>N/A</v>
        <stp/>
        <stp>ASK</stp>
        <stp>.SPXW250505C5860</stp>
        <tr r="DC86" s="1"/>
      </tp>
      <tp t="s">
        <v>N/A</v>
        <stp/>
        <stp>ASK</stp>
        <stp>.SPXW250505P5860</stp>
        <tr r="DD86" s="1"/>
      </tp>
      <tp t="s">
        <v>N/A</v>
        <stp/>
        <stp>ASK</stp>
        <stp>.SPXW250505C5870</stp>
        <tr r="DC85" s="1"/>
      </tp>
      <tp t="s">
        <v>N/A</v>
        <stp/>
        <stp>ASK</stp>
        <stp>.SPXW250505P5870</stp>
        <tr r="DD85" s="1"/>
      </tp>
      <tp t="s">
        <v>N/A</v>
        <stp/>
        <stp>ASK</stp>
        <stp>.SPXW250505C5840</stp>
        <tr r="DC88" s="1"/>
      </tp>
      <tp t="s">
        <v>N/A</v>
        <stp/>
        <stp>ASK</stp>
        <stp>.SPXW250505P5840</stp>
        <tr r="DD88" s="1"/>
      </tp>
      <tp>
        <v>0.05</v>
        <stp/>
        <stp>ASK</stp>
        <stp>.SPXW250505C5850</stp>
        <tr r="DC87" s="1"/>
        <tr r="DC87" s="1"/>
      </tp>
      <tp>
        <v>208.3</v>
        <stp/>
        <stp>ASK</stp>
        <stp>.SPXW250505P5850</stp>
        <tr r="DD87" s="1"/>
        <tr r="DD87" s="1"/>
      </tp>
      <tp>
        <v>-0.3</v>
        <stp/>
        <stp>DELTA</stp>
        <stp>.NDX250516P19725</stp>
        <tr r="CI166" s="1"/>
        <tr r="CI166" s="1"/>
      </tp>
      <tp>
        <v>-0.28000000000000003</v>
        <stp/>
        <stp>DELTA</stp>
        <stp>.NDX250516P19700</stp>
        <tr r="CI167" s="1"/>
        <tr r="CI167" s="1"/>
      </tp>
      <tp>
        <v>-0.32</v>
        <stp/>
        <stp>DELTA</stp>
        <stp>.NDX250516P19775</stp>
        <tr r="CI164" s="1"/>
        <tr r="CI164" s="1"/>
      </tp>
      <tp>
        <v>-0.31</v>
        <stp/>
        <stp>DELTA</stp>
        <stp>.NDX250516P19750</stp>
        <tr r="CI165" s="1"/>
        <tr r="CI165" s="1"/>
      </tp>
      <tp>
        <v>0.73</v>
        <stp/>
        <stp>DELTA</stp>
        <stp>.NDX250516C19700</stp>
        <tr r="CH167" s="1"/>
        <tr r="CH167" s="1"/>
      </tp>
      <tp>
        <v>0.72</v>
        <stp/>
        <stp>DELTA</stp>
        <stp>.NDX250516C19725</stp>
        <tr r="CH166" s="1"/>
        <tr r="CH166" s="1"/>
      </tp>
      <tp>
        <v>0.7</v>
        <stp/>
        <stp>DELTA</stp>
        <stp>.NDX250516C19750</stp>
        <tr r="CH165" s="1"/>
        <tr r="CH165" s="1"/>
      </tp>
      <tp>
        <v>0.69</v>
        <stp/>
        <stp>DELTA</stp>
        <stp>.NDX250516C19775</stp>
        <tr r="CH164" s="1"/>
        <tr r="CH164" s="1"/>
      </tp>
      <tp>
        <v>-0.7</v>
        <stp/>
        <stp>DELTA</stp>
        <stp>.NDX250516P20425</stp>
        <tr r="CI138" s="1"/>
        <tr r="CI138" s="1"/>
      </tp>
      <tp>
        <v>-0.17</v>
        <stp/>
        <stp>DELTA</stp>
        <stp>.NDX250516P19425</stp>
        <tr r="CI178" s="1"/>
        <tr r="CI178" s="1"/>
      </tp>
      <tp>
        <v>-0.69</v>
        <stp/>
        <stp>DELTA</stp>
        <stp>.NDX250516P20400</stp>
        <tr r="CI139" s="1"/>
        <tr r="CI139" s="1"/>
      </tp>
      <tp>
        <v>-0.16</v>
        <stp/>
        <stp>DELTA</stp>
        <stp>.NDX250516P19400</stp>
        <tr r="CI179" s="1"/>
        <tr r="CI179" s="1"/>
      </tp>
      <tp>
        <v>-0.18</v>
        <stp/>
        <stp>DELTA</stp>
        <stp>.NDX250516P19475</stp>
        <tr r="CI176" s="1"/>
        <tr r="CI176" s="1"/>
      </tp>
      <tp>
        <v>-0.72</v>
        <stp/>
        <stp>DELTA</stp>
        <stp>.NDX250516P20450</stp>
        <tr r="CI137" s="1"/>
        <tr r="CI137" s="1"/>
      </tp>
      <tp>
        <v>-0.17</v>
        <stp/>
        <stp>DELTA</stp>
        <stp>.NDX250516P19450</stp>
        <tr r="CI177" s="1"/>
        <tr r="CI177" s="1"/>
      </tp>
      <tp>
        <v>0.3</v>
        <stp/>
        <stp>DELTA</stp>
        <stp>.NDX250516C20400</stp>
        <tr r="CH139" s="1"/>
        <tr r="CH139" s="1"/>
      </tp>
      <tp>
        <v>0.86</v>
        <stp/>
        <stp>DELTA</stp>
        <stp>.NDX250516C19400</stp>
        <tr r="CH179" s="1"/>
        <tr r="CH179" s="1"/>
      </tp>
      <tp>
        <v>0.28000000000000003</v>
        <stp/>
        <stp>DELTA</stp>
        <stp>.NDX250516C20425</stp>
        <tr r="CH138" s="1"/>
        <tr r="CH138" s="1"/>
      </tp>
      <tp>
        <v>0.85</v>
        <stp/>
        <stp>DELTA</stp>
        <stp>.NDX250516C19425</stp>
        <tr r="CH178" s="1"/>
        <tr r="CH178" s="1"/>
      </tp>
      <tp>
        <v>0.27</v>
        <stp/>
        <stp>DELTA</stp>
        <stp>.NDX250516C20450</stp>
        <tr r="CH137" s="1"/>
        <tr r="CH137" s="1"/>
      </tp>
      <tp>
        <v>0.84</v>
        <stp/>
        <stp>DELTA</stp>
        <stp>.NDX250516C19450</stp>
        <tr r="CH177" s="1"/>
        <tr r="CH177" s="1"/>
      </tp>
      <tp>
        <v>0.83</v>
        <stp/>
        <stp>DELTA</stp>
        <stp>.NDX250516C19475</stp>
        <tr r="CH176" s="1"/>
        <tr r="CH176" s="1"/>
      </tp>
      <tp>
        <v>-0.2</v>
        <stp/>
        <stp>DELTA</stp>
        <stp>.NDX250516P19525</stp>
        <tr r="CI174" s="1"/>
        <tr r="CI174" s="1"/>
      </tp>
      <tp>
        <v>-0.19</v>
        <stp/>
        <stp>DELTA</stp>
        <stp>.NDX250516P19500</stp>
        <tr r="CI175" s="1"/>
        <tr r="CI175" s="1"/>
      </tp>
      <tp>
        <v>-0.22</v>
        <stp/>
        <stp>DELTA</stp>
        <stp>.NDX250516P19575</stp>
        <tr r="CI172" s="1"/>
        <tr r="CI172" s="1"/>
      </tp>
      <tp>
        <v>-0.21</v>
        <stp/>
        <stp>DELTA</stp>
        <stp>.NDX250516P19550</stp>
        <tr r="CI173" s="1"/>
        <tr r="CI173" s="1"/>
      </tp>
      <tp>
        <v>0.82</v>
        <stp/>
        <stp>DELTA</stp>
        <stp>.NDX250516C19500</stp>
        <tr r="CH175" s="1"/>
        <tr r="CH175" s="1"/>
      </tp>
      <tp>
        <v>0.81</v>
        <stp/>
        <stp>DELTA</stp>
        <stp>.NDX250516C19525</stp>
        <tr r="CH174" s="1"/>
        <tr r="CH174" s="1"/>
      </tp>
      <tp>
        <v>0.8</v>
        <stp/>
        <stp>DELTA</stp>
        <stp>.NDX250516C19550</stp>
        <tr r="CH173" s="1"/>
        <tr r="CH173" s="1"/>
      </tp>
      <tp>
        <v>0.79</v>
        <stp/>
        <stp>DELTA</stp>
        <stp>.NDX250516C19575</stp>
        <tr r="CH172" s="1"/>
        <tr r="CH172" s="1"/>
      </tp>
      <tp t="s">
        <v>N/A</v>
        <stp/>
        <stp>VOLUME</stp>
        <stp>.SPY250718P582</stp>
        <tr r="M5" s="2"/>
      </tp>
      <tp t="s">
        <v>N/A</v>
        <stp/>
        <stp>VOLUME</stp>
        <stp>.SPY250718C582</stp>
        <tr r="M5" s="2"/>
      </tp>
      <tp>
        <v>84</v>
        <stp/>
        <stp>VOLUME</stp>
        <stp>.SPY250718P580</stp>
        <tr r="M7" s="2"/>
        <tr r="M7" s="2"/>
      </tp>
      <tp>
        <v>3757</v>
        <stp/>
        <stp>VOLUME</stp>
        <stp>.SPY250718C580</stp>
        <tr r="M7" s="2"/>
        <tr r="M7" s="2"/>
      </tp>
      <tp t="s">
        <v>N/A</v>
        <stp/>
        <stp>VOLUME</stp>
        <stp>.SPY250718P581</stp>
        <tr r="M6" s="2"/>
      </tp>
      <tp t="s">
        <v>N/A</v>
        <stp/>
        <stp>VOLUME</stp>
        <stp>.SPY250718C581</stp>
        <tr r="M6" s="2"/>
      </tp>
      <tp t="s">
        <v>N/A</v>
        <stp/>
        <stp>VOLUME</stp>
        <stp>.SPY250731P582</stp>
        <tr r="N5" s="2"/>
      </tp>
      <tp t="s">
        <v>N/A</v>
        <stp/>
        <stp>VOLUME</stp>
        <stp>.SPY250731C582</stp>
        <tr r="N5" s="2"/>
      </tp>
      <tp t="s">
        <v>N/A</v>
        <stp/>
        <stp>VOLUME</stp>
        <stp>.SPY250731P581</stp>
        <tr r="N6" s="2"/>
      </tp>
      <tp>
        <v>11</v>
        <stp/>
        <stp>VOLUME</stp>
        <stp>.SPY250731C581</stp>
        <tr r="N6" s="2"/>
        <tr r="N6" s="2"/>
      </tp>
      <tp>
        <v>1</v>
        <stp/>
        <stp>VOLUME</stp>
        <stp>.SPY250731P580</stp>
        <tr r="N7" s="2"/>
        <tr r="N7" s="2"/>
      </tp>
      <tp>
        <v>163</v>
        <stp/>
        <stp>VOLUME</stp>
        <stp>.SPY250731C580</stp>
        <tr r="N7" s="2"/>
        <tr r="N7" s="2"/>
      </tp>
      <tp>
        <v>1034</v>
        <stp/>
        <stp>VOLUME</stp>
        <stp>.SPY250731P567</stp>
        <tr r="N20" s="2"/>
        <tr r="N20" s="2"/>
      </tp>
      <tp>
        <v>6</v>
        <stp/>
        <stp>VOLUME</stp>
        <stp>.SPY250731C567</stp>
        <tr r="N20" s="2"/>
        <tr r="N20" s="2"/>
      </tp>
      <tp>
        <v>19</v>
        <stp/>
        <stp>VOLUME</stp>
        <stp>.SPY250731P566</stp>
        <tr r="N21" s="2"/>
        <tr r="N21" s="2"/>
      </tp>
      <tp>
        <v>46</v>
        <stp/>
        <stp>VOLUME</stp>
        <stp>.SPY250731C566</stp>
        <tr r="N21" s="2"/>
        <tr r="N21" s="2"/>
      </tp>
      <tp>
        <v>281</v>
        <stp/>
        <stp>VOLUME</stp>
        <stp>.SPY250731P565</stp>
        <tr r="N22" s="2"/>
        <tr r="N22" s="2"/>
      </tp>
      <tp>
        <v>141</v>
        <stp/>
        <stp>VOLUME</stp>
        <stp>.SPY250731C565</stp>
        <tr r="N22" s="2"/>
        <tr r="N22" s="2"/>
      </tp>
      <tp>
        <v>122</v>
        <stp/>
        <stp>VOLUME</stp>
        <stp>.SPY250731P564</stp>
        <tr r="N23" s="2"/>
        <tr r="N23" s="2"/>
      </tp>
      <tp>
        <v>98</v>
        <stp/>
        <stp>VOLUME</stp>
        <stp>.SPY250731C564</stp>
        <tr r="N23" s="2"/>
        <tr r="N23" s="2"/>
      </tp>
      <tp>
        <v>113</v>
        <stp/>
        <stp>VOLUME</stp>
        <stp>.SPY250731P563</stp>
        <tr r="N24" s="2"/>
        <tr r="N24" s="2"/>
      </tp>
      <tp>
        <v>5</v>
        <stp/>
        <stp>VOLUME</stp>
        <stp>.SPY250731C563</stp>
        <tr r="N24" s="2"/>
        <tr r="N24" s="2"/>
      </tp>
      <tp>
        <v>10</v>
        <stp/>
        <stp>VOLUME</stp>
        <stp>.SPY250731P562</stp>
        <tr r="N25" s="2"/>
        <tr r="N25" s="2"/>
      </tp>
      <tp>
        <v>7</v>
        <stp/>
        <stp>VOLUME</stp>
        <stp>.SPY250731C562</stp>
        <tr r="N25" s="2"/>
        <tr r="N25" s="2"/>
      </tp>
      <tp t="s">
        <v>N/A</v>
        <stp/>
        <stp>VOLUME</stp>
        <stp>.SPY250718P548</stp>
        <tr r="M39" s="2"/>
      </tp>
      <tp>
        <v>2</v>
        <stp/>
        <stp>VOLUME</stp>
        <stp>.SPY250731P561</stp>
        <tr r="N26" s="2"/>
        <tr r="N26" s="2"/>
      </tp>
      <tp t="s">
        <v>N/A</v>
        <stp/>
        <stp>VOLUME</stp>
        <stp>.SPY250718C548</stp>
        <tr r="M39" s="2"/>
      </tp>
      <tp>
        <v>2</v>
        <stp/>
        <stp>VOLUME</stp>
        <stp>.SPY250731C561</stp>
        <tr r="N26" s="2"/>
        <tr r="N26" s="2"/>
      </tp>
      <tp t="s">
        <v>N/A</v>
        <stp/>
        <stp>VOLUME</stp>
        <stp>.SPY250718P549</stp>
        <tr r="M38" s="2"/>
      </tp>
      <tp>
        <v>504</v>
        <stp/>
        <stp>VOLUME</stp>
        <stp>.SPY250731P560</stp>
        <tr r="N27" s="2"/>
        <tr r="N27" s="2"/>
      </tp>
      <tp t="s">
        <v>N/A</v>
        <stp/>
        <stp>VOLUME</stp>
        <stp>.SPY250718C549</stp>
        <tr r="M38" s="2"/>
      </tp>
      <tp>
        <v>95</v>
        <stp/>
        <stp>VOLUME</stp>
        <stp>.SPY250731C560</stp>
        <tr r="N27" s="2"/>
        <tr r="N27" s="2"/>
      </tp>
      <tp t="s">
        <v>N/A</v>
        <stp/>
        <stp>VOLUME</stp>
        <stp>.SPY250731P569</stp>
        <tr r="N18" s="2"/>
      </tp>
      <tp>
        <v>5</v>
        <stp/>
        <stp>VOLUME</stp>
        <stp>.SPY250731C569</stp>
        <tr r="N18" s="2"/>
        <tr r="N18" s="2"/>
      </tp>
      <tp>
        <v>1</v>
        <stp/>
        <stp>VOLUME</stp>
        <stp>.SPY250731P568</stp>
        <tr r="N19" s="2"/>
        <tr r="N19" s="2"/>
      </tp>
      <tp>
        <v>1</v>
        <stp/>
        <stp>VOLUME</stp>
        <stp>.SPY250731C568</stp>
        <tr r="N19" s="2"/>
        <tr r="N19" s="2"/>
      </tp>
      <tp t="s">
        <v>N/A</v>
        <stp/>
        <stp>VOLUME</stp>
        <stp>.SPY250731P577</stp>
        <tr r="N10" s="2"/>
      </tp>
      <tp>
        <v>2</v>
        <stp/>
        <stp>VOLUME</stp>
        <stp>.SPY250731C577</stp>
        <tr r="N10" s="2"/>
        <tr r="N10" s="2"/>
      </tp>
      <tp t="s">
        <v>N/A</v>
        <stp/>
        <stp>VOLUME</stp>
        <stp>.SPY250731P576</stp>
        <tr r="N11" s="2"/>
      </tp>
      <tp t="s">
        <v>N/A</v>
        <stp/>
        <stp>VOLUME</stp>
        <stp>.SPY250731C576</stp>
        <tr r="N11" s="2"/>
      </tp>
      <tp>
        <v>7</v>
        <stp/>
        <stp>VOLUME</stp>
        <stp>.SPY250731P575</stp>
        <tr r="N12" s="2"/>
        <tr r="N12" s="2"/>
      </tp>
      <tp>
        <v>113</v>
        <stp/>
        <stp>VOLUME</stp>
        <stp>.SPY250731C575</stp>
        <tr r="N12" s="2"/>
        <tr r="N12" s="2"/>
      </tp>
      <tp t="s">
        <v>N/A</v>
        <stp/>
        <stp>VOLUME</stp>
        <stp>.SPY250731P574</stp>
        <tr r="N13" s="2"/>
      </tp>
      <tp>
        <v>6</v>
        <stp/>
        <stp>VOLUME</stp>
        <stp>.SPY250731C574</stp>
        <tr r="N13" s="2"/>
        <tr r="N13" s="2"/>
      </tp>
      <tp t="s">
        <v>N/A</v>
        <stp/>
        <stp>VOLUME</stp>
        <stp>.SPY250731P573</stp>
        <tr r="N14" s="2"/>
      </tp>
      <tp t="s">
        <v>N/A</v>
        <stp/>
        <stp>VOLUME</stp>
        <stp>.SPY250731C573</stp>
        <tr r="N14" s="2"/>
      </tp>
      <tp t="s">
        <v>N/A</v>
        <stp/>
        <stp>VOLUME</stp>
        <stp>.SPY250731P572</stp>
        <tr r="N15" s="2"/>
      </tp>
      <tp>
        <v>1</v>
        <stp/>
        <stp>VOLUME</stp>
        <stp>.SPY250731C572</stp>
        <tr r="N15" s="2"/>
        <tr r="N15" s="2"/>
      </tp>
      <tp t="s">
        <v>N/A</v>
        <stp/>
        <stp>VOLUME</stp>
        <stp>.SPY250718P558</stp>
        <tr r="M29" s="2"/>
      </tp>
      <tp>
        <v>1</v>
        <stp/>
        <stp>VOLUME</stp>
        <stp>.SPY250731P571</stp>
        <tr r="N16" s="2"/>
        <tr r="N16" s="2"/>
      </tp>
      <tp t="s">
        <v>N/A</v>
        <stp/>
        <stp>VOLUME</stp>
        <stp>.SPY250718C558</stp>
        <tr r="M29" s="2"/>
      </tp>
      <tp>
        <v>1</v>
        <stp/>
        <stp>VOLUME</stp>
        <stp>.SPY250731C571</stp>
        <tr r="N16" s="2"/>
        <tr r="N16" s="2"/>
      </tp>
      <tp t="s">
        <v>N/A</v>
        <stp/>
        <stp>VOLUME</stp>
        <stp>.SPY250718P559</stp>
        <tr r="M28" s="2"/>
      </tp>
      <tp>
        <v>44</v>
        <stp/>
        <stp>VOLUME</stp>
        <stp>.SPY250731P570</stp>
        <tr r="N17" s="2"/>
        <tr r="N17" s="2"/>
      </tp>
      <tp t="s">
        <v>N/A</v>
        <stp/>
        <stp>VOLUME</stp>
        <stp>.SPY250718C559</stp>
        <tr r="M28" s="2"/>
      </tp>
      <tp>
        <v>121</v>
        <stp/>
        <stp>VOLUME</stp>
        <stp>.SPY250731C570</stp>
        <tr r="N17" s="2"/>
        <tr r="N17" s="2"/>
      </tp>
      <tp t="s">
        <v>N/A</v>
        <stp/>
        <stp>VOLUME</stp>
        <stp>.SPY250718P556</stp>
        <tr r="M31" s="2"/>
      </tp>
      <tp t="s">
        <v>N/A</v>
        <stp/>
        <stp>VOLUME</stp>
        <stp>.SPY250718C556</stp>
        <tr r="M31" s="2"/>
      </tp>
      <tp t="s">
        <v>N/A</v>
        <stp/>
        <stp>VOLUME</stp>
        <stp>.SPY250718P557</stp>
        <tr r="M30" s="2"/>
      </tp>
      <tp t="s">
        <v>N/A</v>
        <stp/>
        <stp>VOLUME</stp>
        <stp>.SPY250718C557</stp>
        <tr r="M30" s="2"/>
      </tp>
      <tp t="s">
        <v>N/A</v>
        <stp/>
        <stp>VOLUME</stp>
        <stp>.SPY250718P554</stp>
        <tr r="M33" s="2"/>
      </tp>
      <tp t="s">
        <v>N/A</v>
        <stp/>
        <stp>VOLUME</stp>
        <stp>.SPY250718C554</stp>
        <tr r="M33" s="2"/>
      </tp>
      <tp>
        <v>505</v>
        <stp/>
        <stp>VOLUME</stp>
        <stp>.SPY250718P555</stp>
        <tr r="M32" s="2"/>
        <tr r="M32" s="2"/>
      </tp>
      <tp>
        <v>48</v>
        <stp/>
        <stp>VOLUME</stp>
        <stp>.SPY250718C555</stp>
        <tr r="M32" s="2"/>
        <tr r="M32" s="2"/>
      </tp>
      <tp t="s">
        <v>N/A</v>
        <stp/>
        <stp>VOLUME</stp>
        <stp>.SPY250718P552</stp>
        <tr r="M35" s="2"/>
      </tp>
      <tp t="s">
        <v>N/A</v>
        <stp/>
        <stp>VOLUME</stp>
        <stp>.SPY250718C552</stp>
        <tr r="M35" s="2"/>
      </tp>
      <tp t="s">
        <v>N/A</v>
        <stp/>
        <stp>VOLUME</stp>
        <stp>.SPY250718P553</stp>
        <tr r="M34" s="2"/>
      </tp>
      <tp t="s">
        <v>N/A</v>
        <stp/>
        <stp>VOLUME</stp>
        <stp>.SPY250718C553</stp>
        <tr r="M34" s="2"/>
      </tp>
      <tp>
        <v>2147</v>
        <stp/>
        <stp>VOLUME</stp>
        <stp>.SPY250718P550</stp>
        <tr r="M37" s="2"/>
        <tr r="M37" s="2"/>
      </tp>
      <tp t="s">
        <v>N/A</v>
        <stp/>
        <stp>VOLUME</stp>
        <stp>.SPY250731P579</stp>
        <tr r="N8" s="2"/>
      </tp>
      <tp>
        <v>87</v>
        <stp/>
        <stp>VOLUME</stp>
        <stp>.SPY250718C550</stp>
        <tr r="M37" s="2"/>
        <tr r="M37" s="2"/>
      </tp>
      <tp>
        <v>1</v>
        <stp/>
        <stp>VOLUME</stp>
        <stp>.SPY250731C579</stp>
        <tr r="N8" s="2"/>
        <tr r="N8" s="2"/>
      </tp>
      <tp t="s">
        <v>N/A</v>
        <stp/>
        <stp>VOLUME</stp>
        <stp>.SPY250718P551</stp>
        <tr r="M36" s="2"/>
      </tp>
      <tp>
        <v>3</v>
        <stp/>
        <stp>VOLUME</stp>
        <stp>.SPY250731P578</stp>
        <tr r="N9" s="2"/>
        <tr r="N9" s="2"/>
      </tp>
      <tp t="s">
        <v>N/A</v>
        <stp/>
        <stp>VOLUME</stp>
        <stp>.SPY250718C551</stp>
        <tr r="M36" s="2"/>
      </tp>
      <tp>
        <v>1</v>
        <stp/>
        <stp>VOLUME</stp>
        <stp>.SPY250731C578</stp>
        <tr r="N9" s="2"/>
        <tr r="N9" s="2"/>
      </tp>
      <tp t="s">
        <v>N/A</v>
        <stp/>
        <stp>VOLUME</stp>
        <stp>.SPY250718P568</stp>
        <tr r="M19" s="2"/>
      </tp>
      <tp t="s">
        <v>N/A</v>
        <stp/>
        <stp>VOLUME</stp>
        <stp>.SPY250718C568</stp>
        <tr r="M19" s="2"/>
      </tp>
      <tp t="s">
        <v>N/A</v>
        <stp/>
        <stp>VOLUME</stp>
        <stp>.SPY250718P569</stp>
        <tr r="M18" s="2"/>
      </tp>
      <tp t="s">
        <v>N/A</v>
        <stp/>
        <stp>VOLUME</stp>
        <stp>.SPY250718C569</stp>
        <tr r="M18" s="2"/>
      </tp>
      <tp t="s">
        <v>N/A</v>
        <stp/>
        <stp>VOLUME</stp>
        <stp>.SPY250718P566</stp>
        <tr r="M21" s="2"/>
      </tp>
      <tp t="s">
        <v>N/A</v>
        <stp/>
        <stp>VOLUME</stp>
        <stp>.SPY250718C566</stp>
        <tr r="M21" s="2"/>
      </tp>
      <tp t="s">
        <v>N/A</v>
        <stp/>
        <stp>VOLUME</stp>
        <stp>.SPY250718P567</stp>
        <tr r="M20" s="2"/>
      </tp>
      <tp t="s">
        <v>N/A</v>
        <stp/>
        <stp>VOLUME</stp>
        <stp>.SPY250718C567</stp>
        <tr r="M20" s="2"/>
      </tp>
      <tp t="s">
        <v>N/A</v>
        <stp/>
        <stp>VOLUME</stp>
        <stp>.SPY250718P564</stp>
        <tr r="M23" s="2"/>
      </tp>
      <tp t="s">
        <v>N/A</v>
        <stp/>
        <stp>VOLUME</stp>
        <stp>.SPY250718C564</stp>
        <tr r="M23" s="2"/>
      </tp>
      <tp>
        <v>979</v>
        <stp/>
        <stp>VOLUME</stp>
        <stp>.SPY250718P565</stp>
        <tr r="M22" s="2"/>
        <tr r="M22" s="2"/>
      </tp>
      <tp>
        <v>946</v>
        <stp/>
        <stp>VOLUME</stp>
        <stp>.SPY250718C565</stp>
        <tr r="M22" s="2"/>
        <tr r="M22" s="2"/>
      </tp>
      <tp t="s">
        <v>N/A</v>
        <stp/>
        <stp>VOLUME</stp>
        <stp>.SPY250718P562</stp>
        <tr r="M25" s="2"/>
      </tp>
      <tp t="s">
        <v>N/A</v>
        <stp/>
        <stp>VOLUME</stp>
        <stp>.SPY250718C562</stp>
        <tr r="M25" s="2"/>
      </tp>
      <tp t="s">
        <v>N/A</v>
        <stp/>
        <stp>VOLUME</stp>
        <stp>.SPY250718P563</stp>
        <tr r="M24" s="2"/>
      </tp>
      <tp t="s">
        <v>N/A</v>
        <stp/>
        <stp>VOLUME</stp>
        <stp>.SPY250718C563</stp>
        <tr r="M24" s="2"/>
      </tp>
      <tp>
        <v>1225</v>
        <stp/>
        <stp>VOLUME</stp>
        <stp>.SPY250718P560</stp>
        <tr r="M27" s="2"/>
        <tr r="M27" s="2"/>
      </tp>
      <tp>
        <v>4</v>
        <stp/>
        <stp>VOLUME</stp>
        <stp>.SPY250731P549</stp>
        <tr r="N38" s="2"/>
        <tr r="N38" s="2"/>
      </tp>
      <tp>
        <v>210</v>
        <stp/>
        <stp>VOLUME</stp>
        <stp>.SPY250718C560</stp>
        <tr r="M27" s="2"/>
        <tr r="M27" s="2"/>
      </tp>
      <tp t="s">
        <v>N/A</v>
        <stp/>
        <stp>VOLUME</stp>
        <stp>.SPY250731C549</stp>
        <tr r="N38" s="2"/>
      </tp>
      <tp t="s">
        <v>N/A</v>
        <stp/>
        <stp>VOLUME</stp>
        <stp>.SPY250718P561</stp>
        <tr r="M26" s="2"/>
      </tp>
      <tp t="s">
        <v>N/A</v>
        <stp/>
        <stp>VOLUME</stp>
        <stp>.SPY250731P548</stp>
        <tr r="N39" s="2"/>
      </tp>
      <tp t="s">
        <v>N/A</v>
        <stp/>
        <stp>VOLUME</stp>
        <stp>.SPY250718C561</stp>
        <tr r="M26" s="2"/>
      </tp>
      <tp>
        <v>1</v>
        <stp/>
        <stp>VOLUME</stp>
        <stp>.SPY250731C548</stp>
        <tr r="N39" s="2"/>
        <tr r="N39" s="2"/>
      </tp>
      <tp>
        <v>61</v>
        <stp/>
        <stp>VOLUME</stp>
        <stp>.SPY250731P557</stp>
        <tr r="N30" s="2"/>
        <tr r="N30" s="2"/>
      </tp>
      <tp t="s">
        <v>N/A</v>
        <stp/>
        <stp>VOLUME</stp>
        <stp>.SPY250731C557</stp>
        <tr r="N30" s="2"/>
      </tp>
      <tp>
        <v>1</v>
        <stp/>
        <stp>VOLUME</stp>
        <stp>.SPY250731P556</stp>
        <tr r="N31" s="2"/>
        <tr r="N31" s="2"/>
      </tp>
      <tp>
        <v>12</v>
        <stp/>
        <stp>VOLUME</stp>
        <stp>.SPY250731C556</stp>
        <tr r="N31" s="2"/>
        <tr r="N31" s="2"/>
      </tp>
      <tp>
        <v>134</v>
        <stp/>
        <stp>VOLUME</stp>
        <stp>.SPY250731P555</stp>
        <tr r="N32" s="2"/>
        <tr r="N32" s="2"/>
      </tp>
      <tp>
        <v>10</v>
        <stp/>
        <stp>VOLUME</stp>
        <stp>.SPY250731C555</stp>
        <tr r="N32" s="2"/>
        <tr r="N32" s="2"/>
      </tp>
      <tp t="s">
        <v>N/A</v>
        <stp/>
        <stp>VOLUME</stp>
        <stp>.SPY250731P554</stp>
        <tr r="N33" s="2"/>
      </tp>
      <tp>
        <v>2</v>
        <stp/>
        <stp>VOLUME</stp>
        <stp>.SPY250731C554</stp>
        <tr r="N33" s="2"/>
        <tr r="N33" s="2"/>
      </tp>
      <tp t="s">
        <v>N/A</v>
        <stp/>
        <stp>VOLUME</stp>
        <stp>.SPY250731P553</stp>
        <tr r="N34" s="2"/>
      </tp>
      <tp>
        <v>2</v>
        <stp/>
        <stp>VOLUME</stp>
        <stp>.SPY250731C553</stp>
        <tr r="N34" s="2"/>
        <tr r="N34" s="2"/>
      </tp>
      <tp>
        <v>12</v>
        <stp/>
        <stp>VOLUME</stp>
        <stp>.SPY250731P552</stp>
        <tr r="N35" s="2"/>
        <tr r="N35" s="2"/>
      </tp>
      <tp>
        <v>11</v>
        <stp/>
        <stp>VOLUME</stp>
        <stp>.SPY250731C552</stp>
        <tr r="N35" s="2"/>
        <tr r="N35" s="2"/>
      </tp>
      <tp t="s">
        <v>N/A</v>
        <stp/>
        <stp>VOLUME</stp>
        <stp>.SPY250718P578</stp>
        <tr r="M9" s="2"/>
      </tp>
      <tp>
        <v>9</v>
        <stp/>
        <stp>VOLUME</stp>
        <stp>.SPY250731P551</stp>
        <tr r="N36" s="2"/>
        <tr r="N36" s="2"/>
      </tp>
      <tp t="s">
        <v>N/A</v>
        <stp/>
        <stp>VOLUME</stp>
        <stp>.SPY250718C578</stp>
        <tr r="M9" s="2"/>
      </tp>
      <tp t="s">
        <v>N/A</v>
        <stp/>
        <stp>VOLUME</stp>
        <stp>.SPY250731C551</stp>
        <tr r="N36" s="2"/>
      </tp>
      <tp t="s">
        <v>N/A</v>
        <stp/>
        <stp>VOLUME</stp>
        <stp>.SPY250718P579</stp>
        <tr r="M8" s="2"/>
      </tp>
      <tp>
        <v>359</v>
        <stp/>
        <stp>VOLUME</stp>
        <stp>.SPY250731P550</stp>
        <tr r="N37" s="2"/>
        <tr r="N37" s="2"/>
      </tp>
      <tp t="s">
        <v>N/A</v>
        <stp/>
        <stp>VOLUME</stp>
        <stp>.SPY250718C579</stp>
        <tr r="M8" s="2"/>
      </tp>
      <tp>
        <v>18</v>
        <stp/>
        <stp>VOLUME</stp>
        <stp>.SPY250731C550</stp>
        <tr r="N37" s="2"/>
        <tr r="N37" s="2"/>
      </tp>
      <tp t="s">
        <v>N/A</v>
        <stp/>
        <stp>VOLUME</stp>
        <stp>.SPY250718P576</stp>
        <tr r="M11" s="2"/>
      </tp>
      <tp t="s">
        <v>N/A</v>
        <stp/>
        <stp>VOLUME</stp>
        <stp>.SPY250718C576</stp>
        <tr r="M11" s="2"/>
      </tp>
      <tp t="s">
        <v>N/A</v>
        <stp/>
        <stp>VOLUME</stp>
        <stp>.SPY250718P577</stp>
        <tr r="M10" s="2"/>
      </tp>
      <tp t="s">
        <v>N/A</v>
        <stp/>
        <stp>VOLUME</stp>
        <stp>.SPY250718C577</stp>
        <tr r="M10" s="2"/>
      </tp>
      <tp t="s">
        <v>N/A</v>
        <stp/>
        <stp>VOLUME</stp>
        <stp>.SPY250718P574</stp>
        <tr r="M13" s="2"/>
      </tp>
      <tp t="s">
        <v>N/A</v>
        <stp/>
        <stp>VOLUME</stp>
        <stp>.SPY250718C574</stp>
        <tr r="M13" s="2"/>
      </tp>
      <tp>
        <v>114</v>
        <stp/>
        <stp>VOLUME</stp>
        <stp>.SPY250718P575</stp>
        <tr r="M12" s="2"/>
        <tr r="M12" s="2"/>
      </tp>
      <tp>
        <v>651</v>
        <stp/>
        <stp>VOLUME</stp>
        <stp>.SPY250718C575</stp>
        <tr r="M12" s="2"/>
        <tr r="M12" s="2"/>
      </tp>
      <tp t="s">
        <v>N/A</v>
        <stp/>
        <stp>VOLUME</stp>
        <stp>.SPY250718P572</stp>
        <tr r="M15" s="2"/>
      </tp>
      <tp t="s">
        <v>N/A</v>
        <stp/>
        <stp>VOLUME</stp>
        <stp>.SPY250718C572</stp>
        <tr r="M15" s="2"/>
      </tp>
      <tp t="s">
        <v>N/A</v>
        <stp/>
        <stp>VOLUME</stp>
        <stp>.SPY250718P573</stp>
        <tr r="M14" s="2"/>
      </tp>
      <tp t="s">
        <v>N/A</v>
        <stp/>
        <stp>VOLUME</stp>
        <stp>.SPY250718C573</stp>
        <tr r="M14" s="2"/>
      </tp>
      <tp>
        <v>2464</v>
        <stp/>
        <stp>VOLUME</stp>
        <stp>.SPY250718P570</stp>
        <tr r="M17" s="2"/>
        <tr r="M17" s="2"/>
      </tp>
      <tp>
        <v>285</v>
        <stp/>
        <stp>VOLUME</stp>
        <stp>.SPY250731P559</stp>
        <tr r="N28" s="2"/>
        <tr r="N28" s="2"/>
      </tp>
      <tp>
        <v>1796</v>
        <stp/>
        <stp>VOLUME</stp>
        <stp>.SPY250718C570</stp>
        <tr r="M17" s="2"/>
        <tr r="M17" s="2"/>
      </tp>
      <tp>
        <v>4</v>
        <stp/>
        <stp>VOLUME</stp>
        <stp>.SPY250731C559</stp>
        <tr r="N28" s="2"/>
        <tr r="N28" s="2"/>
      </tp>
      <tp t="s">
        <v>N/A</v>
        <stp/>
        <stp>VOLUME</stp>
        <stp>.SPY250718P571</stp>
        <tr r="M16" s="2"/>
      </tp>
      <tp>
        <v>148</v>
        <stp/>
        <stp>VOLUME</stp>
        <stp>.SPY250731P558</stp>
        <tr r="N29" s="2"/>
        <tr r="N29" s="2"/>
      </tp>
      <tp t="s">
        <v>N/A</v>
        <stp/>
        <stp>VOLUME</stp>
        <stp>.SPY250718C571</stp>
        <tr r="M16" s="2"/>
      </tp>
      <tp t="s">
        <v>N/A</v>
        <stp/>
        <stp>VOLUME</stp>
        <stp>.SPY250731C558</stp>
        <tr r="N29" s="2"/>
      </tp>
      <tp>
        <v>-0.01</v>
        <stp/>
        <stp>DELTA</stp>
        <stp>.SPXW250509P5620</stp>
        <tr r="CG110" s="1"/>
        <tr r="CG110" s="1"/>
      </tp>
      <tp>
        <v>1</v>
        <stp/>
        <stp>DELTA</stp>
        <stp>.SPXW250509C5620</stp>
        <tr r="CF110" s="1"/>
        <tr r="CF110" s="1"/>
      </tp>
      <tp>
        <v>-0.01</v>
        <stp/>
        <stp>DELTA</stp>
        <stp>.SPXW250509P5630</stp>
        <tr r="CG109" s="1"/>
        <tr r="CG109" s="1"/>
      </tp>
      <tp>
        <v>1</v>
        <stp/>
        <stp>DELTA</stp>
        <stp>.SPXW250509C5630</stp>
        <tr r="CF109" s="1"/>
        <tr r="CF109" s="1"/>
      </tp>
      <tp>
        <v>0</v>
        <stp/>
        <stp>DELTA</stp>
        <stp>.SPXW250509P5600</stp>
        <tr r="CG112" s="1"/>
        <tr r="CG112" s="1"/>
      </tp>
      <tp>
        <v>1</v>
        <stp/>
        <stp>DELTA</stp>
        <stp>.SPXW250509C5600</stp>
        <tr r="CF112" s="1"/>
        <tr r="CF112" s="1"/>
      </tp>
      <tp>
        <v>0</v>
        <stp/>
        <stp>DELTA</stp>
        <stp>.SPXW250509P5610</stp>
        <tr r="CG111" s="1"/>
        <tr r="CG111" s="1"/>
      </tp>
      <tp>
        <v>1</v>
        <stp/>
        <stp>DELTA</stp>
        <stp>.SPXW250509C5610</stp>
        <tr r="CF111" s="1"/>
        <tr r="CF111" s="1"/>
      </tp>
      <tp>
        <v>-0.52</v>
        <stp/>
        <stp>DELTA</stp>
        <stp>.SPXW250509P5660</stp>
        <tr r="CG106" s="1"/>
        <tr r="CG106" s="1"/>
      </tp>
      <tp>
        <v>-0.82</v>
        <stp/>
        <stp>DELTA</stp>
        <stp>.SPXW250516P5790</stp>
        <tr r="CI93" s="1"/>
        <tr r="CI93" s="1"/>
      </tp>
      <tp>
        <v>0.48</v>
        <stp/>
        <stp>DELTA</stp>
        <stp>.SPXW250509C5660</stp>
        <tr r="CF106" s="1"/>
        <tr r="CF106" s="1"/>
      </tp>
      <tp>
        <v>0.2</v>
        <stp/>
        <stp>DELTA</stp>
        <stp>.SPXW250516C5790</stp>
        <tr r="CH93" s="1"/>
        <tr r="CH93" s="1"/>
      </tp>
      <tp>
        <v>-0.86</v>
        <stp/>
        <stp>DELTA</stp>
        <stp>.SPXW250509P5670</stp>
        <tr r="CG105" s="1"/>
        <tr r="CG105" s="1"/>
      </tp>
      <tp>
        <v>-0.79</v>
        <stp/>
        <stp>DELTA</stp>
        <stp>.SPXW250516P5780</stp>
        <tr r="CI94" s="1"/>
        <tr r="CI94" s="1"/>
      </tp>
      <tp>
        <v>0.01</v>
        <stp/>
        <stp>DELTA</stp>
        <stp>.SPXW250509C5670</stp>
        <tr r="CF105" s="1"/>
        <tr r="CF105" s="1"/>
      </tp>
      <tp>
        <v>0.22</v>
        <stp/>
        <stp>DELTA</stp>
        <stp>.SPXW250516C5780</stp>
        <tr r="CH94" s="1"/>
        <tr r="CH94" s="1"/>
      </tp>
      <tp>
        <v>-0.67</v>
        <stp/>
        <stp>DELTA</stp>
        <stp>.SPXW250505P5680</stp>
        <tr r="CE104" s="1"/>
        <tr r="CE104" s="1"/>
      </tp>
      <tp>
        <v>-0.01</v>
        <stp/>
        <stp>DELTA</stp>
        <stp>.SPXW250509P5640</stp>
        <tr r="CG108" s="1"/>
        <tr r="CG108" s="1"/>
      </tp>
      <tp>
        <v>0.01</v>
        <stp/>
        <stp>DELTA</stp>
        <stp>.SPXW250505C5680</stp>
        <tr r="CD104" s="1"/>
        <tr r="CD104" s="1"/>
      </tp>
      <tp>
        <v>0.91</v>
        <stp/>
        <stp>DELTA</stp>
        <stp>.SPXW250509C5640</stp>
        <tr r="CF108" s="1"/>
        <tr r="CF108" s="1"/>
      </tp>
      <tp>
        <v>-0.71</v>
        <stp/>
        <stp>DELTA</stp>
        <stp>.SPXW250505P5690</stp>
        <tr r="CE103" s="1"/>
        <tr r="CE103" s="1"/>
      </tp>
      <tp>
        <v>-0.02</v>
        <stp/>
        <stp>DELTA</stp>
        <stp>.SPXW250509P5650</stp>
        <tr r="CG107" s="1"/>
        <tr r="CG107" s="1"/>
      </tp>
      <tp>
        <v>0.01</v>
        <stp/>
        <stp>DELTA</stp>
        <stp>.SPXW250505C5690</stp>
        <tr r="CD103" s="1"/>
        <tr r="CD103" s="1"/>
      </tp>
      <tp>
        <v>0.94</v>
        <stp/>
        <stp>DELTA</stp>
        <stp>.SPXW250509C5650</stp>
        <tr r="CF107" s="1"/>
        <tr r="CF107" s="1"/>
      </tp>
      <tp>
        <v>-0.5</v>
        <stp/>
        <stp>DELTA</stp>
        <stp>.SPXW250505P5660</stp>
        <tr r="CE106" s="1"/>
        <tr r="CE106" s="1"/>
      </tp>
      <tp>
        <v>-0.72</v>
        <stp/>
        <stp>DELTA</stp>
        <stp>.SPXW250516P5750</stp>
        <tr r="CI97" s="1"/>
        <tr r="CI97" s="1"/>
      </tp>
      <tp>
        <v>0</v>
        <stp/>
        <stp>DELTA</stp>
        <stp>.SPXW250505C5660</stp>
        <tr r="CD106" s="1"/>
        <tr r="CD106" s="1"/>
      </tp>
      <tp>
        <v>0.28999999999999998</v>
        <stp/>
        <stp>DELTA</stp>
        <stp>.SPXW250516C5750</stp>
        <tr r="CH97" s="1"/>
        <tr r="CH97" s="1"/>
      </tp>
      <tp>
        <v>-0.61</v>
        <stp/>
        <stp>DELTA</stp>
        <stp>.SPXW250505P5670</stp>
        <tr r="CE105" s="1"/>
        <tr r="CE105" s="1"/>
      </tp>
      <tp>
        <v>-0.7</v>
        <stp/>
        <stp>DELTA</stp>
        <stp>.SPXW250516P5740</stp>
        <tr r="CI98" s="1"/>
        <tr r="CI98" s="1"/>
      </tp>
      <tp>
        <v>0.01</v>
        <stp/>
        <stp>DELTA</stp>
        <stp>.SPXW250505C5670</stp>
        <tr r="CD105" s="1"/>
        <tr r="CD105" s="1"/>
      </tp>
      <tp>
        <v>0.31</v>
        <stp/>
        <stp>DELTA</stp>
        <stp>.SPXW250516C5740</stp>
        <tr r="CH98" s="1"/>
        <tr r="CH98" s="1"/>
      </tp>
      <tp>
        <v>-0.01</v>
        <stp/>
        <stp>DELTA</stp>
        <stp>.SPXW250505P5640</stp>
        <tr r="CE108" s="1"/>
        <tr r="CE108" s="1"/>
      </tp>
      <tp>
        <v>-1</v>
        <stp/>
        <stp>DELTA</stp>
        <stp>.SPXW250509P5680</stp>
        <tr r="CG104" s="1"/>
        <tr r="CG104" s="1"/>
      </tp>
      <tp>
        <v>-0.77</v>
        <stp/>
        <stp>DELTA</stp>
        <stp>.SPXW250516P5770</stp>
        <tr r="CI95" s="1"/>
        <tr r="CI95" s="1"/>
      </tp>
      <tp>
        <v>1</v>
        <stp/>
        <stp>DELTA</stp>
        <stp>.SPXW250505C5640</stp>
        <tr r="CD108" s="1"/>
        <tr r="CD108" s="1"/>
      </tp>
      <tp>
        <v>0.01</v>
        <stp/>
        <stp>DELTA</stp>
        <stp>.SPXW250509C5680</stp>
        <tr r="CF104" s="1"/>
        <tr r="CF104" s="1"/>
      </tp>
      <tp>
        <v>0.24</v>
        <stp/>
        <stp>DELTA</stp>
        <stp>.SPXW250516C5770</stp>
        <tr r="CH95" s="1"/>
        <tr r="CH95" s="1"/>
      </tp>
      <tp>
        <v>-0.12</v>
        <stp/>
        <stp>DELTA</stp>
        <stp>.SPXW250505P5650</stp>
        <tr r="CE107" s="1"/>
        <tr r="CE107" s="1"/>
      </tp>
      <tp>
        <v>-0.93</v>
        <stp/>
        <stp>DELTA</stp>
        <stp>.SPXW250509P5690</stp>
        <tr r="CG103" s="1"/>
        <tr r="CG103" s="1"/>
      </tp>
      <tp>
        <v>-0.75</v>
        <stp/>
        <stp>DELTA</stp>
        <stp>.SPXW250516P5760</stp>
        <tr r="CI96" s="1"/>
        <tr r="CI96" s="1"/>
      </tp>
      <tp>
        <v>1</v>
        <stp/>
        <stp>DELTA</stp>
        <stp>.SPXW250505C5650</stp>
        <tr r="CD107" s="1"/>
        <tr r="CD107" s="1"/>
      </tp>
      <tp>
        <v>0.01</v>
        <stp/>
        <stp>DELTA</stp>
        <stp>.SPXW250509C5690</stp>
        <tr r="CF103" s="1"/>
        <tr r="CF103" s="1"/>
      </tp>
      <tp>
        <v>0.27</v>
        <stp/>
        <stp>DELTA</stp>
        <stp>.SPXW250516C5760</stp>
        <tr r="CH96" s="1"/>
        <tr r="CH96" s="1"/>
      </tp>
      <tp>
        <v>-0.01</v>
        <stp/>
        <stp>DELTA</stp>
        <stp>.SPXW250505P5620</stp>
        <tr r="CE110" s="1"/>
        <tr r="CE110" s="1"/>
      </tp>
      <tp>
        <v>-0.62</v>
        <stp/>
        <stp>DELTA</stp>
        <stp>.SPXW250516P5710</stp>
        <tr r="CI101" s="1"/>
        <tr r="CI101" s="1"/>
      </tp>
      <tp>
        <v>1</v>
        <stp/>
        <stp>DELTA</stp>
        <stp>.SPXW250505C5620</stp>
        <tr r="CD110" s="1"/>
        <tr r="CD110" s="1"/>
      </tp>
      <tp>
        <v>0.39</v>
        <stp/>
        <stp>DELTA</stp>
        <stp>.SPXW250516C5710</stp>
        <tr r="CH101" s="1"/>
        <tr r="CH101" s="1"/>
      </tp>
      <tp>
        <v>-0.01</v>
        <stp/>
        <stp>DELTA</stp>
        <stp>.SPXW250505P5630</stp>
        <tr r="CE109" s="1"/>
        <tr r="CE109" s="1"/>
      </tp>
      <tp>
        <v>-0.59</v>
        <stp/>
        <stp>DELTA</stp>
        <stp>.SPXW250516P5700</stp>
        <tr r="CI102" s="1"/>
        <tr r="CI102" s="1"/>
      </tp>
      <tp>
        <v>1</v>
        <stp/>
        <stp>DELTA</stp>
        <stp>.SPXW250505C5630</stp>
        <tr r="CD109" s="1"/>
        <tr r="CD109" s="1"/>
      </tp>
      <tp>
        <v>0.41</v>
        <stp/>
        <stp>DELTA</stp>
        <stp>.SPXW250516C5700</stp>
        <tr r="CH102" s="1"/>
        <tr r="CH102" s="1"/>
      </tp>
      <tp>
        <v>0</v>
        <stp/>
        <stp>DELTA</stp>
        <stp>.SPXW250505P5600</stp>
        <tr r="CE112" s="1"/>
        <tr r="CE112" s="1"/>
      </tp>
      <tp>
        <v>-0.67</v>
        <stp/>
        <stp>DELTA</stp>
        <stp>.SPXW250516P5730</stp>
        <tr r="CI99" s="1"/>
        <tr r="CI99" s="1"/>
      </tp>
      <tp>
        <v>1</v>
        <stp/>
        <stp>DELTA</stp>
        <stp>.SPXW250505C5600</stp>
        <tr r="CD112" s="1"/>
        <tr r="CD112" s="1"/>
      </tp>
      <tp>
        <v>0.34</v>
        <stp/>
        <stp>DELTA</stp>
        <stp>.SPXW250516C5730</stp>
        <tr r="CH99" s="1"/>
        <tr r="CH99" s="1"/>
      </tp>
      <tp>
        <v>0</v>
        <stp/>
        <stp>DELTA</stp>
        <stp>.SPXW250505P5610</stp>
        <tr r="CE111" s="1"/>
        <tr r="CE111" s="1"/>
      </tp>
      <tp>
        <v>-0.64</v>
        <stp/>
        <stp>DELTA</stp>
        <stp>.SPXW250516P5720</stp>
        <tr r="CI100" s="1"/>
        <tr r="CI100" s="1"/>
      </tp>
      <tp>
        <v>1</v>
        <stp/>
        <stp>DELTA</stp>
        <stp>.SPXW250505C5610</stp>
        <tr r="CD111" s="1"/>
        <tr r="CD111" s="1"/>
      </tp>
      <tp>
        <v>0.36</v>
        <stp/>
        <stp>DELTA</stp>
        <stp>.SPXW250516C5720</stp>
        <tr r="CH100" s="1"/>
        <tr r="CH100" s="1"/>
      </tp>
      <tp>
        <v>11</v>
        <stp/>
        <stp>VOLUME</stp>
        <stp>.SPY250606P580</stp>
        <tr r="J7" s="2"/>
        <tr r="J7" s="2"/>
      </tp>
      <tp>
        <v>818</v>
        <stp/>
        <stp>VOLUME</stp>
        <stp>.SPY250606C580</stp>
        <tr r="J7" s="2"/>
        <tr r="J7" s="2"/>
      </tp>
      <tp t="s">
        <v>N/A</v>
        <stp/>
        <stp>VOLUME</stp>
        <stp>.SPY250606P581</stp>
        <tr r="J6" s="2"/>
      </tp>
      <tp>
        <v>55</v>
        <stp/>
        <stp>VOLUME</stp>
        <stp>.SPY250606C581</stp>
        <tr r="J6" s="2"/>
        <tr r="J6" s="2"/>
      </tp>
      <tp>
        <v>1</v>
        <stp/>
        <stp>VOLUME</stp>
        <stp>.SPY250606P582</stp>
        <tr r="J5" s="2"/>
        <tr r="J5" s="2"/>
      </tp>
      <tp>
        <v>63</v>
        <stp/>
        <stp>VOLUME</stp>
        <stp>.SPY250606C582</stp>
        <tr r="J5" s="2"/>
        <tr r="J5" s="2"/>
      </tp>
      <tp>
        <v>1</v>
        <stp/>
        <stp>VOLUME</stp>
        <stp>.SPY250630P582</stp>
        <tr r="L5" s="2"/>
        <tr r="L5" s="2"/>
      </tp>
      <tp>
        <v>10</v>
        <stp/>
        <stp>VOLUME</stp>
        <stp>.SPY250630C582</stp>
        <tr r="L5" s="2"/>
        <tr r="L5" s="2"/>
      </tp>
      <tp>
        <v>12</v>
        <stp/>
        <stp>VOLUME</stp>
        <stp>.SPY250630P580</stp>
        <tr r="L7" s="2"/>
        <tr r="L7" s="2"/>
      </tp>
      <tp>
        <v>610</v>
        <stp/>
        <stp>VOLUME</stp>
        <stp>.SPY250630C580</stp>
        <tr r="L7" s="2"/>
        <tr r="L7" s="2"/>
      </tp>
      <tp t="s">
        <v>N/A</v>
        <stp/>
        <stp>VOLUME</stp>
        <stp>.SPY250630P581</stp>
        <tr r="L6" s="2"/>
      </tp>
      <tp>
        <v>92</v>
        <stp/>
        <stp>VOLUME</stp>
        <stp>.SPY250630C581</stp>
        <tr r="L6" s="2"/>
        <tr r="L6" s="2"/>
      </tp>
      <tp t="s">
        <v>N/A</v>
        <stp/>
        <stp>VOLUME</stp>
        <stp>.SPY250620P582</stp>
        <tr r="K5" s="2"/>
      </tp>
      <tp>
        <v>273</v>
        <stp/>
        <stp>VOLUME</stp>
        <stp>.SPY250620C582</stp>
        <tr r="K5" s="2"/>
        <tr r="K5" s="2"/>
      </tp>
      <tp>
        <v>330</v>
        <stp/>
        <stp>VOLUME</stp>
        <stp>.SPY250620P580</stp>
        <tr r="K7" s="2"/>
        <tr r="K7" s="2"/>
      </tp>
      <tp>
        <v>2140</v>
        <stp/>
        <stp>VOLUME</stp>
        <stp>.SPY250620C580</stp>
        <tr r="K7" s="2"/>
        <tr r="K7" s="2"/>
      </tp>
      <tp t="s">
        <v>N/A</v>
        <stp/>
        <stp>VOLUME</stp>
        <stp>.SPY250620P581</stp>
        <tr r="K6" s="2"/>
      </tp>
      <tp>
        <v>518</v>
        <stp/>
        <stp>VOLUME</stp>
        <stp>.SPY250620C581</stp>
        <tr r="K6" s="2"/>
        <tr r="K6" s="2"/>
      </tp>
      <tp>
        <v>441</v>
        <stp/>
        <stp>VOLUME</stp>
        <stp>.SPY250606P550</stp>
        <tr r="J37" s="2"/>
        <tr r="J37" s="2"/>
      </tp>
      <tp>
        <v>84</v>
        <stp/>
        <stp>VOLUME</stp>
        <stp>.SPY250620P576</stp>
        <tr r="K11" s="2"/>
        <tr r="K11" s="2"/>
      </tp>
      <tp>
        <v>27</v>
        <stp/>
        <stp>VOLUME</stp>
        <stp>.SPY250630P566</stp>
        <tr r="L21" s="2"/>
        <tr r="L21" s="2"/>
      </tp>
      <tp>
        <v>48</v>
        <stp/>
        <stp>VOLUME</stp>
        <stp>.SPY250606C550</stp>
        <tr r="J37" s="2"/>
        <tr r="J37" s="2"/>
      </tp>
      <tp>
        <v>444</v>
        <stp/>
        <stp>VOLUME</stp>
        <stp>.SPY250620C576</stp>
        <tr r="K11" s="2"/>
        <tr r="K11" s="2"/>
      </tp>
      <tp>
        <v>89</v>
        <stp/>
        <stp>VOLUME</stp>
        <stp>.SPY250630C566</stp>
        <tr r="L21" s="2"/>
        <tr r="L21" s="2"/>
      </tp>
      <tp>
        <v>26</v>
        <stp/>
        <stp>VOLUME</stp>
        <stp>.SPY250606P551</stp>
        <tr r="J36" s="2"/>
        <tr r="J36" s="2"/>
      </tp>
      <tp>
        <v>72</v>
        <stp/>
        <stp>VOLUME</stp>
        <stp>.SPY250620P577</stp>
        <tr r="K10" s="2"/>
        <tr r="K10" s="2"/>
      </tp>
      <tp>
        <v>109</v>
        <stp/>
        <stp>VOLUME</stp>
        <stp>.SPY250630P567</stp>
        <tr r="L20" s="2"/>
        <tr r="L20" s="2"/>
      </tp>
      <tp>
        <v>1</v>
        <stp/>
        <stp>VOLUME</stp>
        <stp>.SPY250606C551</stp>
        <tr r="J36" s="2"/>
        <tr r="J36" s="2"/>
      </tp>
      <tp>
        <v>272</v>
        <stp/>
        <stp>VOLUME</stp>
        <stp>.SPY250620C577</stp>
        <tr r="K10" s="2"/>
        <tr r="K10" s="2"/>
      </tp>
      <tp>
        <v>195</v>
        <stp/>
        <stp>VOLUME</stp>
        <stp>.SPY250630C567</stp>
        <tr r="L20" s="2"/>
        <tr r="L20" s="2"/>
      </tp>
      <tp>
        <v>10</v>
        <stp/>
        <stp>VOLUME</stp>
        <stp>.SPY250606P552</stp>
        <tr r="J35" s="2"/>
        <tr r="J35" s="2"/>
      </tp>
      <tp>
        <v>124</v>
        <stp/>
        <stp>VOLUME</stp>
        <stp>.SPY250620P574</stp>
        <tr r="K13" s="2"/>
        <tr r="K13" s="2"/>
      </tp>
      <tp>
        <v>178</v>
        <stp/>
        <stp>VOLUME</stp>
        <stp>.SPY250630P564</stp>
        <tr r="L23" s="2"/>
        <tr r="L23" s="2"/>
      </tp>
      <tp>
        <v>2</v>
        <stp/>
        <stp>VOLUME</stp>
        <stp>.SPY250606C552</stp>
        <tr r="J35" s="2"/>
        <tr r="J35" s="2"/>
      </tp>
      <tp>
        <v>193</v>
        <stp/>
        <stp>VOLUME</stp>
        <stp>.SPY250620C574</stp>
        <tr r="K13" s="2"/>
        <tr r="K13" s="2"/>
      </tp>
      <tp>
        <v>265</v>
        <stp/>
        <stp>VOLUME</stp>
        <stp>.SPY250630C564</stp>
        <tr r="L23" s="2"/>
        <tr r="L23" s="2"/>
      </tp>
      <tp>
        <v>78</v>
        <stp/>
        <stp>VOLUME</stp>
        <stp>.SPY250606P553</stp>
        <tr r="J34" s="2"/>
        <tr r="J34" s="2"/>
      </tp>
      <tp>
        <v>280</v>
        <stp/>
        <stp>VOLUME</stp>
        <stp>.SPY250620P575</stp>
        <tr r="K12" s="2"/>
        <tr r="K12" s="2"/>
      </tp>
      <tp>
        <v>397</v>
        <stp/>
        <stp>VOLUME</stp>
        <stp>.SPY250630P565</stp>
        <tr r="L22" s="2"/>
        <tr r="L22" s="2"/>
      </tp>
      <tp>
        <v>7</v>
        <stp/>
        <stp>VOLUME</stp>
        <stp>.SPY250606C553</stp>
        <tr r="J34" s="2"/>
        <tr r="J34" s="2"/>
      </tp>
      <tp>
        <v>3225</v>
        <stp/>
        <stp>VOLUME</stp>
        <stp>.SPY250620C575</stp>
        <tr r="K12" s="2"/>
        <tr r="K12" s="2"/>
      </tp>
      <tp>
        <v>325</v>
        <stp/>
        <stp>VOLUME</stp>
        <stp>.SPY250630C565</stp>
        <tr r="L22" s="2"/>
        <tr r="L22" s="2"/>
      </tp>
      <tp>
        <v>260</v>
        <stp/>
        <stp>VOLUME</stp>
        <stp>.SPY250606P554</stp>
        <tr r="J33" s="2"/>
        <tr r="J33" s="2"/>
      </tp>
      <tp>
        <v>8</v>
        <stp/>
        <stp>VOLUME</stp>
        <stp>.SPY250620P572</stp>
        <tr r="K15" s="2"/>
        <tr r="K15" s="2"/>
      </tp>
      <tp>
        <v>34</v>
        <stp/>
        <stp>VOLUME</stp>
        <stp>.SPY250630P562</stp>
        <tr r="L25" s="2"/>
        <tr r="L25" s="2"/>
      </tp>
      <tp>
        <v>42</v>
        <stp/>
        <stp>VOLUME</stp>
        <stp>.SPY250606C554</stp>
        <tr r="J33" s="2"/>
        <tr r="J33" s="2"/>
      </tp>
      <tp>
        <v>270</v>
        <stp/>
        <stp>VOLUME</stp>
        <stp>.SPY250620C572</stp>
        <tr r="K15" s="2"/>
        <tr r="K15" s="2"/>
      </tp>
      <tp>
        <v>6</v>
        <stp/>
        <stp>VOLUME</stp>
        <stp>.SPY250630C562</stp>
        <tr r="L25" s="2"/>
        <tr r="L25" s="2"/>
      </tp>
      <tp>
        <v>519</v>
        <stp/>
        <stp>VOLUME</stp>
        <stp>.SPY250606P555</stp>
        <tr r="J32" s="2"/>
        <tr r="J32" s="2"/>
      </tp>
      <tp>
        <v>62</v>
        <stp/>
        <stp>VOLUME</stp>
        <stp>.SPY250620P573</stp>
        <tr r="K14" s="2"/>
        <tr r="K14" s="2"/>
      </tp>
      <tp>
        <v>41</v>
        <stp/>
        <stp>VOLUME</stp>
        <stp>.SPY250630P563</stp>
        <tr r="L24" s="2"/>
        <tr r="L24" s="2"/>
      </tp>
      <tp>
        <v>77</v>
        <stp/>
        <stp>VOLUME</stp>
        <stp>.SPY250606C555</stp>
        <tr r="J32" s="2"/>
        <tr r="J32" s="2"/>
      </tp>
      <tp>
        <v>222</v>
        <stp/>
        <stp>VOLUME</stp>
        <stp>.SPY250620C573</stp>
        <tr r="K14" s="2"/>
        <tr r="K14" s="2"/>
      </tp>
      <tp>
        <v>123</v>
        <stp/>
        <stp>VOLUME</stp>
        <stp>.SPY250630C563</stp>
        <tr r="L24" s="2"/>
        <tr r="L24" s="2"/>
      </tp>
      <tp>
        <v>107</v>
        <stp/>
        <stp>VOLUME</stp>
        <stp>.SPY250606P556</stp>
        <tr r="J31" s="2"/>
        <tr r="J31" s="2"/>
      </tp>
      <tp>
        <v>2752</v>
        <stp/>
        <stp>VOLUME</stp>
        <stp>.SPY250620P570</stp>
        <tr r="K17" s="2"/>
        <tr r="K17" s="2"/>
      </tp>
      <tp>
        <v>695</v>
        <stp/>
        <stp>VOLUME</stp>
        <stp>.SPY250630P560</stp>
        <tr r="L27" s="2"/>
        <tr r="L27" s="2"/>
      </tp>
      <tp>
        <v>1</v>
        <stp/>
        <stp>VOLUME</stp>
        <stp>.SPY250606C556</stp>
        <tr r="J31" s="2"/>
        <tr r="J31" s="2"/>
      </tp>
      <tp>
        <v>2702</v>
        <stp/>
        <stp>VOLUME</stp>
        <stp>.SPY250620C570</stp>
        <tr r="K17" s="2"/>
        <tr r="K17" s="2"/>
      </tp>
      <tp>
        <v>37</v>
        <stp/>
        <stp>VOLUME</stp>
        <stp>.SPY250630C560</stp>
        <tr r="L27" s="2"/>
        <tr r="L27" s="2"/>
      </tp>
      <tp>
        <v>195</v>
        <stp/>
        <stp>VOLUME</stp>
        <stp>.SPY250606P557</stp>
        <tr r="J30" s="2"/>
        <tr r="J30" s="2"/>
      </tp>
      <tp>
        <v>90</v>
        <stp/>
        <stp>VOLUME</stp>
        <stp>.SPY250620P571</stp>
        <tr r="K16" s="2"/>
        <tr r="K16" s="2"/>
      </tp>
      <tp>
        <v>37</v>
        <stp/>
        <stp>VOLUME</stp>
        <stp>.SPY250630P561</stp>
        <tr r="L26" s="2"/>
        <tr r="L26" s="2"/>
      </tp>
      <tp>
        <v>2</v>
        <stp/>
        <stp>VOLUME</stp>
        <stp>.SPY250606C557</stp>
        <tr r="J30" s="2"/>
        <tr r="J30" s="2"/>
      </tp>
      <tp>
        <v>188</v>
        <stp/>
        <stp>VOLUME</stp>
        <stp>.SPY250620C571</stp>
        <tr r="K16" s="2"/>
        <tr r="K16" s="2"/>
      </tp>
      <tp>
        <v>2</v>
        <stp/>
        <stp>VOLUME</stp>
        <stp>.SPY250630C561</stp>
        <tr r="L26" s="2"/>
        <tr r="L26" s="2"/>
      </tp>
      <tp>
        <v>22</v>
        <stp/>
        <stp>VOLUME</stp>
        <stp>.SPY250606P558</stp>
        <tr r="J29" s="2"/>
        <tr r="J29" s="2"/>
      </tp>
      <tp>
        <v>33</v>
        <stp/>
        <stp>VOLUME</stp>
        <stp>.SPY250606C558</stp>
        <tr r="J29" s="2"/>
        <tr r="J29" s="2"/>
      </tp>
      <tp>
        <v>149</v>
        <stp/>
        <stp>VOLUME</stp>
        <stp>.SPY250606P559</stp>
        <tr r="J28" s="2"/>
        <tr r="J28" s="2"/>
      </tp>
      <tp>
        <v>31</v>
        <stp/>
        <stp>VOLUME</stp>
        <stp>.SPY250606C559</stp>
        <tr r="J28" s="2"/>
        <tr r="J28" s="2"/>
      </tp>
      <tp>
        <v>56</v>
        <stp/>
        <stp>VOLUME</stp>
        <stp>.SPY250620P578</stp>
        <tr r="K9" s="2"/>
        <tr r="K9" s="2"/>
      </tp>
      <tp>
        <v>60</v>
        <stp/>
        <stp>VOLUME</stp>
        <stp>.SPY250630P568</stp>
        <tr r="L19" s="2"/>
        <tr r="L19" s="2"/>
      </tp>
      <tp>
        <v>519</v>
        <stp/>
        <stp>VOLUME</stp>
        <stp>.SPY250620C578</stp>
        <tr r="K9" s="2"/>
        <tr r="K9" s="2"/>
      </tp>
      <tp>
        <v>53</v>
        <stp/>
        <stp>VOLUME</stp>
        <stp>.SPY250630C568</stp>
        <tr r="L19" s="2"/>
        <tr r="L19" s="2"/>
      </tp>
      <tp>
        <v>31</v>
        <stp/>
        <stp>VOLUME</stp>
        <stp>.SPY250620P579</stp>
        <tr r="K8" s="2"/>
        <tr r="K8" s="2"/>
      </tp>
      <tp>
        <v>34</v>
        <stp/>
        <stp>VOLUME</stp>
        <stp>.SPY250630P569</stp>
        <tr r="L18" s="2"/>
        <tr r="L18" s="2"/>
      </tp>
      <tp>
        <v>514</v>
        <stp/>
        <stp>VOLUME</stp>
        <stp>.SPY250620C579</stp>
        <tr r="K8" s="2"/>
        <tr r="K8" s="2"/>
      </tp>
      <tp>
        <v>26</v>
        <stp/>
        <stp>VOLUME</stp>
        <stp>.SPY250630C569</stp>
        <tr r="L18" s="2"/>
        <tr r="L18" s="2"/>
      </tp>
      <tp>
        <v>491</v>
        <stp/>
        <stp>VOLUME</stp>
        <stp>.SPY250620P566</stp>
        <tr r="K21" s="2"/>
        <tr r="K21" s="2"/>
      </tp>
      <tp t="s">
        <v>N/A</v>
        <stp/>
        <stp>VOLUME</stp>
        <stp>.SPY250630P576</stp>
        <tr r="L11" s="2"/>
      </tp>
      <tp>
        <v>312</v>
        <stp/>
        <stp>VOLUME</stp>
        <stp>.SPY250620C566</stp>
        <tr r="K21" s="2"/>
        <tr r="K21" s="2"/>
      </tp>
      <tp>
        <v>12</v>
        <stp/>
        <stp>VOLUME</stp>
        <stp>.SPY250630C576</stp>
        <tr r="L11" s="2"/>
        <tr r="L11" s="2"/>
      </tp>
      <tp>
        <v>491</v>
        <stp/>
        <stp>VOLUME</stp>
        <stp>.SPY250620P567</stp>
        <tr r="K20" s="2"/>
        <tr r="K20" s="2"/>
      </tp>
      <tp t="s">
        <v>N/A</v>
        <stp/>
        <stp>VOLUME</stp>
        <stp>.SPY250630P577</stp>
        <tr r="L10" s="2"/>
      </tp>
      <tp>
        <v>230</v>
        <stp/>
        <stp>VOLUME</stp>
        <stp>.SPY250620C567</stp>
        <tr r="K20" s="2"/>
        <tr r="K20" s="2"/>
      </tp>
      <tp>
        <v>9</v>
        <stp/>
        <stp>VOLUME</stp>
        <stp>.SPY250630C577</stp>
        <tr r="L10" s="2"/>
        <tr r="L10" s="2"/>
      </tp>
      <tp>
        <v>751</v>
        <stp/>
        <stp>VOLUME</stp>
        <stp>.SPY250620P564</stp>
        <tr r="K23" s="2"/>
        <tr r="K23" s="2"/>
      </tp>
      <tp>
        <v>3</v>
        <stp/>
        <stp>VOLUME</stp>
        <stp>.SPY250630P574</stp>
        <tr r="L13" s="2"/>
        <tr r="L13" s="2"/>
      </tp>
      <tp>
        <v>728</v>
        <stp/>
        <stp>VOLUME</stp>
        <stp>.SPY250620C564</stp>
        <tr r="K23" s="2"/>
        <tr r="K23" s="2"/>
      </tp>
      <tp>
        <v>21</v>
        <stp/>
        <stp>VOLUME</stp>
        <stp>.SPY250630C574</stp>
        <tr r="L13" s="2"/>
        <tr r="L13" s="2"/>
      </tp>
      <tp>
        <v>7136</v>
        <stp/>
        <stp>VOLUME</stp>
        <stp>.SPY250620P565</stp>
        <tr r="K22" s="2"/>
        <tr r="K22" s="2"/>
      </tp>
      <tp>
        <v>20</v>
        <stp/>
        <stp>VOLUME</stp>
        <stp>.SPY250630P575</stp>
        <tr r="L12" s="2"/>
        <tr r="L12" s="2"/>
      </tp>
      <tp>
        <v>2738</v>
        <stp/>
        <stp>VOLUME</stp>
        <stp>.SPY250620C565</stp>
        <tr r="K22" s="2"/>
        <tr r="K22" s="2"/>
      </tp>
      <tp>
        <v>383</v>
        <stp/>
        <stp>VOLUME</stp>
        <stp>.SPY250630C575</stp>
        <tr r="L12" s="2"/>
        <tr r="L12" s="2"/>
      </tp>
      <tp>
        <v>341</v>
        <stp/>
        <stp>VOLUME</stp>
        <stp>.SPY250620P562</stp>
        <tr r="K25" s="2"/>
        <tr r="K25" s="2"/>
      </tp>
      <tp>
        <v>27</v>
        <stp/>
        <stp>VOLUME</stp>
        <stp>.SPY250630P572</stp>
        <tr r="L15" s="2"/>
        <tr r="L15" s="2"/>
      </tp>
      <tp>
        <v>154</v>
        <stp/>
        <stp>VOLUME</stp>
        <stp>.SPY250620C562</stp>
        <tr r="K25" s="2"/>
        <tr r="K25" s="2"/>
      </tp>
      <tp>
        <v>9</v>
        <stp/>
        <stp>VOLUME</stp>
        <stp>.SPY250630C572</stp>
        <tr r="L15" s="2"/>
        <tr r="L15" s="2"/>
      </tp>
      <tp>
        <v>572</v>
        <stp/>
        <stp>VOLUME</stp>
        <stp>.SPY250620P563</stp>
        <tr r="K24" s="2"/>
        <tr r="K24" s="2"/>
      </tp>
      <tp t="s">
        <v>N/A</v>
        <stp/>
        <stp>VOLUME</stp>
        <stp>.SPY250630P573</stp>
        <tr r="L14" s="2"/>
      </tp>
      <tp>
        <v>237</v>
        <stp/>
        <stp>VOLUME</stp>
        <stp>.SPY250620C563</stp>
        <tr r="K24" s="2"/>
        <tr r="K24" s="2"/>
      </tp>
      <tp>
        <v>43</v>
        <stp/>
        <stp>VOLUME</stp>
        <stp>.SPY250630C573</stp>
        <tr r="L14" s="2"/>
        <tr r="L14" s="2"/>
      </tp>
      <tp>
        <v>7997</v>
        <stp/>
        <stp>VOLUME</stp>
        <stp>.SPY250620P560</stp>
        <tr r="K27" s="2"/>
        <tr r="K27" s="2"/>
      </tp>
      <tp>
        <v>316</v>
        <stp/>
        <stp>VOLUME</stp>
        <stp>.SPY250630P570</stp>
        <tr r="L17" s="2"/>
        <tr r="L17" s="2"/>
      </tp>
      <tp>
        <v>1339</v>
        <stp/>
        <stp>VOLUME</stp>
        <stp>.SPY250620C560</stp>
        <tr r="K27" s="2"/>
        <tr r="K27" s="2"/>
      </tp>
      <tp>
        <v>1037</v>
        <stp/>
        <stp>VOLUME</stp>
        <stp>.SPY250630C570</stp>
        <tr r="L17" s="2"/>
        <tr r="L17" s="2"/>
      </tp>
      <tp>
        <v>445</v>
        <stp/>
        <stp>VOLUME</stp>
        <stp>.SPY250620P561</stp>
        <tr r="K26" s="2"/>
        <tr r="K26" s="2"/>
      </tp>
      <tp>
        <v>4</v>
        <stp/>
        <stp>VOLUME</stp>
        <stp>.SPY250630P571</stp>
        <tr r="L16" s="2"/>
        <tr r="L16" s="2"/>
      </tp>
      <tp>
        <v>111</v>
        <stp/>
        <stp>VOLUME</stp>
        <stp>.SPY250620C561</stp>
        <tr r="K26" s="2"/>
        <tr r="K26" s="2"/>
      </tp>
      <tp>
        <v>17</v>
        <stp/>
        <stp>VOLUME</stp>
        <stp>.SPY250630C571</stp>
        <tr r="L16" s="2"/>
        <tr r="L16" s="2"/>
      </tp>
      <tp>
        <v>22</v>
        <stp/>
        <stp>VOLUME</stp>
        <stp>.SPY250606P548</stp>
        <tr r="J39" s="2"/>
        <tr r="J39" s="2"/>
      </tp>
      <tp>
        <v>7</v>
        <stp/>
        <stp>VOLUME</stp>
        <stp>.SPY250606C548</stp>
        <tr r="J39" s="2"/>
        <tr r="J39" s="2"/>
      </tp>
      <tp>
        <v>192</v>
        <stp/>
        <stp>VOLUME</stp>
        <stp>.SPY250606P549</stp>
        <tr r="J38" s="2"/>
        <tr r="J38" s="2"/>
      </tp>
      <tp>
        <v>3</v>
        <stp/>
        <stp>VOLUME</stp>
        <stp>.SPY250606C549</stp>
        <tr r="J38" s="2"/>
        <tr r="J38" s="2"/>
      </tp>
      <tp>
        <v>809</v>
        <stp/>
        <stp>VOLUME</stp>
        <stp>.SPY250620P568</stp>
        <tr r="K19" s="2"/>
        <tr r="K19" s="2"/>
      </tp>
      <tp>
        <v>2</v>
        <stp/>
        <stp>VOLUME</stp>
        <stp>.SPY250630P578</stp>
        <tr r="L9" s="2"/>
        <tr r="L9" s="2"/>
      </tp>
      <tp>
        <v>766</v>
        <stp/>
        <stp>VOLUME</stp>
        <stp>.SPY250620C568</stp>
        <tr r="K19" s="2"/>
        <tr r="K19" s="2"/>
      </tp>
      <tp>
        <v>40</v>
        <stp/>
        <stp>VOLUME</stp>
        <stp>.SPY250630C578</stp>
        <tr r="L9" s="2"/>
        <tr r="L9" s="2"/>
      </tp>
      <tp>
        <v>313</v>
        <stp/>
        <stp>VOLUME</stp>
        <stp>.SPY250620P569</stp>
        <tr r="K18" s="2"/>
        <tr r="K18" s="2"/>
      </tp>
      <tp>
        <v>40</v>
        <stp/>
        <stp>VOLUME</stp>
        <stp>.SPY250630P579</stp>
        <tr r="L8" s="2"/>
        <tr r="L8" s="2"/>
      </tp>
      <tp>
        <v>369</v>
        <stp/>
        <stp>VOLUME</stp>
        <stp>.SPY250620C569</stp>
        <tr r="K18" s="2"/>
        <tr r="K18" s="2"/>
      </tp>
      <tp>
        <v>6</v>
        <stp/>
        <stp>VOLUME</stp>
        <stp>.SPY250630C579</stp>
        <tr r="L8" s="2"/>
        <tr r="L8" s="2"/>
      </tp>
      <tp>
        <v>152</v>
        <stp/>
        <stp>VOLUME</stp>
        <stp>.SPY250606P570</stp>
        <tr r="J17" s="2"/>
        <tr r="J17" s="2"/>
      </tp>
      <tp>
        <v>378</v>
        <stp/>
        <stp>VOLUME</stp>
        <stp>.SPY250620P556</stp>
        <tr r="K31" s="2"/>
        <tr r="K31" s="2"/>
      </tp>
      <tp>
        <v>1216</v>
        <stp/>
        <stp>VOLUME</stp>
        <stp>.SPY250606C570</stp>
        <tr r="J17" s="2"/>
        <tr r="J17" s="2"/>
      </tp>
      <tp>
        <v>17</v>
        <stp/>
        <stp>VOLUME</stp>
        <stp>.SPY250620C556</stp>
        <tr r="K31" s="2"/>
        <tr r="K31" s="2"/>
      </tp>
      <tp>
        <v>16</v>
        <stp/>
        <stp>VOLUME</stp>
        <stp>.SPY250606P571</stp>
        <tr r="J16" s="2"/>
        <tr r="J16" s="2"/>
      </tp>
      <tp>
        <v>433</v>
        <stp/>
        <stp>VOLUME</stp>
        <stp>.SPY250620P557</stp>
        <tr r="K30" s="2"/>
        <tr r="K30" s="2"/>
      </tp>
      <tp>
        <v>183</v>
        <stp/>
        <stp>VOLUME</stp>
        <stp>.SPY250606C571</stp>
        <tr r="J16" s="2"/>
        <tr r="J16" s="2"/>
      </tp>
      <tp>
        <v>62</v>
        <stp/>
        <stp>VOLUME</stp>
        <stp>.SPY250620C557</stp>
        <tr r="K30" s="2"/>
        <tr r="K30" s="2"/>
      </tp>
      <tp>
        <v>5</v>
        <stp/>
        <stp>VOLUME</stp>
        <stp>.SPY250606P572</stp>
        <tr r="J15" s="2"/>
        <tr r="J15" s="2"/>
      </tp>
      <tp>
        <v>639</v>
        <stp/>
        <stp>VOLUME</stp>
        <stp>.SPY250620P554</stp>
        <tr r="K33" s="2"/>
        <tr r="K33" s="2"/>
      </tp>
      <tp>
        <v>431</v>
        <stp/>
        <stp>VOLUME</stp>
        <stp>.SPY250606C572</stp>
        <tr r="J15" s="2"/>
        <tr r="J15" s="2"/>
      </tp>
      <tp>
        <v>11</v>
        <stp/>
        <stp>VOLUME</stp>
        <stp>.SPY250620C554</stp>
        <tr r="K33" s="2"/>
        <tr r="K33" s="2"/>
      </tp>
      <tp t="s">
        <v>N/A</v>
        <stp/>
        <stp>VOLUME</stp>
        <stp>.SPY250606P573</stp>
        <tr r="J14" s="2"/>
      </tp>
      <tp>
        <v>1088</v>
        <stp/>
        <stp>VOLUME</stp>
        <stp>.SPY250620P555</stp>
        <tr r="K32" s="2"/>
        <tr r="K32" s="2"/>
      </tp>
      <tp>
        <v>204</v>
        <stp/>
        <stp>VOLUME</stp>
        <stp>.SPY250606C573</stp>
        <tr r="J14" s="2"/>
        <tr r="J14" s="2"/>
      </tp>
      <tp>
        <v>345</v>
        <stp/>
        <stp>VOLUME</stp>
        <stp>.SPY250620C555</stp>
        <tr r="K32" s="2"/>
        <tr r="K32" s="2"/>
      </tp>
      <tp>
        <v>1</v>
        <stp/>
        <stp>VOLUME</stp>
        <stp>.SPY250606P574</stp>
        <tr r="J13" s="2"/>
        <tr r="J13" s="2"/>
      </tp>
      <tp>
        <v>397</v>
        <stp/>
        <stp>VOLUME</stp>
        <stp>.SPY250620P552</stp>
        <tr r="K35" s="2"/>
        <tr r="K35" s="2"/>
      </tp>
      <tp>
        <v>117</v>
        <stp/>
        <stp>VOLUME</stp>
        <stp>.SPY250606C574</stp>
        <tr r="J13" s="2"/>
        <tr r="J13" s="2"/>
      </tp>
      <tp>
        <v>11</v>
        <stp/>
        <stp>VOLUME</stp>
        <stp>.SPY250620C552</stp>
        <tr r="K35" s="2"/>
        <tr r="K35" s="2"/>
      </tp>
      <tp>
        <v>12</v>
        <stp/>
        <stp>VOLUME</stp>
        <stp>.SPY250606P575</stp>
        <tr r="J12" s="2"/>
        <tr r="J12" s="2"/>
      </tp>
      <tp>
        <v>347</v>
        <stp/>
        <stp>VOLUME</stp>
        <stp>.SPY250620P553</stp>
        <tr r="K34" s="2"/>
        <tr r="K34" s="2"/>
      </tp>
      <tp>
        <v>549</v>
        <stp/>
        <stp>VOLUME</stp>
        <stp>.SPY250606C575</stp>
        <tr r="J12" s="2"/>
        <tr r="J12" s="2"/>
      </tp>
      <tp>
        <v>20</v>
        <stp/>
        <stp>VOLUME</stp>
        <stp>.SPY250620C553</stp>
        <tr r="K34" s="2"/>
        <tr r="K34" s="2"/>
      </tp>
      <tp>
        <v>6</v>
        <stp/>
        <stp>VOLUME</stp>
        <stp>.SPY250606P576</stp>
        <tr r="J11" s="2"/>
        <tr r="J11" s="2"/>
      </tp>
      <tp>
        <v>9108</v>
        <stp/>
        <stp>VOLUME</stp>
        <stp>.SPY250620P550</stp>
        <tr r="K37" s="2"/>
        <tr r="K37" s="2"/>
      </tp>
      <tp>
        <v>213</v>
        <stp/>
        <stp>VOLUME</stp>
        <stp>.SPY250606C576</stp>
        <tr r="J11" s="2"/>
        <tr r="J11" s="2"/>
      </tp>
      <tp>
        <v>279</v>
        <stp/>
        <stp>VOLUME</stp>
        <stp>.SPY250620C550</stp>
        <tr r="K37" s="2"/>
        <tr r="K37" s="2"/>
      </tp>
      <tp t="s">
        <v>N/A</v>
        <stp/>
        <stp>VOLUME</stp>
        <stp>.SPY250606P577</stp>
        <tr r="J10" s="2"/>
      </tp>
      <tp>
        <v>181</v>
        <stp/>
        <stp>VOLUME</stp>
        <stp>.SPY250620P551</stp>
        <tr r="K36" s="2"/>
        <tr r="K36" s="2"/>
      </tp>
      <tp>
        <v>113</v>
        <stp/>
        <stp>VOLUME</stp>
        <stp>.SPY250606C577</stp>
        <tr r="J10" s="2"/>
        <tr r="J10" s="2"/>
      </tp>
      <tp t="s">
        <v>N/A</v>
        <stp/>
        <stp>VOLUME</stp>
        <stp>.SPY250620C551</stp>
        <tr r="K36" s="2"/>
      </tp>
      <tp>
        <v>5</v>
        <stp/>
        <stp>VOLUME</stp>
        <stp>.SPY250606P578</stp>
        <tr r="J9" s="2"/>
        <tr r="J9" s="2"/>
      </tp>
      <tp>
        <v>60</v>
        <stp/>
        <stp>VOLUME</stp>
        <stp>.SPY250606C578</stp>
        <tr r="J9" s="2"/>
        <tr r="J9" s="2"/>
      </tp>
      <tp t="s">
        <v>N/A</v>
        <stp/>
        <stp>VOLUME</stp>
        <stp>.SPY250606P579</stp>
        <tr r="J8" s="2"/>
      </tp>
      <tp>
        <v>164</v>
        <stp/>
        <stp>VOLUME</stp>
        <stp>.SPY250606C579</stp>
        <tr r="J8" s="2"/>
        <tr r="J8" s="2"/>
      </tp>
      <tp>
        <v>239</v>
        <stp/>
        <stp>VOLUME</stp>
        <stp>.SPY250620P558</stp>
        <tr r="K29" s="2"/>
        <tr r="K29" s="2"/>
      </tp>
      <tp>
        <v>4</v>
        <stp/>
        <stp>VOLUME</stp>
        <stp>.SPY250630P548</stp>
        <tr r="L39" s="2"/>
        <tr r="L39" s="2"/>
      </tp>
      <tp>
        <v>48</v>
        <stp/>
        <stp>VOLUME</stp>
        <stp>.SPY250620C558</stp>
        <tr r="K29" s="2"/>
        <tr r="K29" s="2"/>
      </tp>
      <tp t="s">
        <v>N/A</v>
        <stp/>
        <stp>VOLUME</stp>
        <stp>.SPY250630C548</stp>
        <tr r="L39" s="2"/>
      </tp>
      <tp>
        <v>187</v>
        <stp/>
        <stp>VOLUME</stp>
        <stp>.SPY250620P559</stp>
        <tr r="K28" s="2"/>
        <tr r="K28" s="2"/>
      </tp>
      <tp>
        <v>15</v>
        <stp/>
        <stp>VOLUME</stp>
        <stp>.SPY250630P549</stp>
        <tr r="L38" s="2"/>
        <tr r="L38" s="2"/>
      </tp>
      <tp>
        <v>65</v>
        <stp/>
        <stp>VOLUME</stp>
        <stp>.SPY250620C559</stp>
        <tr r="K28" s="2"/>
        <tr r="K28" s="2"/>
      </tp>
      <tp t="s">
        <v>N/A</v>
        <stp/>
        <stp>VOLUME</stp>
        <stp>.SPY250630C549</stp>
        <tr r="L38" s="2"/>
      </tp>
      <tp>
        <v>987</v>
        <stp/>
        <stp>VOLUME</stp>
        <stp>.SPY250606P560</stp>
        <tr r="J27" s="2"/>
        <tr r="J27" s="2"/>
      </tp>
      <tp>
        <v>78</v>
        <stp/>
        <stp>VOLUME</stp>
        <stp>.SPY250630P556</stp>
        <tr r="L31" s="2"/>
        <tr r="L31" s="2"/>
      </tp>
      <tp>
        <v>373</v>
        <stp/>
        <stp>VOLUME</stp>
        <stp>.SPY250606C560</stp>
        <tr r="J27" s="2"/>
        <tr r="J27" s="2"/>
      </tp>
      <tp>
        <v>2</v>
        <stp/>
        <stp>VOLUME</stp>
        <stp>.SPY250630C556</stp>
        <tr r="L31" s="2"/>
        <tr r="L31" s="2"/>
      </tp>
      <tp>
        <v>51</v>
        <stp/>
        <stp>VOLUME</stp>
        <stp>.SPY250606P561</stp>
        <tr r="J26" s="2"/>
        <tr r="J26" s="2"/>
      </tp>
      <tp>
        <v>4</v>
        <stp/>
        <stp>VOLUME</stp>
        <stp>.SPY250630P557</stp>
        <tr r="L30" s="2"/>
        <tr r="L30" s="2"/>
      </tp>
      <tp>
        <v>77</v>
        <stp/>
        <stp>VOLUME</stp>
        <stp>.SPY250606C561</stp>
        <tr r="J26" s="2"/>
        <tr r="J26" s="2"/>
      </tp>
      <tp t="s">
        <v>N/A</v>
        <stp/>
        <stp>VOLUME</stp>
        <stp>.SPY250630C557</stp>
        <tr r="L30" s="2"/>
      </tp>
      <tp>
        <v>72</v>
        <stp/>
        <stp>VOLUME</stp>
        <stp>.SPY250606P562</stp>
        <tr r="J25" s="2"/>
        <tr r="J25" s="2"/>
      </tp>
      <tp>
        <v>15</v>
        <stp/>
        <stp>VOLUME</stp>
        <stp>.SPY250630P554</stp>
        <tr r="L33" s="2"/>
        <tr r="L33" s="2"/>
      </tp>
      <tp>
        <v>99</v>
        <stp/>
        <stp>VOLUME</stp>
        <stp>.SPY250606C562</stp>
        <tr r="J25" s="2"/>
        <tr r="J25" s="2"/>
      </tp>
      <tp>
        <v>2</v>
        <stp/>
        <stp>VOLUME</stp>
        <stp>.SPY250630C554</stp>
        <tr r="L33" s="2"/>
        <tr r="L33" s="2"/>
      </tp>
      <tp>
        <v>185</v>
        <stp/>
        <stp>VOLUME</stp>
        <stp>.SPY250606P563</stp>
        <tr r="J24" s="2"/>
        <tr r="J24" s="2"/>
      </tp>
      <tp>
        <v>617</v>
        <stp/>
        <stp>VOLUME</stp>
        <stp>.SPY250630P555</stp>
        <tr r="L32" s="2"/>
        <tr r="L32" s="2"/>
      </tp>
      <tp>
        <v>541</v>
        <stp/>
        <stp>VOLUME</stp>
        <stp>.SPY250606C563</stp>
        <tr r="J24" s="2"/>
        <tr r="J24" s="2"/>
      </tp>
      <tp>
        <v>50</v>
        <stp/>
        <stp>VOLUME</stp>
        <stp>.SPY250630C555</stp>
        <tr r="L32" s="2"/>
        <tr r="L32" s="2"/>
      </tp>
      <tp>
        <v>1572</v>
        <stp/>
        <stp>VOLUME</stp>
        <stp>.SPY250606P564</stp>
        <tr r="J23" s="2"/>
        <tr r="J23" s="2"/>
      </tp>
      <tp>
        <v>21</v>
        <stp/>
        <stp>VOLUME</stp>
        <stp>.SPY250630P552</stp>
        <tr r="L35" s="2"/>
        <tr r="L35" s="2"/>
      </tp>
      <tp>
        <v>538</v>
        <stp/>
        <stp>VOLUME</stp>
        <stp>.SPY250606C564</stp>
        <tr r="J23" s="2"/>
        <tr r="J23" s="2"/>
      </tp>
      <tp>
        <v>2</v>
        <stp/>
        <stp>VOLUME</stp>
        <stp>.SPY250630C552</stp>
        <tr r="L35" s="2"/>
        <tr r="L35" s="2"/>
      </tp>
      <tp>
        <v>609</v>
        <stp/>
        <stp>VOLUME</stp>
        <stp>.SPY250606P565</stp>
        <tr r="J22" s="2"/>
        <tr r="J22" s="2"/>
      </tp>
      <tp>
        <v>97</v>
        <stp/>
        <stp>VOLUME</stp>
        <stp>.SPY250630P553</stp>
        <tr r="L34" s="2"/>
        <tr r="L34" s="2"/>
      </tp>
      <tp>
        <v>1669</v>
        <stp/>
        <stp>VOLUME</stp>
        <stp>.SPY250606C565</stp>
        <tr r="J22" s="2"/>
        <tr r="J22" s="2"/>
      </tp>
      <tp>
        <v>2</v>
        <stp/>
        <stp>VOLUME</stp>
        <stp>.SPY250630C553</stp>
        <tr r="L34" s="2"/>
        <tr r="L34" s="2"/>
      </tp>
      <tp>
        <v>863</v>
        <stp/>
        <stp>VOLUME</stp>
        <stp>.SPY250606P566</stp>
        <tr r="J21" s="2"/>
        <tr r="J21" s="2"/>
      </tp>
      <tp>
        <v>696</v>
        <stp/>
        <stp>VOLUME</stp>
        <stp>.SPY250630P550</stp>
        <tr r="L37" s="2"/>
        <tr r="L37" s="2"/>
      </tp>
      <tp>
        <v>191</v>
        <stp/>
        <stp>VOLUME</stp>
        <stp>.SPY250606C566</stp>
        <tr r="J21" s="2"/>
        <tr r="J21" s="2"/>
      </tp>
      <tp>
        <v>29</v>
        <stp/>
        <stp>VOLUME</stp>
        <stp>.SPY250630C550</stp>
        <tr r="L37" s="2"/>
        <tr r="L37" s="2"/>
      </tp>
      <tp>
        <v>155</v>
        <stp/>
        <stp>VOLUME</stp>
        <stp>.SPY250606P567</stp>
        <tr r="J20" s="2"/>
        <tr r="J20" s="2"/>
      </tp>
      <tp>
        <v>8</v>
        <stp/>
        <stp>VOLUME</stp>
        <stp>.SPY250630P551</stp>
        <tr r="L36" s="2"/>
        <tr r="L36" s="2"/>
      </tp>
      <tp>
        <v>225</v>
        <stp/>
        <stp>VOLUME</stp>
        <stp>.SPY250606C567</stp>
        <tr r="J20" s="2"/>
        <tr r="J20" s="2"/>
      </tp>
      <tp t="s">
        <v>N/A</v>
        <stp/>
        <stp>VOLUME</stp>
        <stp>.SPY250630C551</stp>
        <tr r="L36" s="2"/>
      </tp>
      <tp>
        <v>82</v>
        <stp/>
        <stp>VOLUME</stp>
        <stp>.SPY250606P568</stp>
        <tr r="J19" s="2"/>
        <tr r="J19" s="2"/>
      </tp>
      <tp>
        <v>219</v>
        <stp/>
        <stp>VOLUME</stp>
        <stp>.SPY250606C568</stp>
        <tr r="J19" s="2"/>
        <tr r="J19" s="2"/>
      </tp>
      <tp>
        <v>73</v>
        <stp/>
        <stp>VOLUME</stp>
        <stp>.SPY250606P569</stp>
        <tr r="J18" s="2"/>
        <tr r="J18" s="2"/>
      </tp>
      <tp>
        <v>77</v>
        <stp/>
        <stp>VOLUME</stp>
        <stp>.SPY250606C569</stp>
        <tr r="J18" s="2"/>
        <tr r="J18" s="2"/>
      </tp>
      <tp>
        <v>80</v>
        <stp/>
        <stp>VOLUME</stp>
        <stp>.SPY250620P548</stp>
        <tr r="K39" s="2"/>
        <tr r="K39" s="2"/>
      </tp>
      <tp>
        <v>78</v>
        <stp/>
        <stp>VOLUME</stp>
        <stp>.SPY250630P558</stp>
        <tr r="L29" s="2"/>
        <tr r="L29" s="2"/>
      </tp>
      <tp>
        <v>5</v>
        <stp/>
        <stp>VOLUME</stp>
        <stp>.SPY250620C548</stp>
        <tr r="K39" s="2"/>
        <tr r="K39" s="2"/>
      </tp>
      <tp>
        <v>2</v>
        <stp/>
        <stp>VOLUME</stp>
        <stp>.SPY250630C558</stp>
        <tr r="L29" s="2"/>
        <tr r="L29" s="2"/>
      </tp>
      <tp>
        <v>463</v>
        <stp/>
        <stp>VOLUME</stp>
        <stp>.SPY250620P549</stp>
        <tr r="K38" s="2"/>
        <tr r="K38" s="2"/>
      </tp>
      <tp>
        <v>387</v>
        <stp/>
        <stp>VOLUME</stp>
        <stp>.SPY250630P559</stp>
        <tr r="L28" s="2"/>
        <tr r="L28" s="2"/>
      </tp>
      <tp>
        <v>7</v>
        <stp/>
        <stp>VOLUME</stp>
        <stp>.SPY250620C549</stp>
        <tr r="K38" s="2"/>
        <tr r="K38" s="2"/>
      </tp>
      <tp>
        <v>1</v>
        <stp/>
        <stp>VOLUME</stp>
        <stp>.SPY250630C559</stp>
        <tr r="L28" s="2"/>
        <tr r="L28" s="2"/>
      </tp>
      <tp t="s">
        <v>N/A</v>
        <stp/>
        <stp>DELTA</stp>
        <stp>.SPXW250509P5720</stp>
        <tr r="CG100" s="1"/>
      </tp>
      <tp t="s">
        <v>N/A</v>
        <stp/>
        <stp>DELTA</stp>
        <stp>.SPXW250509C5720</stp>
        <tr r="CF100" s="1"/>
      </tp>
      <tp>
        <v>-0.96</v>
        <stp/>
        <stp>DELTA</stp>
        <stp>.SPXW250509P5730</stp>
        <tr r="CG99" s="1"/>
        <tr r="CG99" s="1"/>
      </tp>
      <tp>
        <v>0</v>
        <stp/>
        <stp>DELTA</stp>
        <stp>.SPXW250509C5730</stp>
        <tr r="CF99" s="1"/>
        <tr r="CF99" s="1"/>
      </tp>
      <tp>
        <v>-0.95</v>
        <stp/>
        <stp>DELTA</stp>
        <stp>.SPXW250509P5700</stp>
        <tr r="CG102" s="1"/>
        <tr r="CG102" s="1"/>
      </tp>
      <tp>
        <v>0.01</v>
        <stp/>
        <stp>DELTA</stp>
        <stp>.SPXW250509C5700</stp>
        <tr r="CF102" s="1"/>
        <tr r="CF102" s="1"/>
      </tp>
      <tp>
        <v>-0.95</v>
        <stp/>
        <stp>DELTA</stp>
        <stp>.SPXW250509P5710</stp>
        <tr r="CG101" s="1"/>
        <tr r="CG101" s="1"/>
      </tp>
      <tp>
        <v>0</v>
        <stp/>
        <stp>DELTA</stp>
        <stp>.SPXW250509C5710</stp>
        <tr r="CF101" s="1"/>
        <tr r="CF101" s="1"/>
      </tp>
      <tp>
        <v>-0.97</v>
        <stp/>
        <stp>DELTA</stp>
        <stp>.SPXW250509P5760</stp>
        <tr r="CG96" s="1"/>
        <tr r="CG96" s="1"/>
      </tp>
      <tp>
        <v>-0.56000000000000005</v>
        <stp/>
        <stp>DELTA</stp>
        <stp>.SPXW250516P5690</stp>
        <tr r="CI103" s="1"/>
        <tr r="CI103" s="1"/>
      </tp>
      <tp>
        <v>0</v>
        <stp/>
        <stp>DELTA</stp>
        <stp>.SPXW250509C5760</stp>
        <tr r="CF96" s="1"/>
        <tr r="CF96" s="1"/>
      </tp>
      <tp>
        <v>0.44</v>
        <stp/>
        <stp>DELTA</stp>
        <stp>.SPXW250516C5690</stp>
        <tr r="CH103" s="1"/>
        <tr r="CH103" s="1"/>
      </tp>
      <tp>
        <v>-0.98</v>
        <stp/>
        <stp>DELTA</stp>
        <stp>.SPXW250509P5770</stp>
        <tr r="CG95" s="1"/>
        <tr r="CG95" s="1"/>
      </tp>
      <tp>
        <v>-0.54</v>
        <stp/>
        <stp>DELTA</stp>
        <stp>.SPXW250516P5680</stp>
        <tr r="CI104" s="1"/>
        <tr r="CI104" s="1"/>
      </tp>
      <tp>
        <v>0</v>
        <stp/>
        <stp>DELTA</stp>
        <stp>.SPXW250509C5770</stp>
        <tr r="CF95" s="1"/>
        <tr r="CF95" s="1"/>
      </tp>
      <tp>
        <v>0.46</v>
        <stp/>
        <stp>DELTA</stp>
        <stp>.SPXW250516C5680</stp>
        <tr r="CH104" s="1"/>
        <tr r="CH104" s="1"/>
      </tp>
      <tp>
        <v>-0.85</v>
        <stp/>
        <stp>DELTA</stp>
        <stp>.SPXW250505P5780</stp>
        <tr r="CE94" s="1"/>
        <tr r="CE94" s="1"/>
      </tp>
      <tp>
        <v>-0.97</v>
        <stp/>
        <stp>DELTA</stp>
        <stp>.SPXW250509P5740</stp>
        <tr r="CG98" s="1"/>
        <tr r="CG98" s="1"/>
      </tp>
      <tp>
        <v>0</v>
        <stp/>
        <stp>DELTA</stp>
        <stp>.SPXW250505C5780</stp>
        <tr r="CD94" s="1"/>
        <tr r="CD94" s="1"/>
      </tp>
      <tp>
        <v>0</v>
        <stp/>
        <stp>DELTA</stp>
        <stp>.SPXW250509C5740</stp>
        <tr r="CF98" s="1"/>
        <tr r="CF98" s="1"/>
      </tp>
      <tp>
        <v>-0.85</v>
        <stp/>
        <stp>DELTA</stp>
        <stp>.SPXW250505P5790</stp>
        <tr r="CE93" s="1"/>
        <tr r="CE93" s="1"/>
      </tp>
      <tp>
        <v>-0.97</v>
        <stp/>
        <stp>DELTA</stp>
        <stp>.SPXW250509P5750</stp>
        <tr r="CG97" s="1"/>
        <tr r="CG97" s="1"/>
      </tp>
      <tp>
        <v>0</v>
        <stp/>
        <stp>DELTA</stp>
        <stp>.SPXW250505C5790</stp>
        <tr r="CD93" s="1"/>
        <tr r="CD93" s="1"/>
      </tp>
      <tp>
        <v>0</v>
        <stp/>
        <stp>DELTA</stp>
        <stp>.SPXW250509C5750</stp>
        <tr r="CF97" s="1"/>
        <tr r="CF97" s="1"/>
      </tp>
      <tp>
        <v>-0.83</v>
        <stp/>
        <stp>DELTA</stp>
        <stp>.SPXW250505P5760</stp>
        <tr r="CE96" s="1"/>
        <tr r="CE96" s="1"/>
      </tp>
      <tp>
        <v>-0.46</v>
        <stp/>
        <stp>DELTA</stp>
        <stp>.SPXW250516P5650</stp>
        <tr r="CI107" s="1"/>
        <tr r="CI107" s="1"/>
      </tp>
      <tp>
        <v>0</v>
        <stp/>
        <stp>DELTA</stp>
        <stp>.SPXW250505C5760</stp>
        <tr r="CD96" s="1"/>
        <tr r="CD96" s="1"/>
      </tp>
      <tp>
        <v>0.54</v>
        <stp/>
        <stp>DELTA</stp>
        <stp>.SPXW250516C5650</stp>
        <tr r="CH107" s="1"/>
        <tr r="CH107" s="1"/>
      </tp>
      <tp>
        <v>-0.84</v>
        <stp/>
        <stp>DELTA</stp>
        <stp>.SPXW250505P5770</stp>
        <tr r="CE95" s="1"/>
        <tr r="CE95" s="1"/>
      </tp>
      <tp>
        <v>-0.44</v>
        <stp/>
        <stp>DELTA</stp>
        <stp>.SPXW250516P5640</stp>
        <tr r="CI108" s="1"/>
        <tr r="CI108" s="1"/>
      </tp>
      <tp>
        <v>0</v>
        <stp/>
        <stp>DELTA</stp>
        <stp>.SPXW250505C5770</stp>
        <tr r="CD95" s="1"/>
        <tr r="CD95" s="1"/>
      </tp>
      <tp>
        <v>0.56000000000000005</v>
        <stp/>
        <stp>DELTA</stp>
        <stp>.SPXW250516C5640</stp>
        <tr r="CH108" s="1"/>
        <tr r="CH108" s="1"/>
      </tp>
      <tp>
        <v>-0.81</v>
        <stp/>
        <stp>DELTA</stp>
        <stp>.SPXW250505P5740</stp>
        <tr r="CE98" s="1"/>
        <tr r="CE98" s="1"/>
      </tp>
      <tp>
        <v>-0.99</v>
        <stp/>
        <stp>DELTA</stp>
        <stp>.SPXW250509P5780</stp>
        <tr r="CG94" s="1"/>
        <tr r="CG94" s="1"/>
      </tp>
      <tp>
        <v>-0.51</v>
        <stp/>
        <stp>DELTA</stp>
        <stp>.SPXW250516P5670</stp>
        <tr r="CI105" s="1"/>
        <tr r="CI105" s="1"/>
      </tp>
      <tp>
        <v>0</v>
        <stp/>
        <stp>DELTA</stp>
        <stp>.SPXW250505C5740</stp>
        <tr r="CD98" s="1"/>
        <tr r="CD98" s="1"/>
      </tp>
      <tp>
        <v>0</v>
        <stp/>
        <stp>DELTA</stp>
        <stp>.SPXW250509C5780</stp>
        <tr r="CF94" s="1"/>
        <tr r="CF94" s="1"/>
      </tp>
      <tp>
        <v>0.49</v>
        <stp/>
        <stp>DELTA</stp>
        <stp>.SPXW250516C5670</stp>
        <tr r="CH105" s="1"/>
        <tr r="CH105" s="1"/>
      </tp>
      <tp>
        <v>-0.82</v>
        <stp/>
        <stp>DELTA</stp>
        <stp>.SPXW250505P5750</stp>
        <tr r="CE97" s="1"/>
        <tr r="CE97" s="1"/>
      </tp>
      <tp>
        <v>-0.99</v>
        <stp/>
        <stp>DELTA</stp>
        <stp>.SPXW250509P5790</stp>
        <tr r="CG93" s="1"/>
        <tr r="CG93" s="1"/>
      </tp>
      <tp>
        <v>-0.49</v>
        <stp/>
        <stp>DELTA</stp>
        <stp>.SPXW250516P5660</stp>
        <tr r="CI106" s="1"/>
        <tr r="CI106" s="1"/>
      </tp>
      <tp>
        <v>0</v>
        <stp/>
        <stp>DELTA</stp>
        <stp>.SPXW250505C5750</stp>
        <tr r="CD97" s="1"/>
        <tr r="CD97" s="1"/>
      </tp>
      <tp>
        <v>0</v>
        <stp/>
        <stp>DELTA</stp>
        <stp>.SPXW250509C5790</stp>
        <tr r="CF93" s="1"/>
        <tr r="CF93" s="1"/>
      </tp>
      <tp>
        <v>0.51</v>
        <stp/>
        <stp>DELTA</stp>
        <stp>.SPXW250516C5660</stp>
        <tr r="CH106" s="1"/>
        <tr r="CH106" s="1"/>
      </tp>
      <tp>
        <v>-0.78</v>
        <stp/>
        <stp>DELTA</stp>
        <stp>.SPXW250505P5720</stp>
        <tr r="CE100" s="1"/>
        <tr r="CE100" s="1"/>
      </tp>
      <tp>
        <v>-0.36</v>
        <stp/>
        <stp>DELTA</stp>
        <stp>.SPXW250516P5610</stp>
        <tr r="CI111" s="1"/>
        <tr r="CI111" s="1"/>
      </tp>
      <tp>
        <v>0</v>
        <stp/>
        <stp>DELTA</stp>
        <stp>.SPXW250505C5720</stp>
        <tr r="CD100" s="1"/>
        <tr r="CD100" s="1"/>
      </tp>
      <tp>
        <v>0.63</v>
        <stp/>
        <stp>DELTA</stp>
        <stp>.SPXW250516C5610</stp>
        <tr r="CH111" s="1"/>
        <tr r="CH111" s="1"/>
      </tp>
      <tp>
        <v>-0.8</v>
        <stp/>
        <stp>DELTA</stp>
        <stp>.SPXW250505P5730</stp>
        <tr r="CE99" s="1"/>
        <tr r="CE99" s="1"/>
      </tp>
      <tp>
        <v>-0.34</v>
        <stp/>
        <stp>DELTA</stp>
        <stp>.SPXW250516P5600</stp>
        <tr r="CI112" s="1"/>
        <tr r="CI112" s="1"/>
      </tp>
      <tp>
        <v>0</v>
        <stp/>
        <stp>DELTA</stp>
        <stp>.SPXW250505C5730</stp>
        <tr r="CD99" s="1"/>
        <tr r="CD99" s="1"/>
      </tp>
      <tp>
        <v>0.65</v>
        <stp/>
        <stp>DELTA</stp>
        <stp>.SPXW250516C5600</stp>
        <tr r="CH112" s="1"/>
        <tr r="CH112" s="1"/>
      </tp>
      <tp>
        <v>-0.74</v>
        <stp/>
        <stp>DELTA</stp>
        <stp>.SPXW250505P5700</stp>
        <tr r="CE102" s="1"/>
        <tr r="CE102" s="1"/>
      </tp>
      <tp>
        <v>-0.41</v>
        <stp/>
        <stp>DELTA</stp>
        <stp>.SPXW250516P5630</stp>
        <tr r="CI109" s="1"/>
        <tr r="CI109" s="1"/>
      </tp>
      <tp>
        <v>0.01</v>
        <stp/>
        <stp>DELTA</stp>
        <stp>.SPXW250505C5700</stp>
        <tr r="CD102" s="1"/>
        <tr r="CD102" s="1"/>
      </tp>
      <tp>
        <v>0.59</v>
        <stp/>
        <stp>DELTA</stp>
        <stp>.SPXW250516C5630</stp>
        <tr r="CH109" s="1"/>
        <tr r="CH109" s="1"/>
      </tp>
      <tp>
        <v>-0.76</v>
        <stp/>
        <stp>DELTA</stp>
        <stp>.SPXW250505P5710</stp>
        <tr r="CE101" s="1"/>
        <tr r="CE101" s="1"/>
      </tp>
      <tp>
        <v>-0.39</v>
        <stp/>
        <stp>DELTA</stp>
        <stp>.SPXW250516P5620</stp>
        <tr r="CI110" s="1"/>
        <tr r="CI110" s="1"/>
      </tp>
      <tp>
        <v>0</v>
        <stp/>
        <stp>DELTA</stp>
        <stp>.SPXW250505C5710</stp>
        <tr r="CD101" s="1"/>
        <tr r="CD101" s="1"/>
      </tp>
      <tp>
        <v>0.61</v>
        <stp/>
        <stp>DELTA</stp>
        <stp>.SPXW250516C5620</stp>
        <tr r="CH110" s="1"/>
        <tr r="CH110" s="1"/>
      </tp>
      <tp>
        <v>276</v>
        <stp/>
        <stp>VOLUME</stp>
        <stp>.SPY250516P580</stp>
        <tr r="BF6" s="1"/>
        <tr r="BF6" s="1"/>
      </tp>
      <tp>
        <v>24557</v>
        <stp/>
        <stp>VOLUME</stp>
        <stp>.SPY250516C580</stp>
        <tr r="BE6" s="1"/>
        <tr r="BE6" s="1"/>
      </tp>
      <tp>
        <v>202</v>
        <stp/>
        <stp>VOLUME</stp>
        <stp>.SPY250516P581</stp>
        <tr r="BF5" s="1"/>
        <tr r="BF5" s="1"/>
      </tp>
      <tp>
        <v>3906</v>
        <stp/>
        <stp>VOLUME</stp>
        <stp>.SPY250516C581</stp>
        <tr r="BE5" s="1"/>
        <tr r="BE5" s="1"/>
      </tp>
      <tp>
        <v>105</v>
        <stp/>
        <stp>VOLUME</stp>
        <stp>.SPY250516P582</stp>
        <tr r="BF4" s="1"/>
        <tr r="BF4" s="1"/>
      </tp>
      <tp>
        <v>3487</v>
        <stp/>
        <stp>VOLUME</stp>
        <stp>.SPY250516C582</stp>
        <tr r="BE4" s="1"/>
        <tr r="BE4" s="1"/>
      </tp>
      <tp t="s">
        <v>N/A</v>
        <stp/>
        <stp>VOLUME</stp>
        <stp>.SPY250505P582</stp>
        <tr r="BB4" s="1"/>
      </tp>
      <tp t="s">
        <v>N/A</v>
        <stp/>
        <stp>VOLUME</stp>
        <stp>.SPY250505C582</stp>
        <tr r="BA4" s="1"/>
      </tp>
      <tp t="s">
        <v>N/A</v>
        <stp/>
        <stp>VOLUME</stp>
        <stp>.SPY250505P581</stp>
        <tr r="BB5" s="1"/>
      </tp>
      <tp t="s">
        <v>N/A</v>
        <stp/>
        <stp>VOLUME</stp>
        <stp>.SPY250505C581</stp>
        <tr r="BA5" s="1"/>
      </tp>
      <tp t="s">
        <v>N/A</v>
        <stp/>
        <stp>VOLUME</stp>
        <stp>.SPY250505P580</stp>
        <tr r="BB6" s="1"/>
      </tp>
      <tp t="s">
        <v>N/A</v>
        <stp/>
        <stp>VOLUME</stp>
        <stp>.SPY250505C580</stp>
        <tr r="BA6" s="1"/>
      </tp>
      <tp>
        <v>40</v>
        <stp/>
        <stp>VOLUME</stp>
        <stp>.SPY250509P582</stp>
        <tr r="BD4" s="1"/>
        <tr r="BD4" s="1"/>
      </tp>
      <tp>
        <v>2148</v>
        <stp/>
        <stp>VOLUME</stp>
        <stp>.SPY250509C582</stp>
        <tr r="BC4" s="1"/>
        <tr r="BC4" s="1"/>
      </tp>
      <tp>
        <v>15</v>
        <stp/>
        <stp>VOLUME</stp>
        <stp>.SPY250509P581</stp>
        <tr r="BD5" s="1"/>
        <tr r="BD5" s="1"/>
      </tp>
      <tp>
        <v>4392</v>
        <stp/>
        <stp>VOLUME</stp>
        <stp>.SPY250509C581</stp>
        <tr r="BC5" s="1"/>
        <tr r="BC5" s="1"/>
      </tp>
      <tp>
        <v>127</v>
        <stp/>
        <stp>VOLUME</stp>
        <stp>.SPY250509P580</stp>
        <tr r="BD6" s="1"/>
        <tr r="BD6" s="1"/>
      </tp>
      <tp>
        <v>11783</v>
        <stp/>
        <stp>VOLUME</stp>
        <stp>.SPY250509C580</stp>
        <tr r="BC6" s="1"/>
        <tr r="BC6" s="1"/>
      </tp>
      <tp>
        <v>1</v>
        <stp/>
        <stp>VOLUME</stp>
        <stp>.SPY250530P582</stp>
        <tr r="I5" s="2"/>
        <tr r="I5" s="2"/>
      </tp>
      <tp>
        <v>283</v>
        <stp/>
        <stp>VOLUME</stp>
        <stp>.SPY250530C582</stp>
        <tr r="I5" s="2"/>
        <tr r="I5" s="2"/>
      </tp>
      <tp>
        <v>141</v>
        <stp/>
        <stp>VOLUME</stp>
        <stp>.SPY250530P580</stp>
        <tr r="I7" s="2"/>
        <tr r="I7" s="2"/>
      </tp>
      <tp>
        <v>3390</v>
        <stp/>
        <stp>VOLUME</stp>
        <stp>.SPY250530C580</stp>
        <tr r="I7" s="2"/>
        <tr r="I7" s="2"/>
      </tp>
      <tp t="s">
        <v>N/A</v>
        <stp/>
        <stp>VOLUME</stp>
        <stp>.SPY250530P581</stp>
        <tr r="I6" s="2"/>
      </tp>
      <tp>
        <v>655</v>
        <stp/>
        <stp>VOLUME</stp>
        <stp>.SPY250530C581</stp>
        <tr r="I6" s="2"/>
        <tr r="I6" s="2"/>
      </tp>
      <tp>
        <v>3</v>
        <stp/>
        <stp>VOLUME</stp>
        <stp>.SPY250523P581</stp>
        <tr r="H6" s="2"/>
        <tr r="H6" s="2"/>
      </tp>
      <tp>
        <v>318</v>
        <stp/>
        <stp>VOLUME</stp>
        <stp>.SPY250523C581</stp>
        <tr r="H6" s="2"/>
        <tr r="H6" s="2"/>
      </tp>
      <tp>
        <v>13</v>
        <stp/>
        <stp>VOLUME</stp>
        <stp>.SPY250523P580</stp>
        <tr r="H7" s="2"/>
        <tr r="H7" s="2"/>
      </tp>
      <tp>
        <v>3120</v>
        <stp/>
        <stp>VOLUME</stp>
        <stp>.SPY250523C580</stp>
        <tr r="H7" s="2"/>
        <tr r="H7" s="2"/>
      </tp>
      <tp t="s">
        <v>N/A</v>
        <stp/>
        <stp>VOLUME</stp>
        <stp>.SPY250523P582</stp>
        <tr r="H5" s="2"/>
      </tp>
      <tp>
        <v>287</v>
        <stp/>
        <stp>VOLUME</stp>
        <stp>.SPY250523C582</stp>
        <tr r="H5" s="2"/>
        <tr r="H5" s="2"/>
      </tp>
      <tp t="s">
        <v>N/A</v>
        <stp/>
        <stp>VOLUME</stp>
        <stp>.SPY250505P553</stp>
        <tr r="BB33" s="1"/>
      </tp>
      <tp>
        <v>82</v>
        <stp/>
        <stp>VOLUME</stp>
        <stp>.SPY250523P575</stp>
        <tr r="H12" s="2"/>
        <tr r="H12" s="2"/>
      </tp>
      <tp>
        <v>518</v>
        <stp/>
        <stp>VOLUME</stp>
        <stp>.SPY250530P566</stp>
        <tr r="I21" s="2"/>
        <tr r="I21" s="2"/>
      </tp>
      <tp t="s">
        <v>N/A</v>
        <stp/>
        <stp>VOLUME</stp>
        <stp>.SPY250505C553</stp>
        <tr r="BA33" s="1"/>
      </tp>
      <tp>
        <v>1060</v>
        <stp/>
        <stp>VOLUME</stp>
        <stp>.SPY250523C575</stp>
        <tr r="H12" s="2"/>
        <tr r="H12" s="2"/>
      </tp>
      <tp>
        <v>1088</v>
        <stp/>
        <stp>VOLUME</stp>
        <stp>.SPY250530C566</stp>
        <tr r="I21" s="2"/>
        <tr r="I21" s="2"/>
      </tp>
      <tp t="s">
        <v>N/A</v>
        <stp/>
        <stp>VOLUME</stp>
        <stp>.SPY250505P552</stp>
        <tr r="BB34" s="1"/>
      </tp>
      <tp>
        <v>2</v>
        <stp/>
        <stp>VOLUME</stp>
        <stp>.SPY250523P574</stp>
        <tr r="H13" s="2"/>
        <tr r="H13" s="2"/>
      </tp>
      <tp>
        <v>756</v>
        <stp/>
        <stp>VOLUME</stp>
        <stp>.SPY250530P567</stp>
        <tr r="I20" s="2"/>
        <tr r="I20" s="2"/>
      </tp>
      <tp t="s">
        <v>N/A</v>
        <stp/>
        <stp>VOLUME</stp>
        <stp>.SPY250505C552</stp>
        <tr r="BA34" s="1"/>
      </tp>
      <tp>
        <v>115</v>
        <stp/>
        <stp>VOLUME</stp>
        <stp>.SPY250523C574</stp>
        <tr r="H13" s="2"/>
        <tr r="H13" s="2"/>
      </tp>
      <tp>
        <v>1082</v>
        <stp/>
        <stp>VOLUME</stp>
        <stp>.SPY250530C567</stp>
        <tr r="I20" s="2"/>
        <tr r="I20" s="2"/>
      </tp>
      <tp t="s">
        <v>N/A</v>
        <stp/>
        <stp>VOLUME</stp>
        <stp>.SPY250505P551</stp>
        <tr r="BB35" s="1"/>
      </tp>
      <tp>
        <v>2</v>
        <stp/>
        <stp>VOLUME</stp>
        <stp>.SPY250523P577</stp>
        <tr r="H10" s="2"/>
        <tr r="H10" s="2"/>
      </tp>
      <tp>
        <v>1027</v>
        <stp/>
        <stp>VOLUME</stp>
        <stp>.SPY250530P564</stp>
        <tr r="I23" s="2"/>
        <tr r="I23" s="2"/>
      </tp>
      <tp t="s">
        <v>N/A</v>
        <stp/>
        <stp>VOLUME</stp>
        <stp>.SPY250505C551</stp>
        <tr r="BA35" s="1"/>
      </tp>
      <tp>
        <v>172</v>
        <stp/>
        <stp>VOLUME</stp>
        <stp>.SPY250523C577</stp>
        <tr r="H10" s="2"/>
        <tr r="H10" s="2"/>
      </tp>
      <tp>
        <v>1159</v>
        <stp/>
        <stp>VOLUME</stp>
        <stp>.SPY250530C564</stp>
        <tr r="I23" s="2"/>
        <tr r="I23" s="2"/>
      </tp>
      <tp t="s">
        <v>N/A</v>
        <stp/>
        <stp>VOLUME</stp>
        <stp>.SPY250505P550</stp>
        <tr r="BB36" s="1"/>
      </tp>
      <tp>
        <v>15</v>
        <stp/>
        <stp>VOLUME</stp>
        <stp>.SPY250523P576</stp>
        <tr r="H11" s="2"/>
        <tr r="H11" s="2"/>
      </tp>
      <tp>
        <v>1746</v>
        <stp/>
        <stp>VOLUME</stp>
        <stp>.SPY250530P565</stp>
        <tr r="I22" s="2"/>
        <tr r="I22" s="2"/>
      </tp>
      <tp t="s">
        <v>N/A</v>
        <stp/>
        <stp>VOLUME</stp>
        <stp>.SPY250505C550</stp>
        <tr r="BA36" s="1"/>
      </tp>
      <tp>
        <v>416</v>
        <stp/>
        <stp>VOLUME</stp>
        <stp>.SPY250523C576</stp>
        <tr r="H11" s="2"/>
        <tr r="H11" s="2"/>
      </tp>
      <tp>
        <v>3973</v>
        <stp/>
        <stp>VOLUME</stp>
        <stp>.SPY250530C565</stp>
        <tr r="I22" s="2"/>
        <tr r="I22" s="2"/>
      </tp>
      <tp t="s">
        <v>N/A</v>
        <stp/>
        <stp>VOLUME</stp>
        <stp>.SPY250505P557</stp>
        <tr r="BB29" s="1"/>
      </tp>
      <tp>
        <v>6</v>
        <stp/>
        <stp>VOLUME</stp>
        <stp>.SPY250523P571</stp>
        <tr r="H16" s="2"/>
        <tr r="H16" s="2"/>
      </tp>
      <tp>
        <v>138</v>
        <stp/>
        <stp>VOLUME</stp>
        <stp>.SPY250530P562</stp>
        <tr r="I25" s="2"/>
        <tr r="I25" s="2"/>
      </tp>
      <tp t="s">
        <v>N/A</v>
        <stp/>
        <stp>VOLUME</stp>
        <stp>.SPY250505C557</stp>
        <tr r="BA29" s="1"/>
      </tp>
      <tp>
        <v>1568</v>
        <stp/>
        <stp>VOLUME</stp>
        <stp>.SPY250523C571</stp>
        <tr r="H16" s="2"/>
        <tr r="H16" s="2"/>
      </tp>
      <tp>
        <v>655</v>
        <stp/>
        <stp>VOLUME</stp>
        <stp>.SPY250530C562</stp>
        <tr r="I25" s="2"/>
        <tr r="I25" s="2"/>
      </tp>
      <tp t="s">
        <v>N/A</v>
        <stp/>
        <stp>VOLUME</stp>
        <stp>.SPY250505P556</stp>
        <tr r="BB30" s="1"/>
      </tp>
      <tp>
        <v>670</v>
        <stp/>
        <stp>VOLUME</stp>
        <stp>.SPY250523P570</stp>
        <tr r="H17" s="2"/>
        <tr r="H17" s="2"/>
      </tp>
      <tp>
        <v>697</v>
        <stp/>
        <stp>VOLUME</stp>
        <stp>.SPY250530P563</stp>
        <tr r="I24" s="2"/>
        <tr r="I24" s="2"/>
      </tp>
      <tp t="s">
        <v>N/A</v>
        <stp/>
        <stp>VOLUME</stp>
        <stp>.SPY250505C556</stp>
        <tr r="BA30" s="1"/>
      </tp>
      <tp>
        <v>1910</v>
        <stp/>
        <stp>VOLUME</stp>
        <stp>.SPY250523C570</stp>
        <tr r="H17" s="2"/>
        <tr r="H17" s="2"/>
      </tp>
      <tp>
        <v>775</v>
        <stp/>
        <stp>VOLUME</stp>
        <stp>.SPY250530C563</stp>
        <tr r="I24" s="2"/>
        <tr r="I24" s="2"/>
      </tp>
      <tp t="s">
        <v>N/A</v>
        <stp/>
        <stp>VOLUME</stp>
        <stp>.SPY250505P555</stp>
        <tr r="BB31" s="1"/>
      </tp>
      <tp>
        <v>74152</v>
        <stp/>
        <stp>VOLUME</stp>
        <stp>.SPY250509P559</stp>
        <tr r="BD27" s="1"/>
        <tr r="BD27" s="1"/>
      </tp>
      <tp>
        <v>15</v>
        <stp/>
        <stp>VOLUME</stp>
        <stp>.SPY250523P573</stp>
        <tr r="H14" s="2"/>
        <tr r="H14" s="2"/>
      </tp>
      <tp>
        <v>1425</v>
        <stp/>
        <stp>VOLUME</stp>
        <stp>.SPY250530P560</stp>
        <tr r="I27" s="2"/>
        <tr r="I27" s="2"/>
      </tp>
      <tp t="s">
        <v>N/A</v>
        <stp/>
        <stp>VOLUME</stp>
        <stp>.SPY250505C555</stp>
        <tr r="BA31" s="1"/>
      </tp>
      <tp>
        <v>3494</v>
        <stp/>
        <stp>VOLUME</stp>
        <stp>.SPY250509C559</stp>
        <tr r="BC27" s="1"/>
        <tr r="BC27" s="1"/>
      </tp>
      <tp>
        <v>167</v>
        <stp/>
        <stp>VOLUME</stp>
        <stp>.SPY250523C573</stp>
        <tr r="H14" s="2"/>
        <tr r="H14" s="2"/>
      </tp>
      <tp>
        <v>605</v>
        <stp/>
        <stp>VOLUME</stp>
        <stp>.SPY250530C560</stp>
        <tr r="I27" s="2"/>
        <tr r="I27" s="2"/>
      </tp>
      <tp t="s">
        <v>N/A</v>
        <stp/>
        <stp>VOLUME</stp>
        <stp>.SPY250505P554</stp>
        <tr r="BB32" s="1"/>
      </tp>
      <tp>
        <v>46685</v>
        <stp/>
        <stp>VOLUME</stp>
        <stp>.SPY250509P558</stp>
        <tr r="BD28" s="1"/>
        <tr r="BD28" s="1"/>
      </tp>
      <tp>
        <v>38</v>
        <stp/>
        <stp>VOLUME</stp>
        <stp>.SPY250523P572</stp>
        <tr r="H15" s="2"/>
        <tr r="H15" s="2"/>
      </tp>
      <tp>
        <v>918</v>
        <stp/>
        <stp>VOLUME</stp>
        <stp>.SPY250530P561</stp>
        <tr r="I26" s="2"/>
        <tr r="I26" s="2"/>
      </tp>
      <tp t="s">
        <v>N/A</v>
        <stp/>
        <stp>VOLUME</stp>
        <stp>.SPY250505C554</stp>
        <tr r="BA32" s="1"/>
      </tp>
      <tp>
        <v>1075</v>
        <stp/>
        <stp>VOLUME</stp>
        <stp>.SPY250509C558</stp>
        <tr r="BC28" s="1"/>
        <tr r="BC28" s="1"/>
      </tp>
      <tp>
        <v>320</v>
        <stp/>
        <stp>VOLUME</stp>
        <stp>.SPY250523C572</stp>
        <tr r="H15" s="2"/>
        <tr r="H15" s="2"/>
      </tp>
      <tp>
        <v>293</v>
        <stp/>
        <stp>VOLUME</stp>
        <stp>.SPY250530C561</stp>
        <tr r="I26" s="2"/>
        <tr r="I26" s="2"/>
      </tp>
      <tp>
        <v>35181</v>
        <stp/>
        <stp>VOLUME</stp>
        <stp>.SPY250509P557</stp>
        <tr r="BD29" s="1"/>
        <tr r="BD29" s="1"/>
      </tp>
      <tp>
        <v>3395</v>
        <stp/>
        <stp>VOLUME</stp>
        <stp>.SPY250516P548</stp>
        <tr r="BF38" s="1"/>
        <tr r="BF38" s="1"/>
      </tp>
      <tp>
        <v>731</v>
        <stp/>
        <stp>VOLUME</stp>
        <stp>.SPY250509C557</stp>
        <tr r="BC29" s="1"/>
        <tr r="BC29" s="1"/>
      </tp>
      <tp>
        <v>102</v>
        <stp/>
        <stp>VOLUME</stp>
        <stp>.SPY250516C548</stp>
        <tr r="BE38" s="1"/>
        <tr r="BE38" s="1"/>
      </tp>
      <tp>
        <v>34853</v>
        <stp/>
        <stp>VOLUME</stp>
        <stp>.SPY250509P556</stp>
        <tr r="BD30" s="1"/>
        <tr r="BD30" s="1"/>
      </tp>
      <tp>
        <v>2265</v>
        <stp/>
        <stp>VOLUME</stp>
        <stp>.SPY250516P549</stp>
        <tr r="BF37" s="1"/>
        <tr r="BF37" s="1"/>
      </tp>
      <tp>
        <v>628</v>
        <stp/>
        <stp>VOLUME</stp>
        <stp>.SPY250509C556</stp>
        <tr r="BC30" s="1"/>
        <tr r="BC30" s="1"/>
      </tp>
      <tp>
        <v>57</v>
        <stp/>
        <stp>VOLUME</stp>
        <stp>.SPY250516C549</stp>
        <tr r="BE37" s="1"/>
        <tr r="BE37" s="1"/>
      </tp>
      <tp t="s">
        <v>N/A</v>
        <stp/>
        <stp>VOLUME</stp>
        <stp>.SPY250505P559</stp>
        <tr r="BB27" s="1"/>
      </tp>
      <tp>
        <v>50982</v>
        <stp/>
        <stp>VOLUME</stp>
        <stp>.SPY250509P555</stp>
        <tr r="BD31" s="1"/>
        <tr r="BD31" s="1"/>
      </tp>
      <tp t="s">
        <v>N/A</v>
        <stp/>
        <stp>VOLUME</stp>
        <stp>.SPY250505C559</stp>
        <tr r="BA27" s="1"/>
      </tp>
      <tp>
        <v>1732</v>
        <stp/>
        <stp>VOLUME</stp>
        <stp>.SPY250509C555</stp>
        <tr r="BC31" s="1"/>
        <tr r="BC31" s="1"/>
      </tp>
      <tp t="s">
        <v>N/A</v>
        <stp/>
        <stp>VOLUME</stp>
        <stp>.SPY250505P558</stp>
        <tr r="BB28" s="1"/>
      </tp>
      <tp>
        <v>21468</v>
        <stp/>
        <stp>VOLUME</stp>
        <stp>.SPY250509P554</stp>
        <tr r="BD32" s="1"/>
        <tr r="BD32" s="1"/>
      </tp>
      <tp t="s">
        <v>N/A</v>
        <stp/>
        <stp>VOLUME</stp>
        <stp>.SPY250505C558</stp>
        <tr r="BA28" s="1"/>
      </tp>
      <tp>
        <v>853</v>
        <stp/>
        <stp>VOLUME</stp>
        <stp>.SPY250509C554</stp>
        <tr r="BC32" s="1"/>
        <tr r="BC32" s="1"/>
      </tp>
      <tp>
        <v>15411</v>
        <stp/>
        <stp>VOLUME</stp>
        <stp>.SPY250509P553</stp>
        <tr r="BD33" s="1"/>
        <tr r="BD33" s="1"/>
      </tp>
      <tp>
        <v>4</v>
        <stp/>
        <stp>VOLUME</stp>
        <stp>.SPY250523P579</stp>
        <tr r="H8" s="2"/>
        <tr r="H8" s="2"/>
      </tp>
      <tp>
        <v>228</v>
        <stp/>
        <stp>VOLUME</stp>
        <stp>.SPY250509C553</stp>
        <tr r="BC33" s="1"/>
        <tr r="BC33" s="1"/>
      </tp>
      <tp>
        <v>130</v>
        <stp/>
        <stp>VOLUME</stp>
        <stp>.SPY250523C579</stp>
        <tr r="H8" s="2"/>
        <tr r="H8" s="2"/>
      </tp>
      <tp>
        <v>14323</v>
        <stp/>
        <stp>VOLUME</stp>
        <stp>.SPY250509P552</stp>
        <tr r="BD34" s="1"/>
        <tr r="BD34" s="1"/>
      </tp>
      <tp>
        <v>1</v>
        <stp/>
        <stp>VOLUME</stp>
        <stp>.SPY250523P578</stp>
        <tr r="H9" s="2"/>
        <tr r="H9" s="2"/>
      </tp>
      <tp>
        <v>232</v>
        <stp/>
        <stp>VOLUME</stp>
        <stp>.SPY250509C552</stp>
        <tr r="BC34" s="1"/>
        <tr r="BC34" s="1"/>
      </tp>
      <tp>
        <v>228</v>
        <stp/>
        <stp>VOLUME</stp>
        <stp>.SPY250523C578</stp>
        <tr r="H9" s="2"/>
        <tr r="H9" s="2"/>
      </tp>
      <tp>
        <v>8178</v>
        <stp/>
        <stp>VOLUME</stp>
        <stp>.SPY250509P551</stp>
        <tr r="BD35" s="1"/>
        <tr r="BD35" s="1"/>
      </tp>
      <tp>
        <v>167</v>
        <stp/>
        <stp>VOLUME</stp>
        <stp>.SPY250530P568</stp>
        <tr r="I19" s="2"/>
        <tr r="I19" s="2"/>
      </tp>
      <tp>
        <v>210</v>
        <stp/>
        <stp>VOLUME</stp>
        <stp>.SPY250509C551</stp>
        <tr r="BC35" s="1"/>
        <tr r="BC35" s="1"/>
      </tp>
      <tp>
        <v>1090</v>
        <stp/>
        <stp>VOLUME</stp>
        <stp>.SPY250530C568</stp>
        <tr r="I19" s="2"/>
        <tr r="I19" s="2"/>
      </tp>
      <tp>
        <v>19768</v>
        <stp/>
        <stp>VOLUME</stp>
        <stp>.SPY250509P550</stp>
        <tr r="BD36" s="1"/>
        <tr r="BD36" s="1"/>
      </tp>
      <tp>
        <v>265</v>
        <stp/>
        <stp>VOLUME</stp>
        <stp>.SPY250530P569</stp>
        <tr r="I18" s="2"/>
        <tr r="I18" s="2"/>
      </tp>
      <tp>
        <v>821</v>
        <stp/>
        <stp>VOLUME</stp>
        <stp>.SPY250509C550</stp>
        <tr r="BC36" s="1"/>
        <tr r="BC36" s="1"/>
      </tp>
      <tp>
        <v>608</v>
        <stp/>
        <stp>VOLUME</stp>
        <stp>.SPY250530C569</stp>
        <tr r="I18" s="2"/>
        <tr r="I18" s="2"/>
      </tp>
      <tp>
        <v>58889</v>
        <stp/>
        <stp>VOLUME</stp>
        <stp>.SPY250516P550</stp>
        <tr r="BF36" s="1"/>
        <tr r="BF36" s="1"/>
      </tp>
      <tp>
        <v>1103</v>
        <stp/>
        <stp>VOLUME</stp>
        <stp>.SPY250523P565</stp>
        <tr r="H22" s="2"/>
        <tr r="H22" s="2"/>
      </tp>
      <tp>
        <v>6</v>
        <stp/>
        <stp>VOLUME</stp>
        <stp>.SPY250530P576</stp>
        <tr r="I11" s="2"/>
        <tr r="I11" s="2"/>
      </tp>
      <tp>
        <v>754</v>
        <stp/>
        <stp>VOLUME</stp>
        <stp>.SPY250516C550</stp>
        <tr r="BE36" s="1"/>
        <tr r="BE36" s="1"/>
      </tp>
      <tp>
        <v>1993</v>
        <stp/>
        <stp>VOLUME</stp>
        <stp>.SPY250523C565</stp>
        <tr r="H22" s="2"/>
        <tr r="H22" s="2"/>
      </tp>
      <tp>
        <v>348</v>
        <stp/>
        <stp>VOLUME</stp>
        <stp>.SPY250530C576</stp>
        <tr r="I11" s="2"/>
        <tr r="I11" s="2"/>
      </tp>
      <tp>
        <v>2487</v>
        <stp/>
        <stp>VOLUME</stp>
        <stp>.SPY250516P551</stp>
        <tr r="BF35" s="1"/>
        <tr r="BF35" s="1"/>
      </tp>
      <tp>
        <v>1180</v>
        <stp/>
        <stp>VOLUME</stp>
        <stp>.SPY250523P564</stp>
        <tr r="H23" s="2"/>
        <tr r="H23" s="2"/>
      </tp>
      <tp t="s">
        <v>N/A</v>
        <stp/>
        <stp>VOLUME</stp>
        <stp>.SPY250530P577</stp>
        <tr r="I10" s="2"/>
      </tp>
      <tp>
        <v>35</v>
        <stp/>
        <stp>VOLUME</stp>
        <stp>.SPY250516C551</stp>
        <tr r="BE35" s="1"/>
        <tr r="BE35" s="1"/>
      </tp>
      <tp>
        <v>1284</v>
        <stp/>
        <stp>VOLUME</stp>
        <stp>.SPY250523C564</stp>
        <tr r="H23" s="2"/>
        <tr r="H23" s="2"/>
      </tp>
      <tp>
        <v>282</v>
        <stp/>
        <stp>VOLUME</stp>
        <stp>.SPY250530C577</stp>
        <tr r="I10" s="2"/>
        <tr r="I10" s="2"/>
      </tp>
      <tp>
        <v>3328</v>
        <stp/>
        <stp>VOLUME</stp>
        <stp>.SPY250516P552</stp>
        <tr r="BF34" s="1"/>
        <tr r="BF34" s="1"/>
      </tp>
      <tp>
        <v>271</v>
        <stp/>
        <stp>VOLUME</stp>
        <stp>.SPY250523P567</stp>
        <tr r="H20" s="2"/>
        <tr r="H20" s="2"/>
      </tp>
      <tp>
        <v>158</v>
        <stp/>
        <stp>VOLUME</stp>
        <stp>.SPY250530P574</stp>
        <tr r="I13" s="2"/>
        <tr r="I13" s="2"/>
      </tp>
      <tp>
        <v>122</v>
        <stp/>
        <stp>VOLUME</stp>
        <stp>.SPY250516C552</stp>
        <tr r="BE34" s="1"/>
        <tr r="BE34" s="1"/>
      </tp>
      <tp>
        <v>851</v>
        <stp/>
        <stp>VOLUME</stp>
        <stp>.SPY250523C567</stp>
        <tr r="H20" s="2"/>
        <tr r="H20" s="2"/>
      </tp>
      <tp>
        <v>532</v>
        <stp/>
        <stp>VOLUME</stp>
        <stp>.SPY250530C574</stp>
        <tr r="I13" s="2"/>
        <tr r="I13" s="2"/>
      </tp>
      <tp>
        <v>1283</v>
        <stp/>
        <stp>VOLUME</stp>
        <stp>.SPY250516P553</stp>
        <tr r="BF33" s="1"/>
        <tr r="BF33" s="1"/>
      </tp>
      <tp>
        <v>559</v>
        <stp/>
        <stp>VOLUME</stp>
        <stp>.SPY250523P566</stp>
        <tr r="H21" s="2"/>
        <tr r="H21" s="2"/>
      </tp>
      <tp>
        <v>62</v>
        <stp/>
        <stp>VOLUME</stp>
        <stp>.SPY250530P575</stp>
        <tr r="I12" s="2"/>
        <tr r="I12" s="2"/>
      </tp>
      <tp>
        <v>235</v>
        <stp/>
        <stp>VOLUME</stp>
        <stp>.SPY250516C553</stp>
        <tr r="BE33" s="1"/>
        <tr r="BE33" s="1"/>
      </tp>
      <tp>
        <v>1035</v>
        <stp/>
        <stp>VOLUME</stp>
        <stp>.SPY250523C566</stp>
        <tr r="H21" s="2"/>
        <tr r="H21" s="2"/>
      </tp>
      <tp>
        <v>2459</v>
        <stp/>
        <stp>VOLUME</stp>
        <stp>.SPY250530C575</stp>
        <tr r="I12" s="2"/>
        <tr r="I12" s="2"/>
      </tp>
      <tp>
        <v>2238</v>
        <stp/>
        <stp>VOLUME</stp>
        <stp>.SPY250516P554</stp>
        <tr r="BF32" s="1"/>
        <tr r="BF32" s="1"/>
      </tp>
      <tp>
        <v>1034</v>
        <stp/>
        <stp>VOLUME</stp>
        <stp>.SPY250523P561</stp>
        <tr r="H26" s="2"/>
        <tr r="H26" s="2"/>
      </tp>
      <tp>
        <v>11</v>
        <stp/>
        <stp>VOLUME</stp>
        <stp>.SPY250530P572</stp>
        <tr r="I15" s="2"/>
        <tr r="I15" s="2"/>
      </tp>
      <tp>
        <v>130</v>
        <stp/>
        <stp>VOLUME</stp>
        <stp>.SPY250516C554</stp>
        <tr r="BE32" s="1"/>
        <tr r="BE32" s="1"/>
      </tp>
      <tp>
        <v>32</v>
        <stp/>
        <stp>VOLUME</stp>
        <stp>.SPY250523C561</stp>
        <tr r="H26" s="2"/>
        <tr r="H26" s="2"/>
      </tp>
      <tp>
        <v>494</v>
        <stp/>
        <stp>VOLUME</stp>
        <stp>.SPY250530C572</stp>
        <tr r="I15" s="2"/>
        <tr r="I15" s="2"/>
      </tp>
      <tp>
        <v>14321</v>
        <stp/>
        <stp>VOLUME</stp>
        <stp>.SPY250516P555</stp>
        <tr r="BF31" s="1"/>
        <tr r="BF31" s="1"/>
      </tp>
      <tp>
        <v>2135</v>
        <stp/>
        <stp>VOLUME</stp>
        <stp>.SPY250523P560</stp>
        <tr r="H27" s="2"/>
        <tr r="H27" s="2"/>
      </tp>
      <tp>
        <v>27</v>
        <stp/>
        <stp>VOLUME</stp>
        <stp>.SPY250530P573</stp>
        <tr r="I14" s="2"/>
        <tr r="I14" s="2"/>
      </tp>
      <tp>
        <v>703</v>
        <stp/>
        <stp>VOLUME</stp>
        <stp>.SPY250516C555</stp>
        <tr r="BE31" s="1"/>
        <tr r="BE31" s="1"/>
      </tp>
      <tp>
        <v>706</v>
        <stp/>
        <stp>VOLUME</stp>
        <stp>.SPY250523C560</stp>
        <tr r="H27" s="2"/>
        <tr r="H27" s="2"/>
      </tp>
      <tp>
        <v>888</v>
        <stp/>
        <stp>VOLUME</stp>
        <stp>.SPY250530C573</stp>
        <tr r="I14" s="2"/>
        <tr r="I14" s="2"/>
      </tp>
      <tp>
        <v>8425</v>
        <stp/>
        <stp>VOLUME</stp>
        <stp>.SPY250509P549</stp>
        <tr r="BD37" s="1"/>
        <tr r="BD37" s="1"/>
      </tp>
      <tp>
        <v>1634</v>
        <stp/>
        <stp>VOLUME</stp>
        <stp>.SPY250516P556</stp>
        <tr r="BF30" s="1"/>
        <tr r="BF30" s="1"/>
      </tp>
      <tp>
        <v>181</v>
        <stp/>
        <stp>VOLUME</stp>
        <stp>.SPY250523P563</stp>
        <tr r="H24" s="2"/>
        <tr r="H24" s="2"/>
      </tp>
      <tp>
        <v>966</v>
        <stp/>
        <stp>VOLUME</stp>
        <stp>.SPY250530P570</stp>
        <tr r="I17" s="2"/>
        <tr r="I17" s="2"/>
      </tp>
      <tp>
        <v>74</v>
        <stp/>
        <stp>VOLUME</stp>
        <stp>.SPY250509C549</stp>
        <tr r="BC37" s="1"/>
        <tr r="BC37" s="1"/>
      </tp>
      <tp>
        <v>110</v>
        <stp/>
        <stp>VOLUME</stp>
        <stp>.SPY250516C556</stp>
        <tr r="BE30" s="1"/>
        <tr r="BE30" s="1"/>
      </tp>
      <tp>
        <v>553</v>
        <stp/>
        <stp>VOLUME</stp>
        <stp>.SPY250523C563</stp>
        <tr r="H24" s="2"/>
        <tr r="H24" s="2"/>
      </tp>
      <tp>
        <v>2800</v>
        <stp/>
        <stp>VOLUME</stp>
        <stp>.SPY250530C570</stp>
        <tr r="I17" s="2"/>
        <tr r="I17" s="2"/>
      </tp>
      <tp>
        <v>3992</v>
        <stp/>
        <stp>VOLUME</stp>
        <stp>.SPY250509P548</stp>
        <tr r="BD38" s="1"/>
        <tr r="BD38" s="1"/>
      </tp>
      <tp>
        <v>1552</v>
        <stp/>
        <stp>VOLUME</stp>
        <stp>.SPY250516P557</stp>
        <tr r="BF29" s="1"/>
        <tr r="BF29" s="1"/>
      </tp>
      <tp>
        <v>506</v>
        <stp/>
        <stp>VOLUME</stp>
        <stp>.SPY250523P562</stp>
        <tr r="H25" s="2"/>
        <tr r="H25" s="2"/>
      </tp>
      <tp>
        <v>18</v>
        <stp/>
        <stp>VOLUME</stp>
        <stp>.SPY250530P571</stp>
        <tr r="I16" s="2"/>
        <tr r="I16" s="2"/>
      </tp>
      <tp>
        <v>96</v>
        <stp/>
        <stp>VOLUME</stp>
        <stp>.SPY250509C548</stp>
        <tr r="BC38" s="1"/>
        <tr r="BC38" s="1"/>
      </tp>
      <tp>
        <v>163</v>
        <stp/>
        <stp>VOLUME</stp>
        <stp>.SPY250516C557</stp>
        <tr r="BE29" s="1"/>
        <tr r="BE29" s="1"/>
      </tp>
      <tp>
        <v>114</v>
        <stp/>
        <stp>VOLUME</stp>
        <stp>.SPY250523C562</stp>
        <tr r="H25" s="2"/>
        <tr r="H25" s="2"/>
      </tp>
      <tp>
        <v>210</v>
        <stp/>
        <stp>VOLUME</stp>
        <stp>.SPY250530C571</stp>
        <tr r="I16" s="2"/>
        <tr r="I16" s="2"/>
      </tp>
      <tp>
        <v>2033</v>
        <stp/>
        <stp>VOLUME</stp>
        <stp>.SPY250516P558</stp>
        <tr r="BF28" s="1"/>
        <tr r="BF28" s="1"/>
      </tp>
      <tp>
        <v>295</v>
        <stp/>
        <stp>VOLUME</stp>
        <stp>.SPY250516C558</stp>
        <tr r="BE28" s="1"/>
        <tr r="BE28" s="1"/>
      </tp>
      <tp>
        <v>2605</v>
        <stp/>
        <stp>VOLUME</stp>
        <stp>.SPY250516P559</stp>
        <tr r="BF27" s="1"/>
        <tr r="BF27" s="1"/>
      </tp>
      <tp>
        <v>294</v>
        <stp/>
        <stp>VOLUME</stp>
        <stp>.SPY250516C559</stp>
        <tr r="BE27" s="1"/>
        <tr r="BE27" s="1"/>
      </tp>
      <tp t="s">
        <v>N/A</v>
        <stp/>
        <stp>VOLUME</stp>
        <stp>.SPY250505P549</stp>
        <tr r="BB37" s="1"/>
      </tp>
      <tp t="s">
        <v>N/A</v>
        <stp/>
        <stp>VOLUME</stp>
        <stp>.SPY250505C549</stp>
        <tr r="BA37" s="1"/>
      </tp>
      <tp t="s">
        <v>N/A</v>
        <stp/>
        <stp>VOLUME</stp>
        <stp>.SPY250505P548</stp>
        <tr r="BB38" s="1"/>
      </tp>
      <tp t="s">
        <v>N/A</v>
        <stp/>
        <stp>VOLUME</stp>
        <stp>.SPY250505C548</stp>
        <tr r="BA38" s="1"/>
      </tp>
      <tp>
        <v>151</v>
        <stp/>
        <stp>VOLUME</stp>
        <stp>.SPY250523P569</stp>
        <tr r="H18" s="2"/>
        <tr r="H18" s="2"/>
      </tp>
      <tp>
        <v>174</v>
        <stp/>
        <stp>VOLUME</stp>
        <stp>.SPY250523C569</stp>
        <tr r="H18" s="2"/>
        <tr r="H18" s="2"/>
      </tp>
      <tp>
        <v>391</v>
        <stp/>
        <stp>VOLUME</stp>
        <stp>.SPY250523P568</stp>
        <tr r="H19" s="2"/>
        <tr r="H19" s="2"/>
      </tp>
      <tp>
        <v>694</v>
        <stp/>
        <stp>VOLUME</stp>
        <stp>.SPY250523C568</stp>
        <tr r="H19" s="2"/>
        <tr r="H19" s="2"/>
      </tp>
      <tp>
        <v>5</v>
        <stp/>
        <stp>VOLUME</stp>
        <stp>.SPY250530P578</stp>
        <tr r="I9" s="2"/>
        <tr r="I9" s="2"/>
      </tp>
      <tp>
        <v>569</v>
        <stp/>
        <stp>VOLUME</stp>
        <stp>.SPY250530C578</stp>
        <tr r="I9" s="2"/>
        <tr r="I9" s="2"/>
      </tp>
      <tp>
        <v>12</v>
        <stp/>
        <stp>VOLUME</stp>
        <stp>.SPY250530P579</stp>
        <tr r="I8" s="2"/>
        <tr r="I8" s="2"/>
      </tp>
      <tp>
        <v>294</v>
        <stp/>
        <stp>VOLUME</stp>
        <stp>.SPY250530C579</stp>
        <tr r="I8" s="2"/>
        <tr r="I8" s="2"/>
      </tp>
      <tp t="s">
        <v>N/A</v>
        <stp/>
        <stp>VOLUME</stp>
        <stp>.SPY250505P573</stp>
        <tr r="BB13" s="1"/>
      </tp>
      <tp>
        <v>20932</v>
        <stp/>
        <stp>VOLUME</stp>
        <stp>.SPY250516P560</stp>
        <tr r="BF26" s="1"/>
        <tr r="BF26" s="1"/>
      </tp>
      <tp>
        <v>6595</v>
        <stp/>
        <stp>VOLUME</stp>
        <stp>.SPY250523P555</stp>
        <tr r="H32" s="2"/>
        <tr r="H32" s="2"/>
      </tp>
      <tp t="s">
        <v>N/A</v>
        <stp/>
        <stp>VOLUME</stp>
        <stp>.SPY250505C573</stp>
        <tr r="BA13" s="1"/>
      </tp>
      <tp>
        <v>3596</v>
        <stp/>
        <stp>VOLUME</stp>
        <stp>.SPY250516C560</stp>
        <tr r="BE26" s="1"/>
        <tr r="BE26" s="1"/>
      </tp>
      <tp>
        <v>151</v>
        <stp/>
        <stp>VOLUME</stp>
        <stp>.SPY250523C555</stp>
        <tr r="H32" s="2"/>
        <tr r="H32" s="2"/>
      </tp>
      <tp t="s">
        <v>N/A</v>
        <stp/>
        <stp>VOLUME</stp>
        <stp>.SPY250505P572</stp>
        <tr r="BB14" s="1"/>
      </tp>
      <tp>
        <v>1807</v>
        <stp/>
        <stp>VOLUME</stp>
        <stp>.SPY250516P561</stp>
        <tr r="BF25" s="1"/>
        <tr r="BF25" s="1"/>
      </tp>
      <tp>
        <v>180</v>
        <stp/>
        <stp>VOLUME</stp>
        <stp>.SPY250523P554</stp>
        <tr r="H33" s="2"/>
        <tr r="H33" s="2"/>
      </tp>
      <tp t="s">
        <v>N/A</v>
        <stp/>
        <stp>VOLUME</stp>
        <stp>.SPY250505C572</stp>
        <tr r="BA14" s="1"/>
      </tp>
      <tp>
        <v>396</v>
        <stp/>
        <stp>VOLUME</stp>
        <stp>.SPY250516C561</stp>
        <tr r="BE25" s="1"/>
        <tr r="BE25" s="1"/>
      </tp>
      <tp>
        <v>1</v>
        <stp/>
        <stp>VOLUME</stp>
        <stp>.SPY250523C554</stp>
        <tr r="H33" s="2"/>
        <tr r="H33" s="2"/>
      </tp>
      <tp t="s">
        <v>N/A</v>
        <stp/>
        <stp>VOLUME</stp>
        <stp>.SPY250505P571</stp>
        <tr r="BB15" s="1"/>
      </tp>
      <tp>
        <v>3759</v>
        <stp/>
        <stp>VOLUME</stp>
        <stp>.SPY250516P562</stp>
        <tr r="BF24" s="1"/>
        <tr r="BF24" s="1"/>
      </tp>
      <tp>
        <v>151</v>
        <stp/>
        <stp>VOLUME</stp>
        <stp>.SPY250523P557</stp>
        <tr r="H30" s="2"/>
        <tr r="H30" s="2"/>
      </tp>
      <tp t="s">
        <v>N/A</v>
        <stp/>
        <stp>VOLUME</stp>
        <stp>.SPY250505C571</stp>
        <tr r="BA15" s="1"/>
      </tp>
      <tp>
        <v>1085</v>
        <stp/>
        <stp>VOLUME</stp>
        <stp>.SPY250516C562</stp>
        <tr r="BE24" s="1"/>
        <tr r="BE24" s="1"/>
      </tp>
      <tp>
        <v>19</v>
        <stp/>
        <stp>VOLUME</stp>
        <stp>.SPY250523C557</stp>
        <tr r="H30" s="2"/>
        <tr r="H30" s="2"/>
      </tp>
      <tp t="s">
        <v>N/A</v>
        <stp/>
        <stp>VOLUME</stp>
        <stp>.SPY250505P570</stp>
        <tr r="BB16" s="1"/>
      </tp>
      <tp>
        <v>4365</v>
        <stp/>
        <stp>VOLUME</stp>
        <stp>.SPY250516P563</stp>
        <tr r="BF23" s="1"/>
        <tr r="BF23" s="1"/>
      </tp>
      <tp>
        <v>279</v>
        <stp/>
        <stp>VOLUME</stp>
        <stp>.SPY250523P556</stp>
        <tr r="H31" s="2"/>
        <tr r="H31" s="2"/>
      </tp>
      <tp t="s">
        <v>N/A</v>
        <stp/>
        <stp>VOLUME</stp>
        <stp>.SPY250505C570</stp>
        <tr r="BA16" s="1"/>
      </tp>
      <tp>
        <v>3176</v>
        <stp/>
        <stp>VOLUME</stp>
        <stp>.SPY250516C563</stp>
        <tr r="BE23" s="1"/>
        <tr r="BE23" s="1"/>
      </tp>
      <tp>
        <v>22</v>
        <stp/>
        <stp>VOLUME</stp>
        <stp>.SPY250523C556</stp>
        <tr r="H31" s="2"/>
        <tr r="H31" s="2"/>
      </tp>
      <tp t="s">
        <v>N/A</v>
        <stp/>
        <stp>VOLUME</stp>
        <stp>.SPY250505P577</stp>
        <tr r="BB9" s="1"/>
      </tp>
      <tp>
        <v>7077</v>
        <stp/>
        <stp>VOLUME</stp>
        <stp>.SPY250516P564</stp>
        <tr r="BF22" s="1"/>
        <tr r="BF22" s="1"/>
      </tp>
      <tp>
        <v>110</v>
        <stp/>
        <stp>VOLUME</stp>
        <stp>.SPY250523P551</stp>
        <tr r="H36" s="2"/>
        <tr r="H36" s="2"/>
      </tp>
      <tp t="s">
        <v>N/A</v>
        <stp/>
        <stp>VOLUME</stp>
        <stp>.SPY250505C577</stp>
        <tr r="BA9" s="1"/>
      </tp>
      <tp>
        <v>7537</v>
        <stp/>
        <stp>VOLUME</stp>
        <stp>.SPY250516C564</stp>
        <tr r="BE22" s="1"/>
        <tr r="BE22" s="1"/>
      </tp>
      <tp>
        <v>10</v>
        <stp/>
        <stp>VOLUME</stp>
        <stp>.SPY250523C551</stp>
        <tr r="H36" s="2"/>
        <tr r="H36" s="2"/>
      </tp>
      <tp t="s">
        <v>N/A</v>
        <stp/>
        <stp>VOLUME</stp>
        <stp>.SPY250505P576</stp>
        <tr r="BB10" s="1"/>
      </tp>
      <tp>
        <v>27590</v>
        <stp/>
        <stp>VOLUME</stp>
        <stp>.SPY250516P565</stp>
        <tr r="BF21" s="1"/>
        <tr r="BF21" s="1"/>
      </tp>
      <tp>
        <v>3003</v>
        <stp/>
        <stp>VOLUME</stp>
        <stp>.SPY250523P550</stp>
        <tr r="H37" s="2"/>
        <tr r="H37" s="2"/>
      </tp>
      <tp t="s">
        <v>N/A</v>
        <stp/>
        <stp>VOLUME</stp>
        <stp>.SPY250505C576</stp>
        <tr r="BA10" s="1"/>
      </tp>
      <tp>
        <v>28175</v>
        <stp/>
        <stp>VOLUME</stp>
        <stp>.SPY250516C565</stp>
        <tr r="BE21" s="1"/>
        <tr r="BE21" s="1"/>
      </tp>
      <tp>
        <v>103</v>
        <stp/>
        <stp>VOLUME</stp>
        <stp>.SPY250523C550</stp>
        <tr r="H37" s="2"/>
        <tr r="H37" s="2"/>
      </tp>
      <tp t="s">
        <v>N/A</v>
        <stp/>
        <stp>VOLUME</stp>
        <stp>.SPY250505P575</stp>
        <tr r="BB11" s="1"/>
      </tp>
      <tp>
        <v>54</v>
        <stp/>
        <stp>VOLUME</stp>
        <stp>.SPY250509P579</stp>
        <tr r="BD7" s="1"/>
        <tr r="BD7" s="1"/>
      </tp>
      <tp>
        <v>3679</v>
        <stp/>
        <stp>VOLUME</stp>
        <stp>.SPY250516P566</stp>
        <tr r="BF20" s="1"/>
        <tr r="BF20" s="1"/>
      </tp>
      <tp>
        <v>139</v>
        <stp/>
        <stp>VOLUME</stp>
        <stp>.SPY250523P553</stp>
        <tr r="H34" s="2"/>
        <tr r="H34" s="2"/>
      </tp>
      <tp t="s">
        <v>N/A</v>
        <stp/>
        <stp>VOLUME</stp>
        <stp>.SPY250505C575</stp>
        <tr r="BA11" s="1"/>
      </tp>
      <tp>
        <v>7161</v>
        <stp/>
        <stp>VOLUME</stp>
        <stp>.SPY250509C579</stp>
        <tr r="BC7" s="1"/>
        <tr r="BC7" s="1"/>
      </tp>
      <tp>
        <v>7469</v>
        <stp/>
        <stp>VOLUME</stp>
        <stp>.SPY250516C566</stp>
        <tr r="BE20" s="1"/>
        <tr r="BE20" s="1"/>
      </tp>
      <tp>
        <v>13</v>
        <stp/>
        <stp>VOLUME</stp>
        <stp>.SPY250523C553</stp>
        <tr r="H34" s="2"/>
        <tr r="H34" s="2"/>
      </tp>
      <tp t="s">
        <v>N/A</v>
        <stp/>
        <stp>VOLUME</stp>
        <stp>.SPY250505P574</stp>
        <tr r="BB12" s="1"/>
      </tp>
      <tp>
        <v>37</v>
        <stp/>
        <stp>VOLUME</stp>
        <stp>.SPY250509P578</stp>
        <tr r="BD8" s="1"/>
        <tr r="BD8" s="1"/>
      </tp>
      <tp>
        <v>3740</v>
        <stp/>
        <stp>VOLUME</stp>
        <stp>.SPY250516P567</stp>
        <tr r="BF19" s="1"/>
        <tr r="BF19" s="1"/>
      </tp>
      <tp>
        <v>259</v>
        <stp/>
        <stp>VOLUME</stp>
        <stp>.SPY250523P552</stp>
        <tr r="H35" s="2"/>
        <tr r="H35" s="2"/>
      </tp>
      <tp t="s">
        <v>N/A</v>
        <stp/>
        <stp>VOLUME</stp>
        <stp>.SPY250505C574</stp>
        <tr r="BA12" s="1"/>
      </tp>
      <tp>
        <v>6252</v>
        <stp/>
        <stp>VOLUME</stp>
        <stp>.SPY250509C578</stp>
        <tr r="BC8" s="1"/>
        <tr r="BC8" s="1"/>
      </tp>
      <tp>
        <v>13645</v>
        <stp/>
        <stp>VOLUME</stp>
        <stp>.SPY250516C567</stp>
        <tr r="BE19" s="1"/>
        <tr r="BE19" s="1"/>
      </tp>
      <tp>
        <v>15</v>
        <stp/>
        <stp>VOLUME</stp>
        <stp>.SPY250523C552</stp>
        <tr r="H35" s="2"/>
        <tr r="H35" s="2"/>
      </tp>
      <tp>
        <v>111</v>
        <stp/>
        <stp>VOLUME</stp>
        <stp>.SPY250509P577</stp>
        <tr r="BD9" s="1"/>
        <tr r="BD9" s="1"/>
      </tp>
      <tp>
        <v>1593</v>
        <stp/>
        <stp>VOLUME</stp>
        <stp>.SPY250516P568</stp>
        <tr r="BF18" s="1"/>
        <tr r="BF18" s="1"/>
      </tp>
      <tp>
        <v>13773</v>
        <stp/>
        <stp>VOLUME</stp>
        <stp>.SPY250509C577</stp>
        <tr r="BC9" s="1"/>
        <tr r="BC9" s="1"/>
      </tp>
      <tp>
        <v>7129</v>
        <stp/>
        <stp>VOLUME</stp>
        <stp>.SPY250516C568</stp>
        <tr r="BE18" s="1"/>
        <tr r="BE18" s="1"/>
      </tp>
      <tp>
        <v>570</v>
        <stp/>
        <stp>VOLUME</stp>
        <stp>.SPY250509P576</stp>
        <tr r="BD10" s="1"/>
        <tr r="BD10" s="1"/>
      </tp>
      <tp>
        <v>1079</v>
        <stp/>
        <stp>VOLUME</stp>
        <stp>.SPY250516P569</stp>
        <tr r="BF17" s="1"/>
        <tr r="BF17" s="1"/>
      </tp>
      <tp>
        <v>17723</v>
        <stp/>
        <stp>VOLUME</stp>
        <stp>.SPY250509C576</stp>
        <tr r="BC10" s="1"/>
        <tr r="BC10" s="1"/>
      </tp>
      <tp>
        <v>4892</v>
        <stp/>
        <stp>VOLUME</stp>
        <stp>.SPY250516C569</stp>
        <tr r="BE17" s="1"/>
        <tr r="BE17" s="1"/>
      </tp>
      <tp t="s">
        <v>N/A</v>
        <stp/>
        <stp>VOLUME</stp>
        <stp>.SPY250505P579</stp>
        <tr r="BB7" s="1"/>
      </tp>
      <tp>
        <v>1768</v>
        <stp/>
        <stp>VOLUME</stp>
        <stp>.SPY250509P575</stp>
        <tr r="BD11" s="1"/>
        <tr r="BD11" s="1"/>
      </tp>
      <tp t="s">
        <v>N/A</v>
        <stp/>
        <stp>VOLUME</stp>
        <stp>.SPY250505C579</stp>
        <tr r="BA7" s="1"/>
      </tp>
      <tp>
        <v>43555</v>
        <stp/>
        <stp>VOLUME</stp>
        <stp>.SPY250509C575</stp>
        <tr r="BC11" s="1"/>
        <tr r="BC11" s="1"/>
      </tp>
      <tp t="s">
        <v>N/A</v>
        <stp/>
        <stp>VOLUME</stp>
        <stp>.SPY250505P578</stp>
        <tr r="BB8" s="1"/>
      </tp>
      <tp>
        <v>402</v>
        <stp/>
        <stp>VOLUME</stp>
        <stp>.SPY250509P574</stp>
        <tr r="BD12" s="1"/>
        <tr r="BD12" s="1"/>
      </tp>
      <tp t="s">
        <v>N/A</v>
        <stp/>
        <stp>VOLUME</stp>
        <stp>.SPY250505C578</stp>
        <tr r="BA8" s="1"/>
      </tp>
      <tp>
        <v>27683</v>
        <stp/>
        <stp>VOLUME</stp>
        <stp>.SPY250509C574</stp>
        <tr r="BC12" s="1"/>
        <tr r="BC12" s="1"/>
      </tp>
      <tp>
        <v>1067</v>
        <stp/>
        <stp>VOLUME</stp>
        <stp>.SPY250509P573</stp>
        <tr r="BD13" s="1"/>
        <tr r="BD13" s="1"/>
      </tp>
      <tp>
        <v>229</v>
        <stp/>
        <stp>VOLUME</stp>
        <stp>.SPY250523P559</stp>
        <tr r="H28" s="2"/>
        <tr r="H28" s="2"/>
      </tp>
      <tp>
        <v>36747</v>
        <stp/>
        <stp>VOLUME</stp>
        <stp>.SPY250509C573</stp>
        <tr r="BC13" s="1"/>
        <tr r="BC13" s="1"/>
      </tp>
      <tp>
        <v>35</v>
        <stp/>
        <stp>VOLUME</stp>
        <stp>.SPY250523C559</stp>
        <tr r="H28" s="2"/>
        <tr r="H28" s="2"/>
      </tp>
      <tp>
        <v>1733</v>
        <stp/>
        <stp>VOLUME</stp>
        <stp>.SPY250509P572</stp>
        <tr r="BD14" s="1"/>
        <tr r="BD14" s="1"/>
      </tp>
      <tp>
        <v>460</v>
        <stp/>
        <stp>VOLUME</stp>
        <stp>.SPY250523P558</stp>
        <tr r="H29" s="2"/>
        <tr r="H29" s="2"/>
      </tp>
      <tp>
        <v>73412</v>
        <stp/>
        <stp>VOLUME</stp>
        <stp>.SPY250509C572</stp>
        <tr r="BC14" s="1"/>
        <tr r="BC14" s="1"/>
      </tp>
      <tp>
        <v>69</v>
        <stp/>
        <stp>VOLUME</stp>
        <stp>.SPY250523C558</stp>
        <tr r="H29" s="2"/>
        <tr r="H29" s="2"/>
      </tp>
      <tp>
        <v>1727</v>
        <stp/>
        <stp>VOLUME</stp>
        <stp>.SPY250509P571</stp>
        <tr r="BD15" s="1"/>
        <tr r="BD15" s="1"/>
      </tp>
      <tp>
        <v>108</v>
        <stp/>
        <stp>VOLUME</stp>
        <stp>.SPY250530P548</stp>
        <tr r="I39" s="2"/>
        <tr r="I39" s="2"/>
      </tp>
      <tp>
        <v>81781</v>
        <stp/>
        <stp>VOLUME</stp>
        <stp>.SPY250509C571</stp>
        <tr r="BC15" s="1"/>
        <tr r="BC15" s="1"/>
      </tp>
      <tp>
        <v>69</v>
        <stp/>
        <stp>VOLUME</stp>
        <stp>.SPY250530C548</stp>
        <tr r="I39" s="2"/>
        <tr r="I39" s="2"/>
      </tp>
      <tp>
        <v>10311</v>
        <stp/>
        <stp>VOLUME</stp>
        <stp>.SPY250509P570</stp>
        <tr r="BD16" s="1"/>
        <tr r="BD16" s="1"/>
      </tp>
      <tp>
        <v>88</v>
        <stp/>
        <stp>VOLUME</stp>
        <stp>.SPY250530P549</stp>
        <tr r="I38" s="2"/>
        <tr r="I38" s="2"/>
      </tp>
      <tp>
        <v>230171</v>
        <stp/>
        <stp>VOLUME</stp>
        <stp>.SPY250509C570</stp>
        <tr r="BC16" s="1"/>
        <tr r="BC16" s="1"/>
      </tp>
      <tp>
        <v>22</v>
        <stp/>
        <stp>VOLUME</stp>
        <stp>.SPY250530C549</stp>
        <tr r="I38" s="2"/>
        <tr r="I38" s="2"/>
      </tp>
      <tp t="s">
        <v>N/A</v>
        <stp/>
        <stp>VOLUME</stp>
        <stp>.SPY250505P563</stp>
        <tr r="BB23" s="1"/>
      </tp>
      <tp>
        <v>1942</v>
        <stp/>
        <stp>VOLUME</stp>
        <stp>.SPY250516P570</stp>
        <tr r="BF16" s="1"/>
        <tr r="BF16" s="1"/>
      </tp>
      <tp>
        <v>2002</v>
        <stp/>
        <stp>VOLUME</stp>
        <stp>.SPY250530P556</stp>
        <tr r="I31" s="2"/>
        <tr r="I31" s="2"/>
      </tp>
      <tp t="s">
        <v>N/A</v>
        <stp/>
        <stp>VOLUME</stp>
        <stp>.SPY250505C563</stp>
        <tr r="BA23" s="1"/>
      </tp>
      <tp>
        <v>28207</v>
        <stp/>
        <stp>VOLUME</stp>
        <stp>.SPY250516C570</stp>
        <tr r="BE16" s="1"/>
        <tr r="BE16" s="1"/>
      </tp>
      <tp>
        <v>31</v>
        <stp/>
        <stp>VOLUME</stp>
        <stp>.SPY250530C556</stp>
        <tr r="I31" s="2"/>
        <tr r="I31" s="2"/>
      </tp>
      <tp t="s">
        <v>N/A</v>
        <stp/>
        <stp>VOLUME</stp>
        <stp>.SPY250505P562</stp>
        <tr r="BB24" s="1"/>
      </tp>
      <tp>
        <v>17</v>
        <stp/>
        <stp>VOLUME</stp>
        <stp>.SPY250516P571</stp>
        <tr r="BF15" s="1"/>
        <tr r="BF15" s="1"/>
      </tp>
      <tp>
        <v>429</v>
        <stp/>
        <stp>VOLUME</stp>
        <stp>.SPY250530P557</stp>
        <tr r="I30" s="2"/>
        <tr r="I30" s="2"/>
      </tp>
      <tp t="s">
        <v>N/A</v>
        <stp/>
        <stp>VOLUME</stp>
        <stp>.SPY250505C562</stp>
        <tr r="BA24" s="1"/>
      </tp>
      <tp>
        <v>3571</v>
        <stp/>
        <stp>VOLUME</stp>
        <stp>.SPY250516C571</stp>
        <tr r="BE15" s="1"/>
        <tr r="BE15" s="1"/>
      </tp>
      <tp>
        <v>94</v>
        <stp/>
        <stp>VOLUME</stp>
        <stp>.SPY250530C557</stp>
        <tr r="I30" s="2"/>
        <tr r="I30" s="2"/>
      </tp>
      <tp t="s">
        <v>N/A</v>
        <stp/>
        <stp>VOLUME</stp>
        <stp>.SPY250505P561</stp>
        <tr r="BB25" s="1"/>
      </tp>
      <tp>
        <v>67</v>
        <stp/>
        <stp>VOLUME</stp>
        <stp>.SPY250516P572</stp>
        <tr r="BF14" s="1"/>
        <tr r="BF14" s="1"/>
      </tp>
      <tp>
        <v>453</v>
        <stp/>
        <stp>VOLUME</stp>
        <stp>.SPY250530P554</stp>
        <tr r="I33" s="2"/>
        <tr r="I33" s="2"/>
      </tp>
      <tp t="s">
        <v>N/A</v>
        <stp/>
        <stp>VOLUME</stp>
        <stp>.SPY250505C561</stp>
        <tr r="BA25" s="1"/>
      </tp>
      <tp>
        <v>2726</v>
        <stp/>
        <stp>VOLUME</stp>
        <stp>.SPY250516C572</stp>
        <tr r="BE14" s="1"/>
        <tr r="BE14" s="1"/>
      </tp>
      <tp>
        <v>8</v>
        <stp/>
        <stp>VOLUME</stp>
        <stp>.SPY250530C554</stp>
        <tr r="I33" s="2"/>
        <tr r="I33" s="2"/>
      </tp>
      <tp t="s">
        <v>N/A</v>
        <stp/>
        <stp>VOLUME</stp>
        <stp>.SPY250505P560</stp>
        <tr r="BB26" s="1"/>
      </tp>
      <tp>
        <v>44</v>
        <stp/>
        <stp>VOLUME</stp>
        <stp>.SPY250516P573</stp>
        <tr r="BF13" s="1"/>
        <tr r="BF13" s="1"/>
      </tp>
      <tp>
        <v>2092</v>
        <stp/>
        <stp>VOLUME</stp>
        <stp>.SPY250530P555</stp>
        <tr r="I32" s="2"/>
        <tr r="I32" s="2"/>
      </tp>
      <tp t="s">
        <v>N/A</v>
        <stp/>
        <stp>VOLUME</stp>
        <stp>.SPY250505C560</stp>
        <tr r="BA26" s="1"/>
      </tp>
      <tp>
        <v>2031</v>
        <stp/>
        <stp>VOLUME</stp>
        <stp>.SPY250516C573</stp>
        <tr r="BE13" s="1"/>
        <tr r="BE13" s="1"/>
      </tp>
      <tp>
        <v>151</v>
        <stp/>
        <stp>VOLUME</stp>
        <stp>.SPY250530C555</stp>
        <tr r="I32" s="2"/>
        <tr r="I32" s="2"/>
      </tp>
      <tp t="s">
        <v>N/A</v>
        <stp/>
        <stp>VOLUME</stp>
        <stp>.SPY250505P567</stp>
        <tr r="BB19" s="1"/>
      </tp>
      <tp>
        <v>15</v>
        <stp/>
        <stp>VOLUME</stp>
        <stp>.SPY250516P574</stp>
        <tr r="BF12" s="1"/>
        <tr r="BF12" s="1"/>
      </tp>
      <tp>
        <v>153</v>
        <stp/>
        <stp>VOLUME</stp>
        <stp>.SPY250530P552</stp>
        <tr r="I35" s="2"/>
        <tr r="I35" s="2"/>
      </tp>
      <tp t="s">
        <v>N/A</v>
        <stp/>
        <stp>VOLUME</stp>
        <stp>.SPY250505C567</stp>
        <tr r="BA19" s="1"/>
      </tp>
      <tp>
        <v>1697</v>
        <stp/>
        <stp>VOLUME</stp>
        <stp>.SPY250516C574</stp>
        <tr r="BE12" s="1"/>
        <tr r="BE12" s="1"/>
      </tp>
      <tp>
        <v>159</v>
        <stp/>
        <stp>VOLUME</stp>
        <stp>.SPY250530C552</stp>
        <tr r="I35" s="2"/>
        <tr r="I35" s="2"/>
      </tp>
      <tp t="s">
        <v>N/A</v>
        <stp/>
        <stp>VOLUME</stp>
        <stp>.SPY250505P566</stp>
        <tr r="BB20" s="1"/>
      </tp>
      <tp>
        <v>471</v>
        <stp/>
        <stp>VOLUME</stp>
        <stp>.SPY250516P575</stp>
        <tr r="BF11" s="1"/>
        <tr r="BF11" s="1"/>
      </tp>
      <tp>
        <v>352</v>
        <stp/>
        <stp>VOLUME</stp>
        <stp>.SPY250530P553</stp>
        <tr r="I34" s="2"/>
        <tr r="I34" s="2"/>
      </tp>
      <tp t="s">
        <v>N/A</v>
        <stp/>
        <stp>VOLUME</stp>
        <stp>.SPY250505C566</stp>
        <tr r="BA20" s="1"/>
      </tp>
      <tp>
        <v>20039</v>
        <stp/>
        <stp>VOLUME</stp>
        <stp>.SPY250516C575</stp>
        <tr r="BE11" s="1"/>
        <tr r="BE11" s="1"/>
      </tp>
      <tp>
        <v>61</v>
        <stp/>
        <stp>VOLUME</stp>
        <stp>.SPY250530C553</stp>
        <tr r="I34" s="2"/>
        <tr r="I34" s="2"/>
      </tp>
      <tp t="s">
        <v>N/A</v>
        <stp/>
        <stp>VOLUME</stp>
        <stp>.SPY250505P565</stp>
        <tr r="BB21" s="1"/>
      </tp>
      <tp>
        <v>6738</v>
        <stp/>
        <stp>VOLUME</stp>
        <stp>.SPY250509P569</stp>
        <tr r="BD17" s="1"/>
        <tr r="BD17" s="1"/>
      </tp>
      <tp>
        <v>18</v>
        <stp/>
        <stp>VOLUME</stp>
        <stp>.SPY250516P576</stp>
        <tr r="BF10" s="1"/>
        <tr r="BF10" s="1"/>
      </tp>
      <tp>
        <v>3722</v>
        <stp/>
        <stp>VOLUME</stp>
        <stp>.SPY250530P550</stp>
        <tr r="I37" s="2"/>
        <tr r="I37" s="2"/>
      </tp>
      <tp t="s">
        <v>N/A</v>
        <stp/>
        <stp>VOLUME</stp>
        <stp>.SPY250505C565</stp>
        <tr r="BA21" s="1"/>
      </tp>
      <tp>
        <v>178857</v>
        <stp/>
        <stp>VOLUME</stp>
        <stp>.SPY250509C569</stp>
        <tr r="BC17" s="1"/>
        <tr r="BC17" s="1"/>
      </tp>
      <tp>
        <v>3648</v>
        <stp/>
        <stp>VOLUME</stp>
        <stp>.SPY250516C576</stp>
        <tr r="BE10" s="1"/>
        <tr r="BE10" s="1"/>
      </tp>
      <tp>
        <v>185</v>
        <stp/>
        <stp>VOLUME</stp>
        <stp>.SPY250530C550</stp>
        <tr r="I37" s="2"/>
        <tr r="I37" s="2"/>
      </tp>
      <tp t="s">
        <v>N/A</v>
        <stp/>
        <stp>VOLUME</stp>
        <stp>.SPY250505P564</stp>
        <tr r="BB22" s="1"/>
      </tp>
      <tp>
        <v>18389</v>
        <stp/>
        <stp>VOLUME</stp>
        <stp>.SPY250509P568</stp>
        <tr r="BD18" s="1"/>
        <tr r="BD18" s="1"/>
      </tp>
      <tp>
        <v>34</v>
        <stp/>
        <stp>VOLUME</stp>
        <stp>.SPY250516P577</stp>
        <tr r="BF9" s="1"/>
        <tr r="BF9" s="1"/>
      </tp>
      <tp>
        <v>127</v>
        <stp/>
        <stp>VOLUME</stp>
        <stp>.SPY250530P551</stp>
        <tr r="I36" s="2"/>
        <tr r="I36" s="2"/>
      </tp>
      <tp t="s">
        <v>N/A</v>
        <stp/>
        <stp>VOLUME</stp>
        <stp>.SPY250505C564</stp>
        <tr r="BA22" s="1"/>
      </tp>
      <tp>
        <v>217360</v>
        <stp/>
        <stp>VOLUME</stp>
        <stp>.SPY250509C568</stp>
        <tr r="BC18" s="1"/>
        <tr r="BC18" s="1"/>
      </tp>
      <tp>
        <v>2466</v>
        <stp/>
        <stp>VOLUME</stp>
        <stp>.SPY250516C577</stp>
        <tr r="BE9" s="1"/>
        <tr r="BE9" s="1"/>
      </tp>
      <tp>
        <v>47</v>
        <stp/>
        <stp>VOLUME</stp>
        <stp>.SPY250530C551</stp>
        <tr r="I36" s="2"/>
        <tr r="I36" s="2"/>
      </tp>
      <tp>
        <v>72903</v>
        <stp/>
        <stp>VOLUME</stp>
        <stp>.SPY250509P567</stp>
        <tr r="BD19" s="1"/>
        <tr r="BD19" s="1"/>
      </tp>
      <tp>
        <v>29</v>
        <stp/>
        <stp>VOLUME</stp>
        <stp>.SPY250516P578</stp>
        <tr r="BF8" s="1"/>
        <tr r="BF8" s="1"/>
      </tp>
      <tp>
        <v>397613</v>
        <stp/>
        <stp>VOLUME</stp>
        <stp>.SPY250509C567</stp>
        <tr r="BC19" s="1"/>
        <tr r="BC19" s="1"/>
      </tp>
      <tp>
        <v>4148</v>
        <stp/>
        <stp>VOLUME</stp>
        <stp>.SPY250516C578</stp>
        <tr r="BE8" s="1"/>
        <tr r="BE8" s="1"/>
      </tp>
      <tp>
        <v>172752</v>
        <stp/>
        <stp>VOLUME</stp>
        <stp>.SPY250509P566</stp>
        <tr r="BD20" s="1"/>
        <tr r="BD20" s="1"/>
      </tp>
      <tp>
        <v>25</v>
        <stp/>
        <stp>VOLUME</stp>
        <stp>.SPY250516P579</stp>
        <tr r="BF7" s="1"/>
        <tr r="BF7" s="1"/>
      </tp>
      <tp>
        <v>387340</v>
        <stp/>
        <stp>VOLUME</stp>
        <stp>.SPY250509C566</stp>
        <tr r="BC20" s="1"/>
        <tr r="BC20" s="1"/>
      </tp>
      <tp>
        <v>2367</v>
        <stp/>
        <stp>VOLUME</stp>
        <stp>.SPY250516C579</stp>
        <tr r="BE7" s="1"/>
        <tr r="BE7" s="1"/>
      </tp>
      <tp t="s">
        <v>N/A</v>
        <stp/>
        <stp>VOLUME</stp>
        <stp>.SPY250505P569</stp>
        <tr r="BB17" s="1"/>
      </tp>
      <tp>
        <v>347771</v>
        <stp/>
        <stp>VOLUME</stp>
        <stp>.SPY250509P565</stp>
        <tr r="BD21" s="1"/>
        <tr r="BD21" s="1"/>
      </tp>
      <tp t="s">
        <v>N/A</v>
        <stp/>
        <stp>VOLUME</stp>
        <stp>.SPY250505C569</stp>
        <tr r="BA17" s="1"/>
      </tp>
      <tp>
        <v>491754</v>
        <stp/>
        <stp>VOLUME</stp>
        <stp>.SPY250509C565</stp>
        <tr r="BC21" s="1"/>
        <tr r="BC21" s="1"/>
      </tp>
      <tp t="s">
        <v>N/A</v>
        <stp/>
        <stp>VOLUME</stp>
        <stp>.SPY250505P568</stp>
        <tr r="BB18" s="1"/>
      </tp>
      <tp>
        <v>423574</v>
        <stp/>
        <stp>VOLUME</stp>
        <stp>.SPY250509P564</stp>
        <tr r="BD22" s="1"/>
        <tr r="BD22" s="1"/>
      </tp>
      <tp t="s">
        <v>N/A</v>
        <stp/>
        <stp>VOLUME</stp>
        <stp>.SPY250505C568</stp>
        <tr r="BA18" s="1"/>
      </tp>
      <tp>
        <v>311920</v>
        <stp/>
        <stp>VOLUME</stp>
        <stp>.SPY250509C564</stp>
        <tr r="BC22" s="1"/>
        <tr r="BC22" s="1"/>
      </tp>
      <tp>
        <v>329830</v>
        <stp/>
        <stp>VOLUME</stp>
        <stp>.SPY250509P563</stp>
        <tr r="BD23" s="1"/>
        <tr r="BD23" s="1"/>
      </tp>
      <tp>
        <v>229</v>
        <stp/>
        <stp>VOLUME</stp>
        <stp>.SPY250523P549</stp>
        <tr r="H38" s="2"/>
        <tr r="H38" s="2"/>
      </tp>
      <tp>
        <v>71490</v>
        <stp/>
        <stp>VOLUME</stp>
        <stp>.SPY250509C563</stp>
        <tr r="BC23" s="1"/>
        <tr r="BC23" s="1"/>
      </tp>
      <tp>
        <v>3</v>
        <stp/>
        <stp>VOLUME</stp>
        <stp>.SPY250523C549</stp>
        <tr r="H38" s="2"/>
        <tr r="H38" s="2"/>
      </tp>
      <tp>
        <v>151651</v>
        <stp/>
        <stp>VOLUME</stp>
        <stp>.SPY250509P562</stp>
        <tr r="BD24" s="1"/>
        <tr r="BD24" s="1"/>
      </tp>
      <tp>
        <v>171</v>
        <stp/>
        <stp>VOLUME</stp>
        <stp>.SPY250523P548</stp>
        <tr r="H39" s="2"/>
        <tr r="H39" s="2"/>
      </tp>
      <tp>
        <v>18571</v>
        <stp/>
        <stp>VOLUME</stp>
        <stp>.SPY250509C562</stp>
        <tr r="BC24" s="1"/>
        <tr r="BC24" s="1"/>
      </tp>
      <tp>
        <v>24</v>
        <stp/>
        <stp>VOLUME</stp>
        <stp>.SPY250523C548</stp>
        <tr r="H39" s="2"/>
        <tr r="H39" s="2"/>
      </tp>
      <tp>
        <v>127811</v>
        <stp/>
        <stp>VOLUME</stp>
        <stp>.SPY250509P561</stp>
        <tr r="BD25" s="1"/>
        <tr r="BD25" s="1"/>
      </tp>
      <tp>
        <v>329</v>
        <stp/>
        <stp>VOLUME</stp>
        <stp>.SPY250530P558</stp>
        <tr r="I29" s="2"/>
        <tr r="I29" s="2"/>
      </tp>
      <tp>
        <v>7937</v>
        <stp/>
        <stp>VOLUME</stp>
        <stp>.SPY250509C561</stp>
        <tr r="BC25" s="1"/>
        <tr r="BC25" s="1"/>
      </tp>
      <tp>
        <v>8</v>
        <stp/>
        <stp>VOLUME</stp>
        <stp>.SPY250530C558</stp>
        <tr r="I29" s="2"/>
        <tr r="I29" s="2"/>
      </tp>
      <tp>
        <v>240660</v>
        <stp/>
        <stp>VOLUME</stp>
        <stp>.SPY250509P560</stp>
        <tr r="BD26" s="1"/>
        <tr r="BD26" s="1"/>
      </tp>
      <tp>
        <v>249</v>
        <stp/>
        <stp>VOLUME</stp>
        <stp>.SPY250530P559</stp>
        <tr r="I28" s="2"/>
        <tr r="I28" s="2"/>
      </tp>
      <tp>
        <v>11376</v>
        <stp/>
        <stp>VOLUME</stp>
        <stp>.SPY250509C560</stp>
        <tr r="BC26" s="1"/>
        <tr r="BC26" s="1"/>
      </tp>
      <tp>
        <v>111</v>
        <stp/>
        <stp>VOLUME</stp>
        <stp>.SPY250530C559</stp>
        <tr r="I28" s="2"/>
        <tr r="I28" s="2"/>
      </tp>
      <tp>
        <v>0</v>
        <stp/>
        <stp>DELTA</stp>
        <stp>.SPXW250509P5420</stp>
        <tr r="CG130" s="1"/>
        <tr r="CG130" s="1"/>
      </tp>
      <tp>
        <v>0.98</v>
        <stp/>
        <stp>DELTA</stp>
        <stp>.SPXW250509C5420</stp>
        <tr r="CF130" s="1"/>
        <tr r="CF130" s="1"/>
      </tp>
      <tp>
        <v>0</v>
        <stp/>
        <stp>DELTA</stp>
        <stp>.SPXW250509P5430</stp>
        <tr r="CG129" s="1"/>
        <tr r="CG129" s="1"/>
      </tp>
      <tp>
        <v>0.98</v>
        <stp/>
        <stp>DELTA</stp>
        <stp>.SPXW250509C5430</stp>
        <tr r="CF129" s="1"/>
        <tr r="CF129" s="1"/>
      </tp>
      <tp>
        <v>0</v>
        <stp/>
        <stp>DELTA</stp>
        <stp>.SPXW250509P5460</stp>
        <tr r="CG126" s="1"/>
        <tr r="CG126" s="1"/>
      </tp>
      <tp>
        <v>-0.32</v>
        <stp/>
        <stp>DELTA</stp>
        <stp>.SPXW250516P5590</stp>
        <tr r="CI113" s="1"/>
        <tr r="CI113" s="1"/>
      </tp>
      <tp>
        <v>1</v>
        <stp/>
        <stp>DELTA</stp>
        <stp>.SPXW250509C5460</stp>
        <tr r="CF126" s="1"/>
        <tr r="CF126" s="1"/>
      </tp>
      <tp>
        <v>0.67</v>
        <stp/>
        <stp>DELTA</stp>
        <stp>.SPXW250516C5590</stp>
        <tr r="CH113" s="1"/>
        <tr r="CH113" s="1"/>
      </tp>
      <tp>
        <v>0</v>
        <stp/>
        <stp>DELTA</stp>
        <stp>.SPXW250509P5470</stp>
        <tr r="CG125" s="1"/>
        <tr r="CG125" s="1"/>
      </tp>
      <tp>
        <v>-0.3</v>
        <stp/>
        <stp>DELTA</stp>
        <stp>.SPXW250516P5580</stp>
        <tr r="CI114" s="1"/>
        <tr r="CI114" s="1"/>
      </tp>
      <tp>
        <v>1</v>
        <stp/>
        <stp>DELTA</stp>
        <stp>.SPXW250509C5470</stp>
        <tr r="CF125" s="1"/>
        <tr r="CF125" s="1"/>
      </tp>
      <tp>
        <v>0.69</v>
        <stp/>
        <stp>DELTA</stp>
        <stp>.SPXW250516C5580</stp>
        <tr r="CH114" s="1"/>
        <tr r="CH114" s="1"/>
      </tp>
      <tp>
        <v>0</v>
        <stp/>
        <stp>DELTA</stp>
        <stp>.SPXW250505P5480</stp>
        <tr r="CE124" s="1"/>
        <tr r="CE124" s="1"/>
      </tp>
      <tp>
        <v>0</v>
        <stp/>
        <stp>DELTA</stp>
        <stp>.SPXW250509P5440</stp>
        <tr r="CG128" s="1"/>
        <tr r="CG128" s="1"/>
      </tp>
      <tp>
        <v>1</v>
        <stp/>
        <stp>DELTA</stp>
        <stp>.SPXW250505C5480</stp>
        <tr r="CD124" s="1"/>
        <tr r="CD124" s="1"/>
      </tp>
      <tp>
        <v>0.98</v>
        <stp/>
        <stp>DELTA</stp>
        <stp>.SPXW250509C5440</stp>
        <tr r="CF128" s="1"/>
        <tr r="CF128" s="1"/>
      </tp>
      <tp>
        <v>0</v>
        <stp/>
        <stp>DELTA</stp>
        <stp>.SPXW250505P5490</stp>
        <tr r="CE123" s="1"/>
        <tr r="CE123" s="1"/>
      </tp>
      <tp>
        <v>0</v>
        <stp/>
        <stp>DELTA</stp>
        <stp>.SPXW250509P5450</stp>
        <tr r="CG127" s="1"/>
        <tr r="CG127" s="1"/>
      </tp>
      <tp>
        <v>1</v>
        <stp/>
        <stp>DELTA</stp>
        <stp>.SPXW250505C5490</stp>
        <tr r="CD123" s="1"/>
        <tr r="CD123" s="1"/>
      </tp>
      <tp>
        <v>1</v>
        <stp/>
        <stp>DELTA</stp>
        <stp>.SPXW250509C5450</stp>
        <tr r="CF127" s="1"/>
        <tr r="CF127" s="1"/>
      </tp>
      <tp>
        <v>0</v>
        <stp/>
        <stp>DELTA</stp>
        <stp>.SPXW250505P5460</stp>
        <tr r="CE126" s="1"/>
        <tr r="CE126" s="1"/>
      </tp>
      <tp>
        <v>-0.24</v>
        <stp/>
        <stp>DELTA</stp>
        <stp>.SPXW250516P5550</stp>
        <tr r="CI117" s="1"/>
        <tr r="CI117" s="1"/>
      </tp>
      <tp>
        <v>1</v>
        <stp/>
        <stp>DELTA</stp>
        <stp>.SPXW250505C5460</stp>
        <tr r="CD126" s="1"/>
        <tr r="CD126" s="1"/>
      </tp>
      <tp>
        <v>0.75</v>
        <stp/>
        <stp>DELTA</stp>
        <stp>.SPXW250516C5550</stp>
        <tr r="CH117" s="1"/>
        <tr r="CH117" s="1"/>
      </tp>
      <tp>
        <v>0</v>
        <stp/>
        <stp>DELTA</stp>
        <stp>.SPXW250505P5470</stp>
        <tr r="CE125" s="1"/>
        <tr r="CE125" s="1"/>
      </tp>
      <tp>
        <v>-0.23</v>
        <stp/>
        <stp>DELTA</stp>
        <stp>.SPXW250516P5540</stp>
        <tr r="CI118" s="1"/>
        <tr r="CI118" s="1"/>
      </tp>
      <tp>
        <v>1</v>
        <stp/>
        <stp>DELTA</stp>
        <stp>.SPXW250505C5470</stp>
        <tr r="CD125" s="1"/>
        <tr r="CD125" s="1"/>
      </tp>
      <tp>
        <v>0.76</v>
        <stp/>
        <stp>DELTA</stp>
        <stp>.SPXW250516C5540</stp>
        <tr r="CH118" s="1"/>
        <tr r="CH118" s="1"/>
      </tp>
      <tp>
        <v>0</v>
        <stp/>
        <stp>DELTA</stp>
        <stp>.SPXW250505P5440</stp>
        <tr r="CE128" s="1"/>
        <tr r="CE128" s="1"/>
      </tp>
      <tp>
        <v>0</v>
        <stp/>
        <stp>DELTA</stp>
        <stp>.SPXW250509P5480</stp>
        <tr r="CG124" s="1"/>
        <tr r="CG124" s="1"/>
      </tp>
      <tp>
        <v>-0.28000000000000003</v>
        <stp/>
        <stp>DELTA</stp>
        <stp>.SPXW250516P5570</stp>
        <tr r="CI115" s="1"/>
        <tr r="CI115" s="1"/>
      </tp>
      <tp>
        <v>1</v>
        <stp/>
        <stp>DELTA</stp>
        <stp>.SPXW250505C5440</stp>
        <tr r="CD128" s="1"/>
        <tr r="CD128" s="1"/>
      </tp>
      <tp>
        <v>1</v>
        <stp/>
        <stp>DELTA</stp>
        <stp>.SPXW250509C5480</stp>
        <tr r="CF124" s="1"/>
        <tr r="CF124" s="1"/>
      </tp>
      <tp>
        <v>0.71</v>
        <stp/>
        <stp>DELTA</stp>
        <stp>.SPXW250516C5570</stp>
        <tr r="CH115" s="1"/>
        <tr r="CH115" s="1"/>
      </tp>
      <tp>
        <v>0</v>
        <stp/>
        <stp>DELTA</stp>
        <stp>.SPXW250505P5450</stp>
        <tr r="CE127" s="1"/>
        <tr r="CE127" s="1"/>
      </tp>
      <tp>
        <v>0</v>
        <stp/>
        <stp>DELTA</stp>
        <stp>.SPXW250509P5490</stp>
        <tr r="CG123" s="1"/>
        <tr r="CG123" s="1"/>
      </tp>
      <tp>
        <v>-0.26</v>
        <stp/>
        <stp>DELTA</stp>
        <stp>.SPXW250516P5560</stp>
        <tr r="CI116" s="1"/>
        <tr r="CI116" s="1"/>
      </tp>
      <tp>
        <v>1</v>
        <stp/>
        <stp>DELTA</stp>
        <stp>.SPXW250505C5450</stp>
        <tr r="CD127" s="1"/>
        <tr r="CD127" s="1"/>
      </tp>
      <tp>
        <v>1</v>
        <stp/>
        <stp>DELTA</stp>
        <stp>.SPXW250509C5490</stp>
        <tr r="CF123" s="1"/>
        <tr r="CF123" s="1"/>
      </tp>
      <tp>
        <v>0.73</v>
        <stp/>
        <stp>DELTA</stp>
        <stp>.SPXW250516C5560</stp>
        <tr r="CH116" s="1"/>
        <tr r="CH116" s="1"/>
      </tp>
      <tp>
        <v>0</v>
        <stp/>
        <stp>DELTA</stp>
        <stp>.SPXW250505P5420</stp>
        <tr r="CE130" s="1"/>
        <tr r="CE130" s="1"/>
      </tp>
      <tp>
        <v>-0.18</v>
        <stp/>
        <stp>DELTA</stp>
        <stp>.SPXW250516P5510</stp>
        <tr r="CI121" s="1"/>
        <tr r="CI121" s="1"/>
      </tp>
      <tp>
        <v>1</v>
        <stp/>
        <stp>DELTA</stp>
        <stp>.SPXW250505C5420</stp>
        <tr r="CD130" s="1"/>
        <tr r="CD130" s="1"/>
      </tp>
      <tp>
        <v>0.81</v>
        <stp/>
        <stp>DELTA</stp>
        <stp>.SPXW250516C5510</stp>
        <tr r="CH121" s="1"/>
        <tr r="CH121" s="1"/>
      </tp>
      <tp>
        <v>0</v>
        <stp/>
        <stp>DELTA</stp>
        <stp>.SPXW250505P5430</stp>
        <tr r="CE129" s="1"/>
        <tr r="CE129" s="1"/>
      </tp>
      <tp>
        <v>-0.17</v>
        <stp/>
        <stp>DELTA</stp>
        <stp>.SPXW250516P5500</stp>
        <tr r="CI122" s="1"/>
        <tr r="CI122" s="1"/>
      </tp>
      <tp>
        <v>1</v>
        <stp/>
        <stp>DELTA</stp>
        <stp>.SPXW250505C5430</stp>
        <tr r="CD129" s="1"/>
        <tr r="CD129" s="1"/>
      </tp>
      <tp>
        <v>0.82</v>
        <stp/>
        <stp>DELTA</stp>
        <stp>.SPXW250516C5500</stp>
        <tr r="CH122" s="1"/>
        <tr r="CH122" s="1"/>
      </tp>
      <tp>
        <v>-0.21</v>
        <stp/>
        <stp>DELTA</stp>
        <stp>.SPXW250516P5530</stp>
        <tr r="CI119" s="1"/>
        <tr r="CI119" s="1"/>
      </tp>
      <tp>
        <v>0.78</v>
        <stp/>
        <stp>DELTA</stp>
        <stp>.SPXW250516C5530</stp>
        <tr r="CH119" s="1"/>
        <tr r="CH119" s="1"/>
      </tp>
      <tp>
        <v>-0.19</v>
        <stp/>
        <stp>DELTA</stp>
        <stp>.SPXW250516P5520</stp>
        <tr r="CI120" s="1"/>
        <tr r="CI120" s="1"/>
      </tp>
      <tp>
        <v>0.79</v>
        <stp/>
        <stp>DELTA</stp>
        <stp>.SPXW250516C5520</stp>
        <tr r="CH120" s="1"/>
        <tr r="CH120" s="1"/>
      </tp>
      <tp>
        <v>0</v>
        <stp/>
        <stp>DELTA</stp>
        <stp>.SPXW250509P5520</stp>
        <tr r="CG120" s="1"/>
        <tr r="CG120" s="1"/>
      </tp>
      <tp>
        <v>1</v>
        <stp/>
        <stp>DELTA</stp>
        <stp>.SPXW250509C5520</stp>
        <tr r="CF120" s="1"/>
        <tr r="CF120" s="1"/>
      </tp>
      <tp>
        <v>0</v>
        <stp/>
        <stp>DELTA</stp>
        <stp>.SPXW250509P5530</stp>
        <tr r="CG119" s="1"/>
        <tr r="CG119" s="1"/>
      </tp>
      <tp>
        <v>1</v>
        <stp/>
        <stp>DELTA</stp>
        <stp>.SPXW250509C5530</stp>
        <tr r="CF119" s="1"/>
        <tr r="CF119" s="1"/>
      </tp>
      <tp>
        <v>0</v>
        <stp/>
        <stp>DELTA</stp>
        <stp>.SPXW250509P5500</stp>
        <tr r="CG122" s="1"/>
        <tr r="CG122" s="1"/>
      </tp>
      <tp>
        <v>1</v>
        <stp/>
        <stp>DELTA</stp>
        <stp>.SPXW250509C5500</stp>
        <tr r="CF122" s="1"/>
        <tr r="CF122" s="1"/>
      </tp>
      <tp>
        <v>0</v>
        <stp/>
        <stp>DELTA</stp>
        <stp>.SPXW250509P5510</stp>
        <tr r="CG121" s="1"/>
        <tr r="CG121" s="1"/>
      </tp>
      <tp>
        <v>1</v>
        <stp/>
        <stp>DELTA</stp>
        <stp>.SPXW250509C5510</stp>
        <tr r="CF121" s="1"/>
        <tr r="CF121" s="1"/>
      </tp>
      <tp>
        <v>0</v>
        <stp/>
        <stp>DELTA</stp>
        <stp>.SPXW250509P5560</stp>
        <tr r="CG116" s="1"/>
        <tr r="CG116" s="1"/>
      </tp>
      <tp>
        <v>-0.15</v>
        <stp/>
        <stp>DELTA</stp>
        <stp>.SPXW250516P5490</stp>
        <tr r="CI123" s="1"/>
        <tr r="CI123" s="1"/>
      </tp>
      <tp>
        <v>1</v>
        <stp/>
        <stp>DELTA</stp>
        <stp>.SPXW250509C5560</stp>
        <tr r="CF116" s="1"/>
        <tr r="CF116" s="1"/>
      </tp>
      <tp>
        <v>0.83</v>
        <stp/>
        <stp>DELTA</stp>
        <stp>.SPXW250516C5490</stp>
        <tr r="CH123" s="1"/>
        <tr r="CH123" s="1"/>
      </tp>
      <tp>
        <v>0</v>
        <stp/>
        <stp>DELTA</stp>
        <stp>.SPXW250509P5570</stp>
        <tr r="CG115" s="1"/>
        <tr r="CG115" s="1"/>
      </tp>
      <tp>
        <v>-0.14000000000000001</v>
        <stp/>
        <stp>DELTA</stp>
        <stp>.SPXW250516P5480</stp>
        <tr r="CI124" s="1"/>
        <tr r="CI124" s="1"/>
      </tp>
      <tp>
        <v>1</v>
        <stp/>
        <stp>DELTA</stp>
        <stp>.SPXW250509C5570</stp>
        <tr r="CF115" s="1"/>
        <tr r="CF115" s="1"/>
      </tp>
      <tp>
        <v>0.84</v>
        <stp/>
        <stp>DELTA</stp>
        <stp>.SPXW250516C5480</stp>
        <tr r="CH124" s="1"/>
        <tr r="CH124" s="1"/>
      </tp>
      <tp>
        <v>0</v>
        <stp/>
        <stp>DELTA</stp>
        <stp>.SPXW250505P5580</stp>
        <tr r="CE114" s="1"/>
        <tr r="CE114" s="1"/>
      </tp>
      <tp>
        <v>0</v>
        <stp/>
        <stp>DELTA</stp>
        <stp>.SPXW250509P5540</stp>
        <tr r="CG118" s="1"/>
        <tr r="CG118" s="1"/>
      </tp>
      <tp>
        <v>1</v>
        <stp/>
        <stp>DELTA</stp>
        <stp>.SPXW250505C5580</stp>
        <tr r="CD114" s="1"/>
        <tr r="CD114" s="1"/>
      </tp>
      <tp>
        <v>1</v>
        <stp/>
        <stp>DELTA</stp>
        <stp>.SPXW250509C5540</stp>
        <tr r="CF118" s="1"/>
        <tr r="CF118" s="1"/>
      </tp>
      <tp>
        <v>0</v>
        <stp/>
        <stp>DELTA</stp>
        <stp>.SPXW250505P5590</stp>
        <tr r="CE113" s="1"/>
        <tr r="CE113" s="1"/>
      </tp>
      <tp>
        <v>0</v>
        <stp/>
        <stp>DELTA</stp>
        <stp>.SPXW250509P5550</stp>
        <tr r="CG117" s="1"/>
        <tr r="CG117" s="1"/>
      </tp>
      <tp>
        <v>1</v>
        <stp/>
        <stp>DELTA</stp>
        <stp>.SPXW250505C5590</stp>
        <tr r="CD113" s="1"/>
        <tr r="CD113" s="1"/>
      </tp>
      <tp>
        <v>1</v>
        <stp/>
        <stp>DELTA</stp>
        <stp>.SPXW250509C5550</stp>
        <tr r="CF117" s="1"/>
        <tr r="CF117" s="1"/>
      </tp>
      <tp>
        <v>0</v>
        <stp/>
        <stp>DELTA</stp>
        <stp>.SPXW250505P5560</stp>
        <tr r="CE116" s="1"/>
        <tr r="CE116" s="1"/>
      </tp>
      <tp>
        <v>-0.11</v>
        <stp/>
        <stp>DELTA</stp>
        <stp>.SPXW250516P5450</stp>
        <tr r="CI127" s="1"/>
        <tr r="CI127" s="1"/>
      </tp>
      <tp>
        <v>1</v>
        <stp/>
        <stp>DELTA</stp>
        <stp>.SPXW250505C5560</stp>
        <tr r="CD116" s="1"/>
        <tr r="CD116" s="1"/>
      </tp>
      <tp>
        <v>0.87</v>
        <stp/>
        <stp>DELTA</stp>
        <stp>.SPXW250516C5450</stp>
        <tr r="CH127" s="1"/>
        <tr r="CH127" s="1"/>
      </tp>
      <tp>
        <v>0</v>
        <stp/>
        <stp>DELTA</stp>
        <stp>.SPXW250505P5570</stp>
        <tr r="CE115" s="1"/>
        <tr r="CE115" s="1"/>
      </tp>
      <tp>
        <v>-0.1</v>
        <stp/>
        <stp>DELTA</stp>
        <stp>.SPXW250516P5440</stp>
        <tr r="CI128" s="1"/>
        <tr r="CI128" s="1"/>
      </tp>
      <tp>
        <v>1</v>
        <stp/>
        <stp>DELTA</stp>
        <stp>.SPXW250505C5570</stp>
        <tr r="CD115" s="1"/>
        <tr r="CD115" s="1"/>
      </tp>
      <tp>
        <v>0.88</v>
        <stp/>
        <stp>DELTA</stp>
        <stp>.SPXW250516C5440</stp>
        <tr r="CH128" s="1"/>
        <tr r="CH128" s="1"/>
      </tp>
      <tp>
        <v>0</v>
        <stp/>
        <stp>DELTA</stp>
        <stp>.SPXW250505P5540</stp>
        <tr r="CE118" s="1"/>
        <tr r="CE118" s="1"/>
      </tp>
      <tp>
        <v>0</v>
        <stp/>
        <stp>DELTA</stp>
        <stp>.SPXW250509P5580</stp>
        <tr r="CG114" s="1"/>
        <tr r="CG114" s="1"/>
      </tp>
      <tp>
        <v>-0.13</v>
        <stp/>
        <stp>DELTA</stp>
        <stp>.SPXW250516P5470</stp>
        <tr r="CI125" s="1"/>
        <tr r="CI125" s="1"/>
      </tp>
      <tp>
        <v>1</v>
        <stp/>
        <stp>DELTA</stp>
        <stp>.SPXW250505C5540</stp>
        <tr r="CD118" s="1"/>
        <tr r="CD118" s="1"/>
      </tp>
      <tp>
        <v>1</v>
        <stp/>
        <stp>DELTA</stp>
        <stp>.SPXW250509C5580</stp>
        <tr r="CF114" s="1"/>
        <tr r="CF114" s="1"/>
      </tp>
      <tp>
        <v>0.85</v>
        <stp/>
        <stp>DELTA</stp>
        <stp>.SPXW250516C5470</stp>
        <tr r="CH125" s="1"/>
        <tr r="CH125" s="1"/>
      </tp>
      <tp>
        <v>0</v>
        <stp/>
        <stp>DELTA</stp>
        <stp>.SPXW250505P5550</stp>
        <tr r="CE117" s="1"/>
        <tr r="CE117" s="1"/>
      </tp>
      <tp>
        <v>0</v>
        <stp/>
        <stp>DELTA</stp>
        <stp>.SPXW250509P5590</stp>
        <tr r="CG113" s="1"/>
        <tr r="CG113" s="1"/>
      </tp>
      <tp>
        <v>-0.12</v>
        <stp/>
        <stp>DELTA</stp>
        <stp>.SPXW250516P5460</stp>
        <tr r="CI126" s="1"/>
        <tr r="CI126" s="1"/>
      </tp>
      <tp>
        <v>1</v>
        <stp/>
        <stp>DELTA</stp>
        <stp>.SPXW250505C5550</stp>
        <tr r="CD117" s="1"/>
        <tr r="CD117" s="1"/>
      </tp>
      <tp>
        <v>1</v>
        <stp/>
        <stp>DELTA</stp>
        <stp>.SPXW250509C5590</stp>
        <tr r="CF113" s="1"/>
        <tr r="CF113" s="1"/>
      </tp>
      <tp>
        <v>0.87</v>
        <stp/>
        <stp>DELTA</stp>
        <stp>.SPXW250516C5460</stp>
        <tr r="CH126" s="1"/>
        <tr r="CH126" s="1"/>
      </tp>
      <tp>
        <v>0</v>
        <stp/>
        <stp>DELTA</stp>
        <stp>.SPXW250505P5520</stp>
        <tr r="CE120" s="1"/>
        <tr r="CE120" s="1"/>
      </tp>
      <tp>
        <v>1</v>
        <stp/>
        <stp>DELTA</stp>
        <stp>.SPXW250505C5520</stp>
        <tr r="CD120" s="1"/>
        <tr r="CD120" s="1"/>
      </tp>
      <tp>
        <v>0</v>
        <stp/>
        <stp>DELTA</stp>
        <stp>.SPXW250505P5530</stp>
        <tr r="CE119" s="1"/>
        <tr r="CE119" s="1"/>
      </tp>
      <tp>
        <v>1</v>
        <stp/>
        <stp>DELTA</stp>
        <stp>.SPXW250505C5530</stp>
        <tr r="CD119" s="1"/>
        <tr r="CD119" s="1"/>
      </tp>
      <tp>
        <v>0</v>
        <stp/>
        <stp>DELTA</stp>
        <stp>.SPXW250505P5500</stp>
        <tr r="CE122" s="1"/>
        <tr r="CE122" s="1"/>
      </tp>
      <tp>
        <v>-0.09</v>
        <stp/>
        <stp>DELTA</stp>
        <stp>.SPXW250516P5430</stp>
        <tr r="CI129" s="1"/>
        <tr r="CI129" s="1"/>
      </tp>
      <tp>
        <v>1</v>
        <stp/>
        <stp>DELTA</stp>
        <stp>.SPXW250505C5500</stp>
        <tr r="CD122" s="1"/>
        <tr r="CD122" s="1"/>
      </tp>
      <tp>
        <v>0.9</v>
        <stp/>
        <stp>DELTA</stp>
        <stp>.SPXW250516C5430</stp>
        <tr r="CH129" s="1"/>
        <tr r="CH129" s="1"/>
      </tp>
      <tp>
        <v>0</v>
        <stp/>
        <stp>DELTA</stp>
        <stp>.SPXW250505P5510</stp>
        <tr r="CE121" s="1"/>
        <tr r="CE121" s="1"/>
      </tp>
      <tp>
        <v>-0.08</v>
        <stp/>
        <stp>DELTA</stp>
        <stp>.SPXW250516P5420</stp>
        <tr r="CI130" s="1"/>
        <tr r="CI130" s="1"/>
      </tp>
      <tp>
        <v>1</v>
        <stp/>
        <stp>DELTA</stp>
        <stp>.SPXW250505C5510</stp>
        <tr r="CD121" s="1"/>
        <tr r="CD121" s="1"/>
      </tp>
      <tp>
        <v>0.9</v>
        <stp/>
        <stp>DELTA</stp>
        <stp>.SPXW250516C5420</stp>
        <tr r="CH130" s="1"/>
        <tr r="CH130" s="1"/>
      </tp>
      <tp t="s">
        <v>N/A</v>
        <stp/>
        <stp>VOLUME</stp>
        <stp>.SPY251219P582</stp>
        <tr r="W5" s="2"/>
      </tp>
      <tp t="s">
        <v>N/A</v>
        <stp/>
        <stp>VOLUME</stp>
        <stp>.SPY251219C582</stp>
        <tr r="W5" s="2"/>
      </tp>
      <tp t="s">
        <v>N/A</v>
        <stp/>
        <stp>VOLUME</stp>
        <stp>.SPY251219P581</stp>
        <tr r="W6" s="2"/>
      </tp>
      <tp t="s">
        <v>N/A</v>
        <stp/>
        <stp>VOLUME</stp>
        <stp>.SPY251219C581</stp>
        <tr r="W6" s="2"/>
      </tp>
      <tp>
        <v>11</v>
        <stp/>
        <stp>VOLUME</stp>
        <stp>.SPY251219P580</stp>
        <tr r="W7" s="2"/>
        <tr r="W7" s="2"/>
      </tp>
      <tp>
        <v>235</v>
        <stp/>
        <stp>VOLUME</stp>
        <stp>.SPY251219C580</stp>
        <tr r="W7" s="2"/>
        <tr r="W7" s="2"/>
      </tp>
      <tp t="s">
        <v>N/A</v>
        <stp/>
        <stp>VOLUME</stp>
        <stp>.SPY251231P582</stp>
        <tr r="X5" s="2"/>
      </tp>
      <tp t="s">
        <v>N/A</v>
        <stp/>
        <stp>VOLUME</stp>
        <stp>.SPY251231C582</stp>
        <tr r="X5" s="2"/>
      </tp>
      <tp t="s">
        <v>N/A</v>
        <stp/>
        <stp>VOLUME</stp>
        <stp>.SPY251231P581</stp>
        <tr r="X6" s="2"/>
      </tp>
      <tp>
        <v>2</v>
        <stp/>
        <stp>VOLUME</stp>
        <stp>.SPY251231C581</stp>
        <tr r="X6" s="2"/>
        <tr r="X6" s="2"/>
      </tp>
      <tp>
        <v>143</v>
        <stp/>
        <stp>VOLUME</stp>
        <stp>.SPY251231P580</stp>
        <tr r="X7" s="2"/>
        <tr r="X7" s="2"/>
      </tp>
      <tp>
        <v>18</v>
        <stp/>
        <stp>VOLUME</stp>
        <stp>.SPY251231C580</stp>
        <tr r="X7" s="2"/>
        <tr r="X7" s="2"/>
      </tp>
      <tp>
        <v>5</v>
        <stp/>
        <stp>VOLUME</stp>
        <stp>.SPY251231P567</stp>
        <tr r="X20" s="2"/>
        <tr r="X20" s="2"/>
      </tp>
      <tp>
        <v>5</v>
        <stp/>
        <stp>VOLUME</stp>
        <stp>.SPY251231C567</stp>
        <tr r="X20" s="2"/>
        <tr r="X20" s="2"/>
      </tp>
      <tp t="s">
        <v>N/A</v>
        <stp/>
        <stp>VOLUME</stp>
        <stp>.SPY251231P566</stp>
        <tr r="X21" s="2"/>
      </tp>
      <tp>
        <v>18</v>
        <stp/>
        <stp>VOLUME</stp>
        <stp>.SPY251231C566</stp>
        <tr r="X21" s="2"/>
        <tr r="X21" s="2"/>
      </tp>
      <tp>
        <v>27</v>
        <stp/>
        <stp>VOLUME</stp>
        <stp>.SPY251231P565</stp>
        <tr r="X22" s="2"/>
        <tr r="X22" s="2"/>
      </tp>
      <tp>
        <v>83</v>
        <stp/>
        <stp>VOLUME</stp>
        <stp>.SPY251231C565</stp>
        <tr r="X22" s="2"/>
        <tr r="X22" s="2"/>
      </tp>
      <tp>
        <v>80</v>
        <stp/>
        <stp>VOLUME</stp>
        <stp>.SPY251231P564</stp>
        <tr r="X23" s="2"/>
        <tr r="X23" s="2"/>
      </tp>
      <tp>
        <v>47</v>
        <stp/>
        <stp>VOLUME</stp>
        <stp>.SPY251231C564</stp>
        <tr r="X23" s="2"/>
        <tr r="X23" s="2"/>
      </tp>
      <tp>
        <v>152</v>
        <stp/>
        <stp>VOLUME</stp>
        <stp>.SPY251231P563</stp>
        <tr r="X24" s="2"/>
        <tr r="X24" s="2"/>
      </tp>
      <tp>
        <v>1</v>
        <stp/>
        <stp>VOLUME</stp>
        <stp>.SPY251231C563</stp>
        <tr r="X24" s="2"/>
        <tr r="X24" s="2"/>
      </tp>
      <tp>
        <v>387</v>
        <stp/>
        <stp>VOLUME</stp>
        <stp>.SPY251231P562</stp>
        <tr r="X25" s="2"/>
        <tr r="X25" s="2"/>
      </tp>
      <tp t="s">
        <v>N/A</v>
        <stp/>
        <stp>VOLUME</stp>
        <stp>.SPY251231C562</stp>
        <tr r="X25" s="2"/>
      </tp>
      <tp t="s">
        <v>N/A</v>
        <stp/>
        <stp>VOLUME</stp>
        <stp>.SPY251219P549</stp>
        <tr r="W38" s="2"/>
      </tp>
      <tp>
        <v>132</v>
        <stp/>
        <stp>VOLUME</stp>
        <stp>.SPY251231P561</stp>
        <tr r="X26" s="2"/>
        <tr r="X26" s="2"/>
      </tp>
      <tp t="s">
        <v>N/A</v>
        <stp/>
        <stp>VOLUME</stp>
        <stp>.SPY251219C549</stp>
        <tr r="W38" s="2"/>
      </tp>
      <tp t="s">
        <v>N/A</v>
        <stp/>
        <stp>VOLUME</stp>
        <stp>.SPY251231C561</stp>
        <tr r="X26" s="2"/>
      </tp>
      <tp t="s">
        <v>N/A</v>
        <stp/>
        <stp>VOLUME</stp>
        <stp>.SPY251219P548</stp>
        <tr r="W39" s="2"/>
      </tp>
      <tp>
        <v>6</v>
        <stp/>
        <stp>VOLUME</stp>
        <stp>.SPY251231P560</stp>
        <tr r="X27" s="2"/>
        <tr r="X27" s="2"/>
      </tp>
      <tp t="s">
        <v>N/A</v>
        <stp/>
        <stp>VOLUME</stp>
        <stp>.SPY251219C548</stp>
        <tr r="W39" s="2"/>
      </tp>
      <tp>
        <v>3</v>
        <stp/>
        <stp>VOLUME</stp>
        <stp>.SPY251231C560</stp>
        <tr r="X27" s="2"/>
        <tr r="X27" s="2"/>
      </tp>
      <tp>
        <v>1</v>
        <stp/>
        <stp>VOLUME</stp>
        <stp>.SPY251231P569</stp>
        <tr r="X18" s="2"/>
        <tr r="X18" s="2"/>
      </tp>
      <tp t="s">
        <v>N/A</v>
        <stp/>
        <stp>VOLUME</stp>
        <stp>.SPY251231C569</stp>
        <tr r="X18" s="2"/>
      </tp>
      <tp t="s">
        <v>N/A</v>
        <stp/>
        <stp>VOLUME</stp>
        <stp>.SPY251231P568</stp>
        <tr r="X19" s="2"/>
      </tp>
      <tp>
        <v>3</v>
        <stp/>
        <stp>VOLUME</stp>
        <stp>.SPY251231C568</stp>
        <tr r="X19" s="2"/>
        <tr r="X19" s="2"/>
      </tp>
      <tp t="s">
        <v>N/A</v>
        <stp/>
        <stp>VOLUME</stp>
        <stp>.SPY251231P577</stp>
        <tr r="X10" s="2"/>
      </tp>
      <tp t="s">
        <v>N/A</v>
        <stp/>
        <stp>VOLUME</stp>
        <stp>.SPY251231C577</stp>
        <tr r="X10" s="2"/>
      </tp>
      <tp t="s">
        <v>N/A</v>
        <stp/>
        <stp>VOLUME</stp>
        <stp>.SPY251231P576</stp>
        <tr r="X11" s="2"/>
      </tp>
      <tp t="s">
        <v>N/A</v>
        <stp/>
        <stp>VOLUME</stp>
        <stp>.SPY251231C576</stp>
        <tr r="X11" s="2"/>
      </tp>
      <tp>
        <v>85</v>
        <stp/>
        <stp>VOLUME</stp>
        <stp>.SPY251231P575</stp>
        <tr r="X12" s="2"/>
        <tr r="X12" s="2"/>
      </tp>
      <tp>
        <v>5</v>
        <stp/>
        <stp>VOLUME</stp>
        <stp>.SPY251231C575</stp>
        <tr r="X12" s="2"/>
        <tr r="X12" s="2"/>
      </tp>
      <tp t="s">
        <v>N/A</v>
        <stp/>
        <stp>VOLUME</stp>
        <stp>.SPY251231P574</stp>
        <tr r="X13" s="2"/>
      </tp>
      <tp t="s">
        <v>N/A</v>
        <stp/>
        <stp>VOLUME</stp>
        <stp>.SPY251231C574</stp>
        <tr r="X13" s="2"/>
      </tp>
      <tp t="s">
        <v>N/A</v>
        <stp/>
        <stp>VOLUME</stp>
        <stp>.SPY251231P573</stp>
        <tr r="X14" s="2"/>
      </tp>
      <tp t="s">
        <v>N/A</v>
        <stp/>
        <stp>VOLUME</stp>
        <stp>.SPY251231C573</stp>
        <tr r="X14" s="2"/>
      </tp>
      <tp>
        <v>2</v>
        <stp/>
        <stp>VOLUME</stp>
        <stp>.SPY251231P572</stp>
        <tr r="X15" s="2"/>
        <tr r="X15" s="2"/>
      </tp>
      <tp>
        <v>10</v>
        <stp/>
        <stp>VOLUME</stp>
        <stp>.SPY251231C572</stp>
        <tr r="X15" s="2"/>
        <tr r="X15" s="2"/>
      </tp>
      <tp t="s">
        <v>N/A</v>
        <stp/>
        <stp>VOLUME</stp>
        <stp>.SPY251219P559</stp>
        <tr r="W28" s="2"/>
      </tp>
      <tp>
        <v>1</v>
        <stp/>
        <stp>VOLUME</stp>
        <stp>.SPY251231P571</stp>
        <tr r="X16" s="2"/>
        <tr r="X16" s="2"/>
      </tp>
      <tp t="s">
        <v>N/A</v>
        <stp/>
        <stp>VOLUME</stp>
        <stp>.SPY251219C559</stp>
        <tr r="W28" s="2"/>
      </tp>
      <tp>
        <v>20</v>
        <stp/>
        <stp>VOLUME</stp>
        <stp>.SPY251231C571</stp>
        <tr r="X16" s="2"/>
        <tr r="X16" s="2"/>
      </tp>
      <tp t="s">
        <v>N/A</v>
        <stp/>
        <stp>VOLUME</stp>
        <stp>.SPY251219P558</stp>
        <tr r="W29" s="2"/>
      </tp>
      <tp>
        <v>28</v>
        <stp/>
        <stp>VOLUME</stp>
        <stp>.SPY251231P570</stp>
        <tr r="X17" s="2"/>
        <tr r="X17" s="2"/>
      </tp>
      <tp t="s">
        <v>N/A</v>
        <stp/>
        <stp>VOLUME</stp>
        <stp>.SPY251219C558</stp>
        <tr r="W29" s="2"/>
      </tp>
      <tp>
        <v>23</v>
        <stp/>
        <stp>VOLUME</stp>
        <stp>.SPY251231C570</stp>
        <tr r="X17" s="2"/>
        <tr r="X17" s="2"/>
      </tp>
      <tp t="s">
        <v>N/A</v>
        <stp/>
        <stp>VOLUME</stp>
        <stp>.SPY251219P557</stp>
        <tr r="W30" s="2"/>
      </tp>
      <tp t="s">
        <v>N/A</v>
        <stp/>
        <stp>VOLUME</stp>
        <stp>.SPY251219C557</stp>
        <tr r="W30" s="2"/>
      </tp>
      <tp t="s">
        <v>N/A</v>
        <stp/>
        <stp>VOLUME</stp>
        <stp>.SPY251219P556</stp>
        <tr r="W31" s="2"/>
      </tp>
      <tp t="s">
        <v>N/A</v>
        <stp/>
        <stp>VOLUME</stp>
        <stp>.SPY251219C556</stp>
        <tr r="W31" s="2"/>
      </tp>
      <tp>
        <v>65</v>
        <stp/>
        <stp>VOLUME</stp>
        <stp>.SPY251219P555</stp>
        <tr r="W32" s="2"/>
        <tr r="W32" s="2"/>
      </tp>
      <tp>
        <v>3</v>
        <stp/>
        <stp>VOLUME</stp>
        <stp>.SPY251219C555</stp>
        <tr r="W32" s="2"/>
        <tr r="W32" s="2"/>
      </tp>
      <tp t="s">
        <v>N/A</v>
        <stp/>
        <stp>VOLUME</stp>
        <stp>.SPY251219P554</stp>
        <tr r="W33" s="2"/>
      </tp>
      <tp t="s">
        <v>N/A</v>
        <stp/>
        <stp>VOLUME</stp>
        <stp>.SPY251219C554</stp>
        <tr r="W33" s="2"/>
      </tp>
      <tp t="s">
        <v>N/A</v>
        <stp/>
        <stp>VOLUME</stp>
        <stp>.SPY251219P553</stp>
        <tr r="W34" s="2"/>
      </tp>
      <tp t="s">
        <v>N/A</v>
        <stp/>
        <stp>VOLUME</stp>
        <stp>.SPY251219C553</stp>
        <tr r="W34" s="2"/>
      </tp>
      <tp t="s">
        <v>N/A</v>
        <stp/>
        <stp>VOLUME</stp>
        <stp>.SPY251219P552</stp>
        <tr r="W35" s="2"/>
      </tp>
      <tp t="s">
        <v>N/A</v>
        <stp/>
        <stp>VOLUME</stp>
        <stp>.SPY251219C552</stp>
        <tr r="W35" s="2"/>
      </tp>
      <tp t="s">
        <v>N/A</v>
        <stp/>
        <stp>VOLUME</stp>
        <stp>.SPY251219P551</stp>
        <tr r="W36" s="2"/>
      </tp>
      <tp t="s">
        <v>N/A</v>
        <stp/>
        <stp>VOLUME</stp>
        <stp>.SPY251231P579</stp>
        <tr r="X8" s="2"/>
      </tp>
      <tp t="s">
        <v>N/A</v>
        <stp/>
        <stp>VOLUME</stp>
        <stp>.SPY251219C551</stp>
        <tr r="W36" s="2"/>
      </tp>
      <tp t="s">
        <v>N/A</v>
        <stp/>
        <stp>VOLUME</stp>
        <stp>.SPY251231C579</stp>
        <tr r="X8" s="2"/>
      </tp>
      <tp>
        <v>620</v>
        <stp/>
        <stp>VOLUME</stp>
        <stp>.SPY251219P550</stp>
        <tr r="W37" s="2"/>
        <tr r="W37" s="2"/>
      </tp>
      <tp t="s">
        <v>N/A</v>
        <stp/>
        <stp>VOLUME</stp>
        <stp>.SPY251231P578</stp>
        <tr r="X9" s="2"/>
      </tp>
      <tp>
        <v>45</v>
        <stp/>
        <stp>VOLUME</stp>
        <stp>.SPY251219C550</stp>
        <tr r="W37" s="2"/>
        <tr r="W37" s="2"/>
      </tp>
      <tp t="s">
        <v>N/A</v>
        <stp/>
        <stp>VOLUME</stp>
        <stp>.SPY251231C578</stp>
        <tr r="X9" s="2"/>
      </tp>
      <tp t="s">
        <v>N/A</v>
        <stp/>
        <stp>VOLUME</stp>
        <stp>.SPY251219P569</stp>
        <tr r="W18" s="2"/>
      </tp>
      <tp t="s">
        <v>N/A</v>
        <stp/>
        <stp>VOLUME</stp>
        <stp>.SPY251219C569</stp>
        <tr r="W18" s="2"/>
      </tp>
      <tp t="s">
        <v>N/A</v>
        <stp/>
        <stp>VOLUME</stp>
        <stp>.SPY251219P568</stp>
        <tr r="W19" s="2"/>
      </tp>
      <tp t="s">
        <v>N/A</v>
        <stp/>
        <stp>VOLUME</stp>
        <stp>.SPY251219C568</stp>
        <tr r="W19" s="2"/>
      </tp>
      <tp t="s">
        <v>N/A</v>
        <stp/>
        <stp>VOLUME</stp>
        <stp>.SPY251219P567</stp>
        <tr r="W20" s="2"/>
      </tp>
      <tp t="s">
        <v>N/A</v>
        <stp/>
        <stp>VOLUME</stp>
        <stp>.SPY251219C567</stp>
        <tr r="W20" s="2"/>
      </tp>
      <tp t="s">
        <v>N/A</v>
        <stp/>
        <stp>VOLUME</stp>
        <stp>.SPY251219P566</stp>
        <tr r="W21" s="2"/>
      </tp>
      <tp t="s">
        <v>N/A</v>
        <stp/>
        <stp>VOLUME</stp>
        <stp>.SPY251219C566</stp>
        <tr r="W21" s="2"/>
      </tp>
      <tp>
        <v>18</v>
        <stp/>
        <stp>VOLUME</stp>
        <stp>.SPY251219P565</stp>
        <tr r="W22" s="2"/>
        <tr r="W22" s="2"/>
      </tp>
      <tp>
        <v>10</v>
        <stp/>
        <stp>VOLUME</stp>
        <stp>.SPY251219C565</stp>
        <tr r="W22" s="2"/>
        <tr r="W22" s="2"/>
      </tp>
      <tp t="s">
        <v>N/A</v>
        <stp/>
        <stp>VOLUME</stp>
        <stp>.SPY251219P564</stp>
        <tr r="W23" s="2"/>
      </tp>
      <tp t="s">
        <v>N/A</v>
        <stp/>
        <stp>VOLUME</stp>
        <stp>.SPY251219C564</stp>
        <tr r="W23" s="2"/>
      </tp>
      <tp t="s">
        <v>N/A</v>
        <stp/>
        <stp>VOLUME</stp>
        <stp>.SPY251219P563</stp>
        <tr r="W24" s="2"/>
      </tp>
      <tp t="s">
        <v>N/A</v>
        <stp/>
        <stp>VOLUME</stp>
        <stp>.SPY251219C563</stp>
        <tr r="W24" s="2"/>
      </tp>
      <tp t="s">
        <v>N/A</v>
        <stp/>
        <stp>VOLUME</stp>
        <stp>.SPY251219P562</stp>
        <tr r="W25" s="2"/>
      </tp>
      <tp t="s">
        <v>N/A</v>
        <stp/>
        <stp>VOLUME</stp>
        <stp>.SPY251219C562</stp>
        <tr r="W25" s="2"/>
      </tp>
      <tp t="s">
        <v>N/A</v>
        <stp/>
        <stp>VOLUME</stp>
        <stp>.SPY251219P561</stp>
        <tr r="W26" s="2"/>
      </tp>
      <tp>
        <v>10</v>
        <stp/>
        <stp>VOLUME</stp>
        <stp>.SPY251231P549</stp>
        <tr r="X38" s="2"/>
        <tr r="X38" s="2"/>
      </tp>
      <tp t="s">
        <v>N/A</v>
        <stp/>
        <stp>VOLUME</stp>
        <stp>.SPY251219C561</stp>
        <tr r="W26" s="2"/>
      </tp>
      <tp t="s">
        <v>N/A</v>
        <stp/>
        <stp>VOLUME</stp>
        <stp>.SPY251231C549</stp>
        <tr r="X38" s="2"/>
      </tp>
      <tp>
        <v>132</v>
        <stp/>
        <stp>VOLUME</stp>
        <stp>.SPY251219P560</stp>
        <tr r="W27" s="2"/>
        <tr r="W27" s="2"/>
      </tp>
      <tp t="s">
        <v>N/A</v>
        <stp/>
        <stp>VOLUME</stp>
        <stp>.SPY251231P548</stp>
        <tr r="X39" s="2"/>
      </tp>
      <tp>
        <v>14</v>
        <stp/>
        <stp>VOLUME</stp>
        <stp>.SPY251219C560</stp>
        <tr r="W27" s="2"/>
        <tr r="W27" s="2"/>
      </tp>
      <tp t="s">
        <v>N/A</v>
        <stp/>
        <stp>VOLUME</stp>
        <stp>.SPY251231C548</stp>
        <tr r="X39" s="2"/>
      </tp>
      <tp t="s">
        <v>N/A</v>
        <stp/>
        <stp>VOLUME</stp>
        <stp>.SPY251231P557</stp>
        <tr r="X30" s="2"/>
      </tp>
      <tp t="s">
        <v>N/A</v>
        <stp/>
        <stp>VOLUME</stp>
        <stp>.SPY251231C557</stp>
        <tr r="X30" s="2"/>
      </tp>
      <tp t="s">
        <v>N/A</v>
        <stp/>
        <stp>VOLUME</stp>
        <stp>.SPY251231P556</stp>
        <tr r="X31" s="2"/>
      </tp>
      <tp t="s">
        <v>N/A</v>
        <stp/>
        <stp>VOLUME</stp>
        <stp>.SPY251231C556</stp>
        <tr r="X31" s="2"/>
      </tp>
      <tp>
        <v>10</v>
        <stp/>
        <stp>VOLUME</stp>
        <stp>.SPY251231P555</stp>
        <tr r="X32" s="2"/>
        <tr r="X32" s="2"/>
      </tp>
      <tp>
        <v>2</v>
        <stp/>
        <stp>VOLUME</stp>
        <stp>.SPY251231C555</stp>
        <tr r="X32" s="2"/>
        <tr r="X32" s="2"/>
      </tp>
      <tp>
        <v>1</v>
        <stp/>
        <stp>VOLUME</stp>
        <stp>.SPY251231P554</stp>
        <tr r="X33" s="2"/>
        <tr r="X33" s="2"/>
      </tp>
      <tp t="s">
        <v>N/A</v>
        <stp/>
        <stp>VOLUME</stp>
        <stp>.SPY251231C554</stp>
        <tr r="X33" s="2"/>
      </tp>
      <tp t="s">
        <v>N/A</v>
        <stp/>
        <stp>VOLUME</stp>
        <stp>.SPY251231P553</stp>
        <tr r="X34" s="2"/>
      </tp>
      <tp t="s">
        <v>N/A</v>
        <stp/>
        <stp>VOLUME</stp>
        <stp>.SPY251231C553</stp>
        <tr r="X34" s="2"/>
      </tp>
      <tp>
        <v>5</v>
        <stp/>
        <stp>VOLUME</stp>
        <stp>.SPY251231P552</stp>
        <tr r="X35" s="2"/>
        <tr r="X35" s="2"/>
      </tp>
      <tp t="s">
        <v>N/A</v>
        <stp/>
        <stp>VOLUME</stp>
        <stp>.SPY251231C552</stp>
        <tr r="X35" s="2"/>
      </tp>
      <tp t="s">
        <v>N/A</v>
        <stp/>
        <stp>VOLUME</stp>
        <stp>.SPY251219P579</stp>
        <tr r="W8" s="2"/>
      </tp>
      <tp t="s">
        <v>N/A</v>
        <stp/>
        <stp>VOLUME</stp>
        <stp>.SPY251231P551</stp>
        <tr r="X36" s="2"/>
      </tp>
      <tp t="s">
        <v>N/A</v>
        <stp/>
        <stp>VOLUME</stp>
        <stp>.SPY251219C579</stp>
        <tr r="W8" s="2"/>
      </tp>
      <tp t="s">
        <v>N/A</v>
        <stp/>
        <stp>VOLUME</stp>
        <stp>.SPY251231C551</stp>
        <tr r="X36" s="2"/>
      </tp>
      <tp t="s">
        <v>N/A</v>
        <stp/>
        <stp>VOLUME</stp>
        <stp>.SPY251219P578</stp>
        <tr r="W9" s="2"/>
      </tp>
      <tp>
        <v>75</v>
        <stp/>
        <stp>VOLUME</stp>
        <stp>.SPY251231P550</stp>
        <tr r="X37" s="2"/>
        <tr r="X37" s="2"/>
      </tp>
      <tp t="s">
        <v>N/A</v>
        <stp/>
        <stp>VOLUME</stp>
        <stp>.SPY251219C578</stp>
        <tr r="W9" s="2"/>
      </tp>
      <tp>
        <v>5</v>
        <stp/>
        <stp>VOLUME</stp>
        <stp>.SPY251231C550</stp>
        <tr r="X37" s="2"/>
        <tr r="X37" s="2"/>
      </tp>
      <tp t="s">
        <v>N/A</v>
        <stp/>
        <stp>VOLUME</stp>
        <stp>.SPY251219P577</stp>
        <tr r="W10" s="2"/>
      </tp>
      <tp t="s">
        <v>N/A</v>
        <stp/>
        <stp>VOLUME</stp>
        <stp>.SPY251219C577</stp>
        <tr r="W10" s="2"/>
      </tp>
      <tp t="s">
        <v>N/A</v>
        <stp/>
        <stp>VOLUME</stp>
        <stp>.SPY251219P576</stp>
        <tr r="W11" s="2"/>
      </tp>
      <tp t="s">
        <v>N/A</v>
        <stp/>
        <stp>VOLUME</stp>
        <stp>.SPY251219C576</stp>
        <tr r="W11" s="2"/>
      </tp>
      <tp>
        <v>40</v>
        <stp/>
        <stp>VOLUME</stp>
        <stp>.SPY251219P575</stp>
        <tr r="W12" s="2"/>
        <tr r="W12" s="2"/>
      </tp>
      <tp>
        <v>32</v>
        <stp/>
        <stp>VOLUME</stp>
        <stp>.SPY251219C575</stp>
        <tr r="W12" s="2"/>
        <tr r="W12" s="2"/>
      </tp>
      <tp t="s">
        <v>N/A</v>
        <stp/>
        <stp>VOLUME</stp>
        <stp>.SPY251219P574</stp>
        <tr r="W13" s="2"/>
      </tp>
      <tp t="s">
        <v>N/A</v>
        <stp/>
        <stp>VOLUME</stp>
        <stp>.SPY251219C574</stp>
        <tr r="W13" s="2"/>
      </tp>
      <tp t="s">
        <v>N/A</v>
        <stp/>
        <stp>VOLUME</stp>
        <stp>.SPY251219P573</stp>
        <tr r="W14" s="2"/>
      </tp>
      <tp t="s">
        <v>N/A</v>
        <stp/>
        <stp>VOLUME</stp>
        <stp>.SPY251219C573</stp>
        <tr r="W14" s="2"/>
      </tp>
      <tp t="s">
        <v>N/A</v>
        <stp/>
        <stp>VOLUME</stp>
        <stp>.SPY251219P572</stp>
        <tr r="W15" s="2"/>
      </tp>
      <tp t="s">
        <v>N/A</v>
        <stp/>
        <stp>VOLUME</stp>
        <stp>.SPY251219C572</stp>
        <tr r="W15" s="2"/>
      </tp>
      <tp t="s">
        <v>N/A</v>
        <stp/>
        <stp>VOLUME</stp>
        <stp>.SPY251219P571</stp>
        <tr r="W16" s="2"/>
      </tp>
      <tp t="s">
        <v>N/A</v>
        <stp/>
        <stp>VOLUME</stp>
        <stp>.SPY251231P559</stp>
        <tr r="X28" s="2"/>
      </tp>
      <tp t="s">
        <v>N/A</v>
        <stp/>
        <stp>VOLUME</stp>
        <stp>.SPY251219C571</stp>
        <tr r="W16" s="2"/>
      </tp>
      <tp t="s">
        <v>N/A</v>
        <stp/>
        <stp>VOLUME</stp>
        <stp>.SPY251231C559</stp>
        <tr r="X28" s="2"/>
      </tp>
      <tp>
        <v>473</v>
        <stp/>
        <stp>VOLUME</stp>
        <stp>.SPY251219P570</stp>
        <tr r="W17" s="2"/>
        <tr r="W17" s="2"/>
      </tp>
      <tp t="s">
        <v>N/A</v>
        <stp/>
        <stp>VOLUME</stp>
        <stp>.SPY251231P558</stp>
        <tr r="X29" s="2"/>
      </tp>
      <tp>
        <v>110</v>
        <stp/>
        <stp>VOLUME</stp>
        <stp>.SPY251219C570</stp>
        <tr r="W17" s="2"/>
        <tr r="W17" s="2"/>
      </tp>
      <tp>
        <v>2</v>
        <stp/>
        <stp>VOLUME</stp>
        <stp>.SPY251231C558</stp>
        <tr r="X29" s="2"/>
        <tr r="X29" s="2"/>
      </tp>
      <tp t="s">
        <v>N/A</v>
        <stp/>
        <stp>VOLUME</stp>
        <stp>.QQQ250815P481</stp>
        <tr r="O67" s="2"/>
      </tp>
      <tp t="s">
        <v>N/A</v>
        <stp/>
        <stp>VOLUME</stp>
        <stp>.QQQ250815C481</stp>
        <tr r="O67" s="2"/>
      </tp>
      <tp>
        <v>76</v>
        <stp/>
        <stp>VOLUME</stp>
        <stp>.QQQ250815P480</stp>
        <tr r="O68" s="2"/>
        <tr r="O68" s="2"/>
      </tp>
      <tp>
        <v>19</v>
        <stp/>
        <stp>VOLUME</stp>
        <stp>.QQQ250815C480</stp>
        <tr r="O68" s="2"/>
        <tr r="O68" s="2"/>
      </tp>
      <tp t="s">
        <v>N/A</v>
        <stp/>
        <stp>VOLUME</stp>
        <stp>.QQQ250815P483</stp>
        <tr r="O65" s="2"/>
      </tp>
      <tp t="s">
        <v>N/A</v>
        <stp/>
        <stp>VOLUME</stp>
        <stp>.QQQ250815C483</stp>
        <tr r="O65" s="2"/>
      </tp>
      <tp t="s">
        <v>N/A</v>
        <stp/>
        <stp>VOLUME</stp>
        <stp>.QQQ250815P482</stp>
        <tr r="O66" s="2"/>
      </tp>
      <tp t="s">
        <v>N/A</v>
        <stp/>
        <stp>VOLUME</stp>
        <stp>.QQQ250815C482</stp>
        <tr r="O66" s="2"/>
      </tp>
      <tp>
        <v>101</v>
        <stp/>
        <stp>VOLUME</stp>
        <stp>.QQQ250815P485</stp>
        <tr r="O63" s="2"/>
        <tr r="O63" s="2"/>
      </tp>
      <tp>
        <v>118</v>
        <stp/>
        <stp>VOLUME</stp>
        <stp>.QQQ250815C485</stp>
        <tr r="O63" s="2"/>
        <tr r="O63" s="2"/>
      </tp>
      <tp t="s">
        <v>N/A</v>
        <stp/>
        <stp>VOLUME</stp>
        <stp>.QQQ250815P484</stp>
        <tr r="O64" s="2"/>
      </tp>
      <tp t="s">
        <v>N/A</v>
        <stp/>
        <stp>VOLUME</stp>
        <stp>.QQQ250815C484</stp>
        <tr r="O64" s="2"/>
      </tp>
      <tp t="s">
        <v>N/A</v>
        <stp/>
        <stp>VOLUME</stp>
        <stp>.QQQ250815P487</stp>
        <tr r="O61" s="2"/>
      </tp>
      <tp t="s">
        <v>N/A</v>
        <stp/>
        <stp>VOLUME</stp>
        <stp>.QQQ250815C487</stp>
        <tr r="O61" s="2"/>
      </tp>
      <tp t="s">
        <v>N/A</v>
        <stp/>
        <stp>VOLUME</stp>
        <stp>.QQQ250815P486</stp>
        <tr r="O62" s="2"/>
      </tp>
      <tp t="s">
        <v>N/A</v>
        <stp/>
        <stp>VOLUME</stp>
        <stp>.QQQ250815C486</stp>
        <tr r="O62" s="2"/>
      </tp>
      <tp t="s">
        <v>N/A</v>
        <stp/>
        <stp>VOLUME</stp>
        <stp>.QQQ250815P489</stp>
        <tr r="O59" s="2"/>
      </tp>
      <tp t="s">
        <v>N/A</v>
        <stp/>
        <stp>VOLUME</stp>
        <stp>.QQQ250815C489</stp>
        <tr r="O59" s="2"/>
      </tp>
      <tp t="s">
        <v>N/A</v>
        <stp/>
        <stp>VOLUME</stp>
        <stp>.QQQ250815P488</stp>
        <tr r="O60" s="2"/>
      </tp>
      <tp t="s">
        <v>N/A</v>
        <stp/>
        <stp>VOLUME</stp>
        <stp>.QQQ250815C488</stp>
        <tr r="O60" s="2"/>
      </tp>
      <tp t="s">
        <v>N/A</v>
        <stp/>
        <stp>VOLUME</stp>
        <stp>.QQQ250815P491</stp>
        <tr r="O57" s="2"/>
      </tp>
      <tp t="s">
        <v>N/A</v>
        <stp/>
        <stp>VOLUME</stp>
        <stp>.QQQ250815C491</stp>
        <tr r="O57" s="2"/>
      </tp>
      <tp>
        <v>2243</v>
        <stp/>
        <stp>VOLUME</stp>
        <stp>.QQQ250815P490</stp>
        <tr r="O58" s="2"/>
        <tr r="O58" s="2"/>
      </tp>
      <tp>
        <v>2165</v>
        <stp/>
        <stp>VOLUME</stp>
        <stp>.QQQ250815C490</stp>
        <tr r="O58" s="2"/>
        <tr r="O58" s="2"/>
      </tp>
      <tp t="s">
        <v>N/A</v>
        <stp/>
        <stp>VOLUME</stp>
        <stp>.QQQ250815P493</stp>
        <tr r="O55" s="2"/>
      </tp>
      <tp t="s">
        <v>N/A</v>
        <stp/>
        <stp>VOLUME</stp>
        <stp>.QQQ250815C493</stp>
        <tr r="O55" s="2"/>
      </tp>
      <tp t="s">
        <v>N/A</v>
        <stp/>
        <stp>VOLUME</stp>
        <stp>.QQQ250815P492</stp>
        <tr r="O56" s="2"/>
      </tp>
      <tp t="s">
        <v>N/A</v>
        <stp/>
        <stp>VOLUME</stp>
        <stp>.QQQ250815C492</stp>
        <tr r="O56" s="2"/>
      </tp>
      <tp>
        <v>31</v>
        <stp/>
        <stp>VOLUME</stp>
        <stp>.QQQ250815P495</stp>
        <tr r="O53" s="2"/>
        <tr r="O53" s="2"/>
      </tp>
      <tp>
        <v>84</v>
        <stp/>
        <stp>VOLUME</stp>
        <stp>.QQQ250815C495</stp>
        <tr r="O53" s="2"/>
        <tr r="O53" s="2"/>
      </tp>
      <tp t="s">
        <v>N/A</v>
        <stp/>
        <stp>VOLUME</stp>
        <stp>.QQQ250815P494</stp>
        <tr r="O54" s="2"/>
      </tp>
      <tp t="s">
        <v>N/A</v>
        <stp/>
        <stp>VOLUME</stp>
        <stp>.QQQ250815C494</stp>
        <tr r="O54" s="2"/>
      </tp>
      <tp t="s">
        <v>N/A</v>
        <stp/>
        <stp>VOLUME</stp>
        <stp>.QQQ250815P497</stp>
        <tr r="O51" s="2"/>
      </tp>
      <tp t="s">
        <v>N/A</v>
        <stp/>
        <stp>VOLUME</stp>
        <stp>.QQQ250815C497</stp>
        <tr r="O51" s="2"/>
      </tp>
      <tp t="s">
        <v>N/A</v>
        <stp/>
        <stp>VOLUME</stp>
        <stp>.QQQ250815P496</stp>
        <tr r="O52" s="2"/>
      </tp>
      <tp t="s">
        <v>N/A</v>
        <stp/>
        <stp>VOLUME</stp>
        <stp>.QQQ250815C496</stp>
        <tr r="O52" s="2"/>
      </tp>
      <tp t="s">
        <v>N/A</v>
        <stp/>
        <stp>VOLUME</stp>
        <stp>.QQQ250815P499</stp>
        <tr r="O49" s="2"/>
      </tp>
      <tp t="s">
        <v>N/A</v>
        <stp/>
        <stp>VOLUME</stp>
        <stp>.QQQ250815C499</stp>
        <tr r="O49" s="2"/>
      </tp>
      <tp t="s">
        <v>N/A</v>
        <stp/>
        <stp>VOLUME</stp>
        <stp>.QQQ250815P498</stp>
        <tr r="O50" s="2"/>
      </tp>
      <tp t="s">
        <v>N/A</v>
        <stp/>
        <stp>VOLUME</stp>
        <stp>.QQQ250815C498</stp>
        <tr r="O50" s="2"/>
      </tp>
      <tp t="s">
        <v>N/A</v>
        <stp/>
        <stp>VOLUME</stp>
        <stp>.QQQ250829P499</stp>
        <tr r="P49" s="2"/>
      </tp>
      <tp t="s">
        <v>N/A</v>
        <stp/>
        <stp>VOLUME</stp>
        <stp>.QQQ250829C499</stp>
        <tr r="P49" s="2"/>
      </tp>
      <tp t="s">
        <v>N/A</v>
        <stp/>
        <stp>VOLUME</stp>
        <stp>.QQQ250829P498</stp>
        <tr r="P50" s="2"/>
      </tp>
      <tp t="s">
        <v>N/A</v>
        <stp/>
        <stp>VOLUME</stp>
        <stp>.QQQ250829C498</stp>
        <tr r="P50" s="2"/>
      </tp>
      <tp t="s">
        <v>N/A</v>
        <stp/>
        <stp>VOLUME</stp>
        <stp>.QQQ250829P495</stp>
        <tr r="P53" s="2"/>
      </tp>
      <tp>
        <v>29</v>
        <stp/>
        <stp>VOLUME</stp>
        <stp>.QQQ250829C495</stp>
        <tr r="P53" s="2"/>
        <tr r="P53" s="2"/>
      </tp>
      <tp t="s">
        <v>N/A</v>
        <stp/>
        <stp>VOLUME</stp>
        <stp>.QQQ250829P494</stp>
        <tr r="P54" s="2"/>
      </tp>
      <tp t="s">
        <v>N/A</v>
        <stp/>
        <stp>VOLUME</stp>
        <stp>.QQQ250829C494</stp>
        <tr r="P54" s="2"/>
      </tp>
      <tp t="s">
        <v>N/A</v>
        <stp/>
        <stp>VOLUME</stp>
        <stp>.QQQ250829P497</stp>
        <tr r="P51" s="2"/>
      </tp>
      <tp t="s">
        <v>N/A</v>
        <stp/>
        <stp>VOLUME</stp>
        <stp>.QQQ250829C497</stp>
        <tr r="P51" s="2"/>
      </tp>
      <tp t="s">
        <v>N/A</v>
        <stp/>
        <stp>VOLUME</stp>
        <stp>.QQQ250829P496</stp>
        <tr r="P52" s="2"/>
      </tp>
      <tp t="s">
        <v>N/A</v>
        <stp/>
        <stp>VOLUME</stp>
        <stp>.QQQ250829C496</stp>
        <tr r="P52" s="2"/>
      </tp>
      <tp t="s">
        <v>N/A</v>
        <stp/>
        <stp>VOLUME</stp>
        <stp>.QQQ250829P491</stp>
        <tr r="P57" s="2"/>
      </tp>
      <tp t="s">
        <v>N/A</v>
        <stp/>
        <stp>VOLUME</stp>
        <stp>.QQQ250829C491</stp>
        <tr r="P57" s="2"/>
      </tp>
      <tp>
        <v>77</v>
        <stp/>
        <stp>VOLUME</stp>
        <stp>.QQQ250829P490</stp>
        <tr r="P58" s="2"/>
        <tr r="P58" s="2"/>
      </tp>
      <tp>
        <v>15</v>
        <stp/>
        <stp>VOLUME</stp>
        <stp>.QQQ250829C490</stp>
        <tr r="P58" s="2"/>
        <tr r="P58" s="2"/>
      </tp>
      <tp t="s">
        <v>N/A</v>
        <stp/>
        <stp>VOLUME</stp>
        <stp>.QQQ250829P493</stp>
        <tr r="P55" s="2"/>
      </tp>
      <tp t="s">
        <v>N/A</v>
        <stp/>
        <stp>VOLUME</stp>
        <stp>.QQQ250829C493</stp>
        <tr r="P55" s="2"/>
      </tp>
      <tp t="s">
        <v>N/A</v>
        <stp/>
        <stp>VOLUME</stp>
        <stp>.QQQ250829P492</stp>
        <tr r="P56" s="2"/>
      </tp>
      <tp t="s">
        <v>N/A</v>
        <stp/>
        <stp>VOLUME</stp>
        <stp>.QQQ250829C492</stp>
        <tr r="P56" s="2"/>
      </tp>
      <tp t="s">
        <v>N/A</v>
        <stp/>
        <stp>VOLUME</stp>
        <stp>.QQQ250829P489</stp>
        <tr r="P59" s="2"/>
      </tp>
      <tp t="s">
        <v>N/A</v>
        <stp/>
        <stp>VOLUME</stp>
        <stp>.QQQ250829C489</stp>
        <tr r="P59" s="2"/>
      </tp>
      <tp t="s">
        <v>N/A</v>
        <stp/>
        <stp>VOLUME</stp>
        <stp>.QQQ250829P488</stp>
        <tr r="P60" s="2"/>
      </tp>
      <tp t="s">
        <v>N/A</v>
        <stp/>
        <stp>VOLUME</stp>
        <stp>.SPY251121P582</stp>
        <tr r="U5" s="2"/>
      </tp>
      <tp t="s">
        <v>N/A</v>
        <stp/>
        <stp>VOLUME</stp>
        <stp>.QQQ250829C488</stp>
        <tr r="P60" s="2"/>
      </tp>
      <tp t="s">
        <v>N/A</v>
        <stp/>
        <stp>VOLUME</stp>
        <stp>.SPY251121C582</stp>
        <tr r="U5" s="2"/>
      </tp>
      <tp t="s">
        <v>N/A</v>
        <stp/>
        <stp>VOLUME</stp>
        <stp>.SPY251121P581</stp>
        <tr r="U6" s="2"/>
      </tp>
      <tp t="s">
        <v>N/A</v>
        <stp/>
        <stp>VOLUME</stp>
        <stp>.SPY251121C581</stp>
        <tr r="U6" s="2"/>
      </tp>
      <tp t="s">
        <v>N/A</v>
        <stp/>
        <stp>VOLUME</stp>
        <stp>.SPY251121P580</stp>
        <tr r="U7" s="2"/>
      </tp>
      <tp t="s">
        <v>N/A</v>
        <stp/>
        <stp>VOLUME</stp>
        <stp>.SPY251121C580</stp>
        <tr r="U7" s="2"/>
      </tp>
      <tp>
        <v>11</v>
        <stp/>
        <stp>VOLUME</stp>
        <stp>.QQQ250829P485</stp>
        <tr r="P63" s="2"/>
        <tr r="P63" s="2"/>
      </tp>
      <tp>
        <v>37</v>
        <stp/>
        <stp>VOLUME</stp>
        <stp>.QQQ250829C485</stp>
        <tr r="P63" s="2"/>
        <tr r="P63" s="2"/>
      </tp>
      <tp t="s">
        <v>N/A</v>
        <stp/>
        <stp>VOLUME</stp>
        <stp>.QQQ250829P484</stp>
        <tr r="P64" s="2"/>
      </tp>
      <tp t="s">
        <v>N/A</v>
        <stp/>
        <stp>VOLUME</stp>
        <stp>.QQQ250829C484</stp>
        <tr r="P64" s="2"/>
      </tp>
      <tp t="s">
        <v>N/A</v>
        <stp/>
        <stp>VOLUME</stp>
        <stp>.QQQ250829P487</stp>
        <tr r="P61" s="2"/>
      </tp>
      <tp t="s">
        <v>N/A</v>
        <stp/>
        <stp>VOLUME</stp>
        <stp>.QQQ250829C487</stp>
        <tr r="P61" s="2"/>
      </tp>
      <tp t="s">
        <v>N/A</v>
        <stp/>
        <stp>VOLUME</stp>
        <stp>.QQQ250829P486</stp>
        <tr r="P62" s="2"/>
      </tp>
      <tp t="s">
        <v>N/A</v>
        <stp/>
        <stp>VOLUME</stp>
        <stp>.QQQ250829C486</stp>
        <tr r="P62" s="2"/>
      </tp>
      <tp t="s">
        <v>N/A</v>
        <stp/>
        <stp>VOLUME</stp>
        <stp>.QQQ250829P481</stp>
        <tr r="P67" s="2"/>
      </tp>
      <tp t="s">
        <v>N/A</v>
        <stp/>
        <stp>VOLUME</stp>
        <stp>.SPY251128P582</stp>
        <tr r="V5" s="2"/>
      </tp>
      <tp t="s">
        <v>N/A</v>
        <stp/>
        <stp>VOLUME</stp>
        <stp>.QQQ250829C481</stp>
        <tr r="P67" s="2"/>
      </tp>
      <tp t="s">
        <v>N/A</v>
        <stp/>
        <stp>VOLUME</stp>
        <stp>.SPY251128C582</stp>
        <tr r="V5" s="2"/>
      </tp>
      <tp>
        <v>20</v>
        <stp/>
        <stp>VOLUME</stp>
        <stp>.QQQ250829P480</stp>
        <tr r="P68" s="2"/>
        <tr r="P68" s="2"/>
      </tp>
      <tp>
        <v>4</v>
        <stp/>
        <stp>VOLUME</stp>
        <stp>.QQQ250829C480</stp>
        <tr r="P68" s="2"/>
        <tr r="P68" s="2"/>
      </tp>
      <tp t="s">
        <v>N/A</v>
        <stp/>
        <stp>VOLUME</stp>
        <stp>.QQQ250829P483</stp>
        <tr r="P65" s="2"/>
      </tp>
      <tp t="s">
        <v>N/A</v>
        <stp/>
        <stp>VOLUME</stp>
        <stp>.SPY251128P580</stp>
        <tr r="V7" s="2"/>
      </tp>
      <tp t="s">
        <v>N/A</v>
        <stp/>
        <stp>VOLUME</stp>
        <stp>.QQQ250829C483</stp>
        <tr r="P65" s="2"/>
      </tp>
      <tp t="s">
        <v>N/A</v>
        <stp/>
        <stp>VOLUME</stp>
        <stp>.SPY251128C580</stp>
        <tr r="V7" s="2"/>
      </tp>
      <tp t="s">
        <v>N/A</v>
        <stp/>
        <stp>VOLUME</stp>
        <stp>.QQQ250829P482</stp>
        <tr r="P66" s="2"/>
      </tp>
      <tp t="s">
        <v>N/A</v>
        <stp/>
        <stp>VOLUME</stp>
        <stp>.SPY251128P581</stp>
        <tr r="V6" s="2"/>
      </tp>
      <tp t="s">
        <v>N/A</v>
        <stp/>
        <stp>VOLUME</stp>
        <stp>.QQQ250829C482</stp>
        <tr r="P66" s="2"/>
      </tp>
      <tp t="s">
        <v>N/A</v>
        <stp/>
        <stp>VOLUME</stp>
        <stp>.SPY251128C581</stp>
        <tr r="V6" s="2"/>
      </tp>
      <tp t="s">
        <v>N/A</v>
        <stp/>
        <stp>VOLUME</stp>
        <stp>.QQQ250919P501</stp>
        <tr r="Q47" s="2"/>
      </tp>
      <tp t="s">
        <v>N/A</v>
        <stp/>
        <stp>VOLUME</stp>
        <stp>.QQQ250919C501</stp>
        <tr r="Q47" s="2"/>
      </tp>
      <tp>
        <v>49</v>
        <stp/>
        <stp>VOLUME</stp>
        <stp>.QQQ250919P500</stp>
        <tr r="Q48" s="2"/>
        <tr r="Q48" s="2"/>
      </tp>
      <tp>
        <v>407</v>
        <stp/>
        <stp>VOLUME</stp>
        <stp>.QQQ250919C500</stp>
        <tr r="Q48" s="2"/>
        <tr r="Q48" s="2"/>
      </tp>
      <tp t="s">
        <v>N/A</v>
        <stp/>
        <stp>VOLUME</stp>
        <stp>.QQQ250919P502</stp>
        <tr r="Q46" s="2"/>
      </tp>
      <tp t="s">
        <v>N/A</v>
        <stp/>
        <stp>VOLUME</stp>
        <stp>.QQQ250919C502</stp>
        <tr r="Q46" s="2"/>
      </tp>
      <tp>
        <v>66</v>
        <stp/>
        <stp>VOLUME</stp>
        <stp>.QQQ250930P500</stp>
        <tr r="R48" s="2"/>
        <tr r="R48" s="2"/>
      </tp>
      <tp>
        <v>180</v>
        <stp/>
        <stp>VOLUME</stp>
        <stp>.QQQ250930C500</stp>
        <tr r="R48" s="2"/>
        <tr r="R48" s="2"/>
      </tp>
      <tp>
        <v>40</v>
        <stp/>
        <stp>VOLUME</stp>
        <stp>.QQQ250930P501</stp>
        <tr r="R47" s="2"/>
        <tr r="R47" s="2"/>
      </tp>
      <tp t="s">
        <v>N/A</v>
        <stp/>
        <stp>VOLUME</stp>
        <stp>.QQQ250930C501</stp>
        <tr r="R47" s="2"/>
      </tp>
      <tp>
        <v>11</v>
        <stp/>
        <stp>VOLUME</stp>
        <stp>.QQQ250930P502</stp>
        <tr r="R46" s="2"/>
        <tr r="R46" s="2"/>
      </tp>
      <tp>
        <v>23</v>
        <stp/>
        <stp>VOLUME</stp>
        <stp>.QQQ250930C502</stp>
        <tr r="R46" s="2"/>
        <tr r="R46" s="2"/>
      </tp>
      <tp t="s">
        <v>N/A</v>
        <stp/>
        <stp>VOLUME</stp>
        <stp>.SPY251121P577</stp>
        <tr r="U10" s="2"/>
      </tp>
      <tp t="s">
        <v>N/A</v>
        <stp/>
        <stp>VOLUME</stp>
        <stp>.SPY251121C577</stp>
        <tr r="U10" s="2"/>
      </tp>
      <tp t="s">
        <v>N/A</v>
        <stp/>
        <stp>VOLUME</stp>
        <stp>.SPY251121P576</stp>
        <tr r="U11" s="2"/>
      </tp>
      <tp t="s">
        <v>N/A</v>
        <stp/>
        <stp>VOLUME</stp>
        <stp>.SPY251121C576</stp>
        <tr r="U11" s="2"/>
      </tp>
      <tp t="s">
        <v>N/A</v>
        <stp/>
        <stp>VOLUME</stp>
        <stp>.SPY251121P575</stp>
        <tr r="U12" s="2"/>
      </tp>
      <tp t="s">
        <v>N/A</v>
        <stp/>
        <stp>VOLUME</stp>
        <stp>.SPY251121C575</stp>
        <tr r="U12" s="2"/>
      </tp>
      <tp t="s">
        <v>N/A</v>
        <stp/>
        <stp>VOLUME</stp>
        <stp>.SPY251121P574</stp>
        <tr r="U13" s="2"/>
      </tp>
      <tp t="s">
        <v>N/A</v>
        <stp/>
        <stp>VOLUME</stp>
        <stp>.SPY251121C574</stp>
        <tr r="U13" s="2"/>
      </tp>
      <tp t="s">
        <v>N/A</v>
        <stp/>
        <stp>VOLUME</stp>
        <stp>.QQQ250829P479</stp>
        <tr r="P69" s="2"/>
      </tp>
      <tp t="s">
        <v>N/A</v>
        <stp/>
        <stp>VOLUME</stp>
        <stp>.SPY251121P573</stp>
        <tr r="U14" s="2"/>
      </tp>
      <tp t="s">
        <v>N/A</v>
        <stp/>
        <stp>VOLUME</stp>
        <stp>.QQQ250829C479</stp>
        <tr r="P69" s="2"/>
      </tp>
      <tp t="s">
        <v>N/A</v>
        <stp/>
        <stp>VOLUME</stp>
        <stp>.SPY251121C573</stp>
        <tr r="U14" s="2"/>
      </tp>
      <tp t="s">
        <v>N/A</v>
        <stp/>
        <stp>VOLUME</stp>
        <stp>.QQQ250829P478</stp>
        <tr r="P70" s="2"/>
      </tp>
      <tp t="s">
        <v>N/A</v>
        <stp/>
        <stp>VOLUME</stp>
        <stp>.SPY251121P572</stp>
        <tr r="U15" s="2"/>
      </tp>
      <tp t="s">
        <v>N/A</v>
        <stp/>
        <stp>VOLUME</stp>
        <stp>.QQQ250829C478</stp>
        <tr r="P70" s="2"/>
      </tp>
      <tp t="s">
        <v>N/A</v>
        <stp/>
        <stp>VOLUME</stp>
        <stp>.SPY251121C572</stp>
        <tr r="U15" s="2"/>
      </tp>
      <tp t="s">
        <v>N/A</v>
        <stp/>
        <stp>VOLUME</stp>
        <stp>.SPY251121P571</stp>
        <tr r="U16" s="2"/>
      </tp>
      <tp t="s">
        <v>N/A</v>
        <stp/>
        <stp>VOLUME</stp>
        <stp>.SPY251128P578</stp>
        <tr r="V9" s="2"/>
      </tp>
      <tp t="s">
        <v>N/A</v>
        <stp/>
        <stp>VOLUME</stp>
        <stp>.SPY251121C571</stp>
        <tr r="U16" s="2"/>
      </tp>
      <tp t="s">
        <v>N/A</v>
        <stp/>
        <stp>VOLUME</stp>
        <stp>.SPY251128C578</stp>
        <tr r="V9" s="2"/>
      </tp>
      <tp t="s">
        <v>N/A</v>
        <stp/>
        <stp>VOLUME</stp>
        <stp>.SPY251121P570</stp>
        <tr r="U17" s="2"/>
      </tp>
      <tp t="s">
        <v>N/A</v>
        <stp/>
        <stp>VOLUME</stp>
        <stp>.SPY251128P579</stp>
        <tr r="V8" s="2"/>
      </tp>
      <tp t="s">
        <v>N/A</v>
        <stp/>
        <stp>VOLUME</stp>
        <stp>.SPY251121C570</stp>
        <tr r="U17" s="2"/>
      </tp>
      <tp t="s">
        <v>N/A</v>
        <stp/>
        <stp>VOLUME</stp>
        <stp>.SPY251128C579</stp>
        <tr r="V8" s="2"/>
      </tp>
      <tp>
        <v>7</v>
        <stp/>
        <stp>VOLUME</stp>
        <stp>.QQQ250829P475</stp>
        <tr r="P73" s="2"/>
        <tr r="P73" s="2"/>
      </tp>
      <tp t="s">
        <v>N/A</v>
        <stp/>
        <stp>VOLUME</stp>
        <stp>.SPY251128P576</stp>
        <tr r="V11" s="2"/>
      </tp>
      <tp t="s">
        <v>N/A</v>
        <stp/>
        <stp>VOLUME</stp>
        <stp>.QQQ250829C475</stp>
        <tr r="P73" s="2"/>
      </tp>
      <tp t="s">
        <v>N/A</v>
        <stp/>
        <stp>VOLUME</stp>
        <stp>.SPY251128C576</stp>
        <tr r="V11" s="2"/>
      </tp>
      <tp t="s">
        <v>N/A</v>
        <stp/>
        <stp>VOLUME</stp>
        <stp>.QQQ250829P474</stp>
        <tr r="P74" s="2"/>
      </tp>
      <tp t="s">
        <v>N/A</v>
        <stp/>
        <stp>VOLUME</stp>
        <stp>.SPY251128P577</stp>
        <tr r="V10" s="2"/>
      </tp>
      <tp t="s">
        <v>N/A</v>
        <stp/>
        <stp>VOLUME</stp>
        <stp>.QQQ250829C474</stp>
        <tr r="P74" s="2"/>
      </tp>
      <tp t="s">
        <v>N/A</v>
        <stp/>
        <stp>VOLUME</stp>
        <stp>.SPY251128C577</stp>
        <tr r="V10" s="2"/>
      </tp>
      <tp t="s">
        <v>N/A</v>
        <stp/>
        <stp>VOLUME</stp>
        <stp>.QQQ250829P477</stp>
        <tr r="P71" s="2"/>
      </tp>
      <tp t="s">
        <v>N/A</v>
        <stp/>
        <stp>VOLUME</stp>
        <stp>.SPY251128P574</stp>
        <tr r="V13" s="2"/>
      </tp>
      <tp t="s">
        <v>N/A</v>
        <stp/>
        <stp>VOLUME</stp>
        <stp>.QQQ250829C477</stp>
        <tr r="P71" s="2"/>
      </tp>
      <tp t="s">
        <v>N/A</v>
        <stp/>
        <stp>VOLUME</stp>
        <stp>.SPY251128C574</stp>
        <tr r="V13" s="2"/>
      </tp>
      <tp t="s">
        <v>N/A</v>
        <stp/>
        <stp>VOLUME</stp>
        <stp>.QQQ250829P476</stp>
        <tr r="P72" s="2"/>
      </tp>
      <tp t="s">
        <v>N/A</v>
        <stp/>
        <stp>VOLUME</stp>
        <stp>.SPY251128P575</stp>
        <tr r="V12" s="2"/>
      </tp>
      <tp t="s">
        <v>N/A</v>
        <stp/>
        <stp>VOLUME</stp>
        <stp>.QQQ250829C476</stp>
        <tr r="P72" s="2"/>
      </tp>
      <tp t="s">
        <v>N/A</v>
        <stp/>
        <stp>VOLUME</stp>
        <stp>.SPY251128C575</stp>
        <tr r="V12" s="2"/>
      </tp>
      <tp t="s">
        <v>N/A</v>
        <stp/>
        <stp>VOLUME</stp>
        <stp>.QQQ250829P471</stp>
        <tr r="P77" s="2"/>
      </tp>
      <tp t="s">
        <v>N/A</v>
        <stp/>
        <stp>VOLUME</stp>
        <stp>.SPY251128P572</stp>
        <tr r="V15" s="2"/>
      </tp>
      <tp t="s">
        <v>N/A</v>
        <stp/>
        <stp>VOLUME</stp>
        <stp>.QQQ250829C471</stp>
        <tr r="P77" s="2"/>
      </tp>
      <tp t="s">
        <v>N/A</v>
        <stp/>
        <stp>VOLUME</stp>
        <stp>.SPY251128C572</stp>
        <tr r="V15" s="2"/>
      </tp>
      <tp>
        <v>7</v>
        <stp/>
        <stp>VOLUME</stp>
        <stp>.QQQ250829P470</stp>
        <tr r="P78" s="2"/>
        <tr r="P78" s="2"/>
      </tp>
      <tp t="s">
        <v>N/A</v>
        <stp/>
        <stp>VOLUME</stp>
        <stp>.SPY251128P573</stp>
        <tr r="V14" s="2"/>
      </tp>
      <tp>
        <v>1</v>
        <stp/>
        <stp>VOLUME</stp>
        <stp>.QQQ250829C470</stp>
        <tr r="P78" s="2"/>
        <tr r="P78" s="2"/>
      </tp>
      <tp t="s">
        <v>N/A</v>
        <stp/>
        <stp>VOLUME</stp>
        <stp>.SPY251128C573</stp>
        <tr r="V14" s="2"/>
      </tp>
      <tp t="s">
        <v>N/A</v>
        <stp/>
        <stp>VOLUME</stp>
        <stp>.QQQ250829P473</stp>
        <tr r="P75" s="2"/>
      </tp>
      <tp t="s">
        <v>N/A</v>
        <stp/>
        <stp>VOLUME</stp>
        <stp>.SPY251121P579</stp>
        <tr r="U8" s="2"/>
      </tp>
      <tp t="s">
        <v>N/A</v>
        <stp/>
        <stp>VOLUME</stp>
        <stp>.SPY251128P570</stp>
        <tr r="V17" s="2"/>
      </tp>
      <tp t="s">
        <v>N/A</v>
        <stp/>
        <stp>VOLUME</stp>
        <stp>.QQQ250829C473</stp>
        <tr r="P75" s="2"/>
      </tp>
      <tp t="s">
        <v>N/A</v>
        <stp/>
        <stp>VOLUME</stp>
        <stp>.SPY251121C579</stp>
        <tr r="U8" s="2"/>
      </tp>
      <tp t="s">
        <v>N/A</v>
        <stp/>
        <stp>VOLUME</stp>
        <stp>.SPY251128C570</stp>
        <tr r="V17" s="2"/>
      </tp>
      <tp t="s">
        <v>N/A</v>
        <stp/>
        <stp>VOLUME</stp>
        <stp>.QQQ250829P472</stp>
        <tr r="P76" s="2"/>
      </tp>
      <tp t="s">
        <v>N/A</v>
        <stp/>
        <stp>VOLUME</stp>
        <stp>.SPY251121P578</stp>
        <tr r="U9" s="2"/>
      </tp>
      <tp t="s">
        <v>N/A</v>
        <stp/>
        <stp>VOLUME</stp>
        <stp>.SPY251128P571</stp>
        <tr r="V16" s="2"/>
      </tp>
      <tp t="s">
        <v>N/A</v>
        <stp/>
        <stp>VOLUME</stp>
        <stp>.QQQ250829C472</stp>
        <tr r="P76" s="2"/>
      </tp>
      <tp t="s">
        <v>N/A</v>
        <stp/>
        <stp>VOLUME</stp>
        <stp>.SPY251121C578</stp>
        <tr r="U9" s="2"/>
      </tp>
      <tp t="s">
        <v>N/A</v>
        <stp/>
        <stp>VOLUME</stp>
        <stp>.SPY251128C571</stp>
        <tr r="V16" s="2"/>
      </tp>
      <tp t="s">
        <v>N/A</v>
        <stp/>
        <stp>VOLUME</stp>
        <stp>.SPY251121P567</stp>
        <tr r="U20" s="2"/>
      </tp>
      <tp t="s">
        <v>N/A</v>
        <stp/>
        <stp>VOLUME</stp>
        <stp>.SPY251121C567</stp>
        <tr r="U20" s="2"/>
      </tp>
      <tp t="s">
        <v>N/A</v>
        <stp/>
        <stp>VOLUME</stp>
        <stp>.SPY251121P566</stp>
        <tr r="U21" s="2"/>
      </tp>
      <tp t="s">
        <v>N/A</v>
        <stp/>
        <stp>VOLUME</stp>
        <stp>.SPY251121C566</stp>
        <tr r="U21" s="2"/>
      </tp>
      <tp t="s">
        <v>N/A</v>
        <stp/>
        <stp>VOLUME</stp>
        <stp>.SPY251121P565</stp>
        <tr r="U22" s="2"/>
      </tp>
      <tp t="s">
        <v>N/A</v>
        <stp/>
        <stp>VOLUME</stp>
        <stp>.SPY251121C565</stp>
        <tr r="U22" s="2"/>
      </tp>
      <tp t="s">
        <v>N/A</v>
        <stp/>
        <stp>VOLUME</stp>
        <stp>.SPY251121P564</stp>
        <tr r="U23" s="2"/>
      </tp>
      <tp t="s">
        <v>N/A</v>
        <stp/>
        <stp>VOLUME</stp>
        <stp>.SPY251121C564</stp>
        <tr r="U23" s="2"/>
      </tp>
      <tp t="s">
        <v>N/A</v>
        <stp/>
        <stp>VOLUME</stp>
        <stp>.QQQ250829P469</stp>
        <tr r="P79" s="2"/>
      </tp>
      <tp t="s">
        <v>N/A</v>
        <stp/>
        <stp>VOLUME</stp>
        <stp>.SPY251121P563</stp>
        <tr r="U24" s="2"/>
      </tp>
      <tp t="s">
        <v>N/A</v>
        <stp/>
        <stp>VOLUME</stp>
        <stp>.QQQ250829C469</stp>
        <tr r="P79" s="2"/>
      </tp>
      <tp t="s">
        <v>N/A</v>
        <stp/>
        <stp>VOLUME</stp>
        <stp>.SPY251121C563</stp>
        <tr r="U24" s="2"/>
      </tp>
      <tp t="s">
        <v>N/A</v>
        <stp/>
        <stp>VOLUME</stp>
        <stp>.QQQ250829P468</stp>
        <tr r="P80" s="2"/>
      </tp>
      <tp t="s">
        <v>N/A</v>
        <stp/>
        <stp>VOLUME</stp>
        <stp>.SPY251121P562</stp>
        <tr r="U25" s="2"/>
      </tp>
      <tp t="s">
        <v>N/A</v>
        <stp/>
        <stp>VOLUME</stp>
        <stp>.QQQ250829C468</stp>
        <tr r="P80" s="2"/>
      </tp>
      <tp t="s">
        <v>N/A</v>
        <stp/>
        <stp>VOLUME</stp>
        <stp>.SPY251121C562</stp>
        <tr r="U25" s="2"/>
      </tp>
      <tp t="s">
        <v>N/A</v>
        <stp/>
        <stp>VOLUME</stp>
        <stp>.SPY251121P561</stp>
        <tr r="U26" s="2"/>
      </tp>
      <tp t="s">
        <v>N/A</v>
        <stp/>
        <stp>VOLUME</stp>
        <stp>.SPY251128P568</stp>
        <tr r="V19" s="2"/>
      </tp>
      <tp t="s">
        <v>N/A</v>
        <stp/>
        <stp>VOLUME</stp>
        <stp>.SPY251121C561</stp>
        <tr r="U26" s="2"/>
      </tp>
      <tp t="s">
        <v>N/A</v>
        <stp/>
        <stp>VOLUME</stp>
        <stp>.SPY251128C568</stp>
        <tr r="V19" s="2"/>
      </tp>
      <tp t="s">
        <v>N/A</v>
        <stp/>
        <stp>VOLUME</stp>
        <stp>.SPY251121P560</stp>
        <tr r="U27" s="2"/>
      </tp>
      <tp t="s">
        <v>N/A</v>
        <stp/>
        <stp>VOLUME</stp>
        <stp>.SPY251128P569</stp>
        <tr r="V18" s="2"/>
      </tp>
      <tp t="s">
        <v>N/A</v>
        <stp/>
        <stp>VOLUME</stp>
        <stp>.SPY251121C560</stp>
        <tr r="U27" s="2"/>
      </tp>
      <tp t="s">
        <v>N/A</v>
        <stp/>
        <stp>VOLUME</stp>
        <stp>.SPY251128C569</stp>
        <tr r="V18" s="2"/>
      </tp>
      <tp t="s">
        <v>N/A</v>
        <stp/>
        <stp>VOLUME</stp>
        <stp>.SPY251128P566</stp>
        <tr r="V21" s="2"/>
      </tp>
      <tp t="s">
        <v>N/A</v>
        <stp/>
        <stp>VOLUME</stp>
        <stp>.SPY251128C566</stp>
        <tr r="V21" s="2"/>
      </tp>
      <tp t="s">
        <v>N/A</v>
        <stp/>
        <stp>VOLUME</stp>
        <stp>.SPY251128P567</stp>
        <tr r="V20" s="2"/>
      </tp>
      <tp t="s">
        <v>N/A</v>
        <stp/>
        <stp>VOLUME</stp>
        <stp>.SPY251128C567</stp>
        <tr r="V20" s="2"/>
      </tp>
      <tp t="s">
        <v>N/A</v>
        <stp/>
        <stp>VOLUME</stp>
        <stp>.SPY251128P564</stp>
        <tr r="V23" s="2"/>
      </tp>
      <tp t="s">
        <v>N/A</v>
        <stp/>
        <stp>VOLUME</stp>
        <stp>.SPY251128C564</stp>
        <tr r="V23" s="2"/>
      </tp>
      <tp t="s">
        <v>N/A</v>
        <stp/>
        <stp>VOLUME</stp>
        <stp>.SPY251128P565</stp>
        <tr r="V22" s="2"/>
      </tp>
      <tp t="s">
        <v>N/A</v>
        <stp/>
        <stp>VOLUME</stp>
        <stp>.SPY251128C565</stp>
        <tr r="V22" s="2"/>
      </tp>
      <tp t="s">
        <v>N/A</v>
        <stp/>
        <stp>VOLUME</stp>
        <stp>.SPY251128P562</stp>
        <tr r="V25" s="2"/>
      </tp>
      <tp t="s">
        <v>N/A</v>
        <stp/>
        <stp>VOLUME</stp>
        <stp>.SPY251128C562</stp>
        <tr r="V25" s="2"/>
      </tp>
      <tp t="s">
        <v>N/A</v>
        <stp/>
        <stp>VOLUME</stp>
        <stp>.SPY251128P563</stp>
        <tr r="V24" s="2"/>
      </tp>
      <tp t="s">
        <v>N/A</v>
        <stp/>
        <stp>VOLUME</stp>
        <stp>.SPY251128C563</stp>
        <tr r="V24" s="2"/>
      </tp>
      <tp t="s">
        <v>N/A</v>
        <stp/>
        <stp>VOLUME</stp>
        <stp>.SPY251121P569</stp>
        <tr r="U18" s="2"/>
      </tp>
      <tp t="s">
        <v>N/A</v>
        <stp/>
        <stp>VOLUME</stp>
        <stp>.SPY251128P560</stp>
        <tr r="V27" s="2"/>
      </tp>
      <tp t="s">
        <v>N/A</v>
        <stp/>
        <stp>VOLUME</stp>
        <stp>.SPY251121C569</stp>
        <tr r="U18" s="2"/>
      </tp>
      <tp t="s">
        <v>N/A</v>
        <stp/>
        <stp>VOLUME</stp>
        <stp>.SPY251128C560</stp>
        <tr r="V27" s="2"/>
      </tp>
      <tp t="s">
        <v>N/A</v>
        <stp/>
        <stp>VOLUME</stp>
        <stp>.SPY251121P568</stp>
        <tr r="U19" s="2"/>
      </tp>
      <tp t="s">
        <v>N/A</v>
        <stp/>
        <stp>VOLUME</stp>
        <stp>.SPY251128P561</stp>
        <tr r="V26" s="2"/>
      </tp>
      <tp t="s">
        <v>N/A</v>
        <stp/>
        <stp>VOLUME</stp>
        <stp>.SPY251121C568</stp>
        <tr r="U19" s="2"/>
      </tp>
      <tp t="s">
        <v>N/A</v>
        <stp/>
        <stp>VOLUME</stp>
        <stp>.SPY251128C561</stp>
        <tr r="V26" s="2"/>
      </tp>
      <tp t="s">
        <v>N/A</v>
        <stp/>
        <stp>VOLUME</stp>
        <stp>.SPY251121P557</stp>
        <tr r="U30" s="2"/>
      </tp>
      <tp t="s">
        <v>N/A</v>
        <stp/>
        <stp>VOLUME</stp>
        <stp>.SPY251121C557</stp>
        <tr r="U30" s="2"/>
      </tp>
      <tp t="s">
        <v>N/A</v>
        <stp/>
        <stp>VOLUME</stp>
        <stp>.SPY251121P556</stp>
        <tr r="U31" s="2"/>
      </tp>
      <tp t="s">
        <v>N/A</v>
        <stp/>
        <stp>VOLUME</stp>
        <stp>.SPY251121C556</stp>
        <tr r="U31" s="2"/>
      </tp>
      <tp t="s">
        <v>N/A</v>
        <stp/>
        <stp>VOLUME</stp>
        <stp>.SPY251121P555</stp>
        <tr r="U32" s="2"/>
      </tp>
      <tp t="s">
        <v>N/A</v>
        <stp/>
        <stp>VOLUME</stp>
        <stp>.SPY251121C555</stp>
        <tr r="U32" s="2"/>
      </tp>
      <tp t="s">
        <v>N/A</v>
        <stp/>
        <stp>VOLUME</stp>
        <stp>.SPY251121P554</stp>
        <tr r="U33" s="2"/>
      </tp>
      <tp t="s">
        <v>N/A</v>
        <stp/>
        <stp>VOLUME</stp>
        <stp>.SPY251121C554</stp>
        <tr r="U33" s="2"/>
      </tp>
      <tp t="s">
        <v>N/A</v>
        <stp/>
        <stp>VOLUME</stp>
        <stp>.SPY251121P553</stp>
        <tr r="U34" s="2"/>
      </tp>
      <tp t="s">
        <v>N/A</v>
        <stp/>
        <stp>VOLUME</stp>
        <stp>.SPY251121C553</stp>
        <tr r="U34" s="2"/>
      </tp>
      <tp t="s">
        <v>N/A</v>
        <stp/>
        <stp>VOLUME</stp>
        <stp>.SPY251121P552</stp>
        <tr r="U35" s="2"/>
      </tp>
      <tp t="s">
        <v>N/A</v>
        <stp/>
        <stp>VOLUME</stp>
        <stp>.SPY251121C552</stp>
        <tr r="U35" s="2"/>
      </tp>
      <tp t="s">
        <v>N/A</v>
        <stp/>
        <stp>VOLUME</stp>
        <stp>.SPY251121P551</stp>
        <tr r="U36" s="2"/>
      </tp>
      <tp t="s">
        <v>N/A</v>
        <stp/>
        <stp>VOLUME</stp>
        <stp>.SPY251128P558</stp>
        <tr r="V29" s="2"/>
      </tp>
      <tp t="s">
        <v>N/A</v>
        <stp/>
        <stp>VOLUME</stp>
        <stp>.SPY251121C551</stp>
        <tr r="U36" s="2"/>
      </tp>
      <tp t="s">
        <v>N/A</v>
        <stp/>
        <stp>VOLUME</stp>
        <stp>.SPY251128C558</stp>
        <tr r="V29" s="2"/>
      </tp>
      <tp t="s">
        <v>N/A</v>
        <stp/>
        <stp>VOLUME</stp>
        <stp>.SPY251121P550</stp>
        <tr r="U37" s="2"/>
      </tp>
      <tp t="s">
        <v>N/A</v>
        <stp/>
        <stp>VOLUME</stp>
        <stp>.SPY251128P559</stp>
        <tr r="V28" s="2"/>
      </tp>
      <tp t="s">
        <v>N/A</v>
        <stp/>
        <stp>VOLUME</stp>
        <stp>.SPY251121C550</stp>
        <tr r="U37" s="2"/>
      </tp>
      <tp t="s">
        <v>N/A</v>
        <stp/>
        <stp>VOLUME</stp>
        <stp>.SPY251128C559</stp>
        <tr r="V28" s="2"/>
      </tp>
      <tp t="s">
        <v>N/A</v>
        <stp/>
        <stp>VOLUME</stp>
        <stp>.QQQ250815P469</stp>
        <tr r="O79" s="2"/>
      </tp>
      <tp t="s">
        <v>N/A</v>
        <stp/>
        <stp>VOLUME</stp>
        <stp>.SPY251128P556</stp>
        <tr r="V31" s="2"/>
      </tp>
      <tp t="s">
        <v>N/A</v>
        <stp/>
        <stp>VOLUME</stp>
        <stp>.QQQ250815C469</stp>
        <tr r="O79" s="2"/>
      </tp>
      <tp t="s">
        <v>N/A</v>
        <stp/>
        <stp>VOLUME</stp>
        <stp>.SPY251128C556</stp>
        <tr r="V31" s="2"/>
      </tp>
      <tp t="s">
        <v>N/A</v>
        <stp/>
        <stp>VOLUME</stp>
        <stp>.QQQ250815P468</stp>
        <tr r="O80" s="2"/>
      </tp>
      <tp t="s">
        <v>N/A</v>
        <stp/>
        <stp>VOLUME</stp>
        <stp>.SPY251128P557</stp>
        <tr r="V30" s="2"/>
      </tp>
      <tp t="s">
        <v>N/A</v>
        <stp/>
        <stp>VOLUME</stp>
        <stp>.QQQ250815C468</stp>
        <tr r="O80" s="2"/>
      </tp>
      <tp t="s">
        <v>N/A</v>
        <stp/>
        <stp>VOLUME</stp>
        <stp>.SPY251128C557</stp>
        <tr r="V30" s="2"/>
      </tp>
      <tp t="s">
        <v>N/A</v>
        <stp/>
        <stp>VOLUME</stp>
        <stp>.SPY251128P554</stp>
        <tr r="V33" s="2"/>
      </tp>
      <tp t="s">
        <v>N/A</v>
        <stp/>
        <stp>VOLUME</stp>
        <stp>.SPY251128C554</stp>
        <tr r="V33" s="2"/>
      </tp>
      <tp t="s">
        <v>N/A</v>
        <stp/>
        <stp>VOLUME</stp>
        <stp>.SPY251128P555</stp>
        <tr r="V32" s="2"/>
      </tp>
      <tp t="s">
        <v>N/A</v>
        <stp/>
        <stp>VOLUME</stp>
        <stp>.SPY251128C555</stp>
        <tr r="V32" s="2"/>
      </tp>
      <tp t="s">
        <v>N/A</v>
        <stp/>
        <stp>VOLUME</stp>
        <stp>.SPY251128P552</stp>
        <tr r="V35" s="2"/>
      </tp>
      <tp t="s">
        <v>N/A</v>
        <stp/>
        <stp>VOLUME</stp>
        <stp>.SPY251128C552</stp>
        <tr r="V35" s="2"/>
      </tp>
      <tp t="s">
        <v>N/A</v>
        <stp/>
        <stp>VOLUME</stp>
        <stp>.SPY251128P553</stp>
        <tr r="V34" s="2"/>
      </tp>
      <tp t="s">
        <v>N/A</v>
        <stp/>
        <stp>VOLUME</stp>
        <stp>.SPY251128C553</stp>
        <tr r="V34" s="2"/>
      </tp>
      <tp t="s">
        <v>N/A</v>
        <stp/>
        <stp>VOLUME</stp>
        <stp>.SPY251121P559</stp>
        <tr r="U28" s="2"/>
      </tp>
      <tp t="s">
        <v>N/A</v>
        <stp/>
        <stp>VOLUME</stp>
        <stp>.SPY251128P550</stp>
        <tr r="V37" s="2"/>
      </tp>
      <tp t="s">
        <v>N/A</v>
        <stp/>
        <stp>VOLUME</stp>
        <stp>.SPY251121C559</stp>
        <tr r="U28" s="2"/>
      </tp>
      <tp t="s">
        <v>N/A</v>
        <stp/>
        <stp>VOLUME</stp>
        <stp>.SPY251128C550</stp>
        <tr r="V37" s="2"/>
      </tp>
      <tp t="s">
        <v>N/A</v>
        <stp/>
        <stp>VOLUME</stp>
        <stp>.SPY251121P558</stp>
        <tr r="U29" s="2"/>
      </tp>
      <tp t="s">
        <v>N/A</v>
        <stp/>
        <stp>VOLUME</stp>
        <stp>.SPY251128P551</stp>
        <tr r="V36" s="2"/>
      </tp>
      <tp t="s">
        <v>N/A</v>
        <stp/>
        <stp>VOLUME</stp>
        <stp>.SPY251121C558</stp>
        <tr r="U29" s="2"/>
      </tp>
      <tp t="s">
        <v>N/A</v>
        <stp/>
        <stp>VOLUME</stp>
        <stp>.SPY251128C551</stp>
        <tr r="V36" s="2"/>
      </tp>
      <tp t="s">
        <v>N/A</v>
        <stp/>
        <stp>VOLUME</stp>
        <stp>.QQQ250815P471</stp>
        <tr r="O77" s="2"/>
      </tp>
      <tp t="s">
        <v>N/A</v>
        <stp/>
        <stp>VOLUME</stp>
        <stp>.QQQ250815C471</stp>
        <tr r="O77" s="2"/>
      </tp>
      <tp>
        <v>732</v>
        <stp/>
        <stp>VOLUME</stp>
        <stp>.QQQ250815P470</stp>
        <tr r="O78" s="2"/>
        <tr r="O78" s="2"/>
      </tp>
      <tp>
        <v>246</v>
        <stp/>
        <stp>VOLUME</stp>
        <stp>.QQQ250815C470</stp>
        <tr r="O78" s="2"/>
        <tr r="O78" s="2"/>
      </tp>
      <tp t="s">
        <v>N/A</v>
        <stp/>
        <stp>VOLUME</stp>
        <stp>.QQQ250815P473</stp>
        <tr r="O75" s="2"/>
      </tp>
      <tp t="s">
        <v>N/A</v>
        <stp/>
        <stp>VOLUME</stp>
        <stp>.QQQ250815C473</stp>
        <tr r="O75" s="2"/>
      </tp>
      <tp t="s">
        <v>N/A</v>
        <stp/>
        <stp>VOLUME</stp>
        <stp>.QQQ250815P472</stp>
        <tr r="O76" s="2"/>
      </tp>
      <tp t="s">
        <v>N/A</v>
        <stp/>
        <stp>VOLUME</stp>
        <stp>.QQQ250815C472</stp>
        <tr r="O76" s="2"/>
      </tp>
      <tp>
        <v>193</v>
        <stp/>
        <stp>VOLUME</stp>
        <stp>.QQQ250815P475</stp>
        <tr r="O73" s="2"/>
        <tr r="O73" s="2"/>
      </tp>
      <tp>
        <v>5</v>
        <stp/>
        <stp>VOLUME</stp>
        <stp>.QQQ250815C475</stp>
        <tr r="O73" s="2"/>
        <tr r="O73" s="2"/>
      </tp>
      <tp t="s">
        <v>N/A</v>
        <stp/>
        <stp>VOLUME</stp>
        <stp>.QQQ250815P474</stp>
        <tr r="O74" s="2"/>
      </tp>
      <tp t="s">
        <v>N/A</v>
        <stp/>
        <stp>VOLUME</stp>
        <stp>.QQQ250815C474</stp>
        <tr r="O74" s="2"/>
      </tp>
      <tp t="s">
        <v>N/A</v>
        <stp/>
        <stp>VOLUME</stp>
        <stp>.QQQ250815P477</stp>
        <tr r="O71" s="2"/>
      </tp>
      <tp t="s">
        <v>N/A</v>
        <stp/>
        <stp>VOLUME</stp>
        <stp>.SPY251128P548</stp>
        <tr r="V39" s="2"/>
      </tp>
      <tp t="s">
        <v>N/A</v>
        <stp/>
        <stp>VOLUME</stp>
        <stp>.QQQ250815C477</stp>
        <tr r="O71" s="2"/>
      </tp>
      <tp t="s">
        <v>N/A</v>
        <stp/>
        <stp>VOLUME</stp>
        <stp>.SPY251128C548</stp>
        <tr r="V39" s="2"/>
      </tp>
      <tp t="s">
        <v>N/A</v>
        <stp/>
        <stp>VOLUME</stp>
        <stp>.QQQ250815P476</stp>
        <tr r="O72" s="2"/>
      </tp>
      <tp t="s">
        <v>N/A</v>
        <stp/>
        <stp>VOLUME</stp>
        <stp>.SPY251128P549</stp>
        <tr r="V38" s="2"/>
      </tp>
      <tp t="s">
        <v>N/A</v>
        <stp/>
        <stp>VOLUME</stp>
        <stp>.QQQ250815C476</stp>
        <tr r="O72" s="2"/>
      </tp>
      <tp t="s">
        <v>N/A</v>
        <stp/>
        <stp>VOLUME</stp>
        <stp>.SPY251128C549</stp>
        <tr r="V38" s="2"/>
      </tp>
      <tp t="s">
        <v>N/A</v>
        <stp/>
        <stp>VOLUME</stp>
        <stp>.QQQ250815P479</stp>
        <tr r="O69" s="2"/>
      </tp>
      <tp t="s">
        <v>N/A</v>
        <stp/>
        <stp>VOLUME</stp>
        <stp>.QQQ250815C479</stp>
        <tr r="O69" s="2"/>
      </tp>
      <tp t="s">
        <v>N/A</v>
        <stp/>
        <stp>VOLUME</stp>
        <stp>.QQQ250815P478</stp>
        <tr r="O70" s="2"/>
      </tp>
      <tp t="s">
        <v>N/A</v>
        <stp/>
        <stp>VOLUME</stp>
        <stp>.QQQ250815C478</stp>
        <tr r="O70" s="2"/>
      </tp>
      <tp t="s">
        <v>N/A</v>
        <stp/>
        <stp>VOLUME</stp>
        <stp>.SPY251121P549</stp>
        <tr r="U38" s="2"/>
      </tp>
      <tp t="s">
        <v>N/A</v>
        <stp/>
        <stp>VOLUME</stp>
        <stp>.SPY251121C549</stp>
        <tr r="U38" s="2"/>
      </tp>
      <tp t="s">
        <v>N/A</v>
        <stp/>
        <stp>VOLUME</stp>
        <stp>.SPY251121P548</stp>
        <tr r="U39" s="2"/>
      </tp>
      <tp t="s">
        <v>N/A</v>
        <stp/>
        <stp>VOLUME</stp>
        <stp>.SPY251121C548</stp>
        <tr r="U39" s="2"/>
      </tp>
      <tp>
        <v>0</v>
        <stp/>
        <stp>BID</stp>
        <stp>.SPXW250505C5850</stp>
        <tr r="DE87" s="1"/>
        <tr r="DE87" s="1"/>
      </tp>
      <tp>
        <v>191.9</v>
        <stp/>
        <stp>BID</stp>
        <stp>.SPXW250505P5850</stp>
        <tr r="DF87" s="1"/>
        <tr r="DF87" s="1"/>
      </tp>
      <tp t="s">
        <v>N/A</v>
        <stp/>
        <stp>BID</stp>
        <stp>.SPXW250505C5840</stp>
        <tr r="DE88" s="1"/>
      </tp>
      <tp t="s">
        <v>N/A</v>
        <stp/>
        <stp>BID</stp>
        <stp>.SPXW250505P5840</stp>
        <tr r="DF88" s="1"/>
      </tp>
      <tp t="s">
        <v>N/A</v>
        <stp/>
        <stp>BID</stp>
        <stp>.SPXW250505C5870</stp>
        <tr r="DE85" s="1"/>
      </tp>
      <tp t="s">
        <v>N/A</v>
        <stp/>
        <stp>BID</stp>
        <stp>.SPXW250505P5870</stp>
        <tr r="DF85" s="1"/>
      </tp>
      <tp t="s">
        <v>N/A</v>
        <stp/>
        <stp>BID</stp>
        <stp>.SPXW250505C5860</stp>
        <tr r="DE86" s="1"/>
      </tp>
      <tp t="s">
        <v>N/A</v>
        <stp/>
        <stp>BID</stp>
        <stp>.SPXW250505P5860</stp>
        <tr r="DF86" s="1"/>
      </tp>
      <tp>
        <v>0</v>
        <stp/>
        <stp>BID</stp>
        <stp>.SPXW250505C5810</stp>
        <tr r="DE91" s="1"/>
        <tr r="DE91" s="1"/>
      </tp>
      <tp>
        <v>151.9</v>
        <stp/>
        <stp>BID</stp>
        <stp>.SPXW250505P5810</stp>
        <tr r="DF91" s="1"/>
        <tr r="DF91" s="1"/>
      </tp>
      <tp>
        <v>0</v>
        <stp/>
        <stp>BID</stp>
        <stp>.SPXW250505C5800</stp>
        <tr r="DE92" s="1"/>
        <tr r="DE92" s="1"/>
      </tp>
      <tp>
        <v>142.5</v>
        <stp/>
        <stp>BID</stp>
        <stp>.SPXW250505P5800</stp>
        <tr r="DF92" s="1"/>
        <tr r="DF92" s="1"/>
      </tp>
      <tp t="s">
        <v>N/A</v>
        <stp/>
        <stp>BID</stp>
        <stp>.SPXW250505C5830</stp>
        <tr r="DE89" s="1"/>
      </tp>
      <tp t="s">
        <v>N/A</v>
        <stp/>
        <stp>BID</stp>
        <stp>.SPXW250505P5830</stp>
        <tr r="DF89" s="1"/>
      </tp>
      <tp>
        <v>0</v>
        <stp/>
        <stp>BID</stp>
        <stp>.SPXW250505C5820</stp>
        <tr r="DE90" s="1"/>
        <tr r="DE90" s="1"/>
      </tp>
      <tp>
        <v>161.9</v>
        <stp/>
        <stp>BID</stp>
        <stp>.SPXW250505P5820</stp>
        <tr r="DF90" s="1"/>
        <tr r="DF90" s="1"/>
      </tp>
      <tp t="s">
        <v>N/A</v>
        <stp/>
        <stp>VOLUME</stp>
        <stp>.SPY251017P581</stp>
        <tr r="S6" s="2"/>
      </tp>
      <tp t="s">
        <v>N/A</v>
        <stp/>
        <stp>VOLUME</stp>
        <stp>.SPY251017C581</stp>
        <tr r="S6" s="2"/>
      </tp>
      <tp t="s">
        <v>N/A</v>
        <stp/>
        <stp>VOLUME</stp>
        <stp>.SPY251017P580</stp>
        <tr r="S7" s="2"/>
      </tp>
      <tp t="s">
        <v>N/A</v>
        <stp/>
        <stp>VOLUME</stp>
        <stp>.SPY251017C580</stp>
        <tr r="S7" s="2"/>
      </tp>
      <tp t="s">
        <v>N/A</v>
        <stp/>
        <stp>VOLUME</stp>
        <stp>.SPY251017P582</stp>
        <tr r="S5" s="2"/>
      </tp>
      <tp t="s">
        <v>N/A</v>
        <stp/>
        <stp>VOLUME</stp>
        <stp>.SPY251017C582</stp>
        <tr r="S5" s="2"/>
      </tp>
      <tp t="s">
        <v>N/A</v>
        <stp/>
        <stp>VOLUME</stp>
        <stp>.QQQ250919P489</stp>
        <tr r="Q59" s="2"/>
      </tp>
      <tp t="s">
        <v>N/A</v>
        <stp/>
        <stp>VOLUME</stp>
        <stp>.QQQ250919C489</stp>
        <tr r="Q59" s="2"/>
      </tp>
      <tp t="s">
        <v>N/A</v>
        <stp/>
        <stp>VOLUME</stp>
        <stp>.QQQ250919P488</stp>
        <tr r="Q60" s="2"/>
      </tp>
      <tp t="s">
        <v>N/A</v>
        <stp/>
        <stp>VOLUME</stp>
        <stp>.QQQ250919C488</stp>
        <tr r="Q60" s="2"/>
      </tp>
      <tp>
        <v>567</v>
        <stp/>
        <stp>VOLUME</stp>
        <stp>.QQQ250919P485</stp>
        <tr r="Q63" s="2"/>
        <tr r="Q63" s="2"/>
      </tp>
      <tp>
        <v>22</v>
        <stp/>
        <stp>VOLUME</stp>
        <stp>.QQQ250919C485</stp>
        <tr r="Q63" s="2"/>
        <tr r="Q63" s="2"/>
      </tp>
      <tp t="s">
        <v>N/A</v>
        <stp/>
        <stp>VOLUME</stp>
        <stp>.QQQ250919P484</stp>
        <tr r="Q64" s="2"/>
      </tp>
      <tp t="s">
        <v>N/A</v>
        <stp/>
        <stp>VOLUME</stp>
        <stp>.QQQ250919C484</stp>
        <tr r="Q64" s="2"/>
      </tp>
      <tp t="s">
        <v>N/A</v>
        <stp/>
        <stp>VOLUME</stp>
        <stp>.QQQ250919P487</stp>
        <tr r="Q61" s="2"/>
      </tp>
      <tp t="s">
        <v>N/A</v>
        <stp/>
        <stp>VOLUME</stp>
        <stp>.QQQ250919C487</stp>
        <tr r="Q61" s="2"/>
      </tp>
      <tp t="s">
        <v>N/A</v>
        <stp/>
        <stp>VOLUME</stp>
        <stp>.QQQ250919P486</stp>
        <tr r="Q62" s="2"/>
      </tp>
      <tp t="s">
        <v>N/A</v>
        <stp/>
        <stp>VOLUME</stp>
        <stp>.QQQ250919C486</stp>
        <tr r="Q62" s="2"/>
      </tp>
      <tp t="s">
        <v>N/A</v>
        <stp/>
        <stp>VOLUME</stp>
        <stp>.QQQ250919P481</stp>
        <tr r="Q67" s="2"/>
      </tp>
      <tp t="s">
        <v>N/A</v>
        <stp/>
        <stp>VOLUME</stp>
        <stp>.QQQ250919C481</stp>
        <tr r="Q67" s="2"/>
      </tp>
      <tp>
        <v>156</v>
        <stp/>
        <stp>VOLUME</stp>
        <stp>.QQQ250919P480</stp>
        <tr r="Q68" s="2"/>
        <tr r="Q68" s="2"/>
      </tp>
      <tp>
        <v>32</v>
        <stp/>
        <stp>VOLUME</stp>
        <stp>.QQQ250919C480</stp>
        <tr r="Q68" s="2"/>
        <tr r="Q68" s="2"/>
      </tp>
      <tp t="s">
        <v>N/A</v>
        <stp/>
        <stp>VOLUME</stp>
        <stp>.QQQ250919P483</stp>
        <tr r="Q65" s="2"/>
      </tp>
      <tp t="s">
        <v>N/A</v>
        <stp/>
        <stp>VOLUME</stp>
        <stp>.QQQ250919C483</stp>
        <tr r="Q65" s="2"/>
      </tp>
      <tp t="s">
        <v>N/A</v>
        <stp/>
        <stp>VOLUME</stp>
        <stp>.QQQ250919P482</stp>
        <tr r="Q66" s="2"/>
      </tp>
      <tp t="s">
        <v>N/A</v>
        <stp/>
        <stp>VOLUME</stp>
        <stp>.QQQ250919C482</stp>
        <tr r="Q66" s="2"/>
      </tp>
      <tp t="s">
        <v>N/A</v>
        <stp/>
        <stp>VOLUME</stp>
        <stp>.QQQ250919P499</stp>
        <tr r="Q49" s="2"/>
      </tp>
      <tp t="s">
        <v>N/A</v>
        <stp/>
        <stp>VOLUME</stp>
        <stp>.QQQ250919C499</stp>
        <tr r="Q49" s="2"/>
      </tp>
      <tp t="s">
        <v>N/A</v>
        <stp/>
        <stp>VOLUME</stp>
        <stp>.QQQ250919P498</stp>
        <tr r="Q50" s="2"/>
      </tp>
      <tp t="s">
        <v>N/A</v>
        <stp/>
        <stp>VOLUME</stp>
        <stp>.QQQ250919C498</stp>
        <tr r="Q50" s="2"/>
      </tp>
      <tp>
        <v>121</v>
        <stp/>
        <stp>VOLUME</stp>
        <stp>.QQQ250919P495</stp>
        <tr r="Q53" s="2"/>
        <tr r="Q53" s="2"/>
      </tp>
      <tp>
        <v>168</v>
        <stp/>
        <stp>VOLUME</stp>
        <stp>.QQQ250919C495</stp>
        <tr r="Q53" s="2"/>
        <tr r="Q53" s="2"/>
      </tp>
      <tp t="s">
        <v>N/A</v>
        <stp/>
        <stp>VOLUME</stp>
        <stp>.QQQ250919P494</stp>
        <tr r="Q54" s="2"/>
      </tp>
      <tp t="s">
        <v>N/A</v>
        <stp/>
        <stp>VOLUME</stp>
        <stp>.QQQ250919C494</stp>
        <tr r="Q54" s="2"/>
      </tp>
      <tp t="s">
        <v>N/A</v>
        <stp/>
        <stp>VOLUME</stp>
        <stp>.QQQ250919P497</stp>
        <tr r="Q51" s="2"/>
      </tp>
      <tp t="s">
        <v>N/A</v>
        <stp/>
        <stp>VOLUME</stp>
        <stp>.QQQ250919C497</stp>
        <tr r="Q51" s="2"/>
      </tp>
      <tp t="s">
        <v>N/A</v>
        <stp/>
        <stp>VOLUME</stp>
        <stp>.QQQ250919P496</stp>
        <tr r="Q52" s="2"/>
      </tp>
      <tp t="s">
        <v>N/A</v>
        <stp/>
        <stp>VOLUME</stp>
        <stp>.QQQ250919C496</stp>
        <tr r="Q52" s="2"/>
      </tp>
      <tp t="s">
        <v>N/A</v>
        <stp/>
        <stp>VOLUME</stp>
        <stp>.QQQ250919P491</stp>
        <tr r="Q57" s="2"/>
      </tp>
      <tp t="s">
        <v>N/A</v>
        <stp/>
        <stp>VOLUME</stp>
        <stp>.QQQ250919C491</stp>
        <tr r="Q57" s="2"/>
      </tp>
      <tp>
        <v>133</v>
        <stp/>
        <stp>VOLUME</stp>
        <stp>.QQQ250919P490</stp>
        <tr r="Q58" s="2"/>
        <tr r="Q58" s="2"/>
      </tp>
      <tp>
        <v>53</v>
        <stp/>
        <stp>VOLUME</stp>
        <stp>.QQQ250919C490</stp>
        <tr r="Q58" s="2"/>
        <tr r="Q58" s="2"/>
      </tp>
      <tp t="s">
        <v>N/A</v>
        <stp/>
        <stp>VOLUME</stp>
        <stp>.QQQ250919P493</stp>
        <tr r="Q55" s="2"/>
      </tp>
      <tp t="s">
        <v>N/A</v>
        <stp/>
        <stp>VOLUME</stp>
        <stp>.QQQ250919C493</stp>
        <tr r="Q55" s="2"/>
      </tp>
      <tp t="s">
        <v>N/A</v>
        <stp/>
        <stp>VOLUME</stp>
        <stp>.QQQ250919P492</stp>
        <tr r="Q56" s="2"/>
      </tp>
      <tp t="s">
        <v>N/A</v>
        <stp/>
        <stp>VOLUME</stp>
        <stp>.QQQ250919C492</stp>
        <tr r="Q56" s="2"/>
      </tp>
      <tp t="s">
        <v>N/A</v>
        <stp/>
        <stp>VOLUME</stp>
        <stp>.QQQ250930P484</stp>
        <tr r="R64" s="2"/>
      </tp>
      <tp>
        <v>8</v>
        <stp/>
        <stp>VOLUME</stp>
        <stp>.QQQ250930C484</stp>
        <tr r="R64" s="2"/>
        <tr r="R64" s="2"/>
      </tp>
      <tp>
        <v>102</v>
        <stp/>
        <stp>VOLUME</stp>
        <stp>.QQQ250930P485</stp>
        <tr r="R63" s="2"/>
        <tr r="R63" s="2"/>
      </tp>
      <tp>
        <v>7</v>
        <stp/>
        <stp>VOLUME</stp>
        <stp>.QQQ250930C485</stp>
        <tr r="R63" s="2"/>
        <tr r="R63" s="2"/>
      </tp>
      <tp t="s">
        <v>N/A</v>
        <stp/>
        <stp>VOLUME</stp>
        <stp>.QQQ250930P486</stp>
        <tr r="R62" s="2"/>
      </tp>
      <tp>
        <v>20</v>
        <stp/>
        <stp>VOLUME</stp>
        <stp>.QQQ250930C486</stp>
        <tr r="R62" s="2"/>
        <tr r="R62" s="2"/>
      </tp>
      <tp>
        <v>28</v>
        <stp/>
        <stp>VOLUME</stp>
        <stp>.QQQ250930P487</stp>
        <tr r="R61" s="2"/>
        <tr r="R61" s="2"/>
      </tp>
      <tp>
        <v>72</v>
        <stp/>
        <stp>VOLUME</stp>
        <stp>.QQQ250930C487</stp>
        <tr r="R61" s="2"/>
        <tr r="R61" s="2"/>
      </tp>
      <tp>
        <v>27</v>
        <stp/>
        <stp>VOLUME</stp>
        <stp>.QQQ250930P480</stp>
        <tr r="R68" s="2"/>
        <tr r="R68" s="2"/>
      </tp>
      <tp>
        <v>17</v>
        <stp/>
        <stp>VOLUME</stp>
        <stp>.QQQ250930C480</stp>
        <tr r="R68" s="2"/>
        <tr r="R68" s="2"/>
      </tp>
      <tp>
        <v>1</v>
        <stp/>
        <stp>VOLUME</stp>
        <stp>.QQQ250930P481</stp>
        <tr r="R67" s="2"/>
        <tr r="R67" s="2"/>
      </tp>
      <tp t="s">
        <v>N/A</v>
        <stp/>
        <stp>VOLUME</stp>
        <stp>.SPY251031P582</stp>
        <tr r="T5" s="2"/>
      </tp>
      <tp>
        <v>1</v>
        <stp/>
        <stp>VOLUME</stp>
        <stp>.QQQ250930C481</stp>
        <tr r="R67" s="2"/>
        <tr r="R67" s="2"/>
      </tp>
      <tp t="s">
        <v>N/A</v>
        <stp/>
        <stp>VOLUME</stp>
        <stp>.SPY251031C582</stp>
        <tr r="T5" s="2"/>
      </tp>
      <tp>
        <v>2</v>
        <stp/>
        <stp>VOLUME</stp>
        <stp>.QQQ250930P482</stp>
        <tr r="R66" s="2"/>
        <tr r="R66" s="2"/>
      </tp>
      <tp t="s">
        <v>N/A</v>
        <stp/>
        <stp>VOLUME</stp>
        <stp>.SPY251031P581</stp>
        <tr r="T6" s="2"/>
      </tp>
      <tp>
        <v>20</v>
        <stp/>
        <stp>VOLUME</stp>
        <stp>.QQQ250930C482</stp>
        <tr r="R66" s="2"/>
        <tr r="R66" s="2"/>
      </tp>
      <tp t="s">
        <v>N/A</v>
        <stp/>
        <stp>VOLUME</stp>
        <stp>.SPY251031C581</stp>
        <tr r="T6" s="2"/>
      </tp>
      <tp>
        <v>1</v>
        <stp/>
        <stp>VOLUME</stp>
        <stp>.QQQ250930P483</stp>
        <tr r="R65" s="2"/>
        <tr r="R65" s="2"/>
      </tp>
      <tp>
        <v>6</v>
        <stp/>
        <stp>VOLUME</stp>
        <stp>.SPY251031P580</stp>
        <tr r="T7" s="2"/>
        <tr r="T7" s="2"/>
      </tp>
      <tp>
        <v>1</v>
        <stp/>
        <stp>VOLUME</stp>
        <stp>.QQQ250930C483</stp>
        <tr r="R65" s="2"/>
        <tr r="R65" s="2"/>
      </tp>
      <tp>
        <v>42</v>
        <stp/>
        <stp>VOLUME</stp>
        <stp>.SPY251031C580</stp>
        <tr r="T7" s="2"/>
        <tr r="T7" s="2"/>
      </tp>
      <tp>
        <v>41</v>
        <stp/>
        <stp>VOLUME</stp>
        <stp>.QQQ250930P488</stp>
        <tr r="R60" s="2"/>
        <tr r="R60" s="2"/>
      </tp>
      <tp>
        <v>45</v>
        <stp/>
        <stp>VOLUME</stp>
        <stp>.QQQ250930C488</stp>
        <tr r="R60" s="2"/>
        <tr r="R60" s="2"/>
      </tp>
      <tp>
        <v>17</v>
        <stp/>
        <stp>VOLUME</stp>
        <stp>.QQQ250930P489</stp>
        <tr r="R59" s="2"/>
        <tr r="R59" s="2"/>
      </tp>
      <tp>
        <v>21</v>
        <stp/>
        <stp>VOLUME</stp>
        <stp>.QQQ250930C489</stp>
        <tr r="R59" s="2"/>
        <tr r="R59" s="2"/>
      </tp>
      <tp>
        <v>4</v>
        <stp/>
        <stp>VOLUME</stp>
        <stp>.QQQ250930P494</stp>
        <tr r="R54" s="2"/>
        <tr r="R54" s="2"/>
      </tp>
      <tp>
        <v>1</v>
        <stp/>
        <stp>VOLUME</stp>
        <stp>.QQQ250930C494</stp>
        <tr r="R54" s="2"/>
        <tr r="R54" s="2"/>
      </tp>
      <tp>
        <v>16</v>
        <stp/>
        <stp>VOLUME</stp>
        <stp>.QQQ250930P495</stp>
        <tr r="R53" s="2"/>
        <tr r="R53" s="2"/>
      </tp>
      <tp>
        <v>2</v>
        <stp/>
        <stp>VOLUME</stp>
        <stp>.QQQ250930C495</stp>
        <tr r="R53" s="2"/>
        <tr r="R53" s="2"/>
      </tp>
      <tp t="s">
        <v>N/A</v>
        <stp/>
        <stp>VOLUME</stp>
        <stp>.QQQ250930P496</stp>
        <tr r="R52" s="2"/>
      </tp>
      <tp t="s">
        <v>N/A</v>
        <stp/>
        <stp>VOLUME</stp>
        <stp>.QQQ250930C496</stp>
        <tr r="R52" s="2"/>
      </tp>
      <tp>
        <v>21</v>
        <stp/>
        <stp>VOLUME</stp>
        <stp>.QQQ250930P497</stp>
        <tr r="R51" s="2"/>
        <tr r="R51" s="2"/>
      </tp>
      <tp>
        <v>1</v>
        <stp/>
        <stp>VOLUME</stp>
        <stp>.QQQ250930C497</stp>
        <tr r="R51" s="2"/>
        <tr r="R51" s="2"/>
      </tp>
      <tp>
        <v>12</v>
        <stp/>
        <stp>VOLUME</stp>
        <stp>.QQQ250930P490</stp>
        <tr r="R58" s="2"/>
        <tr r="R58" s="2"/>
      </tp>
      <tp>
        <v>3</v>
        <stp/>
        <stp>VOLUME</stp>
        <stp>.QQQ250930C490</stp>
        <tr r="R58" s="2"/>
        <tr r="R58" s="2"/>
      </tp>
      <tp>
        <v>2</v>
        <stp/>
        <stp>VOLUME</stp>
        <stp>.QQQ250930P491</stp>
        <tr r="R57" s="2"/>
        <tr r="R57" s="2"/>
      </tp>
      <tp t="s">
        <v>N/A</v>
        <stp/>
        <stp>VOLUME</stp>
        <stp>.QQQ250930C491</stp>
        <tr r="R57" s="2"/>
      </tp>
      <tp>
        <v>1</v>
        <stp/>
        <stp>VOLUME</stp>
        <stp>.QQQ250930P492</stp>
        <tr r="R56" s="2"/>
        <tr r="R56" s="2"/>
      </tp>
      <tp>
        <v>6</v>
        <stp/>
        <stp>VOLUME</stp>
        <stp>.QQQ250930C492</stp>
        <tr r="R56" s="2"/>
        <tr r="R56" s="2"/>
      </tp>
      <tp>
        <v>3</v>
        <stp/>
        <stp>VOLUME</stp>
        <stp>.QQQ250930P493</stp>
        <tr r="R55" s="2"/>
        <tr r="R55" s="2"/>
      </tp>
      <tp t="s">
        <v>N/A</v>
        <stp/>
        <stp>VOLUME</stp>
        <stp>.QQQ250930C493</stp>
        <tr r="R55" s="2"/>
      </tp>
      <tp t="s">
        <v>N/A</v>
        <stp/>
        <stp>VOLUME</stp>
        <stp>.QQQ250930P498</stp>
        <tr r="R50" s="2"/>
      </tp>
      <tp t="s">
        <v>N/A</v>
        <stp/>
        <stp>VOLUME</stp>
        <stp>.QQQ250930C498</stp>
        <tr r="R50" s="2"/>
      </tp>
      <tp t="s">
        <v>N/A</v>
        <stp/>
        <stp>VOLUME</stp>
        <stp>.QQQ250930P499</stp>
        <tr r="R49" s="2"/>
      </tp>
      <tp>
        <v>2</v>
        <stp/>
        <stp>VOLUME</stp>
        <stp>.QQQ250930C499</stp>
        <tr r="R49" s="2"/>
        <tr r="R49" s="2"/>
      </tp>
      <tp t="s">
        <v>N/A</v>
        <stp/>
        <stp>VOLUME</stp>
        <stp>.QQQ250815P501</stp>
        <tr r="O47" s="2"/>
      </tp>
      <tp t="s">
        <v>N/A</v>
        <stp/>
        <stp>VOLUME</stp>
        <stp>.QQQ250815C501</stp>
        <tr r="O47" s="2"/>
      </tp>
      <tp>
        <v>114</v>
        <stp/>
        <stp>VOLUME</stp>
        <stp>.QQQ250815P500</stp>
        <tr r="O48" s="2"/>
        <tr r="O48" s="2"/>
      </tp>
      <tp>
        <v>391</v>
        <stp/>
        <stp>VOLUME</stp>
        <stp>.QQQ250815C500</stp>
        <tr r="O48" s="2"/>
        <tr r="O48" s="2"/>
      </tp>
      <tp t="s">
        <v>N/A</v>
        <stp/>
        <stp>VOLUME</stp>
        <stp>.QQQ250815P502</stp>
        <tr r="O46" s="2"/>
      </tp>
      <tp t="s">
        <v>N/A</v>
        <stp/>
        <stp>VOLUME</stp>
        <stp>.QQQ250815C502</stp>
        <tr r="O46" s="2"/>
      </tp>
      <tp t="s">
        <v>N/A</v>
        <stp/>
        <stp>VOLUME</stp>
        <stp>.QQQ250829P501</stp>
        <tr r="P47" s="2"/>
      </tp>
      <tp t="s">
        <v>N/A</v>
        <stp/>
        <stp>VOLUME</stp>
        <stp>.QQQ250829C501</stp>
        <tr r="P47" s="2"/>
      </tp>
      <tp t="s">
        <v>N/A</v>
        <stp/>
        <stp>VOLUME</stp>
        <stp>.QQQ250829P500</stp>
        <tr r="P48" s="2"/>
      </tp>
      <tp>
        <v>65</v>
        <stp/>
        <stp>VOLUME</stp>
        <stp>.QQQ250829C500</stp>
        <tr r="P48" s="2"/>
        <tr r="P48" s="2"/>
      </tp>
      <tp t="s">
        <v>N/A</v>
        <stp/>
        <stp>VOLUME</stp>
        <stp>.QQQ250829P502</stp>
        <tr r="P46" s="2"/>
      </tp>
      <tp t="s">
        <v>N/A</v>
        <stp/>
        <stp>VOLUME</stp>
        <stp>.QQQ250829C502</stp>
        <tr r="P46" s="2"/>
      </tp>
      <tp>
        <v>5</v>
        <stp/>
        <stp>VOLUME</stp>
        <stp>.SPY251031P567</stp>
        <tr r="T20" s="2"/>
        <tr r="T20" s="2"/>
      </tp>
      <tp>
        <v>3</v>
        <stp/>
        <stp>VOLUME</stp>
        <stp>.SPY251031C567</stp>
        <tr r="T20" s="2"/>
        <tr r="T20" s="2"/>
      </tp>
      <tp>
        <v>3</v>
        <stp/>
        <stp>VOLUME</stp>
        <stp>.SPY251031P566</stp>
        <tr r="T21" s="2"/>
        <tr r="T21" s="2"/>
      </tp>
      <tp>
        <v>3</v>
        <stp/>
        <stp>VOLUME</stp>
        <stp>.SPY251031C566</stp>
        <tr r="T21" s="2"/>
        <tr r="T21" s="2"/>
      </tp>
      <tp>
        <v>70</v>
        <stp/>
        <stp>VOLUME</stp>
        <stp>.SPY251031P565</stp>
        <tr r="T22" s="2"/>
        <tr r="T22" s="2"/>
      </tp>
      <tp>
        <v>34</v>
        <stp/>
        <stp>VOLUME</stp>
        <stp>.SPY251031C565</stp>
        <tr r="T22" s="2"/>
        <tr r="T22" s="2"/>
      </tp>
      <tp>
        <v>112</v>
        <stp/>
        <stp>VOLUME</stp>
        <stp>.SPY251031P564</stp>
        <tr r="T23" s="2"/>
        <tr r="T23" s="2"/>
      </tp>
      <tp>
        <v>11</v>
        <stp/>
        <stp>VOLUME</stp>
        <stp>.SPY251031C564</stp>
        <tr r="T23" s="2"/>
        <tr r="T23" s="2"/>
      </tp>
      <tp>
        <v>2</v>
        <stp/>
        <stp>VOLUME</stp>
        <stp>.SPY251031P563</stp>
        <tr r="T24" s="2"/>
        <tr r="T24" s="2"/>
      </tp>
      <tp t="s">
        <v>N/A</v>
        <stp/>
        <stp>VOLUME</stp>
        <stp>.SPY251031C563</stp>
        <tr r="T24" s="2"/>
      </tp>
      <tp>
        <v>10</v>
        <stp/>
        <stp>VOLUME</stp>
        <stp>.SPY251031P562</stp>
        <tr r="T25" s="2"/>
        <tr r="T25" s="2"/>
      </tp>
      <tp t="s">
        <v>N/A</v>
        <stp/>
        <stp>VOLUME</stp>
        <stp>.SPY251031C562</stp>
        <tr r="T25" s="2"/>
      </tp>
      <tp>
        <v>14</v>
        <stp/>
        <stp>VOLUME</stp>
        <stp>.SPY251031P561</stp>
        <tr r="T26" s="2"/>
        <tr r="T26" s="2"/>
      </tp>
      <tp>
        <v>1</v>
        <stp/>
        <stp>VOLUME</stp>
        <stp>.SPY251031C561</stp>
        <tr r="T26" s="2"/>
        <tr r="T26" s="2"/>
      </tp>
      <tp>
        <v>61</v>
        <stp/>
        <stp>VOLUME</stp>
        <stp>.SPY251031P560</stp>
        <tr r="T27" s="2"/>
        <tr r="T27" s="2"/>
      </tp>
      <tp>
        <v>30</v>
        <stp/>
        <stp>VOLUME</stp>
        <stp>.SPY251031C560</stp>
        <tr r="T27" s="2"/>
        <tr r="T27" s="2"/>
      </tp>
      <tp t="s">
        <v>N/A</v>
        <stp/>
        <stp>VOLUME</stp>
        <stp>.SPY251017P549</stp>
        <tr r="S38" s="2"/>
      </tp>
      <tp t="s">
        <v>N/A</v>
        <stp/>
        <stp>VOLUME</stp>
        <stp>.SPY251017C549</stp>
        <tr r="S38" s="2"/>
      </tp>
      <tp t="s">
        <v>N/A</v>
        <stp/>
        <stp>VOLUME</stp>
        <stp>.SPY251017P548</stp>
        <tr r="S39" s="2"/>
      </tp>
      <tp t="s">
        <v>N/A</v>
        <stp/>
        <stp>VOLUME</stp>
        <stp>.SPY251017C548</stp>
        <tr r="S39" s="2"/>
      </tp>
      <tp t="s">
        <v>N/A</v>
        <stp/>
        <stp>VOLUME</stp>
        <stp>.QQQ250930P468</stp>
        <tr r="R80" s="2"/>
      </tp>
      <tp t="s">
        <v>N/A</v>
        <stp/>
        <stp>VOLUME</stp>
        <stp>.QQQ250930C468</stp>
        <tr r="R80" s="2"/>
      </tp>
      <tp t="s">
        <v>N/A</v>
        <stp/>
        <stp>VOLUME</stp>
        <stp>.QQQ250930P469</stp>
        <tr r="R79" s="2"/>
      </tp>
      <tp t="s">
        <v>N/A</v>
        <stp/>
        <stp>VOLUME</stp>
        <stp>.QQQ250930C469</stp>
        <tr r="R79" s="2"/>
      </tp>
      <tp>
        <v>12</v>
        <stp/>
        <stp>VOLUME</stp>
        <stp>.SPY251031P569</stp>
        <tr r="T18" s="2"/>
        <tr r="T18" s="2"/>
      </tp>
      <tp>
        <v>3</v>
        <stp/>
        <stp>VOLUME</stp>
        <stp>.SPY251031C569</stp>
        <tr r="T18" s="2"/>
        <tr r="T18" s="2"/>
      </tp>
      <tp>
        <v>13</v>
        <stp/>
        <stp>VOLUME</stp>
        <stp>.SPY251031P568</stp>
        <tr r="T19" s="2"/>
        <tr r="T19" s="2"/>
      </tp>
      <tp>
        <v>1</v>
        <stp/>
        <stp>VOLUME</stp>
        <stp>.SPY251031C568</stp>
        <tr r="T19" s="2"/>
        <tr r="T19" s="2"/>
      </tp>
      <tp>
        <v>27</v>
        <stp/>
        <stp>VOLUME</stp>
        <stp>.QQQ250930P474</stp>
        <tr r="R74" s="2"/>
        <tr r="R74" s="2"/>
      </tp>
      <tp t="s">
        <v>N/A</v>
        <stp/>
        <stp>VOLUME</stp>
        <stp>.SPY251017P551</stp>
        <tr r="S36" s="2"/>
      </tp>
      <tp t="s">
        <v>N/A</v>
        <stp/>
        <stp>VOLUME</stp>
        <stp>.SPY251031P577</stp>
        <tr r="T10" s="2"/>
      </tp>
      <tp>
        <v>2</v>
        <stp/>
        <stp>VOLUME</stp>
        <stp>.QQQ250930C474</stp>
        <tr r="R74" s="2"/>
        <tr r="R74" s="2"/>
      </tp>
      <tp t="s">
        <v>N/A</v>
        <stp/>
        <stp>VOLUME</stp>
        <stp>.SPY251017C551</stp>
        <tr r="S36" s="2"/>
      </tp>
      <tp t="s">
        <v>N/A</v>
        <stp/>
        <stp>VOLUME</stp>
        <stp>.SPY251031C577</stp>
        <tr r="T10" s="2"/>
      </tp>
      <tp>
        <v>36</v>
        <stp/>
        <stp>VOLUME</stp>
        <stp>.QQQ250930P475</stp>
        <tr r="R73" s="2"/>
        <tr r="R73" s="2"/>
      </tp>
      <tp t="s">
        <v>N/A</v>
        <stp/>
        <stp>VOLUME</stp>
        <stp>.SPY251017P550</stp>
        <tr r="S37" s="2"/>
      </tp>
      <tp t="s">
        <v>N/A</v>
        <stp/>
        <stp>VOLUME</stp>
        <stp>.SPY251031P576</stp>
        <tr r="T11" s="2"/>
      </tp>
      <tp>
        <v>11</v>
        <stp/>
        <stp>VOLUME</stp>
        <stp>.QQQ250930C475</stp>
        <tr r="R73" s="2"/>
        <tr r="R73" s="2"/>
      </tp>
      <tp t="s">
        <v>N/A</v>
        <stp/>
        <stp>VOLUME</stp>
        <stp>.SPY251017C550</stp>
        <tr r="S37" s="2"/>
      </tp>
      <tp t="s">
        <v>N/A</v>
        <stp/>
        <stp>VOLUME</stp>
        <stp>.SPY251031C576</stp>
        <tr r="T11" s="2"/>
      </tp>
      <tp>
        <v>42</v>
        <stp/>
        <stp>VOLUME</stp>
        <stp>.QQQ250930P476</stp>
        <tr r="R72" s="2"/>
        <tr r="R72" s="2"/>
      </tp>
      <tp t="s">
        <v>N/A</v>
        <stp/>
        <stp>VOLUME</stp>
        <stp>.SPY251017P553</stp>
        <tr r="S34" s="2"/>
      </tp>
      <tp>
        <v>10</v>
        <stp/>
        <stp>VOLUME</stp>
        <stp>.SPY251031P575</stp>
        <tr r="T12" s="2"/>
        <tr r="T12" s="2"/>
      </tp>
      <tp t="s">
        <v>N/A</v>
        <stp/>
        <stp>VOLUME</stp>
        <stp>.QQQ250930C476</stp>
        <tr r="R72" s="2"/>
      </tp>
      <tp t="s">
        <v>N/A</v>
        <stp/>
        <stp>VOLUME</stp>
        <stp>.SPY251017C553</stp>
        <tr r="S34" s="2"/>
      </tp>
      <tp>
        <v>9</v>
        <stp/>
        <stp>VOLUME</stp>
        <stp>.SPY251031C575</stp>
        <tr r="T12" s="2"/>
        <tr r="T12" s="2"/>
      </tp>
      <tp>
        <v>1</v>
        <stp/>
        <stp>VOLUME</stp>
        <stp>.QQQ250930P477</stp>
        <tr r="R71" s="2"/>
        <tr r="R71" s="2"/>
      </tp>
      <tp t="s">
        <v>N/A</v>
        <stp/>
        <stp>VOLUME</stp>
        <stp>.SPY251017P552</stp>
        <tr r="S35" s="2"/>
      </tp>
      <tp t="s">
        <v>N/A</v>
        <stp/>
        <stp>VOLUME</stp>
        <stp>.SPY251031P574</stp>
        <tr r="T13" s="2"/>
      </tp>
      <tp>
        <v>1</v>
        <stp/>
        <stp>VOLUME</stp>
        <stp>.QQQ250930C477</stp>
        <tr r="R71" s="2"/>
        <tr r="R71" s="2"/>
      </tp>
      <tp t="s">
        <v>N/A</v>
        <stp/>
        <stp>VOLUME</stp>
        <stp>.SPY251017C552</stp>
        <tr r="S35" s="2"/>
      </tp>
      <tp t="s">
        <v>N/A</v>
        <stp/>
        <stp>VOLUME</stp>
        <stp>.SPY251031C574</stp>
        <tr r="T13" s="2"/>
      </tp>
      <tp>
        <v>16</v>
        <stp/>
        <stp>VOLUME</stp>
        <stp>.QQQ250930P470</stp>
        <tr r="R78" s="2"/>
        <tr r="R78" s="2"/>
      </tp>
      <tp t="s">
        <v>N/A</v>
        <stp/>
        <stp>VOLUME</stp>
        <stp>.SPY251017P555</stp>
        <tr r="S32" s="2"/>
      </tp>
      <tp t="s">
        <v>N/A</v>
        <stp/>
        <stp>VOLUME</stp>
        <stp>.SPY251031P573</stp>
        <tr r="T14" s="2"/>
      </tp>
      <tp>
        <v>1</v>
        <stp/>
        <stp>VOLUME</stp>
        <stp>.QQQ250930C470</stp>
        <tr r="R78" s="2"/>
        <tr r="R78" s="2"/>
      </tp>
      <tp t="s">
        <v>N/A</v>
        <stp/>
        <stp>VOLUME</stp>
        <stp>.SPY251017C555</stp>
        <tr r="S32" s="2"/>
      </tp>
      <tp t="s">
        <v>N/A</v>
        <stp/>
        <stp>VOLUME</stp>
        <stp>.SPY251031C573</stp>
        <tr r="T14" s="2"/>
      </tp>
      <tp t="s">
        <v>N/A</v>
        <stp/>
        <stp>VOLUME</stp>
        <stp>.QQQ250930P471</stp>
        <tr r="R77" s="2"/>
      </tp>
      <tp t="s">
        <v>N/A</v>
        <stp/>
        <stp>VOLUME</stp>
        <stp>.SPY251017P554</stp>
        <tr r="S33" s="2"/>
      </tp>
      <tp>
        <v>12</v>
        <stp/>
        <stp>VOLUME</stp>
        <stp>.SPY251031P572</stp>
        <tr r="T15" s="2"/>
        <tr r="T15" s="2"/>
      </tp>
      <tp>
        <v>4</v>
        <stp/>
        <stp>VOLUME</stp>
        <stp>.QQQ250930C471</stp>
        <tr r="R77" s="2"/>
        <tr r="R77" s="2"/>
      </tp>
      <tp t="s">
        <v>N/A</v>
        <stp/>
        <stp>VOLUME</stp>
        <stp>.SPY251017C554</stp>
        <tr r="S33" s="2"/>
      </tp>
      <tp t="s">
        <v>N/A</v>
        <stp/>
        <stp>VOLUME</stp>
        <stp>.SPY251031C572</stp>
        <tr r="T15" s="2"/>
      </tp>
      <tp t="s">
        <v>N/A</v>
        <stp/>
        <stp>VOLUME</stp>
        <stp>.QQQ250930P472</stp>
        <tr r="R76" s="2"/>
      </tp>
      <tp t="s">
        <v>N/A</v>
        <stp/>
        <stp>VOLUME</stp>
        <stp>.SPY251017P557</stp>
        <tr r="S30" s="2"/>
      </tp>
      <tp>
        <v>1</v>
        <stp/>
        <stp>VOLUME</stp>
        <stp>.SPY251031P571</stp>
        <tr r="T16" s="2"/>
        <tr r="T16" s="2"/>
      </tp>
      <tp t="s">
        <v>N/A</v>
        <stp/>
        <stp>VOLUME</stp>
        <stp>.QQQ250930C472</stp>
        <tr r="R76" s="2"/>
      </tp>
      <tp t="s">
        <v>N/A</v>
        <stp/>
        <stp>VOLUME</stp>
        <stp>.SPY251017C557</stp>
        <tr r="S30" s="2"/>
      </tp>
      <tp t="s">
        <v>N/A</v>
        <stp/>
        <stp>VOLUME</stp>
        <stp>.SPY251031C571</stp>
        <tr r="T16" s="2"/>
      </tp>
      <tp t="s">
        <v>N/A</v>
        <stp/>
        <stp>VOLUME</stp>
        <stp>.QQQ250930P473</stp>
        <tr r="R75" s="2"/>
      </tp>
      <tp t="s">
        <v>N/A</v>
        <stp/>
        <stp>VOLUME</stp>
        <stp>.SPY251017P556</stp>
        <tr r="S31" s="2"/>
      </tp>
      <tp>
        <v>47</v>
        <stp/>
        <stp>VOLUME</stp>
        <stp>.SPY251031P570</stp>
        <tr r="T17" s="2"/>
        <tr r="T17" s="2"/>
      </tp>
      <tp t="s">
        <v>N/A</v>
        <stp/>
        <stp>VOLUME</stp>
        <stp>.QQQ250930C473</stp>
        <tr r="R75" s="2"/>
      </tp>
      <tp t="s">
        <v>N/A</v>
        <stp/>
        <stp>VOLUME</stp>
        <stp>.SPY251017C556</stp>
        <tr r="S31" s="2"/>
      </tp>
      <tp>
        <v>14</v>
        <stp/>
        <stp>VOLUME</stp>
        <stp>.SPY251031C570</stp>
        <tr r="T17" s="2"/>
        <tr r="T17" s="2"/>
      </tp>
      <tp t="s">
        <v>N/A</v>
        <stp/>
        <stp>VOLUME</stp>
        <stp>.SPY251017P559</stp>
        <tr r="S28" s="2"/>
      </tp>
      <tp t="s">
        <v>N/A</v>
        <stp/>
        <stp>VOLUME</stp>
        <stp>.SPY251017C559</stp>
        <tr r="S28" s="2"/>
      </tp>
      <tp t="s">
        <v>N/A</v>
        <stp/>
        <stp>VOLUME</stp>
        <stp>.SPY251017P558</stp>
        <tr r="S29" s="2"/>
      </tp>
      <tp t="s">
        <v>N/A</v>
        <stp/>
        <stp>VOLUME</stp>
        <stp>.SPY251017C558</stp>
        <tr r="S29" s="2"/>
      </tp>
      <tp>
        <v>14</v>
        <stp/>
        <stp>VOLUME</stp>
        <stp>.QQQ250930P478</stp>
        <tr r="R70" s="2"/>
        <tr r="R70" s="2"/>
      </tp>
      <tp t="s">
        <v>N/A</v>
        <stp/>
        <stp>VOLUME</stp>
        <stp>.QQQ250930C478</stp>
        <tr r="R70" s="2"/>
      </tp>
      <tp>
        <v>1</v>
        <stp/>
        <stp>VOLUME</stp>
        <stp>.QQQ250930P479</stp>
        <tr r="R69" s="2"/>
        <tr r="R69" s="2"/>
      </tp>
      <tp t="s">
        <v>N/A</v>
        <stp/>
        <stp>VOLUME</stp>
        <stp>.QQQ250930C479</stp>
        <tr r="R69" s="2"/>
      </tp>
      <tp t="s">
        <v>N/A</v>
        <stp/>
        <stp>VOLUME</stp>
        <stp>.SPY251031P579</stp>
        <tr r="T8" s="2"/>
      </tp>
      <tp t="s">
        <v>N/A</v>
        <stp/>
        <stp>VOLUME</stp>
        <stp>.SPY251031C579</stp>
        <tr r="T8" s="2"/>
      </tp>
      <tp t="s">
        <v>N/A</v>
        <stp/>
        <stp>VOLUME</stp>
        <stp>.SPY251031P578</stp>
        <tr r="T9" s="2"/>
      </tp>
      <tp t="s">
        <v>N/A</v>
        <stp/>
        <stp>VOLUME</stp>
        <stp>.SPY251031C578</stp>
        <tr r="T9" s="2"/>
      </tp>
      <tp t="s">
        <v>N/A</v>
        <stp/>
        <stp>VOLUME</stp>
        <stp>.SPY251017P561</stp>
        <tr r="S26" s="2"/>
      </tp>
      <tp t="s">
        <v>N/A</v>
        <stp/>
        <stp>VOLUME</stp>
        <stp>.SPY251017C561</stp>
        <tr r="S26" s="2"/>
      </tp>
      <tp t="s">
        <v>N/A</v>
        <stp/>
        <stp>VOLUME</stp>
        <stp>.SPY251017P560</stp>
        <tr r="S27" s="2"/>
      </tp>
      <tp t="s">
        <v>N/A</v>
        <stp/>
        <stp>VOLUME</stp>
        <stp>.SPY251017C560</stp>
        <tr r="S27" s="2"/>
      </tp>
      <tp t="s">
        <v>N/A</v>
        <stp/>
        <stp>VOLUME</stp>
        <stp>.SPY251017P563</stp>
        <tr r="S24" s="2"/>
      </tp>
      <tp t="s">
        <v>N/A</v>
        <stp/>
        <stp>VOLUME</stp>
        <stp>.SPY251017C563</stp>
        <tr r="S24" s="2"/>
      </tp>
      <tp t="s">
        <v>N/A</v>
        <stp/>
        <stp>VOLUME</stp>
        <stp>.SPY251017P562</stp>
        <tr r="S25" s="2"/>
      </tp>
      <tp t="s">
        <v>N/A</v>
        <stp/>
        <stp>VOLUME</stp>
        <stp>.SPY251017C562</stp>
        <tr r="S25" s="2"/>
      </tp>
      <tp t="s">
        <v>N/A</v>
        <stp/>
        <stp>VOLUME</stp>
        <stp>.QQQ250919P469</stp>
        <tr r="Q79" s="2"/>
      </tp>
      <tp t="s">
        <v>N/A</v>
        <stp/>
        <stp>VOLUME</stp>
        <stp>.SPY251017P565</stp>
        <tr r="S22" s="2"/>
      </tp>
      <tp t="s">
        <v>N/A</v>
        <stp/>
        <stp>VOLUME</stp>
        <stp>.QQQ250919C469</stp>
        <tr r="Q79" s="2"/>
      </tp>
      <tp t="s">
        <v>N/A</v>
        <stp/>
        <stp>VOLUME</stp>
        <stp>.SPY251017C565</stp>
        <tr r="S22" s="2"/>
      </tp>
      <tp t="s">
        <v>N/A</v>
        <stp/>
        <stp>VOLUME</stp>
        <stp>.QQQ250919P468</stp>
        <tr r="Q80" s="2"/>
      </tp>
      <tp t="s">
        <v>N/A</v>
        <stp/>
        <stp>VOLUME</stp>
        <stp>.SPY251017P564</stp>
        <tr r="S23" s="2"/>
      </tp>
      <tp t="s">
        <v>N/A</v>
        <stp/>
        <stp>VOLUME</stp>
        <stp>.QQQ250919C468</stp>
        <tr r="Q80" s="2"/>
      </tp>
      <tp t="s">
        <v>N/A</v>
        <stp/>
        <stp>VOLUME</stp>
        <stp>.SPY251017C564</stp>
        <tr r="S23" s="2"/>
      </tp>
      <tp t="s">
        <v>N/A</v>
        <stp/>
        <stp>VOLUME</stp>
        <stp>.SPY251017P567</stp>
        <tr r="S20" s="2"/>
      </tp>
      <tp t="s">
        <v>N/A</v>
        <stp/>
        <stp>VOLUME</stp>
        <stp>.SPY251017C567</stp>
        <tr r="S20" s="2"/>
      </tp>
      <tp t="s">
        <v>N/A</v>
        <stp/>
        <stp>VOLUME</stp>
        <stp>.SPY251017P566</stp>
        <tr r="S21" s="2"/>
      </tp>
      <tp t="s">
        <v>N/A</v>
        <stp/>
        <stp>VOLUME</stp>
        <stp>.SPY251017C566</stp>
        <tr r="S21" s="2"/>
      </tp>
      <tp t="s">
        <v>N/A</v>
        <stp/>
        <stp>VOLUME</stp>
        <stp>.SPY251017P569</stp>
        <tr r="S18" s="2"/>
      </tp>
      <tp t="s">
        <v>N/A</v>
        <stp/>
        <stp>VOLUME</stp>
        <stp>.SPY251017C569</stp>
        <tr r="S18" s="2"/>
      </tp>
      <tp t="s">
        <v>N/A</v>
        <stp/>
        <stp>VOLUME</stp>
        <stp>.SPY251017P568</stp>
        <tr r="S19" s="2"/>
      </tp>
      <tp t="s">
        <v>N/A</v>
        <stp/>
        <stp>VOLUME</stp>
        <stp>.SPY251017C568</stp>
        <tr r="S19" s="2"/>
      </tp>
      <tp>
        <v>3</v>
        <stp/>
        <stp>VOLUME</stp>
        <stp>.SPY251031P549</stp>
        <tr r="T38" s="2"/>
        <tr r="T38" s="2"/>
      </tp>
      <tp t="s">
        <v>N/A</v>
        <stp/>
        <stp>VOLUME</stp>
        <stp>.SPY251031C549</stp>
        <tr r="T38" s="2"/>
      </tp>
      <tp t="s">
        <v>N/A</v>
        <stp/>
        <stp>VOLUME</stp>
        <stp>.SPY251031P548</stp>
        <tr r="T39" s="2"/>
      </tp>
      <tp t="s">
        <v>N/A</v>
        <stp/>
        <stp>VOLUME</stp>
        <stp>.SPY251031C548</stp>
        <tr r="T39" s="2"/>
      </tp>
      <tp t="s">
        <v>N/A</v>
        <stp/>
        <stp>VOLUME</stp>
        <stp>.SPY251017P571</stp>
        <tr r="S16" s="2"/>
      </tp>
      <tp>
        <v>5</v>
        <stp/>
        <stp>VOLUME</stp>
        <stp>.SPY251031P557</stp>
        <tr r="T30" s="2"/>
        <tr r="T30" s="2"/>
      </tp>
      <tp t="s">
        <v>N/A</v>
        <stp/>
        <stp>VOLUME</stp>
        <stp>.SPY251017C571</stp>
        <tr r="S16" s="2"/>
      </tp>
      <tp t="s">
        <v>N/A</v>
        <stp/>
        <stp>VOLUME</stp>
        <stp>.SPY251031C557</stp>
        <tr r="T30" s="2"/>
      </tp>
      <tp t="s">
        <v>N/A</v>
        <stp/>
        <stp>VOLUME</stp>
        <stp>.SPY251017P570</stp>
        <tr r="S17" s="2"/>
      </tp>
      <tp>
        <v>7</v>
        <stp/>
        <stp>VOLUME</stp>
        <stp>.SPY251031P556</stp>
        <tr r="T31" s="2"/>
        <tr r="T31" s="2"/>
      </tp>
      <tp t="s">
        <v>N/A</v>
        <stp/>
        <stp>VOLUME</stp>
        <stp>.SPY251017C570</stp>
        <tr r="S17" s="2"/>
      </tp>
      <tp t="s">
        <v>N/A</v>
        <stp/>
        <stp>VOLUME</stp>
        <stp>.SPY251031C556</stp>
        <tr r="T31" s="2"/>
      </tp>
      <tp t="s">
        <v>N/A</v>
        <stp/>
        <stp>VOLUME</stp>
        <stp>.SPY251017P573</stp>
        <tr r="S14" s="2"/>
      </tp>
      <tp>
        <v>84</v>
        <stp/>
        <stp>VOLUME</stp>
        <stp>.SPY251031P555</stp>
        <tr r="T32" s="2"/>
        <tr r="T32" s="2"/>
      </tp>
      <tp t="s">
        <v>N/A</v>
        <stp/>
        <stp>VOLUME</stp>
        <stp>.SPY251017C573</stp>
        <tr r="S14" s="2"/>
      </tp>
      <tp>
        <v>2</v>
        <stp/>
        <stp>VOLUME</stp>
        <stp>.SPY251031C555</stp>
        <tr r="T32" s="2"/>
        <tr r="T32" s="2"/>
      </tp>
      <tp t="s">
        <v>N/A</v>
        <stp/>
        <stp>VOLUME</stp>
        <stp>.SPY251017P572</stp>
        <tr r="S15" s="2"/>
      </tp>
      <tp>
        <v>6</v>
        <stp/>
        <stp>VOLUME</stp>
        <stp>.SPY251031P554</stp>
        <tr r="T33" s="2"/>
        <tr r="T33" s="2"/>
      </tp>
      <tp t="s">
        <v>N/A</v>
        <stp/>
        <stp>VOLUME</stp>
        <stp>.SPY251017C572</stp>
        <tr r="S15" s="2"/>
      </tp>
      <tp t="s">
        <v>N/A</v>
        <stp/>
        <stp>VOLUME</stp>
        <stp>.SPY251031C554</stp>
        <tr r="T33" s="2"/>
      </tp>
      <tp t="s">
        <v>N/A</v>
        <stp/>
        <stp>VOLUME</stp>
        <stp>.QQQ250919P479</stp>
        <tr r="Q69" s="2"/>
      </tp>
      <tp t="s">
        <v>N/A</v>
        <stp/>
        <stp>VOLUME</stp>
        <stp>.SPY251017P575</stp>
        <tr r="S12" s="2"/>
      </tp>
      <tp>
        <v>3</v>
        <stp/>
        <stp>VOLUME</stp>
        <stp>.SPY251031P553</stp>
        <tr r="T34" s="2"/>
        <tr r="T34" s="2"/>
      </tp>
      <tp t="s">
        <v>N/A</v>
        <stp/>
        <stp>VOLUME</stp>
        <stp>.QQQ250919C479</stp>
        <tr r="Q69" s="2"/>
      </tp>
      <tp t="s">
        <v>N/A</v>
        <stp/>
        <stp>VOLUME</stp>
        <stp>.SPY251017C575</stp>
        <tr r="S12" s="2"/>
      </tp>
      <tp t="s">
        <v>N/A</v>
        <stp/>
        <stp>VOLUME</stp>
        <stp>.SPY251031C553</stp>
        <tr r="T34" s="2"/>
      </tp>
      <tp t="s">
        <v>N/A</v>
        <stp/>
        <stp>VOLUME</stp>
        <stp>.QQQ250919P478</stp>
        <tr r="Q70" s="2"/>
      </tp>
      <tp t="s">
        <v>N/A</v>
        <stp/>
        <stp>VOLUME</stp>
        <stp>.SPY251017P574</stp>
        <tr r="S13" s="2"/>
      </tp>
      <tp>
        <v>2</v>
        <stp/>
        <stp>VOLUME</stp>
        <stp>.SPY251031P552</stp>
        <tr r="T35" s="2"/>
        <tr r="T35" s="2"/>
      </tp>
      <tp t="s">
        <v>N/A</v>
        <stp/>
        <stp>VOLUME</stp>
        <stp>.QQQ250919C478</stp>
        <tr r="Q70" s="2"/>
      </tp>
      <tp t="s">
        <v>N/A</v>
        <stp/>
        <stp>VOLUME</stp>
        <stp>.SPY251017C574</stp>
        <tr r="S13" s="2"/>
      </tp>
      <tp t="s">
        <v>N/A</v>
        <stp/>
        <stp>VOLUME</stp>
        <stp>.SPY251031C552</stp>
        <tr r="T35" s="2"/>
      </tp>
      <tp t="s">
        <v>N/A</v>
        <stp/>
        <stp>VOLUME</stp>
        <stp>.SPY251017P577</stp>
        <tr r="S10" s="2"/>
      </tp>
      <tp>
        <v>4</v>
        <stp/>
        <stp>VOLUME</stp>
        <stp>.SPY251031P551</stp>
        <tr r="T36" s="2"/>
        <tr r="T36" s="2"/>
      </tp>
      <tp t="s">
        <v>N/A</v>
        <stp/>
        <stp>VOLUME</stp>
        <stp>.SPY251017C577</stp>
        <tr r="S10" s="2"/>
      </tp>
      <tp t="s">
        <v>N/A</v>
        <stp/>
        <stp>VOLUME</stp>
        <stp>.SPY251031C551</stp>
        <tr r="T36" s="2"/>
      </tp>
      <tp t="s">
        <v>N/A</v>
        <stp/>
        <stp>VOLUME</stp>
        <stp>.SPY251017P576</stp>
        <tr r="S11" s="2"/>
      </tp>
      <tp>
        <v>96</v>
        <stp/>
        <stp>VOLUME</stp>
        <stp>.SPY251031P550</stp>
        <tr r="T37" s="2"/>
        <tr r="T37" s="2"/>
      </tp>
      <tp t="s">
        <v>N/A</v>
        <stp/>
        <stp>VOLUME</stp>
        <stp>.SPY251017C576</stp>
        <tr r="S11" s="2"/>
      </tp>
      <tp>
        <v>5</v>
        <stp/>
        <stp>VOLUME</stp>
        <stp>.SPY251031C550</stp>
        <tr r="T37" s="2"/>
        <tr r="T37" s="2"/>
      </tp>
      <tp>
        <v>94</v>
        <stp/>
        <stp>VOLUME</stp>
        <stp>.QQQ250919P475</stp>
        <tr r="Q73" s="2"/>
        <tr r="Q73" s="2"/>
      </tp>
      <tp t="s">
        <v>N/A</v>
        <stp/>
        <stp>VOLUME</stp>
        <stp>.SPY251017P579</stp>
        <tr r="S8" s="2"/>
      </tp>
      <tp>
        <v>20</v>
        <stp/>
        <stp>VOLUME</stp>
        <stp>.QQQ250919C475</stp>
        <tr r="Q73" s="2"/>
        <tr r="Q73" s="2"/>
      </tp>
      <tp t="s">
        <v>N/A</v>
        <stp/>
        <stp>VOLUME</stp>
        <stp>.SPY251017C579</stp>
        <tr r="S8" s="2"/>
      </tp>
      <tp t="s">
        <v>N/A</v>
        <stp/>
        <stp>VOLUME</stp>
        <stp>.QQQ250919P474</stp>
        <tr r="Q74" s="2"/>
      </tp>
      <tp t="s">
        <v>N/A</v>
        <stp/>
        <stp>VOLUME</stp>
        <stp>.SPY251017P578</stp>
        <tr r="S9" s="2"/>
      </tp>
      <tp t="s">
        <v>N/A</v>
        <stp/>
        <stp>VOLUME</stp>
        <stp>.QQQ250919C474</stp>
        <tr r="Q74" s="2"/>
      </tp>
      <tp t="s">
        <v>N/A</v>
        <stp/>
        <stp>VOLUME</stp>
        <stp>.SPY251017C578</stp>
        <tr r="S9" s="2"/>
      </tp>
      <tp t="s">
        <v>N/A</v>
        <stp/>
        <stp>VOLUME</stp>
        <stp>.QQQ250919P477</stp>
        <tr r="Q71" s="2"/>
      </tp>
      <tp t="s">
        <v>N/A</v>
        <stp/>
        <stp>VOLUME</stp>
        <stp>.QQQ250919C477</stp>
        <tr r="Q71" s="2"/>
      </tp>
      <tp t="s">
        <v>N/A</v>
        <stp/>
        <stp>VOLUME</stp>
        <stp>.QQQ250919P476</stp>
        <tr r="Q72" s="2"/>
      </tp>
      <tp t="s">
        <v>N/A</v>
        <stp/>
        <stp>VOLUME</stp>
        <stp>.QQQ250919C476</stp>
        <tr r="Q72" s="2"/>
      </tp>
      <tp t="s">
        <v>N/A</v>
        <stp/>
        <stp>VOLUME</stp>
        <stp>.QQQ250919P471</stp>
        <tr r="Q77" s="2"/>
      </tp>
      <tp t="s">
        <v>N/A</v>
        <stp/>
        <stp>VOLUME</stp>
        <stp>.QQQ250919C471</stp>
        <tr r="Q77" s="2"/>
      </tp>
      <tp>
        <v>510</v>
        <stp/>
        <stp>VOLUME</stp>
        <stp>.QQQ250919P470</stp>
        <tr r="Q78" s="2"/>
        <tr r="Q78" s="2"/>
      </tp>
      <tp>
        <v>32</v>
        <stp/>
        <stp>VOLUME</stp>
        <stp>.QQQ250919C470</stp>
        <tr r="Q78" s="2"/>
        <tr r="Q78" s="2"/>
      </tp>
      <tp t="s">
        <v>N/A</v>
        <stp/>
        <stp>VOLUME</stp>
        <stp>.QQQ250919P473</stp>
        <tr r="Q75" s="2"/>
      </tp>
      <tp>
        <v>2</v>
        <stp/>
        <stp>VOLUME</stp>
        <stp>.SPY251031P559</stp>
        <tr r="T28" s="2"/>
        <tr r="T28" s="2"/>
      </tp>
      <tp t="s">
        <v>N/A</v>
        <stp/>
        <stp>VOLUME</stp>
        <stp>.QQQ250919C473</stp>
        <tr r="Q75" s="2"/>
      </tp>
      <tp>
        <v>1</v>
        <stp/>
        <stp>VOLUME</stp>
        <stp>.SPY251031C559</stp>
        <tr r="T28" s="2"/>
        <tr r="T28" s="2"/>
      </tp>
      <tp t="s">
        <v>N/A</v>
        <stp/>
        <stp>VOLUME</stp>
        <stp>.QQQ250919P472</stp>
        <tr r="Q76" s="2"/>
      </tp>
      <tp>
        <v>12</v>
        <stp/>
        <stp>VOLUME</stp>
        <stp>.SPY251031P558</stp>
        <tr r="T29" s="2"/>
        <tr r="T29" s="2"/>
      </tp>
      <tp t="s">
        <v>N/A</v>
        <stp/>
        <stp>VOLUME</stp>
        <stp>.QQQ250919C472</stp>
        <tr r="Q76" s="2"/>
      </tp>
      <tp>
        <v>5</v>
        <stp/>
        <stp>VOLUME</stp>
        <stp>.SPY251031C558</stp>
        <tr r="T29" s="2"/>
        <tr r="T29" s="2"/>
      </tp>
      <tp>
        <v>0</v>
        <stp/>
        <stp>BID</stp>
        <stp>.SPXW250505C5790</stp>
        <tr r="DE93" s="1"/>
        <tr r="DE93" s="1"/>
      </tp>
      <tp>
        <v>136.5</v>
        <stp/>
        <stp>BID</stp>
        <stp>.SPXW250505P5790</stp>
        <tr r="DF93" s="1"/>
        <tr r="DF93" s="1"/>
      </tp>
      <tp>
        <v>0</v>
        <stp/>
        <stp>BID</stp>
        <stp>.SPXW250505C5780</stp>
        <tr r="DE94" s="1"/>
        <tr r="DE94" s="1"/>
      </tp>
      <tp>
        <v>126.5</v>
        <stp/>
        <stp>BID</stp>
        <stp>.SPXW250505P5780</stp>
        <tr r="DF94" s="1"/>
        <tr r="DF94" s="1"/>
      </tp>
      <tp>
        <v>0</v>
        <stp/>
        <stp>BID</stp>
        <stp>.SPXW250505C5750</stp>
        <tr r="DE97" s="1"/>
        <tr r="DE97" s="1"/>
      </tp>
      <tp>
        <v>96.5</v>
        <stp/>
        <stp>BID</stp>
        <stp>.SPXW250505P5750</stp>
        <tr r="DF97" s="1"/>
        <tr r="DF97" s="1"/>
      </tp>
      <tp>
        <v>0</v>
        <stp/>
        <stp>BID</stp>
        <stp>.SPXW250505C5740</stp>
        <tr r="DE98" s="1"/>
        <tr r="DE98" s="1"/>
      </tp>
      <tp>
        <v>86.5</v>
        <stp/>
        <stp>BID</stp>
        <stp>.SPXW250505P5740</stp>
        <tr r="DF98" s="1"/>
        <tr r="DF98" s="1"/>
      </tp>
      <tp>
        <v>0</v>
        <stp/>
        <stp>BID</stp>
        <stp>.SPXW250505C5770</stp>
        <tr r="DE95" s="1"/>
        <tr r="DE95" s="1"/>
      </tp>
      <tp>
        <v>116.5</v>
        <stp/>
        <stp>BID</stp>
        <stp>.SPXW250505P5770</stp>
        <tr r="DF95" s="1"/>
        <tr r="DF95" s="1"/>
      </tp>
      <tp>
        <v>0</v>
        <stp/>
        <stp>BID</stp>
        <stp>.SPXW250505C5760</stp>
        <tr r="DE96" s="1"/>
        <tr r="DE96" s="1"/>
      </tp>
      <tp>
        <v>106.5</v>
        <stp/>
        <stp>BID</stp>
        <stp>.SPXW250505P5760</stp>
        <tr r="DF96" s="1"/>
        <tr r="DF96" s="1"/>
      </tp>
      <tp>
        <v>0</v>
        <stp/>
        <stp>BID</stp>
        <stp>.SPXW250505C5710</stp>
        <tr r="DE101" s="1"/>
        <tr r="DE101" s="1"/>
      </tp>
      <tp>
        <v>57.5</v>
        <stp/>
        <stp>BID</stp>
        <stp>.SPXW250505P5710</stp>
        <tr r="DF101" s="1"/>
        <tr r="DF101" s="1"/>
      </tp>
      <tp>
        <v>0</v>
        <stp/>
        <stp>BID</stp>
        <stp>.SPXW250505C5700</stp>
        <tr r="DE102" s="1"/>
        <tr r="DE102" s="1"/>
      </tp>
      <tp>
        <v>46.5</v>
        <stp/>
        <stp>BID</stp>
        <stp>.SPXW250505P5700</stp>
        <tr r="DF102" s="1"/>
        <tr r="DF102" s="1"/>
      </tp>
      <tp>
        <v>0</v>
        <stp/>
        <stp>BID</stp>
        <stp>.SPXW250505C5730</stp>
        <tr r="DE99" s="1"/>
        <tr r="DE99" s="1"/>
      </tp>
      <tp>
        <v>76.5</v>
        <stp/>
        <stp>BID</stp>
        <stp>.SPXW250505P5730</stp>
        <tr r="DF99" s="1"/>
        <tr r="DF99" s="1"/>
      </tp>
      <tp>
        <v>0</v>
        <stp/>
        <stp>BID</stp>
        <stp>.SPXW250505C5720</stp>
        <tr r="DE100" s="1"/>
        <tr r="DE100" s="1"/>
      </tp>
      <tp>
        <v>66.5</v>
        <stp/>
        <stp>BID</stp>
        <stp>.SPXW250505P5720</stp>
        <tr r="DF100" s="1"/>
        <tr r="DF100" s="1"/>
      </tp>
      <tp>
        <v>52</v>
        <stp/>
        <stp>VOLUME</stp>
        <stp>.QQQ250606P492</stp>
        <tr r="J56" s="2"/>
        <tr r="J56" s="2"/>
      </tp>
      <tp>
        <v>170</v>
        <stp/>
        <stp>VOLUME</stp>
        <stp>.QQQ250606C492</stp>
        <tr r="J56" s="2"/>
        <tr r="J56" s="2"/>
      </tp>
      <tp>
        <v>13</v>
        <stp/>
        <stp>VOLUME</stp>
        <stp>.QQQ250606P493</stp>
        <tr r="J55" s="2"/>
        <tr r="J55" s="2"/>
      </tp>
      <tp>
        <v>52</v>
        <stp/>
        <stp>VOLUME</stp>
        <stp>.QQQ250606C493</stp>
        <tr r="J55" s="2"/>
        <tr r="J55" s="2"/>
      </tp>
      <tp>
        <v>380</v>
        <stp/>
        <stp>VOLUME</stp>
        <stp>.QQQ250606P490</stp>
        <tr r="J58" s="2"/>
        <tr r="J58" s="2"/>
      </tp>
      <tp>
        <v>230</v>
        <stp/>
        <stp>VOLUME</stp>
        <stp>.QQQ250606C490</stp>
        <tr r="J58" s="2"/>
        <tr r="J58" s="2"/>
      </tp>
      <tp>
        <v>26</v>
        <stp/>
        <stp>VOLUME</stp>
        <stp>.QQQ250606P491</stp>
        <tr r="J57" s="2"/>
        <tr r="J57" s="2"/>
      </tp>
      <tp>
        <v>124</v>
        <stp/>
        <stp>VOLUME</stp>
        <stp>.QQQ250606C491</stp>
        <tr r="J57" s="2"/>
        <tr r="J57" s="2"/>
      </tp>
      <tp>
        <v>1</v>
        <stp/>
        <stp>VOLUME</stp>
        <stp>.QQQ250606P496</stp>
        <tr r="J52" s="2"/>
        <tr r="J52" s="2"/>
      </tp>
      <tp>
        <v>29</v>
        <stp/>
        <stp>VOLUME</stp>
        <stp>.QQQ250606C496</stp>
        <tr r="J52" s="2"/>
        <tr r="J52" s="2"/>
      </tp>
      <tp t="s">
        <v>N/A</v>
        <stp/>
        <stp>VOLUME</stp>
        <stp>.QQQ250606P497</stp>
        <tr r="J51" s="2"/>
      </tp>
      <tp>
        <v>117</v>
        <stp/>
        <stp>VOLUME</stp>
        <stp>.QQQ250606C497</stp>
        <tr r="J51" s="2"/>
        <tr r="J51" s="2"/>
      </tp>
      <tp>
        <v>24</v>
        <stp/>
        <stp>VOLUME</stp>
        <stp>.QQQ250606P494</stp>
        <tr r="J54" s="2"/>
        <tr r="J54" s="2"/>
      </tp>
      <tp>
        <v>21</v>
        <stp/>
        <stp>VOLUME</stp>
        <stp>.QQQ250606C494</stp>
        <tr r="J54" s="2"/>
        <tr r="J54" s="2"/>
      </tp>
      <tp>
        <v>4</v>
        <stp/>
        <stp>VOLUME</stp>
        <stp>.QQQ250606P495</stp>
        <tr r="J53" s="2"/>
        <tr r="J53" s="2"/>
      </tp>
      <tp>
        <v>118</v>
        <stp/>
        <stp>VOLUME</stp>
        <stp>.QQQ250606C495</stp>
        <tr r="J53" s="2"/>
        <tr r="J53" s="2"/>
      </tp>
      <tp>
        <v>6</v>
        <stp/>
        <stp>VOLUME</stp>
        <stp>.QQQ250606P498</stp>
        <tr r="J50" s="2"/>
        <tr r="J50" s="2"/>
      </tp>
      <tp>
        <v>3</v>
        <stp/>
        <stp>VOLUME</stp>
        <stp>.QQQ250606C498</stp>
        <tr r="J50" s="2"/>
        <tr r="J50" s="2"/>
      </tp>
      <tp>
        <v>3</v>
        <stp/>
        <stp>VOLUME</stp>
        <stp>.QQQ250606P499</stp>
        <tr r="J49" s="2"/>
        <tr r="J49" s="2"/>
      </tp>
      <tp>
        <v>4</v>
        <stp/>
        <stp>VOLUME</stp>
        <stp>.QQQ250606C499</stp>
        <tr r="J49" s="2"/>
        <tr r="J49" s="2"/>
      </tp>
      <tp>
        <v>107</v>
        <stp/>
        <stp>VOLUME</stp>
        <stp>.QQQ250606P482</stp>
        <tr r="J66" s="2"/>
        <tr r="J66" s="2"/>
      </tp>
      <tp>
        <v>8</v>
        <stp/>
        <stp>VOLUME</stp>
        <stp>.QQQ250606C482</stp>
        <tr r="J66" s="2"/>
        <tr r="J66" s="2"/>
      </tp>
      <tp>
        <v>9</v>
        <stp/>
        <stp>VOLUME</stp>
        <stp>.QQQ250606P483</stp>
        <tr r="J65" s="2"/>
        <tr r="J65" s="2"/>
      </tp>
      <tp>
        <v>6</v>
        <stp/>
        <stp>VOLUME</stp>
        <stp>.QQQ250606C483</stp>
        <tr r="J65" s="2"/>
        <tr r="J65" s="2"/>
      </tp>
      <tp>
        <v>386</v>
        <stp/>
        <stp>VOLUME</stp>
        <stp>.QQQ250606P480</stp>
        <tr r="J68" s="2"/>
        <tr r="J68" s="2"/>
      </tp>
      <tp>
        <v>17</v>
        <stp/>
        <stp>VOLUME</stp>
        <stp>.QQQ250606C480</stp>
        <tr r="J68" s="2"/>
        <tr r="J68" s="2"/>
      </tp>
      <tp>
        <v>16</v>
        <stp/>
        <stp>VOLUME</stp>
        <stp>.QQQ250606P481</stp>
        <tr r="J67" s="2"/>
        <tr r="J67" s="2"/>
      </tp>
      <tp>
        <v>8</v>
        <stp/>
        <stp>VOLUME</stp>
        <stp>.QQQ250606C481</stp>
        <tr r="J67" s="2"/>
        <tr r="J67" s="2"/>
      </tp>
      <tp>
        <v>34</v>
        <stp/>
        <stp>VOLUME</stp>
        <stp>.QQQ250606P486</stp>
        <tr r="J62" s="2"/>
        <tr r="J62" s="2"/>
      </tp>
      <tp>
        <v>6</v>
        <stp/>
        <stp>VOLUME</stp>
        <stp>.QQQ250606C486</stp>
        <tr r="J62" s="2"/>
        <tr r="J62" s="2"/>
      </tp>
      <tp>
        <v>177</v>
        <stp/>
        <stp>VOLUME</stp>
        <stp>.QQQ250606P487</stp>
        <tr r="J61" s="2"/>
        <tr r="J61" s="2"/>
      </tp>
      <tp>
        <v>58</v>
        <stp/>
        <stp>VOLUME</stp>
        <stp>.QQQ250606C487</stp>
        <tr r="J61" s="2"/>
        <tr r="J61" s="2"/>
      </tp>
      <tp>
        <v>4</v>
        <stp/>
        <stp>VOLUME</stp>
        <stp>.QQQ250606P484</stp>
        <tr r="J64" s="2"/>
        <tr r="J64" s="2"/>
      </tp>
      <tp>
        <v>2</v>
        <stp/>
        <stp>VOLUME</stp>
        <stp>.QQQ250606C484</stp>
        <tr r="J64" s="2"/>
        <tr r="J64" s="2"/>
      </tp>
      <tp>
        <v>96</v>
        <stp/>
        <stp>VOLUME</stp>
        <stp>.QQQ250606P485</stp>
        <tr r="J63" s="2"/>
        <tr r="J63" s="2"/>
      </tp>
      <tp>
        <v>36</v>
        <stp/>
        <stp>VOLUME</stp>
        <stp>.QQQ250606C485</stp>
        <tr r="J63" s="2"/>
        <tr r="J63" s="2"/>
      </tp>
      <tp>
        <v>115</v>
        <stp/>
        <stp>VOLUME</stp>
        <stp>.QQQ250606P488</stp>
        <tr r="J60" s="2"/>
        <tr r="J60" s="2"/>
      </tp>
      <tp>
        <v>54</v>
        <stp/>
        <stp>VOLUME</stp>
        <stp>.QQQ250606C488</stp>
        <tr r="J60" s="2"/>
        <tr r="J60" s="2"/>
      </tp>
      <tp>
        <v>66</v>
        <stp/>
        <stp>VOLUME</stp>
        <stp>.QQQ250606P489</stp>
        <tr r="J59" s="2"/>
        <tr r="J59" s="2"/>
      </tp>
      <tp>
        <v>24</v>
        <stp/>
        <stp>VOLUME</stp>
        <stp>.QQQ250606C489</stp>
        <tr r="J59" s="2"/>
        <tr r="J59" s="2"/>
      </tp>
      <tp t="s">
        <v>N/A</v>
        <stp/>
        <stp>VOLUME</stp>
        <stp>.QQQ250620P494</stp>
        <tr r="K54" s="2"/>
      </tp>
      <tp>
        <v>14</v>
        <stp/>
        <stp>VOLUME</stp>
        <stp>.QQQ250630P484</stp>
        <tr r="L64" s="2"/>
        <tr r="L64" s="2"/>
      </tp>
      <tp t="s">
        <v>N/A</v>
        <stp/>
        <stp>VOLUME</stp>
        <stp>.QQQ250620C494</stp>
        <tr r="K54" s="2"/>
      </tp>
      <tp>
        <v>14</v>
        <stp/>
        <stp>VOLUME</stp>
        <stp>.QQQ250630C484</stp>
        <tr r="L64" s="2"/>
        <tr r="L64" s="2"/>
      </tp>
      <tp>
        <v>459</v>
        <stp/>
        <stp>VOLUME</stp>
        <stp>.QQQ250620P495</stp>
        <tr r="K53" s="2"/>
        <tr r="K53" s="2"/>
      </tp>
      <tp>
        <v>24</v>
        <stp/>
        <stp>VOLUME</stp>
        <stp>.QQQ250630P485</stp>
        <tr r="L63" s="2"/>
        <tr r="L63" s="2"/>
      </tp>
      <tp>
        <v>4934</v>
        <stp/>
        <stp>VOLUME</stp>
        <stp>.QQQ250620C495</stp>
        <tr r="K53" s="2"/>
        <tr r="K53" s="2"/>
      </tp>
      <tp>
        <v>27</v>
        <stp/>
        <stp>VOLUME</stp>
        <stp>.QQQ250630C485</stp>
        <tr r="L63" s="2"/>
        <tr r="L63" s="2"/>
      </tp>
      <tp t="s">
        <v>N/A</v>
        <stp/>
        <stp>VOLUME</stp>
        <stp>.QQQ250620P496</stp>
        <tr r="K52" s="2"/>
      </tp>
      <tp>
        <v>59</v>
        <stp/>
        <stp>VOLUME</stp>
        <stp>.QQQ250630P486</stp>
        <tr r="L62" s="2"/>
        <tr r="L62" s="2"/>
      </tp>
      <tp t="s">
        <v>N/A</v>
        <stp/>
        <stp>VOLUME</stp>
        <stp>.QQQ250620C496</stp>
        <tr r="K52" s="2"/>
      </tp>
      <tp>
        <v>7</v>
        <stp/>
        <stp>VOLUME</stp>
        <stp>.QQQ250630C486</stp>
        <tr r="L62" s="2"/>
        <tr r="L62" s="2"/>
      </tp>
      <tp t="s">
        <v>N/A</v>
        <stp/>
        <stp>VOLUME</stp>
        <stp>.QQQ250620P497</stp>
        <tr r="K51" s="2"/>
      </tp>
      <tp>
        <v>37</v>
        <stp/>
        <stp>VOLUME</stp>
        <stp>.QQQ250630P487</stp>
        <tr r="L61" s="2"/>
        <tr r="L61" s="2"/>
      </tp>
      <tp t="s">
        <v>N/A</v>
        <stp/>
        <stp>VOLUME</stp>
        <stp>.QQQ250620C497</stp>
        <tr r="K51" s="2"/>
      </tp>
      <tp>
        <v>21</v>
        <stp/>
        <stp>VOLUME</stp>
        <stp>.QQQ250630C487</stp>
        <tr r="L61" s="2"/>
        <tr r="L61" s="2"/>
      </tp>
      <tp>
        <v>3753</v>
        <stp/>
        <stp>VOLUME</stp>
        <stp>.QQQ250620P490</stp>
        <tr r="K58" s="2"/>
        <tr r="K58" s="2"/>
      </tp>
      <tp>
        <v>210</v>
        <stp/>
        <stp>VOLUME</stp>
        <stp>.QQQ250630P480</stp>
        <tr r="L68" s="2"/>
        <tr r="L68" s="2"/>
      </tp>
      <tp>
        <v>4988</v>
        <stp/>
        <stp>VOLUME</stp>
        <stp>.QQQ250620C490</stp>
        <tr r="K58" s="2"/>
        <tr r="K58" s="2"/>
      </tp>
      <tp>
        <v>69</v>
        <stp/>
        <stp>VOLUME</stp>
        <stp>.QQQ250630C480</stp>
        <tr r="L68" s="2"/>
        <tr r="L68" s="2"/>
      </tp>
      <tp t="s">
        <v>N/A</v>
        <stp/>
        <stp>VOLUME</stp>
        <stp>.QQQ250620P491</stp>
        <tr r="K57" s="2"/>
      </tp>
      <tp>
        <v>18</v>
        <stp/>
        <stp>VOLUME</stp>
        <stp>.QQQ250630P481</stp>
        <tr r="L67" s="2"/>
        <tr r="L67" s="2"/>
      </tp>
      <tp t="s">
        <v>N/A</v>
        <stp/>
        <stp>VOLUME</stp>
        <stp>.QQQ250620C491</stp>
        <tr r="K57" s="2"/>
      </tp>
      <tp>
        <v>8</v>
        <stp/>
        <stp>VOLUME</stp>
        <stp>.QQQ250630C481</stp>
        <tr r="L67" s="2"/>
        <tr r="L67" s="2"/>
      </tp>
      <tp t="s">
        <v>N/A</v>
        <stp/>
        <stp>VOLUME</stp>
        <stp>.QQQ250620P492</stp>
        <tr r="K56" s="2"/>
      </tp>
      <tp>
        <v>8</v>
        <stp/>
        <stp>VOLUME</stp>
        <stp>.QQQ250630P482</stp>
        <tr r="L66" s="2"/>
        <tr r="L66" s="2"/>
      </tp>
      <tp t="s">
        <v>N/A</v>
        <stp/>
        <stp>VOLUME</stp>
        <stp>.QQQ250620C492</stp>
        <tr r="K56" s="2"/>
      </tp>
      <tp>
        <v>11</v>
        <stp/>
        <stp>VOLUME</stp>
        <stp>.QQQ250630C482</stp>
        <tr r="L66" s="2"/>
        <tr r="L66" s="2"/>
      </tp>
      <tp t="s">
        <v>N/A</v>
        <stp/>
        <stp>VOLUME</stp>
        <stp>.QQQ250620P493</stp>
        <tr r="K55" s="2"/>
      </tp>
      <tp>
        <v>4</v>
        <stp/>
        <stp>VOLUME</stp>
        <stp>.QQQ250630P483</stp>
        <tr r="L65" s="2"/>
        <tr r="L65" s="2"/>
      </tp>
      <tp t="s">
        <v>N/A</v>
        <stp/>
        <stp>VOLUME</stp>
        <stp>.QQQ250620C493</stp>
        <tr r="K55" s="2"/>
      </tp>
      <tp>
        <v>13</v>
        <stp/>
        <stp>VOLUME</stp>
        <stp>.QQQ250630C483</stp>
        <tr r="L65" s="2"/>
        <tr r="L65" s="2"/>
      </tp>
      <tp t="s">
        <v>N/A</v>
        <stp/>
        <stp>VOLUME</stp>
        <stp>.QQQ250620P498</stp>
        <tr r="K50" s="2"/>
      </tp>
      <tp>
        <v>26</v>
        <stp/>
        <stp>VOLUME</stp>
        <stp>.QQQ250630P488</stp>
        <tr r="L60" s="2"/>
        <tr r="L60" s="2"/>
      </tp>
      <tp t="s">
        <v>N/A</v>
        <stp/>
        <stp>VOLUME</stp>
        <stp>.QQQ250620C498</stp>
        <tr r="K50" s="2"/>
      </tp>
      <tp>
        <v>25</v>
        <stp/>
        <stp>VOLUME</stp>
        <stp>.QQQ250630C488</stp>
        <tr r="L60" s="2"/>
        <tr r="L60" s="2"/>
      </tp>
      <tp t="s">
        <v>N/A</v>
        <stp/>
        <stp>VOLUME</stp>
        <stp>.QQQ250620P499</stp>
        <tr r="K49" s="2"/>
      </tp>
      <tp>
        <v>39</v>
        <stp/>
        <stp>VOLUME</stp>
        <stp>.QQQ250630P489</stp>
        <tr r="L59" s="2"/>
        <tr r="L59" s="2"/>
      </tp>
      <tp t="s">
        <v>N/A</v>
        <stp/>
        <stp>VOLUME</stp>
        <stp>.QQQ250620C499</stp>
        <tr r="K49" s="2"/>
      </tp>
      <tp>
        <v>33</v>
        <stp/>
        <stp>VOLUME</stp>
        <stp>.QQQ250630C489</stp>
        <tr r="L59" s="2"/>
        <tr r="L59" s="2"/>
      </tp>
      <tp t="s">
        <v>N/A</v>
        <stp/>
        <stp>VOLUME</stp>
        <stp>.QQQ250620P484</stp>
        <tr r="K64" s="2"/>
      </tp>
      <tp>
        <v>4</v>
        <stp/>
        <stp>VOLUME</stp>
        <stp>.QQQ250630P494</stp>
        <tr r="L54" s="2"/>
        <tr r="L54" s="2"/>
      </tp>
      <tp t="s">
        <v>N/A</v>
        <stp/>
        <stp>VOLUME</stp>
        <stp>.QQQ250620C484</stp>
        <tr r="K64" s="2"/>
      </tp>
      <tp>
        <v>1</v>
        <stp/>
        <stp>VOLUME</stp>
        <stp>.QQQ250630C494</stp>
        <tr r="L54" s="2"/>
        <tr r="L54" s="2"/>
      </tp>
      <tp>
        <v>1988</v>
        <stp/>
        <stp>VOLUME</stp>
        <stp>.QQQ250620P485</stp>
        <tr r="K63" s="2"/>
        <tr r="K63" s="2"/>
      </tp>
      <tp>
        <v>8</v>
        <stp/>
        <stp>VOLUME</stp>
        <stp>.QQQ250630P495</stp>
        <tr r="L53" s="2"/>
        <tr r="L53" s="2"/>
      </tp>
      <tp>
        <v>693</v>
        <stp/>
        <stp>VOLUME</stp>
        <stp>.QQQ250620C485</stp>
        <tr r="K63" s="2"/>
        <tr r="K63" s="2"/>
      </tp>
      <tp>
        <v>25</v>
        <stp/>
        <stp>VOLUME</stp>
        <stp>.QQQ250630C495</stp>
        <tr r="L53" s="2"/>
        <tr r="L53" s="2"/>
      </tp>
      <tp t="s">
        <v>N/A</v>
        <stp/>
        <stp>VOLUME</stp>
        <stp>.QQQ250620P486</stp>
        <tr r="K62" s="2"/>
      </tp>
      <tp>
        <v>9</v>
        <stp/>
        <stp>VOLUME</stp>
        <stp>.QQQ250630P496</stp>
        <tr r="L52" s="2"/>
        <tr r="L52" s="2"/>
      </tp>
      <tp t="s">
        <v>N/A</v>
        <stp/>
        <stp>VOLUME</stp>
        <stp>.QQQ250620C486</stp>
        <tr r="K62" s="2"/>
      </tp>
      <tp>
        <v>1</v>
        <stp/>
        <stp>VOLUME</stp>
        <stp>.QQQ250630C496</stp>
        <tr r="L52" s="2"/>
        <tr r="L52" s="2"/>
      </tp>
      <tp t="s">
        <v>N/A</v>
        <stp/>
        <stp>VOLUME</stp>
        <stp>.QQQ250620P487</stp>
        <tr r="K61" s="2"/>
      </tp>
      <tp>
        <v>200</v>
        <stp/>
        <stp>VOLUME</stp>
        <stp>.QQQ250630P497</stp>
        <tr r="L51" s="2"/>
        <tr r="L51" s="2"/>
      </tp>
      <tp t="s">
        <v>N/A</v>
        <stp/>
        <stp>VOLUME</stp>
        <stp>.QQQ250620C487</stp>
        <tr r="K61" s="2"/>
      </tp>
      <tp>
        <v>9</v>
        <stp/>
        <stp>VOLUME</stp>
        <stp>.QQQ250630C497</stp>
        <tr r="L51" s="2"/>
        <tr r="L51" s="2"/>
      </tp>
      <tp>
        <v>4755</v>
        <stp/>
        <stp>VOLUME</stp>
        <stp>.QQQ250620P480</stp>
        <tr r="K68" s="2"/>
        <tr r="K68" s="2"/>
      </tp>
      <tp>
        <v>137</v>
        <stp/>
        <stp>VOLUME</stp>
        <stp>.QQQ250630P490</stp>
        <tr r="L58" s="2"/>
        <tr r="L58" s="2"/>
      </tp>
      <tp>
        <v>235</v>
        <stp/>
        <stp>VOLUME</stp>
        <stp>.QQQ250620C480</stp>
        <tr r="K68" s="2"/>
        <tr r="K68" s="2"/>
      </tp>
      <tp>
        <v>131</v>
        <stp/>
        <stp>VOLUME</stp>
        <stp>.QQQ250630C490</stp>
        <tr r="L58" s="2"/>
        <tr r="L58" s="2"/>
      </tp>
      <tp t="s">
        <v>N/A</v>
        <stp/>
        <stp>VOLUME</stp>
        <stp>.QQQ250620P481</stp>
        <tr r="K67" s="2"/>
      </tp>
      <tp>
        <v>21</v>
        <stp/>
        <stp>VOLUME</stp>
        <stp>.QQQ250630P491</stp>
        <tr r="L57" s="2"/>
        <tr r="L57" s="2"/>
      </tp>
      <tp t="s">
        <v>N/A</v>
        <stp/>
        <stp>VOLUME</stp>
        <stp>.QQQ250620C481</stp>
        <tr r="K67" s="2"/>
      </tp>
      <tp>
        <v>50</v>
        <stp/>
        <stp>VOLUME</stp>
        <stp>.QQQ250630C491</stp>
        <tr r="L57" s="2"/>
        <tr r="L57" s="2"/>
      </tp>
      <tp t="s">
        <v>N/A</v>
        <stp/>
        <stp>VOLUME</stp>
        <stp>.QQQ250620P482</stp>
        <tr r="K66" s="2"/>
      </tp>
      <tp>
        <v>7</v>
        <stp/>
        <stp>VOLUME</stp>
        <stp>.QQQ250630P492</stp>
        <tr r="L56" s="2"/>
        <tr r="L56" s="2"/>
      </tp>
      <tp t="s">
        <v>N/A</v>
        <stp/>
        <stp>VOLUME</stp>
        <stp>.QQQ250620C482</stp>
        <tr r="K66" s="2"/>
      </tp>
      <tp>
        <v>20</v>
        <stp/>
        <stp>VOLUME</stp>
        <stp>.QQQ250630C492</stp>
        <tr r="L56" s="2"/>
        <tr r="L56" s="2"/>
      </tp>
      <tp t="s">
        <v>N/A</v>
        <stp/>
        <stp>VOLUME</stp>
        <stp>.QQQ250620P483</stp>
        <tr r="K65" s="2"/>
      </tp>
      <tp t="s">
        <v>N/A</v>
        <stp/>
        <stp>VOLUME</stp>
        <stp>.QQQ250630P493</stp>
        <tr r="L55" s="2"/>
      </tp>
      <tp t="s">
        <v>N/A</v>
        <stp/>
        <stp>VOLUME</stp>
        <stp>.QQQ250620C483</stp>
        <tr r="K65" s="2"/>
      </tp>
      <tp>
        <v>10</v>
        <stp/>
        <stp>VOLUME</stp>
        <stp>.QQQ250630C493</stp>
        <tr r="L55" s="2"/>
        <tr r="L55" s="2"/>
      </tp>
      <tp t="s">
        <v>N/A</v>
        <stp/>
        <stp>VOLUME</stp>
        <stp>.QQQ250620P488</stp>
        <tr r="K60" s="2"/>
      </tp>
      <tp>
        <v>2</v>
        <stp/>
        <stp>VOLUME</stp>
        <stp>.QQQ250630P498</stp>
        <tr r="L50" s="2"/>
        <tr r="L50" s="2"/>
      </tp>
      <tp t="s">
        <v>N/A</v>
        <stp/>
        <stp>VOLUME</stp>
        <stp>.QQQ250620C488</stp>
        <tr r="K60" s="2"/>
      </tp>
      <tp t="s">
        <v>N/A</v>
        <stp/>
        <stp>VOLUME</stp>
        <stp>.QQQ250630C498</stp>
        <tr r="L50" s="2"/>
      </tp>
      <tp t="s">
        <v>N/A</v>
        <stp/>
        <stp>VOLUME</stp>
        <stp>.QQQ250620P489</stp>
        <tr r="K59" s="2"/>
      </tp>
      <tp t="s">
        <v>N/A</v>
        <stp/>
        <stp>VOLUME</stp>
        <stp>.QQQ250630P499</stp>
        <tr r="L49" s="2"/>
      </tp>
      <tp t="s">
        <v>N/A</v>
        <stp/>
        <stp>VOLUME</stp>
        <stp>.QQQ250620C489</stp>
        <tr r="K59" s="2"/>
      </tp>
      <tp>
        <v>10</v>
        <stp/>
        <stp>VOLUME</stp>
        <stp>.QQQ250630C499</stp>
        <tr r="L49" s="2"/>
        <tr r="L49" s="2"/>
      </tp>
      <tp>
        <v>259</v>
        <stp/>
        <stp>VOLUME</stp>
        <stp>.QQQ250718P500</stp>
        <tr r="M48" s="2"/>
        <tr r="M48" s="2"/>
      </tp>
      <tp>
        <v>418</v>
        <stp/>
        <stp>VOLUME</stp>
        <stp>.QQQ250718C500</stp>
        <tr r="M48" s="2"/>
        <tr r="M48" s="2"/>
      </tp>
      <tp t="s">
        <v>N/A</v>
        <stp/>
        <stp>VOLUME</stp>
        <stp>.QQQ250718P501</stp>
        <tr r="M47" s="2"/>
      </tp>
      <tp t="s">
        <v>N/A</v>
        <stp/>
        <stp>VOLUME</stp>
        <stp>.QQQ250718C501</stp>
        <tr r="M47" s="2"/>
      </tp>
      <tp t="s">
        <v>N/A</v>
        <stp/>
        <stp>VOLUME</stp>
        <stp>.QQQ250718P502</stp>
        <tr r="M46" s="2"/>
      </tp>
      <tp t="s">
        <v>N/A</v>
        <stp/>
        <stp>VOLUME</stp>
        <stp>.QQQ250718C502</stp>
        <tr r="M46" s="2"/>
      </tp>
      <tp t="s">
        <v>N/A</v>
        <stp/>
        <stp>VOLUME</stp>
        <stp>.QQQ250731P501</stp>
        <tr r="N47" s="2"/>
      </tp>
      <tp t="s">
        <v>N/A</v>
        <stp/>
        <stp>VOLUME</stp>
        <stp>.QQQ250731C501</stp>
        <tr r="N47" s="2"/>
      </tp>
      <tp>
        <v>4</v>
        <stp/>
        <stp>VOLUME</stp>
        <stp>.QQQ250731P500</stp>
        <tr r="N48" s="2"/>
        <tr r="N48" s="2"/>
      </tp>
      <tp>
        <v>4037</v>
        <stp/>
        <stp>VOLUME</stp>
        <stp>.QQQ250731C500</stp>
        <tr r="N48" s="2"/>
        <tr r="N48" s="2"/>
      </tp>
      <tp t="s">
        <v>N/A</v>
        <stp/>
        <stp>VOLUME</stp>
        <stp>.QQQ250731P502</stp>
        <tr r="N46" s="2"/>
      </tp>
      <tp>
        <v>3</v>
        <stp/>
        <stp>VOLUME</stp>
        <stp>.QQQ250731C502</stp>
        <tr r="N46" s="2"/>
        <tr r="N46" s="2"/>
      </tp>
      <tp t="s">
        <v>N/A</v>
        <stp/>
        <stp>VOLUME</stp>
        <stp>.QQQ250620P474</stp>
        <tr r="K74" s="2"/>
      </tp>
      <tp t="s">
        <v>N/A</v>
        <stp/>
        <stp>VOLUME</stp>
        <stp>.QQQ250620C474</stp>
        <tr r="K74" s="2"/>
      </tp>
      <tp>
        <v>1028</v>
        <stp/>
        <stp>VOLUME</stp>
        <stp>.QQQ250620P475</stp>
        <tr r="K73" s="2"/>
        <tr r="K73" s="2"/>
      </tp>
      <tp>
        <v>50</v>
        <stp/>
        <stp>VOLUME</stp>
        <stp>.QQQ250620C475</stp>
        <tr r="K73" s="2"/>
        <tr r="K73" s="2"/>
      </tp>
      <tp t="s">
        <v>N/A</v>
        <stp/>
        <stp>VOLUME</stp>
        <stp>.QQQ250620P476</stp>
        <tr r="K72" s="2"/>
      </tp>
      <tp t="s">
        <v>N/A</v>
        <stp/>
        <stp>VOLUME</stp>
        <stp>.QQQ250620C476</stp>
        <tr r="K72" s="2"/>
      </tp>
      <tp t="s">
        <v>N/A</v>
        <stp/>
        <stp>VOLUME</stp>
        <stp>.QQQ250620P477</stp>
        <tr r="K71" s="2"/>
      </tp>
      <tp t="s">
        <v>N/A</v>
        <stp/>
        <stp>VOLUME</stp>
        <stp>.QQQ250620C477</stp>
        <tr r="K71" s="2"/>
      </tp>
      <tp>
        <v>4935</v>
        <stp/>
        <stp>VOLUME</stp>
        <stp>.QQQ250620P470</stp>
        <tr r="K78" s="2"/>
        <tr r="K78" s="2"/>
      </tp>
      <tp>
        <v>417</v>
        <stp/>
        <stp>VOLUME</stp>
        <stp>.QQQ250620C470</stp>
        <tr r="K78" s="2"/>
        <tr r="K78" s="2"/>
      </tp>
      <tp t="s">
        <v>N/A</v>
        <stp/>
        <stp>VOLUME</stp>
        <stp>.QQQ250620P471</stp>
        <tr r="K77" s="2"/>
      </tp>
      <tp t="s">
        <v>N/A</v>
        <stp/>
        <stp>VOLUME</stp>
        <stp>.QQQ250620C471</stp>
        <tr r="K77" s="2"/>
      </tp>
      <tp t="s">
        <v>N/A</v>
        <stp/>
        <stp>VOLUME</stp>
        <stp>.QQQ250620P472</stp>
        <tr r="K76" s="2"/>
      </tp>
      <tp t="s">
        <v>N/A</v>
        <stp/>
        <stp>VOLUME</stp>
        <stp>.QQQ250620C472</stp>
        <tr r="K76" s="2"/>
      </tp>
      <tp t="s">
        <v>N/A</v>
        <stp/>
        <stp>VOLUME</stp>
        <stp>.QQQ250620P473</stp>
        <tr r="K75" s="2"/>
      </tp>
      <tp t="s">
        <v>N/A</v>
        <stp/>
        <stp>VOLUME</stp>
        <stp>.QQQ250620C473</stp>
        <tr r="K75" s="2"/>
      </tp>
      <tp t="s">
        <v>N/A</v>
        <stp/>
        <stp>VOLUME</stp>
        <stp>.QQQ250620P478</stp>
        <tr r="K70" s="2"/>
      </tp>
      <tp>
        <v>1</v>
        <stp/>
        <stp>VOLUME</stp>
        <stp>.QQQ250630P468</stp>
        <tr r="L80" s="2"/>
        <tr r="L80" s="2"/>
      </tp>
      <tp t="s">
        <v>N/A</v>
        <stp/>
        <stp>VOLUME</stp>
        <stp>.QQQ250620C478</stp>
        <tr r="K70" s="2"/>
      </tp>
      <tp>
        <v>3</v>
        <stp/>
        <stp>VOLUME</stp>
        <stp>.QQQ250630C468</stp>
        <tr r="L80" s="2"/>
        <tr r="L80" s="2"/>
      </tp>
      <tp t="s">
        <v>N/A</v>
        <stp/>
        <stp>VOLUME</stp>
        <stp>.QQQ250620P479</stp>
        <tr r="K69" s="2"/>
      </tp>
      <tp>
        <v>3</v>
        <stp/>
        <stp>VOLUME</stp>
        <stp>.QQQ250630P469</stp>
        <tr r="L79" s="2"/>
        <tr r="L79" s="2"/>
      </tp>
      <tp t="s">
        <v>N/A</v>
        <stp/>
        <stp>VOLUME</stp>
        <stp>.QQQ250620C479</stp>
        <tr r="K69" s="2"/>
      </tp>
      <tp t="s">
        <v>N/A</v>
        <stp/>
        <stp>VOLUME</stp>
        <stp>.QQQ250630C469</stp>
        <tr r="L79" s="2"/>
      </tp>
      <tp>
        <v>8</v>
        <stp/>
        <stp>VOLUME</stp>
        <stp>.QQQ250630P474</stp>
        <tr r="L74" s="2"/>
        <tr r="L74" s="2"/>
      </tp>
      <tp t="s">
        <v>N/A</v>
        <stp/>
        <stp>VOLUME</stp>
        <stp>.QQQ250630C474</stp>
        <tr r="L74" s="2"/>
      </tp>
      <tp>
        <v>53</v>
        <stp/>
        <stp>VOLUME</stp>
        <stp>.QQQ250630P475</stp>
        <tr r="L73" s="2"/>
        <tr r="L73" s="2"/>
      </tp>
      <tp>
        <v>54</v>
        <stp/>
        <stp>VOLUME</stp>
        <stp>.QQQ250630C475</stp>
        <tr r="L73" s="2"/>
        <tr r="L73" s="2"/>
      </tp>
      <tp>
        <v>11</v>
        <stp/>
        <stp>VOLUME</stp>
        <stp>.QQQ250630P476</stp>
        <tr r="L72" s="2"/>
        <tr r="L72" s="2"/>
      </tp>
      <tp>
        <v>1</v>
        <stp/>
        <stp>VOLUME</stp>
        <stp>.QQQ250630C476</stp>
        <tr r="L72" s="2"/>
        <tr r="L72" s="2"/>
      </tp>
      <tp>
        <v>5</v>
        <stp/>
        <stp>VOLUME</stp>
        <stp>.QQQ250630P477</stp>
        <tr r="L71" s="2"/>
        <tr r="L71" s="2"/>
      </tp>
      <tp t="s">
        <v>N/A</v>
        <stp/>
        <stp>VOLUME</stp>
        <stp>.QQQ250630C477</stp>
        <tr r="L71" s="2"/>
      </tp>
      <tp>
        <v>129</v>
        <stp/>
        <stp>VOLUME</stp>
        <stp>.QQQ250630P470</stp>
        <tr r="L78" s="2"/>
        <tr r="L78" s="2"/>
      </tp>
      <tp>
        <v>3</v>
        <stp/>
        <stp>VOLUME</stp>
        <stp>.QQQ250630C470</stp>
        <tr r="L78" s="2"/>
        <tr r="L78" s="2"/>
      </tp>
      <tp>
        <v>9</v>
        <stp/>
        <stp>VOLUME</stp>
        <stp>.QQQ250630P471</stp>
        <tr r="L77" s="2"/>
        <tr r="L77" s="2"/>
      </tp>
      <tp>
        <v>1</v>
        <stp/>
        <stp>VOLUME</stp>
        <stp>.QQQ250630C471</stp>
        <tr r="L77" s="2"/>
        <tr r="L77" s="2"/>
      </tp>
      <tp>
        <v>11</v>
        <stp/>
        <stp>VOLUME</stp>
        <stp>.QQQ250630P472</stp>
        <tr r="L76" s="2"/>
        <tr r="L76" s="2"/>
      </tp>
      <tp t="s">
        <v>N/A</v>
        <stp/>
        <stp>VOLUME</stp>
        <stp>.QQQ250630C472</stp>
        <tr r="L76" s="2"/>
      </tp>
      <tp>
        <v>8</v>
        <stp/>
        <stp>VOLUME</stp>
        <stp>.QQQ250630P473</stp>
        <tr r="L75" s="2"/>
        <tr r="L75" s="2"/>
      </tp>
      <tp>
        <v>7</v>
        <stp/>
        <stp>VOLUME</stp>
        <stp>.QQQ250630C473</stp>
        <tr r="L75" s="2"/>
        <tr r="L75" s="2"/>
      </tp>
      <tp t="s">
        <v>N/A</v>
        <stp/>
        <stp>VOLUME</stp>
        <stp>.QQQ250620P468</stp>
        <tr r="K80" s="2"/>
      </tp>
      <tp>
        <v>3</v>
        <stp/>
        <stp>VOLUME</stp>
        <stp>.QQQ250630P478</stp>
        <tr r="L70" s="2"/>
        <tr r="L70" s="2"/>
      </tp>
      <tp t="s">
        <v>N/A</v>
        <stp/>
        <stp>VOLUME</stp>
        <stp>.QQQ250620C468</stp>
        <tr r="K80" s="2"/>
      </tp>
      <tp t="s">
        <v>N/A</v>
        <stp/>
        <stp>VOLUME</stp>
        <stp>.QQQ250630C478</stp>
        <tr r="L70" s="2"/>
      </tp>
      <tp t="s">
        <v>N/A</v>
        <stp/>
        <stp>VOLUME</stp>
        <stp>.QQQ250620P469</stp>
        <tr r="K79" s="2"/>
      </tp>
      <tp>
        <v>12</v>
        <stp/>
        <stp>VOLUME</stp>
        <stp>.QQQ250630P479</stp>
        <tr r="L69" s="2"/>
        <tr r="L69" s="2"/>
      </tp>
      <tp t="s">
        <v>N/A</v>
        <stp/>
        <stp>VOLUME</stp>
        <stp>.QQQ250620C469</stp>
        <tr r="K79" s="2"/>
      </tp>
      <tp>
        <v>4</v>
        <stp/>
        <stp>VOLUME</stp>
        <stp>.QQQ250630C479</stp>
        <tr r="L69" s="2"/>
        <tr r="L69" s="2"/>
      </tp>
      <tp>
        <v>5</v>
        <stp/>
        <stp>VOLUME</stp>
        <stp>.QQQ250606P472</stp>
        <tr r="J76" s="2"/>
        <tr r="J76" s="2"/>
      </tp>
      <tp>
        <v>5</v>
        <stp/>
        <stp>VOLUME</stp>
        <stp>.QQQ250606C472</stp>
        <tr r="J76" s="2"/>
        <tr r="J76" s="2"/>
      </tp>
      <tp>
        <v>16</v>
        <stp/>
        <stp>VOLUME</stp>
        <stp>.QQQ250606P473</stp>
        <tr r="J75" s="2"/>
        <tr r="J75" s="2"/>
      </tp>
      <tp>
        <v>1</v>
        <stp/>
        <stp>VOLUME</stp>
        <stp>.QQQ250606C473</stp>
        <tr r="J75" s="2"/>
        <tr r="J75" s="2"/>
      </tp>
      <tp>
        <v>87</v>
        <stp/>
        <stp>VOLUME</stp>
        <stp>.QQQ250606P470</stp>
        <tr r="J78" s="2"/>
        <tr r="J78" s="2"/>
      </tp>
      <tp>
        <v>120</v>
        <stp/>
        <stp>VOLUME</stp>
        <stp>.QQQ250606C470</stp>
        <tr r="J78" s="2"/>
        <tr r="J78" s="2"/>
      </tp>
      <tp>
        <v>4</v>
        <stp/>
        <stp>VOLUME</stp>
        <stp>.QQQ250606P471</stp>
        <tr r="J77" s="2"/>
        <tr r="J77" s="2"/>
      </tp>
      <tp>
        <v>5</v>
        <stp/>
        <stp>VOLUME</stp>
        <stp>.QQQ250606C471</stp>
        <tr r="J77" s="2"/>
        <tr r="J77" s="2"/>
      </tp>
      <tp>
        <v>26</v>
        <stp/>
        <stp>VOLUME</stp>
        <stp>.QQQ250606P476</stp>
        <tr r="J72" s="2"/>
        <tr r="J72" s="2"/>
      </tp>
      <tp>
        <v>2</v>
        <stp/>
        <stp>VOLUME</stp>
        <stp>.QQQ250606C476</stp>
        <tr r="J72" s="2"/>
        <tr r="J72" s="2"/>
      </tp>
      <tp>
        <v>232</v>
        <stp/>
        <stp>VOLUME</stp>
        <stp>.QQQ250606P477</stp>
        <tr r="J71" s="2"/>
        <tr r="J71" s="2"/>
      </tp>
      <tp>
        <v>5</v>
        <stp/>
        <stp>VOLUME</stp>
        <stp>.QQQ250606C477</stp>
        <tr r="J71" s="2"/>
        <tr r="J71" s="2"/>
      </tp>
      <tp>
        <v>64</v>
        <stp/>
        <stp>VOLUME</stp>
        <stp>.QQQ250606P474</stp>
        <tr r="J74" s="2"/>
        <tr r="J74" s="2"/>
      </tp>
      <tp>
        <v>6</v>
        <stp/>
        <stp>VOLUME</stp>
        <stp>.QQQ250606C474</stp>
        <tr r="J74" s="2"/>
        <tr r="J74" s="2"/>
      </tp>
      <tp>
        <v>87</v>
        <stp/>
        <stp>VOLUME</stp>
        <stp>.QQQ250606P475</stp>
        <tr r="J73" s="2"/>
        <tr r="J73" s="2"/>
      </tp>
      <tp>
        <v>5</v>
        <stp/>
        <stp>VOLUME</stp>
        <stp>.QQQ250606C475</stp>
        <tr r="J73" s="2"/>
        <tr r="J73" s="2"/>
      </tp>
      <tp>
        <v>14</v>
        <stp/>
        <stp>VOLUME</stp>
        <stp>.QQQ250606P478</stp>
        <tr r="J70" s="2"/>
        <tr r="J70" s="2"/>
      </tp>
      <tp t="s">
        <v>N/A</v>
        <stp/>
        <stp>VOLUME</stp>
        <stp>.QQQ250606C478</stp>
        <tr r="J70" s="2"/>
      </tp>
      <tp>
        <v>11</v>
        <stp/>
        <stp>VOLUME</stp>
        <stp>.QQQ250606P479</stp>
        <tr r="J69" s="2"/>
        <tr r="J69" s="2"/>
      </tp>
      <tp>
        <v>6</v>
        <stp/>
        <stp>VOLUME</stp>
        <stp>.QQQ250606C479</stp>
        <tr r="J69" s="2"/>
        <tr r="J69" s="2"/>
      </tp>
      <tp>
        <v>8</v>
        <stp/>
        <stp>VOLUME</stp>
        <stp>.QQQ250606P468</stp>
        <tr r="J80" s="2"/>
        <tr r="J80" s="2"/>
      </tp>
      <tp t="s">
        <v>N/A</v>
        <stp/>
        <stp>VOLUME</stp>
        <stp>.QQQ250606C468</stp>
        <tr r="J80" s="2"/>
      </tp>
      <tp>
        <v>9</v>
        <stp/>
        <stp>VOLUME</stp>
        <stp>.QQQ250606P469</stp>
        <tr r="J79" s="2"/>
        <tr r="J79" s="2"/>
      </tp>
      <tp t="s">
        <v>N/A</v>
        <stp/>
        <stp>VOLUME</stp>
        <stp>.QQQ250606C469</stp>
        <tr r="J79" s="2"/>
      </tp>
      <tp>
        <v>0</v>
        <stp/>
        <stp>BID</stp>
        <stp>.SPXW250505C5690</stp>
        <tr r="DE103" s="1"/>
        <tr r="DE103" s="1"/>
      </tp>
      <tp>
        <v>36.5</v>
        <stp/>
        <stp>BID</stp>
        <stp>.SPXW250505P5690</stp>
        <tr r="DF103" s="1"/>
        <tr r="DF103" s="1"/>
      </tp>
      <tp>
        <v>0</v>
        <stp/>
        <stp>BID</stp>
        <stp>.SPXW250505C5680</stp>
        <tr r="DE104" s="1"/>
        <tr r="DE104" s="1"/>
      </tp>
      <tp>
        <v>26.5</v>
        <stp/>
        <stp>BID</stp>
        <stp>.SPXW250505P5680</stp>
        <tr r="DF104" s="1"/>
        <tr r="DF104" s="1"/>
      </tp>
      <tp>
        <v>0.2</v>
        <stp/>
        <stp>BID</stp>
        <stp>.SPXW250505C5650</stp>
        <tr r="DE107" s="1"/>
        <tr r="DE107" s="1"/>
      </tp>
      <tp>
        <v>0.5</v>
        <stp/>
        <stp>BID</stp>
        <stp>.SPXW250505P5650</stp>
        <tr r="DF107" s="1"/>
        <tr r="DF107" s="1"/>
      </tp>
      <tp>
        <v>10</v>
        <stp/>
        <stp>BID</stp>
        <stp>.SPXW250505C5640</stp>
        <tr r="DE108" s="1"/>
        <tr r="DE108" s="1"/>
      </tp>
      <tp>
        <v>0</v>
        <stp/>
        <stp>BID</stp>
        <stp>.SPXW250505P5640</stp>
        <tr r="DF108" s="1"/>
        <tr r="DF108" s="1"/>
      </tp>
      <tp>
        <v>0</v>
        <stp/>
        <stp>BID</stp>
        <stp>.SPXW250505C5670</stp>
        <tr r="DE105" s="1"/>
        <tr r="DE105" s="1"/>
      </tp>
      <tp>
        <v>18.2</v>
        <stp/>
        <stp>BID</stp>
        <stp>.SPXW250505P5670</stp>
        <tr r="DF105" s="1"/>
        <tr r="DF105" s="1"/>
      </tp>
      <tp>
        <v>0</v>
        <stp/>
        <stp>BID</stp>
        <stp>.SPXW250505C5660</stp>
        <tr r="DE106" s="1"/>
        <tr r="DE106" s="1"/>
      </tp>
      <tp>
        <v>9.1999999999999993</v>
        <stp/>
        <stp>BID</stp>
        <stp>.SPXW250505P5660</stp>
        <tr r="DF106" s="1"/>
        <tr r="DF106" s="1"/>
      </tp>
      <tp>
        <v>37.799999999999997</v>
        <stp/>
        <stp>BID</stp>
        <stp>.SPXW250505C5610</stp>
        <tr r="DE111" s="1"/>
        <tr r="DE111" s="1"/>
      </tp>
      <tp>
        <v>0</v>
        <stp/>
        <stp>BID</stp>
        <stp>.SPXW250505P5610</stp>
        <tr r="DF111" s="1"/>
        <tr r="DF111" s="1"/>
      </tp>
      <tp>
        <v>47.8</v>
        <stp/>
        <stp>BID</stp>
        <stp>.SPXW250505C5600</stp>
        <tr r="DE112" s="1"/>
        <tr r="DE112" s="1"/>
      </tp>
      <tp>
        <v>0</v>
        <stp/>
        <stp>BID</stp>
        <stp>.SPXW250505P5600</stp>
        <tr r="DF112" s="1"/>
        <tr r="DF112" s="1"/>
      </tp>
      <tp>
        <v>19.899999999999999</v>
        <stp/>
        <stp>BID</stp>
        <stp>.SPXW250505C5630</stp>
        <tr r="DE109" s="1"/>
        <tr r="DE109" s="1"/>
      </tp>
      <tp>
        <v>0</v>
        <stp/>
        <stp>BID</stp>
        <stp>.SPXW250505P5630</stp>
        <tr r="DF109" s="1"/>
        <tr r="DF109" s="1"/>
      </tp>
      <tp>
        <v>27.8</v>
        <stp/>
        <stp>BID</stp>
        <stp>.SPXW250505C5620</stp>
        <tr r="DE110" s="1"/>
        <tr r="DE110" s="1"/>
      </tp>
      <tp>
        <v>0</v>
        <stp/>
        <stp>BID</stp>
        <stp>.SPXW250505P5620</stp>
        <tr r="DF110" s="1"/>
        <tr r="DF110" s="1"/>
      </tp>
      <tp t="s">
        <v>N/A</v>
        <stp/>
        <stp>VOLUME</stp>
        <stp>.QQQ250718P488</stp>
        <tr r="M60" s="2"/>
      </tp>
      <tp t="s">
        <v>N/A</v>
        <stp/>
        <stp>VOLUME</stp>
        <stp>.QQQ250718C488</stp>
        <tr r="M60" s="2"/>
      </tp>
      <tp t="s">
        <v>N/A</v>
        <stp/>
        <stp>VOLUME</stp>
        <stp>.QQQ250718P489</stp>
        <tr r="M59" s="2"/>
      </tp>
      <tp t="s">
        <v>N/A</v>
        <stp/>
        <stp>VOLUME</stp>
        <stp>.QQQ250718C489</stp>
        <tr r="M59" s="2"/>
      </tp>
      <tp t="s">
        <v>N/A</v>
        <stp/>
        <stp>VOLUME</stp>
        <stp>.QQQ250718P484</stp>
        <tr r="M64" s="2"/>
      </tp>
      <tp t="s">
        <v>N/A</v>
        <stp/>
        <stp>VOLUME</stp>
        <stp>.QQQ250718C484</stp>
        <tr r="M64" s="2"/>
      </tp>
      <tp>
        <v>211</v>
        <stp/>
        <stp>VOLUME</stp>
        <stp>.QQQ250718P485</stp>
        <tr r="M63" s="2"/>
        <tr r="M63" s="2"/>
      </tp>
      <tp>
        <v>147</v>
        <stp/>
        <stp>VOLUME</stp>
        <stp>.QQQ250718C485</stp>
        <tr r="M63" s="2"/>
        <tr r="M63" s="2"/>
      </tp>
      <tp t="s">
        <v>N/A</v>
        <stp/>
        <stp>VOLUME</stp>
        <stp>.QQQ250718P486</stp>
        <tr r="M62" s="2"/>
      </tp>
      <tp t="s">
        <v>N/A</v>
        <stp/>
        <stp>VOLUME</stp>
        <stp>.QQQ250718C486</stp>
        <tr r="M62" s="2"/>
      </tp>
      <tp t="s">
        <v>N/A</v>
        <stp/>
        <stp>VOLUME</stp>
        <stp>.QQQ250718P487</stp>
        <tr r="M61" s="2"/>
      </tp>
      <tp t="s">
        <v>N/A</v>
        <stp/>
        <stp>VOLUME</stp>
        <stp>.QQQ250718C487</stp>
        <tr r="M61" s="2"/>
      </tp>
      <tp>
        <v>621</v>
        <stp/>
        <stp>VOLUME</stp>
        <stp>.QQQ250718P480</stp>
        <tr r="M68" s="2"/>
        <tr r="M68" s="2"/>
      </tp>
      <tp>
        <v>120</v>
        <stp/>
        <stp>VOLUME</stp>
        <stp>.QQQ250718C480</stp>
        <tr r="M68" s="2"/>
        <tr r="M68" s="2"/>
      </tp>
      <tp t="s">
        <v>N/A</v>
        <stp/>
        <stp>VOLUME</stp>
        <stp>.QQQ250718P481</stp>
        <tr r="M67" s="2"/>
      </tp>
      <tp t="s">
        <v>N/A</v>
        <stp/>
        <stp>VOLUME</stp>
        <stp>.QQQ250718C481</stp>
        <tr r="M67" s="2"/>
      </tp>
      <tp t="s">
        <v>N/A</v>
        <stp/>
        <stp>VOLUME</stp>
        <stp>.QQQ250718P482</stp>
        <tr r="M66" s="2"/>
      </tp>
      <tp t="s">
        <v>N/A</v>
        <stp/>
        <stp>VOLUME</stp>
        <stp>.QQQ250718C482</stp>
        <tr r="M66" s="2"/>
      </tp>
      <tp t="s">
        <v>N/A</v>
        <stp/>
        <stp>VOLUME</stp>
        <stp>.QQQ250718P483</stp>
        <tr r="M65" s="2"/>
      </tp>
      <tp t="s">
        <v>N/A</v>
        <stp/>
        <stp>VOLUME</stp>
        <stp>.QQQ250718C483</stp>
        <tr r="M65" s="2"/>
      </tp>
      <tp t="s">
        <v>N/A</v>
        <stp/>
        <stp>VOLUME</stp>
        <stp>.QQQ250718P498</stp>
        <tr r="M50" s="2"/>
      </tp>
      <tp t="s">
        <v>N/A</v>
        <stp/>
        <stp>VOLUME</stp>
        <stp>.QQQ250718C498</stp>
        <tr r="M50" s="2"/>
      </tp>
      <tp t="s">
        <v>N/A</v>
        <stp/>
        <stp>VOLUME</stp>
        <stp>.QQQ250718P499</stp>
        <tr r="M49" s="2"/>
      </tp>
      <tp t="s">
        <v>N/A</v>
        <stp/>
        <stp>VOLUME</stp>
        <stp>.QQQ250718C499</stp>
        <tr r="M49" s="2"/>
      </tp>
      <tp t="s">
        <v>N/A</v>
        <stp/>
        <stp>VOLUME</stp>
        <stp>.QQQ250718P494</stp>
        <tr r="M54" s="2"/>
      </tp>
      <tp t="s">
        <v>N/A</v>
        <stp/>
        <stp>VOLUME</stp>
        <stp>.QQQ250718C494</stp>
        <tr r="M54" s="2"/>
      </tp>
      <tp>
        <v>145</v>
        <stp/>
        <stp>VOLUME</stp>
        <stp>.QQQ250718P495</stp>
        <tr r="M53" s="2"/>
        <tr r="M53" s="2"/>
      </tp>
      <tp>
        <v>242</v>
        <stp/>
        <stp>VOLUME</stp>
        <stp>.QQQ250718C495</stp>
        <tr r="M53" s="2"/>
        <tr r="M53" s="2"/>
      </tp>
      <tp t="s">
        <v>N/A</v>
        <stp/>
        <stp>VOLUME</stp>
        <stp>.QQQ250718P496</stp>
        <tr r="M52" s="2"/>
      </tp>
      <tp t="s">
        <v>N/A</v>
        <stp/>
        <stp>VOLUME</stp>
        <stp>.QQQ250718C496</stp>
        <tr r="M52" s="2"/>
      </tp>
      <tp t="s">
        <v>N/A</v>
        <stp/>
        <stp>VOLUME</stp>
        <stp>.QQQ250718P497</stp>
        <tr r="M51" s="2"/>
      </tp>
      <tp t="s">
        <v>N/A</v>
        <stp/>
        <stp>VOLUME</stp>
        <stp>.QQQ250718C497</stp>
        <tr r="M51" s="2"/>
      </tp>
      <tp>
        <v>496</v>
        <stp/>
        <stp>VOLUME</stp>
        <stp>.QQQ250718P490</stp>
        <tr r="M58" s="2"/>
        <tr r="M58" s="2"/>
      </tp>
      <tp>
        <v>312</v>
        <stp/>
        <stp>VOLUME</stp>
        <stp>.QQQ250718C490</stp>
        <tr r="M58" s="2"/>
        <tr r="M58" s="2"/>
      </tp>
      <tp t="s">
        <v>N/A</v>
        <stp/>
        <stp>VOLUME</stp>
        <stp>.QQQ250718P491</stp>
        <tr r="M57" s="2"/>
      </tp>
      <tp t="s">
        <v>N/A</v>
        <stp/>
        <stp>VOLUME</stp>
        <stp>.QQQ250718C491</stp>
        <tr r="M57" s="2"/>
      </tp>
      <tp t="s">
        <v>N/A</v>
        <stp/>
        <stp>VOLUME</stp>
        <stp>.QQQ250718P492</stp>
        <tr r="M56" s="2"/>
      </tp>
      <tp t="s">
        <v>N/A</v>
        <stp/>
        <stp>VOLUME</stp>
        <stp>.QQQ250718C492</stp>
        <tr r="M56" s="2"/>
      </tp>
      <tp t="s">
        <v>N/A</v>
        <stp/>
        <stp>VOLUME</stp>
        <stp>.QQQ250718P493</stp>
        <tr r="M55" s="2"/>
      </tp>
      <tp t="s">
        <v>N/A</v>
        <stp/>
        <stp>VOLUME</stp>
        <stp>.QQQ250718C493</stp>
        <tr r="M55" s="2"/>
      </tp>
      <tp>
        <v>11</v>
        <stp/>
        <stp>VOLUME</stp>
        <stp>.QQQ250731P485</stp>
        <tr r="N63" s="2"/>
        <tr r="N63" s="2"/>
      </tp>
      <tp>
        <v>8</v>
        <stp/>
        <stp>VOLUME</stp>
        <stp>.QQQ250731C485</stp>
        <tr r="N63" s="2"/>
        <tr r="N63" s="2"/>
      </tp>
      <tp>
        <v>1</v>
        <stp/>
        <stp>VOLUME</stp>
        <stp>.QQQ250731P484</stp>
        <tr r="N64" s="2"/>
        <tr r="N64" s="2"/>
      </tp>
      <tp t="s">
        <v>N/A</v>
        <stp/>
        <stp>VOLUME</stp>
        <stp>.QQQ250731C484</stp>
        <tr r="N64" s="2"/>
      </tp>
      <tp>
        <v>30</v>
        <stp/>
        <stp>VOLUME</stp>
        <stp>.QQQ250731P487</stp>
        <tr r="N61" s="2"/>
        <tr r="N61" s="2"/>
      </tp>
      <tp>
        <v>12</v>
        <stp/>
        <stp>VOLUME</stp>
        <stp>.QQQ250731C487</stp>
        <tr r="N61" s="2"/>
        <tr r="N61" s="2"/>
      </tp>
      <tp>
        <v>3</v>
        <stp/>
        <stp>VOLUME</stp>
        <stp>.QQQ250731P486</stp>
        <tr r="N62" s="2"/>
        <tr r="N62" s="2"/>
      </tp>
      <tp>
        <v>1</v>
        <stp/>
        <stp>VOLUME</stp>
        <stp>.QQQ250731C486</stp>
        <tr r="N62" s="2"/>
        <tr r="N62" s="2"/>
      </tp>
      <tp t="s">
        <v>N/A</v>
        <stp/>
        <stp>VOLUME</stp>
        <stp>.QQQ250731P481</stp>
        <tr r="N67" s="2"/>
      </tp>
      <tp>
        <v>1</v>
        <stp/>
        <stp>VOLUME</stp>
        <stp>.QQQ250731C481</stp>
        <tr r="N67" s="2"/>
        <tr r="N67" s="2"/>
      </tp>
      <tp>
        <v>31</v>
        <stp/>
        <stp>VOLUME</stp>
        <stp>.QQQ250731P480</stp>
        <tr r="N68" s="2"/>
        <tr r="N68" s="2"/>
      </tp>
      <tp>
        <v>97</v>
        <stp/>
        <stp>VOLUME</stp>
        <stp>.QQQ250731C480</stp>
        <tr r="N68" s="2"/>
        <tr r="N68" s="2"/>
      </tp>
      <tp>
        <v>20</v>
        <stp/>
        <stp>VOLUME</stp>
        <stp>.QQQ250731P483</stp>
        <tr r="N65" s="2"/>
        <tr r="N65" s="2"/>
      </tp>
      <tp t="s">
        <v>N/A</v>
        <stp/>
        <stp>VOLUME</stp>
        <stp>.QQQ250731C483</stp>
        <tr r="N65" s="2"/>
      </tp>
      <tp t="s">
        <v>N/A</v>
        <stp/>
        <stp>VOLUME</stp>
        <stp>.QQQ250731P482</stp>
        <tr r="N66" s="2"/>
      </tp>
      <tp t="s">
        <v>N/A</v>
        <stp/>
        <stp>VOLUME</stp>
        <stp>.QQQ250731C482</stp>
        <tr r="N66" s="2"/>
      </tp>
      <tp>
        <v>10</v>
        <stp/>
        <stp>VOLUME</stp>
        <stp>.QQQ250731P489</stp>
        <tr r="N59" s="2"/>
        <tr r="N59" s="2"/>
      </tp>
      <tp t="s">
        <v>N/A</v>
        <stp/>
        <stp>VOLUME</stp>
        <stp>.QQQ250731C489</stp>
        <tr r="N59" s="2"/>
      </tp>
      <tp>
        <v>104</v>
        <stp/>
        <stp>VOLUME</stp>
        <stp>.QQQ250731P488</stp>
        <tr r="N60" s="2"/>
        <tr r="N60" s="2"/>
      </tp>
      <tp>
        <v>2</v>
        <stp/>
        <stp>VOLUME</stp>
        <stp>.QQQ250731C488</stp>
        <tr r="N60" s="2"/>
        <tr r="N60" s="2"/>
      </tp>
      <tp>
        <v>1</v>
        <stp/>
        <stp>VOLUME</stp>
        <stp>.QQQ250731P495</stp>
        <tr r="N53" s="2"/>
        <tr r="N53" s="2"/>
      </tp>
      <tp>
        <v>51</v>
        <stp/>
        <stp>VOLUME</stp>
        <stp>.QQQ250731C495</stp>
        <tr r="N53" s="2"/>
        <tr r="N53" s="2"/>
      </tp>
      <tp>
        <v>3</v>
        <stp/>
        <stp>VOLUME</stp>
        <stp>.QQQ250731P494</stp>
        <tr r="N54" s="2"/>
        <tr r="N54" s="2"/>
      </tp>
      <tp t="s">
        <v>N/A</v>
        <stp/>
        <stp>VOLUME</stp>
        <stp>.QQQ250731C494</stp>
        <tr r="N54" s="2"/>
      </tp>
      <tp t="s">
        <v>N/A</v>
        <stp/>
        <stp>VOLUME</stp>
        <stp>.QQQ250731P497</stp>
        <tr r="N51" s="2"/>
      </tp>
      <tp t="s">
        <v>N/A</v>
        <stp/>
        <stp>VOLUME</stp>
        <stp>.QQQ250731C497</stp>
        <tr r="N51" s="2"/>
      </tp>
      <tp t="s">
        <v>N/A</v>
        <stp/>
        <stp>VOLUME</stp>
        <stp>.QQQ250731P496</stp>
        <tr r="N52" s="2"/>
      </tp>
      <tp>
        <v>1</v>
        <stp/>
        <stp>VOLUME</stp>
        <stp>.QQQ250731C496</stp>
        <tr r="N52" s="2"/>
        <tr r="N52" s="2"/>
      </tp>
      <tp>
        <v>3</v>
        <stp/>
        <stp>VOLUME</stp>
        <stp>.QQQ250731P491</stp>
        <tr r="N57" s="2"/>
        <tr r="N57" s="2"/>
      </tp>
      <tp t="s">
        <v>N/A</v>
        <stp/>
        <stp>VOLUME</stp>
        <stp>.QQQ250731C491</stp>
        <tr r="N57" s="2"/>
      </tp>
      <tp>
        <v>12</v>
        <stp/>
        <stp>VOLUME</stp>
        <stp>.QQQ250731P490</stp>
        <tr r="N58" s="2"/>
        <tr r="N58" s="2"/>
      </tp>
      <tp>
        <v>120</v>
        <stp/>
        <stp>VOLUME</stp>
        <stp>.QQQ250731C490</stp>
        <tr r="N58" s="2"/>
        <tr r="N58" s="2"/>
      </tp>
      <tp t="s">
        <v>N/A</v>
        <stp/>
        <stp>VOLUME</stp>
        <stp>.QQQ250731P493</stp>
        <tr r="N55" s="2"/>
      </tp>
      <tp t="s">
        <v>N/A</v>
        <stp/>
        <stp>VOLUME</stp>
        <stp>.QQQ250731C493</stp>
        <tr r="N55" s="2"/>
      </tp>
      <tp t="s">
        <v>N/A</v>
        <stp/>
        <stp>VOLUME</stp>
        <stp>.QQQ250731P492</stp>
        <tr r="N56" s="2"/>
      </tp>
      <tp>
        <v>18</v>
        <stp/>
        <stp>VOLUME</stp>
        <stp>.QQQ250731C492</stp>
        <tr r="N56" s="2"/>
        <tr r="N56" s="2"/>
      </tp>
      <tp>
        <v>5</v>
        <stp/>
        <stp>VOLUME</stp>
        <stp>.QQQ250731P499</stp>
        <tr r="N49" s="2"/>
        <tr r="N49" s="2"/>
      </tp>
      <tp t="s">
        <v>N/A</v>
        <stp/>
        <stp>VOLUME</stp>
        <stp>.QQQ250731C499</stp>
        <tr r="N49" s="2"/>
      </tp>
      <tp>
        <v>11</v>
        <stp/>
        <stp>VOLUME</stp>
        <stp>.QQQ250731P498</stp>
        <tr r="N50" s="2"/>
        <tr r="N50" s="2"/>
      </tp>
      <tp>
        <v>1</v>
        <stp/>
        <stp>VOLUME</stp>
        <stp>.QQQ250731C498</stp>
        <tr r="N50" s="2"/>
        <tr r="N50" s="2"/>
      </tp>
      <tp t="s">
        <v>N/A</v>
        <stp/>
        <stp>VOLUME</stp>
        <stp>.QQQ250606P502</stp>
        <tr r="J46" s="2"/>
      </tp>
      <tp t="s">
        <v>N/A</v>
        <stp/>
        <stp>VOLUME</stp>
        <stp>.QQQ250606C502</stp>
        <tr r="J46" s="2"/>
      </tp>
      <tp>
        <v>8</v>
        <stp/>
        <stp>VOLUME</stp>
        <stp>.QQQ250606P500</stp>
        <tr r="J48" s="2"/>
        <tr r="J48" s="2"/>
      </tp>
      <tp>
        <v>552</v>
        <stp/>
        <stp>VOLUME</stp>
        <stp>.QQQ250606C500</stp>
        <tr r="J48" s="2"/>
        <tr r="J48" s="2"/>
      </tp>
      <tp t="s">
        <v>N/A</v>
        <stp/>
        <stp>VOLUME</stp>
        <stp>.QQQ250606P501</stp>
        <tr r="J47" s="2"/>
      </tp>
      <tp t="s">
        <v>N/A</v>
        <stp/>
        <stp>VOLUME</stp>
        <stp>.QQQ250606C501</stp>
        <tr r="J47" s="2"/>
      </tp>
      <tp>
        <v>384</v>
        <stp/>
        <stp>VOLUME</stp>
        <stp>.QQQ250630P500</stp>
        <tr r="L48" s="2"/>
        <tr r="L48" s="2"/>
      </tp>
      <tp>
        <v>196</v>
        <stp/>
        <stp>VOLUME</stp>
        <stp>.QQQ250630C500</stp>
        <tr r="L48" s="2"/>
        <tr r="L48" s="2"/>
      </tp>
      <tp t="s">
        <v>N/A</v>
        <stp/>
        <stp>VOLUME</stp>
        <stp>.QQQ250630P501</stp>
        <tr r="L47" s="2"/>
      </tp>
      <tp>
        <v>9</v>
        <stp/>
        <stp>VOLUME</stp>
        <stp>.QQQ250630C501</stp>
        <tr r="L47" s="2"/>
        <tr r="L47" s="2"/>
      </tp>
      <tp>
        <v>2</v>
        <stp/>
        <stp>VOLUME</stp>
        <stp>.QQQ250630P502</stp>
        <tr r="L46" s="2"/>
        <tr r="L46" s="2"/>
      </tp>
      <tp>
        <v>9</v>
        <stp/>
        <stp>VOLUME</stp>
        <stp>.QQQ250630C502</stp>
        <tr r="L46" s="2"/>
        <tr r="L46" s="2"/>
      </tp>
      <tp>
        <v>344</v>
        <stp/>
        <stp>VOLUME</stp>
        <stp>.QQQ250620P500</stp>
        <tr r="K48" s="2"/>
        <tr r="K48" s="2"/>
      </tp>
      <tp>
        <v>3695</v>
        <stp/>
        <stp>VOLUME</stp>
        <stp>.QQQ250620C500</stp>
        <tr r="K48" s="2"/>
        <tr r="K48" s="2"/>
      </tp>
      <tp t="s">
        <v>N/A</v>
        <stp/>
        <stp>VOLUME</stp>
        <stp>.QQQ250620P501</stp>
        <tr r="K47" s="2"/>
      </tp>
      <tp t="s">
        <v>N/A</v>
        <stp/>
        <stp>VOLUME</stp>
        <stp>.QQQ250620C501</stp>
        <tr r="K47" s="2"/>
      </tp>
      <tp t="s">
        <v>N/A</v>
        <stp/>
        <stp>VOLUME</stp>
        <stp>.QQQ250620P502</stp>
        <tr r="K46" s="2"/>
      </tp>
      <tp t="s">
        <v>N/A</v>
        <stp/>
        <stp>VOLUME</stp>
        <stp>.QQQ250620C502</stp>
        <tr r="K46" s="2"/>
      </tp>
      <tp t="s">
        <v>N/A</v>
        <stp/>
        <stp>VOLUME</stp>
        <stp>.QQQ250731P469</stp>
        <tr r="N79" s="2"/>
      </tp>
      <tp>
        <v>1</v>
        <stp/>
        <stp>VOLUME</stp>
        <stp>.QQQ250731C469</stp>
        <tr r="N79" s="2"/>
        <tr r="N79" s="2"/>
      </tp>
      <tp>
        <v>12</v>
        <stp/>
        <stp>VOLUME</stp>
        <stp>.QQQ250731P468</stp>
        <tr r="N80" s="2"/>
        <tr r="N80" s="2"/>
      </tp>
      <tp t="s">
        <v>N/A</v>
        <stp/>
        <stp>VOLUME</stp>
        <stp>.QQQ250731C468</stp>
        <tr r="N80" s="2"/>
      </tp>
      <tp>
        <v>4018</v>
        <stp/>
        <stp>VOLUME</stp>
        <stp>.QQQ250731P475</stp>
        <tr r="N73" s="2"/>
        <tr r="N73" s="2"/>
      </tp>
      <tp>
        <v>3</v>
        <stp/>
        <stp>VOLUME</stp>
        <stp>.QQQ250731C475</stp>
        <tr r="N73" s="2"/>
        <tr r="N73" s="2"/>
      </tp>
      <tp>
        <v>6</v>
        <stp/>
        <stp>VOLUME</stp>
        <stp>.QQQ250731P474</stp>
        <tr r="N74" s="2"/>
        <tr r="N74" s="2"/>
      </tp>
      <tp t="s">
        <v>N/A</v>
        <stp/>
        <stp>VOLUME</stp>
        <stp>.QQQ250731C474</stp>
        <tr r="N74" s="2"/>
      </tp>
      <tp>
        <v>3</v>
        <stp/>
        <stp>VOLUME</stp>
        <stp>.QQQ250731P477</stp>
        <tr r="N71" s="2"/>
        <tr r="N71" s="2"/>
      </tp>
      <tp t="s">
        <v>N/A</v>
        <stp/>
        <stp>VOLUME</stp>
        <stp>.QQQ250731C477</stp>
        <tr r="N71" s="2"/>
      </tp>
      <tp>
        <v>12</v>
        <stp/>
        <stp>VOLUME</stp>
        <stp>.QQQ250731P476</stp>
        <tr r="N72" s="2"/>
        <tr r="N72" s="2"/>
      </tp>
      <tp t="s">
        <v>N/A</v>
        <stp/>
        <stp>VOLUME</stp>
        <stp>.QQQ250731C476</stp>
        <tr r="N72" s="2"/>
      </tp>
      <tp t="s">
        <v>N/A</v>
        <stp/>
        <stp>VOLUME</stp>
        <stp>.QQQ250731P471</stp>
        <tr r="N77" s="2"/>
      </tp>
      <tp t="s">
        <v>N/A</v>
        <stp/>
        <stp>VOLUME</stp>
        <stp>.QQQ250731C471</stp>
        <tr r="N77" s="2"/>
      </tp>
      <tp>
        <v>45</v>
        <stp/>
        <stp>VOLUME</stp>
        <stp>.QQQ250731P470</stp>
        <tr r="N78" s="2"/>
        <tr r="N78" s="2"/>
      </tp>
      <tp>
        <v>9</v>
        <stp/>
        <stp>VOLUME</stp>
        <stp>.QQQ250731C470</stp>
        <tr r="N78" s="2"/>
        <tr r="N78" s="2"/>
      </tp>
      <tp>
        <v>1</v>
        <stp/>
        <stp>VOLUME</stp>
        <stp>.QQQ250731P473</stp>
        <tr r="N75" s="2"/>
        <tr r="N75" s="2"/>
      </tp>
      <tp t="s">
        <v>N/A</v>
        <stp/>
        <stp>VOLUME</stp>
        <stp>.QQQ250731C473</stp>
        <tr r="N75" s="2"/>
      </tp>
      <tp t="s">
        <v>N/A</v>
        <stp/>
        <stp>VOLUME</stp>
        <stp>.QQQ250731P472</stp>
        <tr r="N76" s="2"/>
      </tp>
      <tp t="s">
        <v>N/A</v>
        <stp/>
        <stp>VOLUME</stp>
        <stp>.QQQ250731C472</stp>
        <tr r="N76" s="2"/>
      </tp>
      <tp>
        <v>2</v>
        <stp/>
        <stp>VOLUME</stp>
        <stp>.QQQ250731P479</stp>
        <tr r="N69" s="2"/>
        <tr r="N69" s="2"/>
      </tp>
      <tp t="s">
        <v>N/A</v>
        <stp/>
        <stp>VOLUME</stp>
        <stp>.QQQ250731C479</stp>
        <tr r="N69" s="2"/>
      </tp>
      <tp>
        <v>2</v>
        <stp/>
        <stp>VOLUME</stp>
        <stp>.QQQ250731P478</stp>
        <tr r="N70" s="2"/>
        <tr r="N70" s="2"/>
      </tp>
      <tp t="s">
        <v>N/A</v>
        <stp/>
        <stp>VOLUME</stp>
        <stp>.QQQ250731C478</stp>
        <tr r="N70" s="2"/>
      </tp>
      <tp t="s">
        <v>N/A</v>
        <stp/>
        <stp>VOLUME</stp>
        <stp>.QQQ250718P468</stp>
        <tr r="M80" s="2"/>
      </tp>
      <tp t="s">
        <v>N/A</v>
        <stp/>
        <stp>VOLUME</stp>
        <stp>.QQQ250718C468</stp>
        <tr r="M80" s="2"/>
      </tp>
      <tp t="s">
        <v>N/A</v>
        <stp/>
        <stp>VOLUME</stp>
        <stp>.QQQ250718P469</stp>
        <tr r="M79" s="2"/>
      </tp>
      <tp t="s">
        <v>N/A</v>
        <stp/>
        <stp>VOLUME</stp>
        <stp>.QQQ250718C469</stp>
        <tr r="M79" s="2"/>
      </tp>
      <tp t="s">
        <v>N/A</v>
        <stp/>
        <stp>VOLUME</stp>
        <stp>.QQQ250718P478</stp>
        <tr r="M70" s="2"/>
      </tp>
      <tp t="s">
        <v>N/A</v>
        <stp/>
        <stp>VOLUME</stp>
        <stp>.QQQ250718C478</stp>
        <tr r="M70" s="2"/>
      </tp>
      <tp t="s">
        <v>N/A</v>
        <stp/>
        <stp>VOLUME</stp>
        <stp>.QQQ250718P479</stp>
        <tr r="M69" s="2"/>
      </tp>
      <tp t="s">
        <v>N/A</v>
        <stp/>
        <stp>VOLUME</stp>
        <stp>.QQQ250718C479</stp>
        <tr r="M69" s="2"/>
      </tp>
      <tp t="s">
        <v>N/A</v>
        <stp/>
        <stp>VOLUME</stp>
        <stp>.QQQ250718P474</stp>
        <tr r="M74" s="2"/>
      </tp>
      <tp t="s">
        <v>N/A</v>
        <stp/>
        <stp>VOLUME</stp>
        <stp>.QQQ250718C474</stp>
        <tr r="M74" s="2"/>
      </tp>
      <tp>
        <v>322</v>
        <stp/>
        <stp>VOLUME</stp>
        <stp>.QQQ250718P475</stp>
        <tr r="M73" s="2"/>
        <tr r="M73" s="2"/>
      </tp>
      <tp>
        <v>45</v>
        <stp/>
        <stp>VOLUME</stp>
        <stp>.QQQ250718C475</stp>
        <tr r="M73" s="2"/>
        <tr r="M73" s="2"/>
      </tp>
      <tp t="s">
        <v>N/A</v>
        <stp/>
        <stp>VOLUME</stp>
        <stp>.QQQ250718P476</stp>
        <tr r="M72" s="2"/>
      </tp>
      <tp t="s">
        <v>N/A</v>
        <stp/>
        <stp>VOLUME</stp>
        <stp>.QQQ250718C476</stp>
        <tr r="M72" s="2"/>
      </tp>
      <tp t="s">
        <v>N/A</v>
        <stp/>
        <stp>VOLUME</stp>
        <stp>.QQQ250718P477</stp>
        <tr r="M71" s="2"/>
      </tp>
      <tp t="s">
        <v>N/A</v>
        <stp/>
        <stp>VOLUME</stp>
        <stp>.QQQ250718C477</stp>
        <tr r="M71" s="2"/>
      </tp>
      <tp>
        <v>4801</v>
        <stp/>
        <stp>VOLUME</stp>
        <stp>.QQQ250718P470</stp>
        <tr r="M78" s="2"/>
        <tr r="M78" s="2"/>
      </tp>
      <tp>
        <v>7</v>
        <stp/>
        <stp>VOLUME</stp>
        <stp>.QQQ250718C470</stp>
        <tr r="M78" s="2"/>
        <tr r="M78" s="2"/>
      </tp>
      <tp t="s">
        <v>N/A</v>
        <stp/>
        <stp>VOLUME</stp>
        <stp>.QQQ250718P471</stp>
        <tr r="M77" s="2"/>
      </tp>
      <tp t="s">
        <v>N/A</v>
        <stp/>
        <stp>VOLUME</stp>
        <stp>.QQQ250718C471</stp>
        <tr r="M77" s="2"/>
      </tp>
      <tp t="s">
        <v>N/A</v>
        <stp/>
        <stp>VOLUME</stp>
        <stp>.QQQ250718P472</stp>
        <tr r="M76" s="2"/>
      </tp>
      <tp t="s">
        <v>N/A</v>
        <stp/>
        <stp>VOLUME</stp>
        <stp>.QQQ250718C472</stp>
        <tr r="M76" s="2"/>
      </tp>
      <tp t="s">
        <v>N/A</v>
        <stp/>
        <stp>VOLUME</stp>
        <stp>.QQQ250718P473</stp>
        <tr r="M75" s="2"/>
      </tp>
      <tp t="s">
        <v>N/A</v>
        <stp/>
        <stp>VOLUME</stp>
        <stp>.QQQ250718C473</stp>
        <tr r="M75" s="2"/>
      </tp>
      <tp>
        <v>57.8</v>
        <stp/>
        <stp>BID</stp>
        <stp>.SPXW250505C5590</stp>
        <tr r="DE113" s="1"/>
        <tr r="DE113" s="1"/>
      </tp>
      <tp>
        <v>0</v>
        <stp/>
        <stp>BID</stp>
        <stp>.SPXW250505P5590</stp>
        <tr r="DF113" s="1"/>
        <tr r="DF113" s="1"/>
      </tp>
      <tp>
        <v>67.8</v>
        <stp/>
        <stp>BID</stp>
        <stp>.SPXW250505C5580</stp>
        <tr r="DE114" s="1"/>
        <tr r="DE114" s="1"/>
      </tp>
      <tp>
        <v>0</v>
        <stp/>
        <stp>BID</stp>
        <stp>.SPXW250505P5580</stp>
        <tr r="DF114" s="1"/>
        <tr r="DF114" s="1"/>
      </tp>
      <tp>
        <v>97.8</v>
        <stp/>
        <stp>BID</stp>
        <stp>.SPXW250505C5550</stp>
        <tr r="DE117" s="1"/>
        <tr r="DE117" s="1"/>
      </tp>
      <tp>
        <v>0</v>
        <stp/>
        <stp>BID</stp>
        <stp>.SPXW250505P5550</stp>
        <tr r="DF117" s="1"/>
        <tr r="DF117" s="1"/>
      </tp>
      <tp>
        <v>107.8</v>
        <stp/>
        <stp>BID</stp>
        <stp>.SPXW250505C5540</stp>
        <tr r="DE118" s="1"/>
        <tr r="DE118" s="1"/>
      </tp>
      <tp>
        <v>0</v>
        <stp/>
        <stp>BID</stp>
        <stp>.SPXW250505P5540</stp>
        <tr r="DF118" s="1"/>
        <tr r="DF118" s="1"/>
      </tp>
      <tp>
        <v>77.8</v>
        <stp/>
        <stp>BID</stp>
        <stp>.SPXW250505C5570</stp>
        <tr r="DE115" s="1"/>
        <tr r="DE115" s="1"/>
      </tp>
      <tp>
        <v>0</v>
        <stp/>
        <stp>BID</stp>
        <stp>.SPXW250505P5570</stp>
        <tr r="DF115" s="1"/>
        <tr r="DF115" s="1"/>
      </tp>
      <tp>
        <v>87.8</v>
        <stp/>
        <stp>BID</stp>
        <stp>.SPXW250505C5560</stp>
        <tr r="DE116" s="1"/>
        <tr r="DE116" s="1"/>
      </tp>
      <tp>
        <v>0</v>
        <stp/>
        <stp>BID</stp>
        <stp>.SPXW250505P5560</stp>
        <tr r="DF116" s="1"/>
        <tr r="DF116" s="1"/>
      </tp>
      <tp>
        <v>137.80000000000001</v>
        <stp/>
        <stp>BID</stp>
        <stp>.SPXW250505C5510</stp>
        <tr r="DE121" s="1"/>
        <tr r="DE121" s="1"/>
      </tp>
      <tp>
        <v>0</v>
        <stp/>
        <stp>BID</stp>
        <stp>.SPXW250505P5510</stp>
        <tr r="DF121" s="1"/>
        <tr r="DF121" s="1"/>
      </tp>
      <tp>
        <v>147.80000000000001</v>
        <stp/>
        <stp>BID</stp>
        <stp>.SPXW250505C5500</stp>
        <tr r="DE122" s="1"/>
        <tr r="DE122" s="1"/>
      </tp>
      <tp>
        <v>0</v>
        <stp/>
        <stp>BID</stp>
        <stp>.SPXW250505P5500</stp>
        <tr r="DF122" s="1"/>
        <tr r="DF122" s="1"/>
      </tp>
      <tp>
        <v>117.8</v>
        <stp/>
        <stp>BID</stp>
        <stp>.SPXW250505C5530</stp>
        <tr r="DE119" s="1"/>
        <tr r="DE119" s="1"/>
      </tp>
      <tp>
        <v>0</v>
        <stp/>
        <stp>BID</stp>
        <stp>.SPXW250505P5530</stp>
        <tr r="DF119" s="1"/>
        <tr r="DF119" s="1"/>
      </tp>
      <tp>
        <v>127.8</v>
        <stp/>
        <stp>BID</stp>
        <stp>.SPXW250505C5520</stp>
        <tr r="DE120" s="1"/>
        <tr r="DE120" s="1"/>
      </tp>
      <tp>
        <v>0</v>
        <stp/>
        <stp>BID</stp>
        <stp>.SPXW250505P5520</stp>
        <tr r="DF120" s="1"/>
        <tr r="DF120" s="1"/>
      </tp>
      <tp>
        <v>54</v>
        <stp/>
        <stp>VOLUME</stp>
        <stp>.QQQ250516P502</stp>
        <tr r="BF45" s="1"/>
        <tr r="BF45" s="1"/>
      </tp>
      <tp>
        <v>967</v>
        <stp/>
        <stp>VOLUME</stp>
        <stp>.QQQ250516C502</stp>
        <tr r="BE45" s="1"/>
        <tr r="BE45" s="1"/>
      </tp>
      <tp>
        <v>444</v>
        <stp/>
        <stp>VOLUME</stp>
        <stp>.QQQ250516P500</stp>
        <tr r="BF47" s="1"/>
        <tr r="BF47" s="1"/>
      </tp>
      <tp>
        <v>14625</v>
        <stp/>
        <stp>VOLUME</stp>
        <stp>.QQQ250516C500</stp>
        <tr r="BE47" s="1"/>
        <tr r="BE47" s="1"/>
      </tp>
      <tp>
        <v>50</v>
        <stp/>
        <stp>VOLUME</stp>
        <stp>.QQQ250516P501</stp>
        <tr r="BF46" s="1"/>
        <tr r="BF46" s="1"/>
      </tp>
      <tp>
        <v>1256</v>
        <stp/>
        <stp>VOLUME</stp>
        <stp>.QQQ250516C501</stp>
        <tr r="BE46" s="1"/>
        <tr r="BE46" s="1"/>
      </tp>
      <tp t="s">
        <v>N/A</v>
        <stp/>
        <stp>VOLUME</stp>
        <stp>.QQQ250505P501</stp>
        <tr r="BB46" s="1"/>
      </tp>
      <tp t="s">
        <v>N/A</v>
        <stp/>
        <stp>VOLUME</stp>
        <stp>.QQQ250505C501</stp>
        <tr r="BA46" s="1"/>
      </tp>
      <tp t="s">
        <v>N/A</v>
        <stp/>
        <stp>VOLUME</stp>
        <stp>.QQQ250505P500</stp>
        <tr r="BB47" s="1"/>
      </tp>
      <tp t="s">
        <v>N/A</v>
        <stp/>
        <stp>VOLUME</stp>
        <stp>.QQQ250505C500</stp>
        <tr r="BA47" s="1"/>
      </tp>
      <tp t="s">
        <v>N/A</v>
        <stp/>
        <stp>VOLUME</stp>
        <stp>.QQQ250505P502</stp>
        <tr r="BB45" s="1"/>
      </tp>
      <tp t="s">
        <v>N/A</v>
        <stp/>
        <stp>VOLUME</stp>
        <stp>.QQQ250505C502</stp>
        <tr r="BA45" s="1"/>
      </tp>
      <tp>
        <v>19</v>
        <stp/>
        <stp>VOLUME</stp>
        <stp>.QQQ250509P501</stp>
        <tr r="BD46" s="1"/>
        <tr r="BD46" s="1"/>
      </tp>
      <tp>
        <v>3367</v>
        <stp/>
        <stp>VOLUME</stp>
        <stp>.QQQ250509C501</stp>
        <tr r="BC46" s="1"/>
        <tr r="BC46" s="1"/>
      </tp>
      <tp>
        <v>464</v>
        <stp/>
        <stp>VOLUME</stp>
        <stp>.QQQ250509P500</stp>
        <tr r="BD47" s="1"/>
        <tr r="BD47" s="1"/>
      </tp>
      <tp>
        <v>10725</v>
        <stp/>
        <stp>VOLUME</stp>
        <stp>.QQQ250509C500</stp>
        <tr r="BC47" s="1"/>
        <tr r="BC47" s="1"/>
      </tp>
      <tp>
        <v>1</v>
        <stp/>
        <stp>VOLUME</stp>
        <stp>.QQQ250509P502</stp>
        <tr r="BD45" s="1"/>
        <tr r="BD45" s="1"/>
      </tp>
      <tp>
        <v>2333</v>
        <stp/>
        <stp>VOLUME</stp>
        <stp>.QQQ250509C502</stp>
        <tr r="BC45" s="1"/>
        <tr r="BC45" s="1"/>
      </tp>
      <tp>
        <v>212</v>
        <stp/>
        <stp>VOLUME</stp>
        <stp>.QQQ250530P500</stp>
        <tr r="I48" s="2"/>
        <tr r="I48" s="2"/>
      </tp>
      <tp>
        <v>5864</v>
        <stp/>
        <stp>VOLUME</stp>
        <stp>.QQQ250530C500</stp>
        <tr r="I48" s="2"/>
        <tr r="I48" s="2"/>
      </tp>
      <tp>
        <v>100</v>
        <stp/>
        <stp>VOLUME</stp>
        <stp>.QQQ250530P501</stp>
        <tr r="I47" s="2"/>
        <tr r="I47" s="2"/>
      </tp>
      <tp>
        <v>467</v>
        <stp/>
        <stp>VOLUME</stp>
        <stp>.QQQ250530C501</stp>
        <tr r="I47" s="2"/>
        <tr r="I47" s="2"/>
      </tp>
      <tp t="s">
        <v>N/A</v>
        <stp/>
        <stp>VOLUME</stp>
        <stp>.QQQ250530P502</stp>
        <tr r="I46" s="2"/>
      </tp>
      <tp>
        <v>17</v>
        <stp/>
        <stp>VOLUME</stp>
        <stp>.QQQ250530C502</stp>
        <tr r="I46" s="2"/>
        <tr r="I46" s="2"/>
      </tp>
      <tp>
        <v>206</v>
        <stp/>
        <stp>VOLUME</stp>
        <stp>.QQQ250523P502</stp>
        <tr r="H46" s="2"/>
        <tr r="H46" s="2"/>
      </tp>
      <tp>
        <v>42</v>
        <stp/>
        <stp>VOLUME</stp>
        <stp>.QQQ250523C502</stp>
        <tr r="H46" s="2"/>
        <tr r="H46" s="2"/>
      </tp>
      <tp>
        <v>114</v>
        <stp/>
        <stp>VOLUME</stp>
        <stp>.QQQ250523P501</stp>
        <tr r="H47" s="2"/>
        <tr r="H47" s="2"/>
      </tp>
      <tp>
        <v>22</v>
        <stp/>
        <stp>VOLUME</stp>
        <stp>.QQQ250523C501</stp>
        <tr r="H47" s="2"/>
        <tr r="H47" s="2"/>
      </tp>
      <tp>
        <v>329</v>
        <stp/>
        <stp>VOLUME</stp>
        <stp>.QQQ250523P500</stp>
        <tr r="H48" s="2"/>
        <tr r="H48" s="2"/>
      </tp>
      <tp>
        <v>6216</v>
        <stp/>
        <stp>VOLUME</stp>
        <stp>.QQQ250523C500</stp>
        <tr r="H48" s="2"/>
        <tr r="H48" s="2"/>
      </tp>
      <tp>
        <v>151</v>
        <stp/>
        <stp>BID</stp>
        <stp>.SPXW250505C5490</stp>
        <tr r="DE123" s="1"/>
        <tr r="DE123" s="1"/>
      </tp>
      <tp>
        <v>0</v>
        <stp/>
        <stp>BID</stp>
        <stp>.SPXW250505P5490</stp>
        <tr r="DF123" s="1"/>
        <tr r="DF123" s="1"/>
      </tp>
      <tp>
        <v>162.9</v>
        <stp/>
        <stp>BID</stp>
        <stp>.SPXW250505C5480</stp>
        <tr r="DE124" s="1"/>
        <tr r="DE124" s="1"/>
      </tp>
      <tp>
        <v>0</v>
        <stp/>
        <stp>BID</stp>
        <stp>.SPXW250505P5480</stp>
        <tr r="DF124" s="1"/>
        <tr r="DF124" s="1"/>
      </tp>
      <tp>
        <v>191.7</v>
        <stp/>
        <stp>BID</stp>
        <stp>.SPXW250505C5450</stp>
        <tr r="DE127" s="1"/>
        <tr r="DE127" s="1"/>
      </tp>
      <tp>
        <v>0</v>
        <stp/>
        <stp>BID</stp>
        <stp>.SPXW250505P5450</stp>
        <tr r="DF127" s="1"/>
        <tr r="DF127" s="1"/>
      </tp>
      <tp>
        <v>202</v>
        <stp/>
        <stp>BID</stp>
        <stp>.SPXW250505C5440</stp>
        <tr r="DE128" s="1"/>
        <tr r="DE128" s="1"/>
      </tp>
      <tp>
        <v>0</v>
        <stp/>
        <stp>BID</stp>
        <stp>.SPXW250505P5440</stp>
        <tr r="DF128" s="1"/>
        <tr r="DF128" s="1"/>
      </tp>
      <tp>
        <v>172.9</v>
        <stp/>
        <stp>BID</stp>
        <stp>.SPXW250505C5470</stp>
        <tr r="DE125" s="1"/>
        <tr r="DE125" s="1"/>
      </tp>
      <tp>
        <v>0</v>
        <stp/>
        <stp>BID</stp>
        <stp>.SPXW250505P5470</stp>
        <tr r="DF125" s="1"/>
        <tr r="DF125" s="1"/>
      </tp>
      <tp>
        <v>182.9</v>
        <stp/>
        <stp>BID</stp>
        <stp>.SPXW250505C5460</stp>
        <tr r="DE126" s="1"/>
        <tr r="DE126" s="1"/>
      </tp>
      <tp>
        <v>0</v>
        <stp/>
        <stp>BID</stp>
        <stp>.SPXW250505P5460</stp>
        <tr r="DF126" s="1"/>
        <tr r="DF126" s="1"/>
      </tp>
      <tp>
        <v>212</v>
        <stp/>
        <stp>BID</stp>
        <stp>.SPXW250505C5430</stp>
        <tr r="DE129" s="1"/>
        <tr r="DE129" s="1"/>
      </tp>
      <tp>
        <v>0</v>
        <stp/>
        <stp>BID</stp>
        <stp>.SPXW250505P5430</stp>
        <tr r="DF129" s="1"/>
        <tr r="DF129" s="1"/>
      </tp>
      <tp>
        <v>221.9</v>
        <stp/>
        <stp>BID</stp>
        <stp>.SPXW250505C5420</stp>
        <tr r="DE130" s="1"/>
        <tr r="DE130" s="1"/>
      </tp>
      <tp>
        <v>0</v>
        <stp/>
        <stp>BID</stp>
        <stp>.SPXW250505P5420</stp>
        <tr r="DF130" s="1"/>
        <tr r="DF130" s="1"/>
      </tp>
      <tp t="s">
        <v>N/A</v>
        <stp/>
        <stp>VOLUME</stp>
        <stp>.QQQ250505P491</stp>
        <tr r="BB56" s="1"/>
      </tp>
      <tp>
        <v>677</v>
        <stp/>
        <stp>VOLUME</stp>
        <stp>.QQQ250516P482</stp>
        <tr r="BF65" s="1"/>
        <tr r="BF65" s="1"/>
      </tp>
      <tp t="s">
        <v>N/A</v>
        <stp/>
        <stp>VOLUME</stp>
        <stp>.QQQ250505C491</stp>
        <tr r="BA56" s="1"/>
      </tp>
      <tp>
        <v>282</v>
        <stp/>
        <stp>VOLUME</stp>
        <stp>.QQQ250516C482</stp>
        <tr r="BE65" s="1"/>
        <tr r="BE65" s="1"/>
      </tp>
      <tp t="s">
        <v>N/A</v>
        <stp/>
        <stp>VOLUME</stp>
        <stp>.QQQ250505P490</stp>
        <tr r="BB57" s="1"/>
      </tp>
      <tp>
        <v>2102</v>
        <stp/>
        <stp>VOLUME</stp>
        <stp>.QQQ250516P483</stp>
        <tr r="BF64" s="1"/>
        <tr r="BF64" s="1"/>
      </tp>
      <tp t="s">
        <v>N/A</v>
        <stp/>
        <stp>VOLUME</stp>
        <stp>.QQQ250505C490</stp>
        <tr r="BA57" s="1"/>
      </tp>
      <tp>
        <v>121</v>
        <stp/>
        <stp>VOLUME</stp>
        <stp>.QQQ250516C483</stp>
        <tr r="BE64" s="1"/>
        <tr r="BE64" s="1"/>
      </tp>
      <tp t="s">
        <v>N/A</v>
        <stp/>
        <stp>VOLUME</stp>
        <stp>.QQQ250505P493</stp>
        <tr r="BB54" s="1"/>
      </tp>
      <tp>
        <v>12274</v>
        <stp/>
        <stp>VOLUME</stp>
        <stp>.QQQ250516P480</stp>
        <tr r="BF67" s="1"/>
        <tr r="BF67" s="1"/>
      </tp>
      <tp t="s">
        <v>N/A</v>
        <stp/>
        <stp>VOLUME</stp>
        <stp>.QQQ250505C493</stp>
        <tr r="BA54" s="1"/>
      </tp>
      <tp>
        <v>2188</v>
        <stp/>
        <stp>VOLUME</stp>
        <stp>.QQQ250516C480</stp>
        <tr r="BE67" s="1"/>
        <tr r="BE67" s="1"/>
      </tp>
      <tp t="s">
        <v>N/A</v>
        <stp/>
        <stp>VOLUME</stp>
        <stp>.QQQ250505P492</stp>
        <tr r="BB55" s="1"/>
      </tp>
      <tp>
        <v>367</v>
        <stp/>
        <stp>VOLUME</stp>
        <stp>.QQQ250516P481</stp>
        <tr r="BF66" s="1"/>
        <tr r="BF66" s="1"/>
      </tp>
      <tp t="s">
        <v>N/A</v>
        <stp/>
        <stp>VOLUME</stp>
        <stp>.QQQ250505C492</stp>
        <tr r="BA55" s="1"/>
      </tp>
      <tp>
        <v>70</v>
        <stp/>
        <stp>VOLUME</stp>
        <stp>.QQQ250516C481</stp>
        <tr r="BE66" s="1"/>
        <tr r="BE66" s="1"/>
      </tp>
      <tp t="s">
        <v>N/A</v>
        <stp/>
        <stp>VOLUME</stp>
        <stp>.QQQ250505P495</stp>
        <tr r="BB52" s="1"/>
      </tp>
      <tp>
        <v>50</v>
        <stp/>
        <stp>VOLUME</stp>
        <stp>.QQQ250509P499</stp>
        <tr r="BD48" s="1"/>
        <tr r="BD48" s="1"/>
      </tp>
      <tp>
        <v>1925</v>
        <stp/>
        <stp>VOLUME</stp>
        <stp>.QQQ250516P486</stp>
        <tr r="BF61" s="1"/>
        <tr r="BF61" s="1"/>
      </tp>
      <tp t="s">
        <v>N/A</v>
        <stp/>
        <stp>VOLUME</stp>
        <stp>.QQQ250505C495</stp>
        <tr r="BA52" s="1"/>
      </tp>
      <tp>
        <v>3314</v>
        <stp/>
        <stp>VOLUME</stp>
        <stp>.QQQ250509C499</stp>
        <tr r="BC48" s="1"/>
        <tr r="BC48" s="1"/>
      </tp>
      <tp>
        <v>1695</v>
        <stp/>
        <stp>VOLUME</stp>
        <stp>.QQQ250516C486</stp>
        <tr r="BE61" s="1"/>
        <tr r="BE61" s="1"/>
      </tp>
      <tp t="s">
        <v>N/A</v>
        <stp/>
        <stp>VOLUME</stp>
        <stp>.QQQ250505P494</stp>
        <tr r="BB53" s="1"/>
      </tp>
      <tp>
        <v>209</v>
        <stp/>
        <stp>VOLUME</stp>
        <stp>.QQQ250509P498</stp>
        <tr r="BD49" s="1"/>
        <tr r="BD49" s="1"/>
      </tp>
      <tp>
        <v>3102</v>
        <stp/>
        <stp>VOLUME</stp>
        <stp>.QQQ250516P487</stp>
        <tr r="BF60" s="1"/>
        <tr r="BF60" s="1"/>
      </tp>
      <tp t="s">
        <v>N/A</v>
        <stp/>
        <stp>VOLUME</stp>
        <stp>.QQQ250505C494</stp>
        <tr r="BA53" s="1"/>
      </tp>
      <tp>
        <v>10702</v>
        <stp/>
        <stp>VOLUME</stp>
        <stp>.QQQ250509C498</stp>
        <tr r="BC49" s="1"/>
        <tr r="BC49" s="1"/>
      </tp>
      <tp>
        <v>1238</v>
        <stp/>
        <stp>VOLUME</stp>
        <stp>.QQQ250516C487</stp>
        <tr r="BE60" s="1"/>
        <tr r="BE60" s="1"/>
      </tp>
      <tp t="s">
        <v>N/A</v>
        <stp/>
        <stp>VOLUME</stp>
        <stp>.QQQ250505P497</stp>
        <tr r="BB50" s="1"/>
      </tp>
      <tp>
        <v>1556</v>
        <stp/>
        <stp>VOLUME</stp>
        <stp>.QQQ250516P484</stp>
        <tr r="BF63" s="1"/>
        <tr r="BF63" s="1"/>
      </tp>
      <tp t="s">
        <v>N/A</v>
        <stp/>
        <stp>VOLUME</stp>
        <stp>.QQQ250505C497</stp>
        <tr r="BA50" s="1"/>
      </tp>
      <tp>
        <v>115</v>
        <stp/>
        <stp>VOLUME</stp>
        <stp>.QQQ250516C484</stp>
        <tr r="BE63" s="1"/>
        <tr r="BE63" s="1"/>
      </tp>
      <tp t="s">
        <v>N/A</v>
        <stp/>
        <stp>VOLUME</stp>
        <stp>.QQQ250505P496</stp>
        <tr r="BB51" s="1"/>
      </tp>
      <tp>
        <v>13735</v>
        <stp/>
        <stp>VOLUME</stp>
        <stp>.QQQ250516P485</stp>
        <tr r="BF62" s="1"/>
        <tr r="BF62" s="1"/>
      </tp>
      <tp t="s">
        <v>N/A</v>
        <stp/>
        <stp>VOLUME</stp>
        <stp>.QQQ250505C496</stp>
        <tr r="BA51" s="1"/>
      </tp>
      <tp>
        <v>2375</v>
        <stp/>
        <stp>VOLUME</stp>
        <stp>.QQQ250516C485</stp>
        <tr r="BE62" s="1"/>
        <tr r="BE62" s="1"/>
      </tp>
      <tp t="s">
        <v>N/A</v>
        <stp/>
        <stp>VOLUME</stp>
        <stp>.QQQ250505P499</stp>
        <tr r="BB48" s="1"/>
      </tp>
      <tp>
        <v>4253</v>
        <stp/>
        <stp>VOLUME</stp>
        <stp>.QQQ250509P495</stp>
        <tr r="BD52" s="1"/>
        <tr r="BD52" s="1"/>
      </tp>
      <tp t="s">
        <v>N/A</v>
        <stp/>
        <stp>VOLUME</stp>
        <stp>.QQQ250505C499</stp>
        <tr r="BA48" s="1"/>
      </tp>
      <tp>
        <v>71389</v>
        <stp/>
        <stp>VOLUME</stp>
        <stp>.QQQ250509C495</stp>
        <tr r="BC52" s="1"/>
        <tr r="BC52" s="1"/>
      </tp>
      <tp t="s">
        <v>N/A</v>
        <stp/>
        <stp>VOLUME</stp>
        <stp>.QQQ250505P498</stp>
        <tr r="BB49" s="1"/>
      </tp>
      <tp>
        <v>783</v>
        <stp/>
        <stp>VOLUME</stp>
        <stp>.QQQ250509P494</stp>
        <tr r="BD53" s="1"/>
        <tr r="BD53" s="1"/>
      </tp>
      <tp t="s">
        <v>N/A</v>
        <stp/>
        <stp>VOLUME</stp>
        <stp>.QQQ250505C498</stp>
        <tr r="BA49" s="1"/>
      </tp>
      <tp>
        <v>36320</v>
        <stp/>
        <stp>VOLUME</stp>
        <stp>.QQQ250509C494</stp>
        <tr r="BC53" s="1"/>
        <tr r="BC53" s="1"/>
      </tp>
      <tp>
        <v>191</v>
        <stp/>
        <stp>VOLUME</stp>
        <stp>.QQQ250509P497</stp>
        <tr r="BD50" s="1"/>
        <tr r="BD50" s="1"/>
      </tp>
      <tp>
        <v>2184</v>
        <stp/>
        <stp>VOLUME</stp>
        <stp>.QQQ250516P488</stp>
        <tr r="BF59" s="1"/>
        <tr r="BF59" s="1"/>
      </tp>
      <tp>
        <v>12075</v>
        <stp/>
        <stp>VOLUME</stp>
        <stp>.QQQ250509C497</stp>
        <tr r="BC50" s="1"/>
        <tr r="BC50" s="1"/>
      </tp>
      <tp>
        <v>1844</v>
        <stp/>
        <stp>VOLUME</stp>
        <stp>.QQQ250516C488</stp>
        <tr r="BE59" s="1"/>
        <tr r="BE59" s="1"/>
      </tp>
      <tp>
        <v>414</v>
        <stp/>
        <stp>VOLUME</stp>
        <stp>.QQQ250509P496</stp>
        <tr r="BD51" s="1"/>
        <tr r="BD51" s="1"/>
      </tp>
      <tp>
        <v>2013</v>
        <stp/>
        <stp>VOLUME</stp>
        <stp>.QQQ250516P489</stp>
        <tr r="BF58" s="1"/>
        <tr r="BF58" s="1"/>
      </tp>
      <tp>
        <v>17493</v>
        <stp/>
        <stp>VOLUME</stp>
        <stp>.QQQ250509C496</stp>
        <tr r="BC51" s="1"/>
        <tr r="BC51" s="1"/>
      </tp>
      <tp>
        <v>2745</v>
        <stp/>
        <stp>VOLUME</stp>
        <stp>.QQQ250516C489</stp>
        <tr r="BE58" s="1"/>
        <tr r="BE58" s="1"/>
      </tp>
      <tp>
        <v>28296</v>
        <stp/>
        <stp>VOLUME</stp>
        <stp>.QQQ250509P491</stp>
        <tr r="BD56" s="1"/>
        <tr r="BD56" s="1"/>
      </tp>
      <tp>
        <v>125611</v>
        <stp/>
        <stp>VOLUME</stp>
        <stp>.QQQ250509C491</stp>
        <tr r="BC56" s="1"/>
        <tr r="BC56" s="1"/>
      </tp>
      <tp>
        <v>80050</v>
        <stp/>
        <stp>VOLUME</stp>
        <stp>.QQQ250509P490</stp>
        <tr r="BD57" s="1"/>
        <tr r="BD57" s="1"/>
      </tp>
      <tp>
        <v>172339</v>
        <stp/>
        <stp>VOLUME</stp>
        <stp>.QQQ250509C490</stp>
        <tr r="BC57" s="1"/>
        <tr r="BC57" s="1"/>
      </tp>
      <tp>
        <v>3069</v>
        <stp/>
        <stp>VOLUME</stp>
        <stp>.QQQ250509P493</stp>
        <tr r="BD54" s="1"/>
        <tr r="BD54" s="1"/>
      </tp>
      <tp>
        <v>74644</v>
        <stp/>
        <stp>VOLUME</stp>
        <stp>.QQQ250509C493</stp>
        <tr r="BC54" s="1"/>
        <tr r="BC54" s="1"/>
      </tp>
      <tp>
        <v>11255</v>
        <stp/>
        <stp>VOLUME</stp>
        <stp>.QQQ250509P492</stp>
        <tr r="BD55" s="1"/>
        <tr r="BD55" s="1"/>
      </tp>
      <tp>
        <v>97017</v>
        <stp/>
        <stp>VOLUME</stp>
        <stp>.QQQ250509C492</stp>
        <tr r="BC55" s="1"/>
        <tr r="BC55" s="1"/>
      </tp>
      <tp t="s">
        <v>N/A</v>
        <stp/>
        <stp>VOLUME</stp>
        <stp>.QQQ250505P481</stp>
        <tr r="BB66" s="1"/>
      </tp>
      <tp>
        <v>521</v>
        <stp/>
        <stp>VOLUME</stp>
        <stp>.QQQ250516P492</stp>
        <tr r="BF55" s="1"/>
        <tr r="BF55" s="1"/>
      </tp>
      <tp t="s">
        <v>N/A</v>
        <stp/>
        <stp>VOLUME</stp>
        <stp>.QQQ250505C481</stp>
        <tr r="BA66" s="1"/>
      </tp>
      <tp>
        <v>2465</v>
        <stp/>
        <stp>VOLUME</stp>
        <stp>.QQQ250516C492</stp>
        <tr r="BE55" s="1"/>
        <tr r="BE55" s="1"/>
      </tp>
      <tp t="s">
        <v>N/A</v>
        <stp/>
        <stp>VOLUME</stp>
        <stp>.QQQ250505P480</stp>
        <tr r="BB67" s="1"/>
      </tp>
      <tp>
        <v>285</v>
        <stp/>
        <stp>VOLUME</stp>
        <stp>.QQQ250516P493</stp>
        <tr r="BF54" s="1"/>
        <tr r="BF54" s="1"/>
      </tp>
      <tp t="s">
        <v>N/A</v>
        <stp/>
        <stp>VOLUME</stp>
        <stp>.QQQ250505C480</stp>
        <tr r="BA67" s="1"/>
      </tp>
      <tp>
        <v>1576</v>
        <stp/>
        <stp>VOLUME</stp>
        <stp>.QQQ250516C493</stp>
        <tr r="BE54" s="1"/>
        <tr r="BE54" s="1"/>
      </tp>
      <tp t="s">
        <v>N/A</v>
        <stp/>
        <stp>VOLUME</stp>
        <stp>.QQQ250505P483</stp>
        <tr r="BB64" s="1"/>
      </tp>
      <tp>
        <v>10614</v>
        <stp/>
        <stp>VOLUME</stp>
        <stp>.QQQ250516P490</stp>
        <tr r="BF57" s="1"/>
        <tr r="BF57" s="1"/>
      </tp>
      <tp t="s">
        <v>N/A</v>
        <stp/>
        <stp>VOLUME</stp>
        <stp>.QQQ250505C483</stp>
        <tr r="BA64" s="1"/>
      </tp>
      <tp>
        <v>16143</v>
        <stp/>
        <stp>VOLUME</stp>
        <stp>.QQQ250516C490</stp>
        <tr r="BE57" s="1"/>
        <tr r="BE57" s="1"/>
      </tp>
      <tp t="s">
        <v>N/A</v>
        <stp/>
        <stp>VOLUME</stp>
        <stp>.QQQ250505P482</stp>
        <tr r="BB65" s="1"/>
      </tp>
      <tp>
        <v>1071</v>
        <stp/>
        <stp>VOLUME</stp>
        <stp>.QQQ250516P491</stp>
        <tr r="BF56" s="1"/>
        <tr r="BF56" s="1"/>
      </tp>
      <tp t="s">
        <v>N/A</v>
        <stp/>
        <stp>VOLUME</stp>
        <stp>.QQQ250505C482</stp>
        <tr r="BA65" s="1"/>
      </tp>
      <tp>
        <v>2095</v>
        <stp/>
        <stp>VOLUME</stp>
        <stp>.QQQ250516C491</stp>
        <tr r="BE56" s="1"/>
        <tr r="BE56" s="1"/>
      </tp>
      <tp t="s">
        <v>N/A</v>
        <stp/>
        <stp>VOLUME</stp>
        <stp>.QQQ250505P485</stp>
        <tr r="BB62" s="1"/>
      </tp>
      <tp>
        <v>77159</v>
        <stp/>
        <stp>VOLUME</stp>
        <stp>.QQQ250509P489</stp>
        <tr r="BD58" s="1"/>
        <tr r="BD58" s="1"/>
      </tp>
      <tp>
        <v>40</v>
        <stp/>
        <stp>VOLUME</stp>
        <stp>.QQQ250516P496</stp>
        <tr r="BF51" s="1"/>
        <tr r="BF51" s="1"/>
      </tp>
      <tp t="s">
        <v>N/A</v>
        <stp/>
        <stp>VOLUME</stp>
        <stp>.QQQ250505C485</stp>
        <tr r="BA62" s="1"/>
      </tp>
      <tp>
        <v>147460</v>
        <stp/>
        <stp>VOLUME</stp>
        <stp>.QQQ250509C489</stp>
        <tr r="BC58" s="1"/>
        <tr r="BC58" s="1"/>
      </tp>
      <tp>
        <v>1114</v>
        <stp/>
        <stp>VOLUME</stp>
        <stp>.QQQ250516C496</stp>
        <tr r="BE51" s="1"/>
        <tr r="BE51" s="1"/>
      </tp>
      <tp t="s">
        <v>N/A</v>
        <stp/>
        <stp>VOLUME</stp>
        <stp>.QQQ250505P484</stp>
        <tr r="BB63" s="1"/>
      </tp>
      <tp>
        <v>167184</v>
        <stp/>
        <stp>VOLUME</stp>
        <stp>.QQQ250509P488</stp>
        <tr r="BD59" s="1"/>
        <tr r="BD59" s="1"/>
      </tp>
      <tp>
        <v>30</v>
        <stp/>
        <stp>VOLUME</stp>
        <stp>.QQQ250516P497</stp>
        <tr r="BF50" s="1"/>
        <tr r="BF50" s="1"/>
      </tp>
      <tp t="s">
        <v>N/A</v>
        <stp/>
        <stp>VOLUME</stp>
        <stp>.QQQ250505C484</stp>
        <tr r="BA63" s="1"/>
      </tp>
      <tp>
        <v>134820</v>
        <stp/>
        <stp>VOLUME</stp>
        <stp>.QQQ250509C488</stp>
        <tr r="BC59" s="1"/>
        <tr r="BC59" s="1"/>
      </tp>
      <tp>
        <v>779</v>
        <stp/>
        <stp>VOLUME</stp>
        <stp>.QQQ250516C497</stp>
        <tr r="BE50" s="1"/>
        <tr r="BE50" s="1"/>
      </tp>
      <tp t="s">
        <v>N/A</v>
        <stp/>
        <stp>VOLUME</stp>
        <stp>.QQQ250505P487</stp>
        <tr r="BB60" s="1"/>
      </tp>
      <tp>
        <v>316</v>
        <stp/>
        <stp>VOLUME</stp>
        <stp>.QQQ250516P494</stp>
        <tr r="BF53" s="1"/>
        <tr r="BF53" s="1"/>
      </tp>
      <tp t="s">
        <v>N/A</v>
        <stp/>
        <stp>VOLUME</stp>
        <stp>.QQQ250505C487</stp>
        <tr r="BA60" s="1"/>
      </tp>
      <tp>
        <v>1093</v>
        <stp/>
        <stp>VOLUME</stp>
        <stp>.QQQ250516C494</stp>
        <tr r="BE53" s="1"/>
        <tr r="BE53" s="1"/>
      </tp>
      <tp t="s">
        <v>N/A</v>
        <stp/>
        <stp>VOLUME</stp>
        <stp>.QQQ250505P486</stp>
        <tr r="BB61" s="1"/>
      </tp>
      <tp>
        <v>952</v>
        <stp/>
        <stp>VOLUME</stp>
        <stp>.QQQ250516P495</stp>
        <tr r="BF52" s="1"/>
        <tr r="BF52" s="1"/>
      </tp>
      <tp t="s">
        <v>N/A</v>
        <stp/>
        <stp>VOLUME</stp>
        <stp>.QQQ250505C486</stp>
        <tr r="BA61" s="1"/>
      </tp>
      <tp>
        <v>5633</v>
        <stp/>
        <stp>VOLUME</stp>
        <stp>.QQQ250516C495</stp>
        <tr r="BE52" s="1"/>
        <tr r="BE52" s="1"/>
      </tp>
      <tp t="s">
        <v>N/A</v>
        <stp/>
        <stp>VOLUME</stp>
        <stp>.QQQ250505P489</stp>
        <tr r="BB58" s="1"/>
      </tp>
      <tp>
        <v>100444</v>
        <stp/>
        <stp>VOLUME</stp>
        <stp>.QQQ250509P485</stp>
        <tr r="BD62" s="1"/>
        <tr r="BD62" s="1"/>
      </tp>
      <tp t="s">
        <v>N/A</v>
        <stp/>
        <stp>VOLUME</stp>
        <stp>.QQQ250505C489</stp>
        <tr r="BA58" s="1"/>
      </tp>
      <tp>
        <v>16198</v>
        <stp/>
        <stp>VOLUME</stp>
        <stp>.QQQ250509C485</stp>
        <tr r="BC62" s="1"/>
        <tr r="BC62" s="1"/>
      </tp>
      <tp t="s">
        <v>N/A</v>
        <stp/>
        <stp>VOLUME</stp>
        <stp>.QQQ250505P488</stp>
        <tr r="BB59" s="1"/>
      </tp>
      <tp>
        <v>48368</v>
        <stp/>
        <stp>VOLUME</stp>
        <stp>.QQQ250509P484</stp>
        <tr r="BD63" s="1"/>
        <tr r="BD63" s="1"/>
      </tp>
      <tp t="s">
        <v>N/A</v>
        <stp/>
        <stp>VOLUME</stp>
        <stp>.QQQ250505C488</stp>
        <tr r="BA59" s="1"/>
      </tp>
      <tp>
        <v>4274</v>
        <stp/>
        <stp>VOLUME</stp>
        <stp>.QQQ250509C484</stp>
        <tr r="BC63" s="1"/>
        <tr r="BC63" s="1"/>
      </tp>
      <tp>
        <v>110290</v>
        <stp/>
        <stp>VOLUME</stp>
        <stp>.QQQ250509P487</stp>
        <tr r="BD60" s="1"/>
        <tr r="BD60" s="1"/>
      </tp>
      <tp>
        <v>17</v>
        <stp/>
        <stp>VOLUME</stp>
        <stp>.QQQ250516P498</stp>
        <tr r="BF49" s="1"/>
        <tr r="BF49" s="1"/>
      </tp>
      <tp>
        <v>57949</v>
        <stp/>
        <stp>VOLUME</stp>
        <stp>.QQQ250509C487</stp>
        <tr r="BC60" s="1"/>
        <tr r="BC60" s="1"/>
      </tp>
      <tp>
        <v>948</v>
        <stp/>
        <stp>VOLUME</stp>
        <stp>.QQQ250516C498</stp>
        <tr r="BE49" s="1"/>
        <tr r="BE49" s="1"/>
      </tp>
      <tp>
        <v>109390</v>
        <stp/>
        <stp>VOLUME</stp>
        <stp>.QQQ250509P486</stp>
        <tr r="BD61" s="1"/>
        <tr r="BD61" s="1"/>
      </tp>
      <tp>
        <v>50</v>
        <stp/>
        <stp>VOLUME</stp>
        <stp>.QQQ250516P499</stp>
        <tr r="BF48" s="1"/>
        <tr r="BF48" s="1"/>
      </tp>
      <tp>
        <v>17501</v>
        <stp/>
        <stp>VOLUME</stp>
        <stp>.QQQ250509C486</stp>
        <tr r="BC61" s="1"/>
        <tr r="BC61" s="1"/>
      </tp>
      <tp>
        <v>666</v>
        <stp/>
        <stp>VOLUME</stp>
        <stp>.QQQ250516C499</stp>
        <tr r="BE48" s="1"/>
        <tr r="BE48" s="1"/>
      </tp>
      <tp>
        <v>9331</v>
        <stp/>
        <stp>VOLUME</stp>
        <stp>.QQQ250509P481</stp>
        <tr r="BD66" s="1"/>
        <tr r="BD66" s="1"/>
      </tp>
      <tp>
        <v>559</v>
        <stp/>
        <stp>VOLUME</stp>
        <stp>.QQQ250509C481</stp>
        <tr r="BC66" s="1"/>
        <tr r="BC66" s="1"/>
      </tp>
      <tp>
        <v>29076</v>
        <stp/>
        <stp>VOLUME</stp>
        <stp>.QQQ250509P480</stp>
        <tr r="BD67" s="1"/>
        <tr r="BD67" s="1"/>
      </tp>
      <tp>
        <v>2151</v>
        <stp/>
        <stp>VOLUME</stp>
        <stp>.QQQ250509C480</stp>
        <tr r="BC67" s="1"/>
        <tr r="BC67" s="1"/>
      </tp>
      <tp>
        <v>33256</v>
        <stp/>
        <stp>VOLUME</stp>
        <stp>.QQQ250509P483</stp>
        <tr r="BD64" s="1"/>
        <tr r="BD64" s="1"/>
      </tp>
      <tp>
        <v>3086</v>
        <stp/>
        <stp>VOLUME</stp>
        <stp>.QQQ250509C483</stp>
        <tr r="BC64" s="1"/>
        <tr r="BC64" s="1"/>
      </tp>
      <tp>
        <v>16319</v>
        <stp/>
        <stp>VOLUME</stp>
        <stp>.QQQ250509P482</stp>
        <tr r="BD65" s="1"/>
        <tr r="BD65" s="1"/>
      </tp>
      <tp>
        <v>1244</v>
        <stp/>
        <stp>VOLUME</stp>
        <stp>.QQQ250509C482</stp>
        <tr r="BC65" s="1"/>
        <tr r="BC65" s="1"/>
      </tp>
      <tp>
        <v>121</v>
        <stp/>
        <stp>VOLUME</stp>
        <stp>.QQQ250523P497</stp>
        <tr r="H51" s="2"/>
        <tr r="H51" s="2"/>
      </tp>
      <tp>
        <v>1785</v>
        <stp/>
        <stp>VOLUME</stp>
        <stp>.QQQ250530P484</stp>
        <tr r="I64" s="2"/>
        <tr r="I64" s="2"/>
      </tp>
      <tp>
        <v>303</v>
        <stp/>
        <stp>VOLUME</stp>
        <stp>.QQQ250523C497</stp>
        <tr r="H51" s="2"/>
        <tr r="H51" s="2"/>
      </tp>
      <tp>
        <v>19</v>
        <stp/>
        <stp>VOLUME</stp>
        <stp>.QQQ250530C484</stp>
        <tr r="I64" s="2"/>
        <tr r="I64" s="2"/>
      </tp>
      <tp>
        <v>80</v>
        <stp/>
        <stp>VOLUME</stp>
        <stp>.QQQ250523P496</stp>
        <tr r="H52" s="2"/>
        <tr r="H52" s="2"/>
      </tp>
      <tp>
        <v>1007</v>
        <stp/>
        <stp>VOLUME</stp>
        <stp>.QQQ250530P485</stp>
        <tr r="I63" s="2"/>
        <tr r="I63" s="2"/>
      </tp>
      <tp>
        <v>92</v>
        <stp/>
        <stp>VOLUME</stp>
        <stp>.QQQ250523C496</stp>
        <tr r="H52" s="2"/>
        <tr r="H52" s="2"/>
      </tp>
      <tp>
        <v>745</v>
        <stp/>
        <stp>VOLUME</stp>
        <stp>.QQQ250530C485</stp>
        <tr r="I63" s="2"/>
        <tr r="I63" s="2"/>
      </tp>
      <tp>
        <v>38</v>
        <stp/>
        <stp>VOLUME</stp>
        <stp>.QQQ250523P495</stp>
        <tr r="H53" s="2"/>
        <tr r="H53" s="2"/>
      </tp>
      <tp>
        <v>314</v>
        <stp/>
        <stp>VOLUME</stp>
        <stp>.QQQ250530P486</stp>
        <tr r="I62" s="2"/>
        <tr r="I62" s="2"/>
      </tp>
      <tp>
        <v>622</v>
        <stp/>
        <stp>VOLUME</stp>
        <stp>.QQQ250523C495</stp>
        <tr r="H53" s="2"/>
        <tr r="H53" s="2"/>
      </tp>
      <tp>
        <v>77</v>
        <stp/>
        <stp>VOLUME</stp>
        <stp>.QQQ250530C486</stp>
        <tr r="I62" s="2"/>
        <tr r="I62" s="2"/>
      </tp>
      <tp>
        <v>5</v>
        <stp/>
        <stp>VOLUME</stp>
        <stp>.QQQ250523P494</stp>
        <tr r="H54" s="2"/>
        <tr r="H54" s="2"/>
      </tp>
      <tp>
        <v>338</v>
        <stp/>
        <stp>VOLUME</stp>
        <stp>.QQQ250530P487</stp>
        <tr r="I61" s="2"/>
        <tr r="I61" s="2"/>
      </tp>
      <tp>
        <v>140</v>
        <stp/>
        <stp>VOLUME</stp>
        <stp>.QQQ250523C494</stp>
        <tr r="H54" s="2"/>
        <tr r="H54" s="2"/>
      </tp>
      <tp>
        <v>143</v>
        <stp/>
        <stp>VOLUME</stp>
        <stp>.QQQ250530C487</stp>
        <tr r="I61" s="2"/>
        <tr r="I61" s="2"/>
      </tp>
      <tp>
        <v>39</v>
        <stp/>
        <stp>VOLUME</stp>
        <stp>.QQQ250523P493</stp>
        <tr r="H55" s="2"/>
        <tr r="H55" s="2"/>
      </tp>
      <tp>
        <v>5294</v>
        <stp/>
        <stp>VOLUME</stp>
        <stp>.QQQ250530P480</stp>
        <tr r="I68" s="2"/>
        <tr r="I68" s="2"/>
      </tp>
      <tp>
        <v>66</v>
        <stp/>
        <stp>VOLUME</stp>
        <stp>.QQQ250523C493</stp>
        <tr r="H55" s="2"/>
        <tr r="H55" s="2"/>
      </tp>
      <tp>
        <v>113</v>
        <stp/>
        <stp>VOLUME</stp>
        <stp>.QQQ250530C480</stp>
        <tr r="I68" s="2"/>
        <tr r="I68" s="2"/>
      </tp>
      <tp>
        <v>43</v>
        <stp/>
        <stp>VOLUME</stp>
        <stp>.QQQ250523P492</stp>
        <tr r="H56" s="2"/>
        <tr r="H56" s="2"/>
      </tp>
      <tp>
        <v>15</v>
        <stp/>
        <stp>VOLUME</stp>
        <stp>.QQQ250530P481</stp>
        <tr r="I67" s="2"/>
        <tr r="I67" s="2"/>
      </tp>
      <tp>
        <v>498</v>
        <stp/>
        <stp>VOLUME</stp>
        <stp>.QQQ250523C492</stp>
        <tr r="H56" s="2"/>
        <tr r="H56" s="2"/>
      </tp>
      <tp>
        <v>68</v>
        <stp/>
        <stp>VOLUME</stp>
        <stp>.QQQ250530C481</stp>
        <tr r="I67" s="2"/>
        <tr r="I67" s="2"/>
      </tp>
      <tp>
        <v>317</v>
        <stp/>
        <stp>VOLUME</stp>
        <stp>.QQQ250523P491</stp>
        <tr r="H57" s="2"/>
        <tr r="H57" s="2"/>
      </tp>
      <tp>
        <v>108</v>
        <stp/>
        <stp>VOLUME</stp>
        <stp>.QQQ250530P482</stp>
        <tr r="I66" s="2"/>
        <tr r="I66" s="2"/>
      </tp>
      <tp>
        <v>1581</v>
        <stp/>
        <stp>VOLUME</stp>
        <stp>.QQQ250523C491</stp>
        <tr r="H57" s="2"/>
        <tr r="H57" s="2"/>
      </tp>
      <tp>
        <v>203</v>
        <stp/>
        <stp>VOLUME</stp>
        <stp>.QQQ250530C482</stp>
        <tr r="I66" s="2"/>
        <tr r="I66" s="2"/>
      </tp>
      <tp>
        <v>2250</v>
        <stp/>
        <stp>VOLUME</stp>
        <stp>.QQQ250523P490</stp>
        <tr r="H58" s="2"/>
        <tr r="H58" s="2"/>
      </tp>
      <tp>
        <v>123</v>
        <stp/>
        <stp>VOLUME</stp>
        <stp>.QQQ250530P483</stp>
        <tr r="I65" s="2"/>
        <tr r="I65" s="2"/>
      </tp>
      <tp>
        <v>2274</v>
        <stp/>
        <stp>VOLUME</stp>
        <stp>.QQQ250523C490</stp>
        <tr r="H58" s="2"/>
        <tr r="H58" s="2"/>
      </tp>
      <tp>
        <v>5</v>
        <stp/>
        <stp>VOLUME</stp>
        <stp>.QQQ250530C483</stp>
        <tr r="I65" s="2"/>
        <tr r="I65" s="2"/>
      </tp>
      <tp>
        <v>495</v>
        <stp/>
        <stp>VOLUME</stp>
        <stp>.QQQ250530P488</stp>
        <tr r="I60" s="2"/>
        <tr r="I60" s="2"/>
      </tp>
      <tp>
        <v>221</v>
        <stp/>
        <stp>VOLUME</stp>
        <stp>.QQQ250530C488</stp>
        <tr r="I60" s="2"/>
        <tr r="I60" s="2"/>
      </tp>
      <tp>
        <v>224</v>
        <stp/>
        <stp>VOLUME</stp>
        <stp>.QQQ250530P489</stp>
        <tr r="I59" s="2"/>
        <tr r="I59" s="2"/>
      </tp>
      <tp>
        <v>87</v>
        <stp/>
        <stp>VOLUME</stp>
        <stp>.QQQ250530C489</stp>
        <tr r="I59" s="2"/>
        <tr r="I59" s="2"/>
      </tp>
      <tp>
        <v>248</v>
        <stp/>
        <stp>VOLUME</stp>
        <stp>.QQQ250523P499</stp>
        <tr r="H49" s="2"/>
        <tr r="H49" s="2"/>
      </tp>
      <tp>
        <v>20</v>
        <stp/>
        <stp>VOLUME</stp>
        <stp>.QQQ250523C499</stp>
        <tr r="H49" s="2"/>
        <tr r="H49" s="2"/>
      </tp>
      <tp>
        <v>4</v>
        <stp/>
        <stp>VOLUME</stp>
        <stp>.QQQ250523P498</stp>
        <tr r="H50" s="2"/>
        <tr r="H50" s="2"/>
      </tp>
      <tp>
        <v>66</v>
        <stp/>
        <stp>VOLUME</stp>
        <stp>.QQQ250523C498</stp>
        <tr r="H50" s="2"/>
        <tr r="H50" s="2"/>
      </tp>
      <tp>
        <v>408</v>
        <stp/>
        <stp>VOLUME</stp>
        <stp>.QQQ250523P487</stp>
        <tr r="H61" s="2"/>
        <tr r="H61" s="2"/>
      </tp>
      <tp>
        <v>3</v>
        <stp/>
        <stp>VOLUME</stp>
        <stp>.QQQ250530P494</stp>
        <tr r="I54" s="2"/>
        <tr r="I54" s="2"/>
      </tp>
      <tp>
        <v>124</v>
        <stp/>
        <stp>VOLUME</stp>
        <stp>.QQQ250523C487</stp>
        <tr r="H61" s="2"/>
        <tr r="H61" s="2"/>
      </tp>
      <tp>
        <v>26</v>
        <stp/>
        <stp>VOLUME</stp>
        <stp>.QQQ250530C494</stp>
        <tr r="I54" s="2"/>
        <tr r="I54" s="2"/>
      </tp>
      <tp>
        <v>349</v>
        <stp/>
        <stp>VOLUME</stp>
        <stp>.QQQ250523P486</stp>
        <tr r="H62" s="2"/>
        <tr r="H62" s="2"/>
      </tp>
      <tp>
        <v>64</v>
        <stp/>
        <stp>VOLUME</stp>
        <stp>.QQQ250530P495</stp>
        <tr r="I53" s="2"/>
        <tr r="I53" s="2"/>
      </tp>
      <tp>
        <v>59</v>
        <stp/>
        <stp>VOLUME</stp>
        <stp>.QQQ250523C486</stp>
        <tr r="H62" s="2"/>
        <tr r="H62" s="2"/>
      </tp>
      <tp>
        <v>709</v>
        <stp/>
        <stp>VOLUME</stp>
        <stp>.QQQ250530C495</stp>
        <tr r="I53" s="2"/>
        <tr r="I53" s="2"/>
      </tp>
      <tp>
        <v>2484</v>
        <stp/>
        <stp>VOLUME</stp>
        <stp>.QQQ250523P485</stp>
        <tr r="H63" s="2"/>
        <tr r="H63" s="2"/>
      </tp>
      <tp>
        <v>2</v>
        <stp/>
        <stp>VOLUME</stp>
        <stp>.QQQ250530P496</stp>
        <tr r="I52" s="2"/>
        <tr r="I52" s="2"/>
      </tp>
      <tp>
        <v>415</v>
        <stp/>
        <stp>VOLUME</stp>
        <stp>.QQQ250523C485</stp>
        <tr r="H63" s="2"/>
        <tr r="H63" s="2"/>
      </tp>
      <tp>
        <v>59</v>
        <stp/>
        <stp>VOLUME</stp>
        <stp>.QQQ250530C496</stp>
        <tr r="I52" s="2"/>
        <tr r="I52" s="2"/>
      </tp>
      <tp>
        <v>107</v>
        <stp/>
        <stp>VOLUME</stp>
        <stp>.QQQ250523P484</stp>
        <tr r="H64" s="2"/>
        <tr r="H64" s="2"/>
      </tp>
      <tp>
        <v>7</v>
        <stp/>
        <stp>VOLUME</stp>
        <stp>.QQQ250530P497</stp>
        <tr r="I51" s="2"/>
        <tr r="I51" s="2"/>
      </tp>
      <tp>
        <v>1</v>
        <stp/>
        <stp>VOLUME</stp>
        <stp>.QQQ250523C484</stp>
        <tr r="H64" s="2"/>
        <tr r="H64" s="2"/>
      </tp>
      <tp>
        <v>230</v>
        <stp/>
        <stp>VOLUME</stp>
        <stp>.QQQ250530C497</stp>
        <tr r="I51" s="2"/>
        <tr r="I51" s="2"/>
      </tp>
      <tp>
        <v>250</v>
        <stp/>
        <stp>VOLUME</stp>
        <stp>.QQQ250523P483</stp>
        <tr r="H65" s="2"/>
        <tr r="H65" s="2"/>
      </tp>
      <tp>
        <v>1560</v>
        <stp/>
        <stp>VOLUME</stp>
        <stp>.QQQ250530P490</stp>
        <tr r="I58" s="2"/>
        <tr r="I58" s="2"/>
      </tp>
      <tp>
        <v>20</v>
        <stp/>
        <stp>VOLUME</stp>
        <stp>.QQQ250523C483</stp>
        <tr r="H65" s="2"/>
        <tr r="H65" s="2"/>
      </tp>
      <tp>
        <v>1160</v>
        <stp/>
        <stp>VOLUME</stp>
        <stp>.QQQ250530C490</stp>
        <tr r="I58" s="2"/>
        <tr r="I58" s="2"/>
      </tp>
      <tp>
        <v>38</v>
        <stp/>
        <stp>VOLUME</stp>
        <stp>.QQQ250523P482</stp>
        <tr r="H66" s="2"/>
        <tr r="H66" s="2"/>
      </tp>
      <tp>
        <v>509</v>
        <stp/>
        <stp>VOLUME</stp>
        <stp>.QQQ250530P491</stp>
        <tr r="I57" s="2"/>
        <tr r="I57" s="2"/>
      </tp>
      <tp>
        <v>7</v>
        <stp/>
        <stp>VOLUME</stp>
        <stp>.QQQ250523C482</stp>
        <tr r="H66" s="2"/>
        <tr r="H66" s="2"/>
      </tp>
      <tp>
        <v>153</v>
        <stp/>
        <stp>VOLUME</stp>
        <stp>.QQQ250530C491</stp>
        <tr r="I57" s="2"/>
        <tr r="I57" s="2"/>
      </tp>
      <tp>
        <v>300</v>
        <stp/>
        <stp>VOLUME</stp>
        <stp>.QQQ250523P481</stp>
        <tr r="H67" s="2"/>
        <tr r="H67" s="2"/>
      </tp>
      <tp>
        <v>203</v>
        <stp/>
        <stp>VOLUME</stp>
        <stp>.QQQ250530P492</stp>
        <tr r="I56" s="2"/>
        <tr r="I56" s="2"/>
      </tp>
      <tp>
        <v>1</v>
        <stp/>
        <stp>VOLUME</stp>
        <stp>.QQQ250523C481</stp>
        <tr r="H67" s="2"/>
        <tr r="H67" s="2"/>
      </tp>
      <tp>
        <v>117</v>
        <stp/>
        <stp>VOLUME</stp>
        <stp>.QQQ250530C492</stp>
        <tr r="I56" s="2"/>
        <tr r="I56" s="2"/>
      </tp>
      <tp>
        <v>5534</v>
        <stp/>
        <stp>VOLUME</stp>
        <stp>.QQQ250523P480</stp>
        <tr r="H68" s="2"/>
        <tr r="H68" s="2"/>
      </tp>
      <tp>
        <v>69</v>
        <stp/>
        <stp>VOLUME</stp>
        <stp>.QQQ250530P493</stp>
        <tr r="I55" s="2"/>
        <tr r="I55" s="2"/>
      </tp>
      <tp>
        <v>75</v>
        <stp/>
        <stp>VOLUME</stp>
        <stp>.QQQ250523C480</stp>
        <tr r="H68" s="2"/>
        <tr r="H68" s="2"/>
      </tp>
      <tp>
        <v>373</v>
        <stp/>
        <stp>VOLUME</stp>
        <stp>.QQQ250530C493</stp>
        <tr r="I55" s="2"/>
        <tr r="I55" s="2"/>
      </tp>
      <tp>
        <v>2</v>
        <stp/>
        <stp>VOLUME</stp>
        <stp>.QQQ250530P498</stp>
        <tr r="I50" s="2"/>
        <tr r="I50" s="2"/>
      </tp>
      <tp>
        <v>58</v>
        <stp/>
        <stp>VOLUME</stp>
        <stp>.QQQ250530C498</stp>
        <tr r="I50" s="2"/>
        <tr r="I50" s="2"/>
      </tp>
      <tp>
        <v>24</v>
        <stp/>
        <stp>VOLUME</stp>
        <stp>.QQQ250530P499</stp>
        <tr r="I49" s="2"/>
        <tr r="I49" s="2"/>
      </tp>
      <tp>
        <v>18</v>
        <stp/>
        <stp>VOLUME</stp>
        <stp>.QQQ250530C499</stp>
        <tr r="I49" s="2"/>
        <tr r="I49" s="2"/>
      </tp>
      <tp>
        <v>227</v>
        <stp/>
        <stp>VOLUME</stp>
        <stp>.QQQ250523P489</stp>
        <tr r="H59" s="2"/>
        <tr r="H59" s="2"/>
      </tp>
      <tp>
        <v>210</v>
        <stp/>
        <stp>VOLUME</stp>
        <stp>.QQQ250523C489</stp>
        <tr r="H59" s="2"/>
        <tr r="H59" s="2"/>
      </tp>
      <tp>
        <v>317</v>
        <stp/>
        <stp>VOLUME</stp>
        <stp>.QQQ250523P488</stp>
        <tr r="H60" s="2"/>
        <tr r="H60" s="2"/>
      </tp>
      <tp>
        <v>510</v>
        <stp/>
        <stp>VOLUME</stp>
        <stp>.QQQ250523C488</stp>
        <tr r="H60" s="2"/>
        <tr r="H60" s="2"/>
      </tp>
      <tp>
        <v>104</v>
        <stp/>
        <stp>VOLUME</stp>
        <stp>.QQQ250523P477</stp>
        <tr r="H71" s="2"/>
        <tr r="H71" s="2"/>
      </tp>
      <tp>
        <v>1</v>
        <stp/>
        <stp>VOLUME</stp>
        <stp>.QQQ250523C477</stp>
        <tr r="H71" s="2"/>
        <tr r="H71" s="2"/>
      </tp>
      <tp>
        <v>161</v>
        <stp/>
        <stp>VOLUME</stp>
        <stp>.QQQ250523P476</stp>
        <tr r="H72" s="2"/>
        <tr r="H72" s="2"/>
      </tp>
      <tp>
        <v>13</v>
        <stp/>
        <stp>VOLUME</stp>
        <stp>.QQQ250523C476</stp>
        <tr r="H72" s="2"/>
        <tr r="H72" s="2"/>
      </tp>
      <tp>
        <v>6948</v>
        <stp/>
        <stp>VOLUME</stp>
        <stp>.QQQ250523P475</stp>
        <tr r="H73" s="2"/>
        <tr r="H73" s="2"/>
      </tp>
      <tp>
        <v>74</v>
        <stp/>
        <stp>VOLUME</stp>
        <stp>.QQQ250523C475</stp>
        <tr r="H73" s="2"/>
        <tr r="H73" s="2"/>
      </tp>
      <tp>
        <v>59</v>
        <stp/>
        <stp>VOLUME</stp>
        <stp>.QQQ250523P474</stp>
        <tr r="H74" s="2"/>
        <tr r="H74" s="2"/>
      </tp>
      <tp>
        <v>6</v>
        <stp/>
        <stp>VOLUME</stp>
        <stp>.QQQ250523C474</stp>
        <tr r="H74" s="2"/>
        <tr r="H74" s="2"/>
      </tp>
      <tp>
        <v>139</v>
        <stp/>
        <stp>VOLUME</stp>
        <stp>.QQQ250523P473</stp>
        <tr r="H75" s="2"/>
        <tr r="H75" s="2"/>
      </tp>
      <tp>
        <v>5</v>
        <stp/>
        <stp>VOLUME</stp>
        <stp>.QQQ250523C473</stp>
        <tr r="H75" s="2"/>
        <tr r="H75" s="2"/>
      </tp>
      <tp>
        <v>677</v>
        <stp/>
        <stp>VOLUME</stp>
        <stp>.QQQ250523P472</stp>
        <tr r="H76" s="2"/>
        <tr r="H76" s="2"/>
      </tp>
      <tp>
        <v>1</v>
        <stp/>
        <stp>VOLUME</stp>
        <stp>.QQQ250523C472</stp>
        <tr r="H76" s="2"/>
        <tr r="H76" s="2"/>
      </tp>
      <tp>
        <v>92</v>
        <stp/>
        <stp>VOLUME</stp>
        <stp>.QQQ250523P471</stp>
        <tr r="H77" s="2"/>
        <tr r="H77" s="2"/>
      </tp>
      <tp>
        <v>6</v>
        <stp/>
        <stp>VOLUME</stp>
        <stp>.QQQ250523C471</stp>
        <tr r="H77" s="2"/>
        <tr r="H77" s="2"/>
      </tp>
      <tp>
        <v>1618</v>
        <stp/>
        <stp>VOLUME</stp>
        <stp>.QQQ250523P470</stp>
        <tr r="H78" s="2"/>
        <tr r="H78" s="2"/>
      </tp>
      <tp>
        <v>21</v>
        <stp/>
        <stp>VOLUME</stp>
        <stp>.QQQ250523C470</stp>
        <tr r="H78" s="2"/>
        <tr r="H78" s="2"/>
      </tp>
      <tp>
        <v>47</v>
        <stp/>
        <stp>VOLUME</stp>
        <stp>.QQQ250530P468</stp>
        <tr r="I80" s="2"/>
        <tr r="I80" s="2"/>
      </tp>
      <tp>
        <v>5</v>
        <stp/>
        <stp>VOLUME</stp>
        <stp>.QQQ250530C468</stp>
        <tr r="I80" s="2"/>
        <tr r="I80" s="2"/>
      </tp>
      <tp>
        <v>128</v>
        <stp/>
        <stp>VOLUME</stp>
        <stp>.QQQ250530P469</stp>
        <tr r="I79" s="2"/>
        <tr r="I79" s="2"/>
      </tp>
      <tp>
        <v>1</v>
        <stp/>
        <stp>VOLUME</stp>
        <stp>.QQQ250530C469</stp>
        <tr r="I79" s="2"/>
        <tr r="I79" s="2"/>
      </tp>
      <tp>
        <v>61</v>
        <stp/>
        <stp>VOLUME</stp>
        <stp>.QQQ250523P479</stp>
        <tr r="H69" s="2"/>
        <tr r="H69" s="2"/>
      </tp>
      <tp>
        <v>42</v>
        <stp/>
        <stp>VOLUME</stp>
        <stp>.QQQ250523C479</stp>
        <tr r="H69" s="2"/>
        <tr r="H69" s="2"/>
      </tp>
      <tp>
        <v>113</v>
        <stp/>
        <stp>VOLUME</stp>
        <stp>.QQQ250523P478</stp>
        <tr r="H70" s="2"/>
        <tr r="H70" s="2"/>
      </tp>
      <tp t="s">
        <v>N/A</v>
        <stp/>
        <stp>VOLUME</stp>
        <stp>.QQQ250523C478</stp>
        <tr r="H70" s="2"/>
      </tp>
      <tp>
        <v>83</v>
        <stp/>
        <stp>VOLUME</stp>
        <stp>.QQQ250530P474</stp>
        <tr r="I74" s="2"/>
        <tr r="I74" s="2"/>
      </tp>
      <tp>
        <v>2</v>
        <stp/>
        <stp>VOLUME</stp>
        <stp>.QQQ250530C474</stp>
        <tr r="I74" s="2"/>
        <tr r="I74" s="2"/>
      </tp>
      <tp>
        <v>2976</v>
        <stp/>
        <stp>VOLUME</stp>
        <stp>.QQQ250530P475</stp>
        <tr r="I73" s="2"/>
        <tr r="I73" s="2"/>
      </tp>
      <tp>
        <v>94</v>
        <stp/>
        <stp>VOLUME</stp>
        <stp>.QQQ250530C475</stp>
        <tr r="I73" s="2"/>
        <tr r="I73" s="2"/>
      </tp>
      <tp>
        <v>117</v>
        <stp/>
        <stp>VOLUME</stp>
        <stp>.QQQ250530P476</stp>
        <tr r="I72" s="2"/>
        <tr r="I72" s="2"/>
      </tp>
      <tp>
        <v>5</v>
        <stp/>
        <stp>VOLUME</stp>
        <stp>.QQQ250530C476</stp>
        <tr r="I72" s="2"/>
        <tr r="I72" s="2"/>
      </tp>
      <tp>
        <v>36</v>
        <stp/>
        <stp>VOLUME</stp>
        <stp>.QQQ250530P477</stp>
        <tr r="I71" s="2"/>
        <tr r="I71" s="2"/>
      </tp>
      <tp>
        <v>3</v>
        <stp/>
        <stp>VOLUME</stp>
        <stp>.QQQ250530C477</stp>
        <tr r="I71" s="2"/>
        <tr r="I71" s="2"/>
      </tp>
      <tp>
        <v>2310</v>
        <stp/>
        <stp>VOLUME</stp>
        <stp>.QQQ250530P470</stp>
        <tr r="I78" s="2"/>
        <tr r="I78" s="2"/>
      </tp>
      <tp>
        <v>19</v>
        <stp/>
        <stp>VOLUME</stp>
        <stp>.QQQ250530C470</stp>
        <tr r="I78" s="2"/>
        <tr r="I78" s="2"/>
      </tp>
      <tp>
        <v>104</v>
        <stp/>
        <stp>VOLUME</stp>
        <stp>.QQQ250530P471</stp>
        <tr r="I77" s="2"/>
        <tr r="I77" s="2"/>
      </tp>
      <tp>
        <v>20</v>
        <stp/>
        <stp>VOLUME</stp>
        <stp>.QQQ250530C471</stp>
        <tr r="I77" s="2"/>
        <tr r="I77" s="2"/>
      </tp>
      <tp>
        <v>134</v>
        <stp/>
        <stp>VOLUME</stp>
        <stp>.QQQ250530P472</stp>
        <tr r="I76" s="2"/>
        <tr r="I76" s="2"/>
      </tp>
      <tp>
        <v>5</v>
        <stp/>
        <stp>VOLUME</stp>
        <stp>.QQQ250530C472</stp>
        <tr r="I76" s="2"/>
        <tr r="I76" s="2"/>
      </tp>
      <tp>
        <v>38</v>
        <stp/>
        <stp>VOLUME</stp>
        <stp>.QQQ250530P473</stp>
        <tr r="I75" s="2"/>
        <tr r="I75" s="2"/>
      </tp>
      <tp>
        <v>31</v>
        <stp/>
        <stp>VOLUME</stp>
        <stp>.QQQ250530C473</stp>
        <tr r="I75" s="2"/>
        <tr r="I75" s="2"/>
      </tp>
      <tp>
        <v>52</v>
        <stp/>
        <stp>VOLUME</stp>
        <stp>.QQQ250530P478</stp>
        <tr r="I70" s="2"/>
        <tr r="I70" s="2"/>
      </tp>
      <tp>
        <v>16</v>
        <stp/>
        <stp>VOLUME</stp>
        <stp>.QQQ250530C478</stp>
        <tr r="I70" s="2"/>
        <tr r="I70" s="2"/>
      </tp>
      <tp>
        <v>57</v>
        <stp/>
        <stp>VOLUME</stp>
        <stp>.QQQ250530P479</stp>
        <tr r="I69" s="2"/>
        <tr r="I69" s="2"/>
      </tp>
      <tp>
        <v>2</v>
        <stp/>
        <stp>VOLUME</stp>
        <stp>.QQQ250530C479</stp>
        <tr r="I69" s="2"/>
        <tr r="I69" s="2"/>
      </tp>
      <tp>
        <v>54</v>
        <stp/>
        <stp>VOLUME</stp>
        <stp>.QQQ250523P469</stp>
        <tr r="H79" s="2"/>
        <tr r="H79" s="2"/>
      </tp>
      <tp t="s">
        <v>N/A</v>
        <stp/>
        <stp>VOLUME</stp>
        <stp>.QQQ250523C469</stp>
        <tr r="H79" s="2"/>
      </tp>
      <tp>
        <v>320</v>
        <stp/>
        <stp>VOLUME</stp>
        <stp>.QQQ250523P468</stp>
        <tr r="H80" s="2"/>
        <tr r="H80" s="2"/>
      </tp>
      <tp>
        <v>1</v>
        <stp/>
        <stp>VOLUME</stp>
        <stp>.QQQ250523C468</stp>
        <tr r="H80" s="2"/>
        <tr r="H80" s="2"/>
      </tp>
      <tp t="s">
        <v>N/A</v>
        <stp/>
        <stp>VOLUME</stp>
        <stp>.QQQ250505P471</stp>
        <tr r="BB76" s="1"/>
      </tp>
      <tp t="s">
        <v>N/A</v>
        <stp/>
        <stp>VOLUME</stp>
        <stp>.QQQ250505C471</stp>
        <tr r="BA76" s="1"/>
      </tp>
      <tp t="s">
        <v>N/A</v>
        <stp/>
        <stp>VOLUME</stp>
        <stp>.QQQ250505P470</stp>
        <tr r="BB77" s="1"/>
      </tp>
      <tp t="s">
        <v>N/A</v>
        <stp/>
        <stp>VOLUME</stp>
        <stp>.QQQ250505C470</stp>
        <tr r="BA77" s="1"/>
      </tp>
      <tp t="s">
        <v>N/A</v>
        <stp/>
        <stp>VOLUME</stp>
        <stp>.QQQ250505P473</stp>
        <tr r="BB74" s="1"/>
      </tp>
      <tp t="s">
        <v>N/A</v>
        <stp/>
        <stp>VOLUME</stp>
        <stp>.QQQ250505C473</stp>
        <tr r="BA74" s="1"/>
      </tp>
      <tp t="s">
        <v>N/A</v>
        <stp/>
        <stp>VOLUME</stp>
        <stp>.QQQ250505P472</stp>
        <tr r="BB75" s="1"/>
      </tp>
      <tp t="s">
        <v>N/A</v>
        <stp/>
        <stp>VOLUME</stp>
        <stp>.QQQ250505C472</stp>
        <tr r="BA75" s="1"/>
      </tp>
      <tp t="s">
        <v>N/A</v>
        <stp/>
        <stp>VOLUME</stp>
        <stp>.QQQ250505P475</stp>
        <tr r="BB72" s="1"/>
      </tp>
      <tp>
        <v>6476</v>
        <stp/>
        <stp>VOLUME</stp>
        <stp>.QQQ250509P479</stp>
        <tr r="BD68" s="1"/>
        <tr r="BD68" s="1"/>
      </tp>
      <tp t="s">
        <v>N/A</v>
        <stp/>
        <stp>VOLUME</stp>
        <stp>.QQQ250505C475</stp>
        <tr r="BA72" s="1"/>
      </tp>
      <tp>
        <v>427</v>
        <stp/>
        <stp>VOLUME</stp>
        <stp>.QQQ250509C479</stp>
        <tr r="BC68" s="1"/>
        <tr r="BC68" s="1"/>
      </tp>
      <tp t="s">
        <v>N/A</v>
        <stp/>
        <stp>VOLUME</stp>
        <stp>.QQQ250505P474</stp>
        <tr r="BB73" s="1"/>
      </tp>
      <tp>
        <v>5660</v>
        <stp/>
        <stp>VOLUME</stp>
        <stp>.QQQ250509P478</stp>
        <tr r="BD69" s="1"/>
        <tr r="BD69" s="1"/>
      </tp>
      <tp t="s">
        <v>N/A</v>
        <stp/>
        <stp>VOLUME</stp>
        <stp>.QQQ250505C474</stp>
        <tr r="BA73" s="1"/>
      </tp>
      <tp>
        <v>458</v>
        <stp/>
        <stp>VOLUME</stp>
        <stp>.QQQ250509C478</stp>
        <tr r="BC69" s="1"/>
        <tr r="BC69" s="1"/>
      </tp>
      <tp t="s">
        <v>N/A</v>
        <stp/>
        <stp>VOLUME</stp>
        <stp>.QQQ250505P477</stp>
        <tr r="BB70" s="1"/>
      </tp>
      <tp t="s">
        <v>N/A</v>
        <stp/>
        <stp>VOLUME</stp>
        <stp>.QQQ250505C477</stp>
        <tr r="BA70" s="1"/>
      </tp>
      <tp t="s">
        <v>N/A</v>
        <stp/>
        <stp>VOLUME</stp>
        <stp>.QQQ250505P476</stp>
        <tr r="BB71" s="1"/>
      </tp>
      <tp t="s">
        <v>N/A</v>
        <stp/>
        <stp>VOLUME</stp>
        <stp>.QQQ250505C476</stp>
        <tr r="BA71" s="1"/>
      </tp>
      <tp t="s">
        <v>N/A</v>
        <stp/>
        <stp>VOLUME</stp>
        <stp>.QQQ250505P479</stp>
        <tr r="BB68" s="1"/>
      </tp>
      <tp>
        <v>5526</v>
        <stp/>
        <stp>VOLUME</stp>
        <stp>.QQQ250509P475</stp>
        <tr r="BD72" s="1"/>
        <tr r="BD72" s="1"/>
      </tp>
      <tp t="s">
        <v>N/A</v>
        <stp/>
        <stp>VOLUME</stp>
        <stp>.QQQ250505C479</stp>
        <tr r="BA68" s="1"/>
      </tp>
      <tp>
        <v>481</v>
        <stp/>
        <stp>VOLUME</stp>
        <stp>.QQQ250509C475</stp>
        <tr r="BC72" s="1"/>
        <tr r="BC72" s="1"/>
      </tp>
      <tp t="s">
        <v>N/A</v>
        <stp/>
        <stp>VOLUME</stp>
        <stp>.QQQ250505P478</stp>
        <tr r="BB69" s="1"/>
      </tp>
      <tp>
        <v>3131</v>
        <stp/>
        <stp>VOLUME</stp>
        <stp>.QQQ250509P474</stp>
        <tr r="BD73" s="1"/>
        <tr r="BD73" s="1"/>
      </tp>
      <tp t="s">
        <v>N/A</v>
        <stp/>
        <stp>VOLUME</stp>
        <stp>.QQQ250505C478</stp>
        <tr r="BA69" s="1"/>
      </tp>
      <tp>
        <v>71</v>
        <stp/>
        <stp>VOLUME</stp>
        <stp>.QQQ250509C474</stp>
        <tr r="BC73" s="1"/>
        <tr r="BC73" s="1"/>
      </tp>
      <tp>
        <v>3207</v>
        <stp/>
        <stp>VOLUME</stp>
        <stp>.QQQ250509P477</stp>
        <tr r="BD70" s="1"/>
        <tr r="BD70" s="1"/>
      </tp>
      <tp>
        <v>1220</v>
        <stp/>
        <stp>VOLUME</stp>
        <stp>.QQQ250516P468</stp>
        <tr r="BF79" s="1"/>
        <tr r="BF79" s="1"/>
      </tp>
      <tp>
        <v>162</v>
        <stp/>
        <stp>VOLUME</stp>
        <stp>.QQQ250509C477</stp>
        <tr r="BC70" s="1"/>
        <tr r="BC70" s="1"/>
      </tp>
      <tp>
        <v>29</v>
        <stp/>
        <stp>VOLUME</stp>
        <stp>.QQQ250516C468</stp>
        <tr r="BE79" s="1"/>
        <tr r="BE79" s="1"/>
      </tp>
      <tp>
        <v>2702</v>
        <stp/>
        <stp>VOLUME</stp>
        <stp>.QQQ250509P476</stp>
        <tr r="BD71" s="1"/>
        <tr r="BD71" s="1"/>
      </tp>
      <tp>
        <v>2335</v>
        <stp/>
        <stp>VOLUME</stp>
        <stp>.QQQ250516P469</stp>
        <tr r="BF78" s="1"/>
        <tr r="BF78" s="1"/>
      </tp>
      <tp>
        <v>148</v>
        <stp/>
        <stp>VOLUME</stp>
        <stp>.QQQ250509C476</stp>
        <tr r="BC71" s="1"/>
        <tr r="BC71" s="1"/>
      </tp>
      <tp>
        <v>168</v>
        <stp/>
        <stp>VOLUME</stp>
        <stp>.QQQ250516C469</stp>
        <tr r="BE78" s="1"/>
        <tr r="BE78" s="1"/>
      </tp>
      <tp>
        <v>2303</v>
        <stp/>
        <stp>VOLUME</stp>
        <stp>.QQQ250509P471</stp>
        <tr r="BD76" s="1"/>
        <tr r="BD76" s="1"/>
      </tp>
      <tp>
        <v>244</v>
        <stp/>
        <stp>VOLUME</stp>
        <stp>.QQQ250509C471</stp>
        <tr r="BC76" s="1"/>
        <tr r="BC76" s="1"/>
      </tp>
      <tp>
        <v>6582</v>
        <stp/>
        <stp>VOLUME</stp>
        <stp>.QQQ250509P470</stp>
        <tr r="BD77" s="1"/>
        <tr r="BD77" s="1"/>
      </tp>
      <tp>
        <v>494</v>
        <stp/>
        <stp>VOLUME</stp>
        <stp>.QQQ250509C470</stp>
        <tr r="BC77" s="1"/>
        <tr r="BC77" s="1"/>
      </tp>
      <tp>
        <v>2788</v>
        <stp/>
        <stp>VOLUME</stp>
        <stp>.QQQ250509P473</stp>
        <tr r="BD74" s="1"/>
        <tr r="BD74" s="1"/>
      </tp>
      <tp>
        <v>198</v>
        <stp/>
        <stp>VOLUME</stp>
        <stp>.QQQ250509C473</stp>
        <tr r="BC74" s="1"/>
        <tr r="BC74" s="1"/>
      </tp>
      <tp>
        <v>601</v>
        <stp/>
        <stp>VOLUME</stp>
        <stp>.QQQ250509P472</stp>
        <tr r="BD75" s="1"/>
        <tr r="BD75" s="1"/>
      </tp>
      <tp>
        <v>291</v>
        <stp/>
        <stp>VOLUME</stp>
        <stp>.QQQ250509C472</stp>
        <tr r="BC75" s="1"/>
        <tr r="BC75" s="1"/>
      </tp>
      <tp>
        <v>487</v>
        <stp/>
        <stp>VOLUME</stp>
        <stp>.QQQ250516P472</stp>
        <tr r="BF75" s="1"/>
        <tr r="BF75" s="1"/>
      </tp>
      <tp>
        <v>18</v>
        <stp/>
        <stp>VOLUME</stp>
        <stp>.QQQ250516C472</stp>
        <tr r="BE75" s="1"/>
        <tr r="BE75" s="1"/>
      </tp>
      <tp>
        <v>1917</v>
        <stp/>
        <stp>VOLUME</stp>
        <stp>.QQQ250516P473</stp>
        <tr r="BF74" s="1"/>
        <tr r="BF74" s="1"/>
      </tp>
      <tp>
        <v>45</v>
        <stp/>
        <stp>VOLUME</stp>
        <stp>.QQQ250516C473</stp>
        <tr r="BE74" s="1"/>
        <tr r="BE74" s="1"/>
      </tp>
      <tp>
        <v>6592</v>
        <stp/>
        <stp>VOLUME</stp>
        <stp>.QQQ250516P470</stp>
        <tr r="BF77" s="1"/>
        <tr r="BF77" s="1"/>
      </tp>
      <tp>
        <v>430</v>
        <stp/>
        <stp>VOLUME</stp>
        <stp>.QQQ250516C470</stp>
        <tr r="BE77" s="1"/>
        <tr r="BE77" s="1"/>
      </tp>
      <tp>
        <v>906</v>
        <stp/>
        <stp>VOLUME</stp>
        <stp>.QQQ250516P471</stp>
        <tr r="BF76" s="1"/>
        <tr r="BF76" s="1"/>
      </tp>
      <tp>
        <v>19</v>
        <stp/>
        <stp>VOLUME</stp>
        <stp>.QQQ250516C471</stp>
        <tr r="BE76" s="1"/>
        <tr r="BE76" s="1"/>
      </tp>
      <tp>
        <v>2200</v>
        <stp/>
        <stp>VOLUME</stp>
        <stp>.QQQ250509P469</stp>
        <tr r="BD78" s="1"/>
        <tr r="BD78" s="1"/>
      </tp>
      <tp>
        <v>1741</v>
        <stp/>
        <stp>VOLUME</stp>
        <stp>.QQQ250516P476</stp>
        <tr r="BF71" s="1"/>
        <tr r="BF71" s="1"/>
      </tp>
      <tp>
        <v>155</v>
        <stp/>
        <stp>VOLUME</stp>
        <stp>.QQQ250509C469</stp>
        <tr r="BC78" s="1"/>
        <tr r="BC78" s="1"/>
      </tp>
      <tp>
        <v>63</v>
        <stp/>
        <stp>VOLUME</stp>
        <stp>.QQQ250516C476</stp>
        <tr r="BE71" s="1"/>
        <tr r="BE71" s="1"/>
      </tp>
      <tp>
        <v>1290</v>
        <stp/>
        <stp>VOLUME</stp>
        <stp>.QQQ250509P468</stp>
        <tr r="BD79" s="1"/>
        <tr r="BD79" s="1"/>
      </tp>
      <tp>
        <v>2327</v>
        <stp/>
        <stp>VOLUME</stp>
        <stp>.QQQ250516P477</stp>
        <tr r="BF70" s="1"/>
        <tr r="BF70" s="1"/>
      </tp>
      <tp>
        <v>164</v>
        <stp/>
        <stp>VOLUME</stp>
        <stp>.QQQ250509C468</stp>
        <tr r="BC79" s="1"/>
        <tr r="BC79" s="1"/>
      </tp>
      <tp>
        <v>113</v>
        <stp/>
        <stp>VOLUME</stp>
        <stp>.QQQ250516C477</stp>
        <tr r="BE70" s="1"/>
        <tr r="BE70" s="1"/>
      </tp>
      <tp>
        <v>4010</v>
        <stp/>
        <stp>VOLUME</stp>
        <stp>.QQQ250516P474</stp>
        <tr r="BF73" s="1"/>
        <tr r="BF73" s="1"/>
      </tp>
      <tp>
        <v>18</v>
        <stp/>
        <stp>VOLUME</stp>
        <stp>.QQQ250516C474</stp>
        <tr r="BE73" s="1"/>
        <tr r="BE73" s="1"/>
      </tp>
      <tp>
        <v>12613</v>
        <stp/>
        <stp>VOLUME</stp>
        <stp>.QQQ250516P475</stp>
        <tr r="BF72" s="1"/>
        <tr r="BF72" s="1"/>
      </tp>
      <tp>
        <v>2178</v>
        <stp/>
        <stp>VOLUME</stp>
        <stp>.QQQ250516C475</stp>
        <tr r="BE72" s="1"/>
        <tr r="BE72" s="1"/>
      </tp>
      <tp t="s">
        <v>N/A</v>
        <stp/>
        <stp>VOLUME</stp>
        <stp>.QQQ250505P469</stp>
        <tr r="BB78" s="1"/>
      </tp>
      <tp t="s">
        <v>N/A</v>
        <stp/>
        <stp>VOLUME</stp>
        <stp>.QQQ250505C469</stp>
        <tr r="BA78" s="1"/>
      </tp>
      <tp t="s">
        <v>N/A</v>
        <stp/>
        <stp>VOLUME</stp>
        <stp>.QQQ250505P468</stp>
        <tr r="BB79" s="1"/>
      </tp>
      <tp t="s">
        <v>N/A</v>
        <stp/>
        <stp>VOLUME</stp>
        <stp>.QQQ250505C468</stp>
        <tr r="BA79" s="1"/>
      </tp>
      <tp>
        <v>1870</v>
        <stp/>
        <stp>VOLUME</stp>
        <stp>.QQQ250516P478</stp>
        <tr r="BF69" s="1"/>
        <tr r="BF69" s="1"/>
      </tp>
      <tp>
        <v>62</v>
        <stp/>
        <stp>VOLUME</stp>
        <stp>.QQQ250516C478</stp>
        <tr r="BE69" s="1"/>
        <tr r="BE69" s="1"/>
      </tp>
      <tp>
        <v>1096</v>
        <stp/>
        <stp>VOLUME</stp>
        <stp>.QQQ250516P479</stp>
        <tr r="BF68" s="1"/>
        <tr r="BF68" s="1"/>
      </tp>
      <tp>
        <v>62</v>
        <stp/>
        <stp>VOLUME</stp>
        <stp>.QQQ250516C479</stp>
        <tr r="BE68" s="1"/>
        <tr r="BE68" s="1"/>
      </tp>
      <tp t="s">
        <v>N/A</v>
        <stp/>
        <stp>VOLUME</stp>
        <stp>.QQQ251219P489</stp>
        <tr r="W59" s="2"/>
      </tp>
      <tp t="s">
        <v>N/A</v>
        <stp/>
        <stp>VOLUME</stp>
        <stp>.QQQ251219C489</stp>
        <tr r="W59" s="2"/>
      </tp>
      <tp t="s">
        <v>N/A</v>
        <stp/>
        <stp>VOLUME</stp>
        <stp>.QQQ251219P488</stp>
        <tr r="W60" s="2"/>
      </tp>
      <tp t="s">
        <v>N/A</v>
        <stp/>
        <stp>VOLUME</stp>
        <stp>.QQQ251219C488</stp>
        <tr r="W60" s="2"/>
      </tp>
      <tp t="s">
        <v>N/A</v>
        <stp/>
        <stp>VOLUME</stp>
        <stp>.QQQ251219P485</stp>
        <tr r="W63" s="2"/>
      </tp>
      <tp t="s">
        <v>N/A</v>
        <stp/>
        <stp>VOLUME</stp>
        <stp>.QQQ251219C485</stp>
        <tr r="W63" s="2"/>
      </tp>
      <tp t="s">
        <v>N/A</v>
        <stp/>
        <stp>VOLUME</stp>
        <stp>.QQQ251219P484</stp>
        <tr r="W64" s="2"/>
      </tp>
      <tp t="s">
        <v>N/A</v>
        <stp/>
        <stp>VOLUME</stp>
        <stp>.QQQ251219C484</stp>
        <tr r="W64" s="2"/>
      </tp>
      <tp t="s">
        <v>N/A</v>
        <stp/>
        <stp>VOLUME</stp>
        <stp>.QQQ251219P487</stp>
        <tr r="W61" s="2"/>
      </tp>
      <tp t="s">
        <v>N/A</v>
        <stp/>
        <stp>VOLUME</stp>
        <stp>.QQQ251219C487</stp>
        <tr r="W61" s="2"/>
      </tp>
      <tp t="s">
        <v>N/A</v>
        <stp/>
        <stp>VOLUME</stp>
        <stp>.QQQ251219P486</stp>
        <tr r="W62" s="2"/>
      </tp>
      <tp t="s">
        <v>N/A</v>
        <stp/>
        <stp>VOLUME</stp>
        <stp>.QQQ251219C486</stp>
        <tr r="W62" s="2"/>
      </tp>
      <tp t="s">
        <v>N/A</v>
        <stp/>
        <stp>VOLUME</stp>
        <stp>.QQQ251219P481</stp>
        <tr r="W67" s="2"/>
      </tp>
      <tp t="s">
        <v>N/A</v>
        <stp/>
        <stp>VOLUME</stp>
        <stp>.QQQ251219C481</stp>
        <tr r="W67" s="2"/>
      </tp>
      <tp>
        <v>18</v>
        <stp/>
        <stp>VOLUME</stp>
        <stp>.QQQ251219P480</stp>
        <tr r="W68" s="2"/>
        <tr r="W68" s="2"/>
      </tp>
      <tp>
        <v>3</v>
        <stp/>
        <stp>VOLUME</stp>
        <stp>.QQQ251219C480</stp>
        <tr r="W68" s="2"/>
        <tr r="W68" s="2"/>
      </tp>
      <tp t="s">
        <v>N/A</v>
        <stp/>
        <stp>VOLUME</stp>
        <stp>.QQQ251219P483</stp>
        <tr r="W65" s="2"/>
      </tp>
      <tp t="s">
        <v>N/A</v>
        <stp/>
        <stp>VOLUME</stp>
        <stp>.QQQ251219C483</stp>
        <tr r="W65" s="2"/>
      </tp>
      <tp t="s">
        <v>N/A</v>
        <stp/>
        <stp>VOLUME</stp>
        <stp>.QQQ251219P482</stp>
        <tr r="W66" s="2"/>
      </tp>
      <tp t="s">
        <v>N/A</v>
        <stp/>
        <stp>VOLUME</stp>
        <stp>.QQQ251219C482</stp>
        <tr r="W66" s="2"/>
      </tp>
      <tp t="s">
        <v>N/A</v>
        <stp/>
        <stp>VOLUME</stp>
        <stp>.QQQ251219P499</stp>
        <tr r="W49" s="2"/>
      </tp>
      <tp t="s">
        <v>N/A</v>
        <stp/>
        <stp>VOLUME</stp>
        <stp>.QQQ251219C499</stp>
        <tr r="W49" s="2"/>
      </tp>
      <tp t="s">
        <v>N/A</v>
        <stp/>
        <stp>VOLUME</stp>
        <stp>.QQQ251219P498</stp>
        <tr r="W50" s="2"/>
      </tp>
      <tp t="s">
        <v>N/A</v>
        <stp/>
        <stp>VOLUME</stp>
        <stp>.QQQ251219C498</stp>
        <tr r="W50" s="2"/>
      </tp>
      <tp t="s">
        <v>N/A</v>
        <stp/>
        <stp>VOLUME</stp>
        <stp>.QQQ251219P495</stp>
        <tr r="W53" s="2"/>
      </tp>
      <tp t="s">
        <v>N/A</v>
        <stp/>
        <stp>VOLUME</stp>
        <stp>.QQQ251219C495</stp>
        <tr r="W53" s="2"/>
      </tp>
      <tp t="s">
        <v>N/A</v>
        <stp/>
        <stp>VOLUME</stp>
        <stp>.QQQ251219P494</stp>
        <tr r="W54" s="2"/>
      </tp>
      <tp t="s">
        <v>N/A</v>
        <stp/>
        <stp>VOLUME</stp>
        <stp>.QQQ251219C494</stp>
        <tr r="W54" s="2"/>
      </tp>
      <tp t="s">
        <v>N/A</v>
        <stp/>
        <stp>VOLUME</stp>
        <stp>.QQQ251219P497</stp>
        <tr r="W51" s="2"/>
      </tp>
      <tp t="s">
        <v>N/A</v>
        <stp/>
        <stp>VOLUME</stp>
        <stp>.QQQ251219C497</stp>
        <tr r="W51" s="2"/>
      </tp>
      <tp t="s">
        <v>N/A</v>
        <stp/>
        <stp>VOLUME</stp>
        <stp>.QQQ251219P496</stp>
        <tr r="W52" s="2"/>
      </tp>
      <tp t="s">
        <v>N/A</v>
        <stp/>
        <stp>VOLUME</stp>
        <stp>.QQQ251219C496</stp>
        <tr r="W52" s="2"/>
      </tp>
      <tp t="s">
        <v>N/A</v>
        <stp/>
        <stp>VOLUME</stp>
        <stp>.QQQ251219P491</stp>
        <tr r="W57" s="2"/>
      </tp>
      <tp t="s">
        <v>N/A</v>
        <stp/>
        <stp>VOLUME</stp>
        <stp>.QQQ251219C491</stp>
        <tr r="W57" s="2"/>
      </tp>
      <tp>
        <v>28</v>
        <stp/>
        <stp>VOLUME</stp>
        <stp>.QQQ251219P490</stp>
        <tr r="W58" s="2"/>
        <tr r="W58" s="2"/>
      </tp>
      <tp>
        <v>42</v>
        <stp/>
        <stp>VOLUME</stp>
        <stp>.QQQ251219C490</stp>
        <tr r="W58" s="2"/>
        <tr r="W58" s="2"/>
      </tp>
      <tp t="s">
        <v>N/A</v>
        <stp/>
        <stp>VOLUME</stp>
        <stp>.QQQ251219P493</stp>
        <tr r="W55" s="2"/>
      </tp>
      <tp t="s">
        <v>N/A</v>
        <stp/>
        <stp>VOLUME</stp>
        <stp>.QQQ251219C493</stp>
        <tr r="W55" s="2"/>
      </tp>
      <tp t="s">
        <v>N/A</v>
        <stp/>
        <stp>VOLUME</stp>
        <stp>.QQQ251219P492</stp>
        <tr r="W56" s="2"/>
      </tp>
      <tp t="s">
        <v>N/A</v>
        <stp/>
        <stp>VOLUME</stp>
        <stp>.QQQ251219C492</stp>
        <tr r="W56" s="2"/>
      </tp>
      <tp>
        <v>14</v>
        <stp/>
        <stp>VOLUME</stp>
        <stp>.QQQ251231P485</stp>
        <tr r="X63" s="2"/>
        <tr r="X63" s="2"/>
      </tp>
      <tp>
        <v>3</v>
        <stp/>
        <stp>VOLUME</stp>
        <stp>.QQQ251231C485</stp>
        <tr r="X63" s="2"/>
        <tr r="X63" s="2"/>
      </tp>
      <tp t="s">
        <v>N/A</v>
        <stp/>
        <stp>VOLUME</stp>
        <stp>.QQQ251231P484</stp>
        <tr r="X64" s="2"/>
      </tp>
      <tp>
        <v>9</v>
        <stp/>
        <stp>VOLUME</stp>
        <stp>.QQQ251231C484</stp>
        <tr r="X64" s="2"/>
        <tr r="X64" s="2"/>
      </tp>
      <tp t="s">
        <v>N/A</v>
        <stp/>
        <stp>VOLUME</stp>
        <stp>.QQQ251231P487</stp>
        <tr r="X61" s="2"/>
      </tp>
      <tp>
        <v>19</v>
        <stp/>
        <stp>VOLUME</stp>
        <stp>.QQQ251231C487</stp>
        <tr r="X61" s="2"/>
        <tr r="X61" s="2"/>
      </tp>
      <tp t="s">
        <v>N/A</v>
        <stp/>
        <stp>VOLUME</stp>
        <stp>.QQQ251231P486</stp>
        <tr r="X62" s="2"/>
      </tp>
      <tp t="s">
        <v>N/A</v>
        <stp/>
        <stp>VOLUME</stp>
        <stp>.QQQ251231C486</stp>
        <tr r="X62" s="2"/>
      </tp>
      <tp t="s">
        <v>N/A</v>
        <stp/>
        <stp>VOLUME</stp>
        <stp>.QQQ251231P481</stp>
        <tr r="X67" s="2"/>
      </tp>
      <tp t="s">
        <v>N/A</v>
        <stp/>
        <stp>VOLUME</stp>
        <stp>.QQQ251231C481</stp>
        <tr r="X67" s="2"/>
      </tp>
      <tp>
        <v>5</v>
        <stp/>
        <stp>VOLUME</stp>
        <stp>.QQQ251231P480</stp>
        <tr r="X68" s="2"/>
        <tr r="X68" s="2"/>
      </tp>
      <tp>
        <v>8</v>
        <stp/>
        <stp>VOLUME</stp>
        <stp>.QQQ251231C480</stp>
        <tr r="X68" s="2"/>
        <tr r="X68" s="2"/>
      </tp>
      <tp>
        <v>2</v>
        <stp/>
        <stp>VOLUME</stp>
        <stp>.QQQ251231P483</stp>
        <tr r="X65" s="2"/>
        <tr r="X65" s="2"/>
      </tp>
      <tp t="s">
        <v>N/A</v>
        <stp/>
        <stp>VOLUME</stp>
        <stp>.QQQ251231C483</stp>
        <tr r="X65" s="2"/>
      </tp>
      <tp t="s">
        <v>N/A</v>
        <stp/>
        <stp>VOLUME</stp>
        <stp>.QQQ251231P482</stp>
        <tr r="X66" s="2"/>
      </tp>
      <tp t="s">
        <v>N/A</v>
        <stp/>
        <stp>VOLUME</stp>
        <stp>.QQQ251231C482</stp>
        <tr r="X66" s="2"/>
      </tp>
      <tp t="s">
        <v>N/A</v>
        <stp/>
        <stp>VOLUME</stp>
        <stp>.QQQ251231P489</stp>
        <tr r="X59" s="2"/>
      </tp>
      <tp>
        <v>3</v>
        <stp/>
        <stp>VOLUME</stp>
        <stp>.QQQ251231C489</stp>
        <tr r="X59" s="2"/>
        <tr r="X59" s="2"/>
      </tp>
      <tp>
        <v>13</v>
        <stp/>
        <stp>VOLUME</stp>
        <stp>.QQQ251231P488</stp>
        <tr r="X60" s="2"/>
        <tr r="X60" s="2"/>
      </tp>
      <tp>
        <v>5</v>
        <stp/>
        <stp>VOLUME</stp>
        <stp>.QQQ251231C488</stp>
        <tr r="X60" s="2"/>
        <tr r="X60" s="2"/>
      </tp>
      <tp t="s">
        <v>N/A</v>
        <stp/>
        <stp>VOLUME</stp>
        <stp>.QQQ251231P495</stp>
        <tr r="X53" s="2"/>
      </tp>
      <tp>
        <v>4</v>
        <stp/>
        <stp>VOLUME</stp>
        <stp>.QQQ251231C495</stp>
        <tr r="X53" s="2"/>
        <tr r="X53" s="2"/>
      </tp>
      <tp t="s">
        <v>N/A</v>
        <stp/>
        <stp>VOLUME</stp>
        <stp>.QQQ251231P494</stp>
        <tr r="X54" s="2"/>
      </tp>
      <tp t="s">
        <v>N/A</v>
        <stp/>
        <stp>VOLUME</stp>
        <stp>.QQQ251231C494</stp>
        <tr r="X54" s="2"/>
      </tp>
      <tp t="s">
        <v>N/A</v>
        <stp/>
        <stp>VOLUME</stp>
        <stp>.QQQ251231P497</stp>
        <tr r="X51" s="2"/>
      </tp>
      <tp>
        <v>1</v>
        <stp/>
        <stp>VOLUME</stp>
        <stp>.QQQ251231C497</stp>
        <tr r="X51" s="2"/>
        <tr r="X51" s="2"/>
      </tp>
      <tp t="s">
        <v>N/A</v>
        <stp/>
        <stp>VOLUME</stp>
        <stp>.QQQ251231P496</stp>
        <tr r="X52" s="2"/>
      </tp>
      <tp>
        <v>1</v>
        <stp/>
        <stp>VOLUME</stp>
        <stp>.QQQ251231C496</stp>
        <tr r="X52" s="2"/>
        <tr r="X52" s="2"/>
      </tp>
      <tp t="s">
        <v>N/A</v>
        <stp/>
        <stp>VOLUME</stp>
        <stp>.QQQ251231P491</stp>
        <tr r="X57" s="2"/>
      </tp>
      <tp t="s">
        <v>N/A</v>
        <stp/>
        <stp>VOLUME</stp>
        <stp>.QQQ251231C491</stp>
        <tr r="X57" s="2"/>
      </tp>
      <tp>
        <v>6</v>
        <stp/>
        <stp>VOLUME</stp>
        <stp>.QQQ251231P490</stp>
        <tr r="X58" s="2"/>
        <tr r="X58" s="2"/>
      </tp>
      <tp>
        <v>14</v>
        <stp/>
        <stp>VOLUME</stp>
        <stp>.QQQ251231C490</stp>
        <tr r="X58" s="2"/>
        <tr r="X58" s="2"/>
      </tp>
      <tp t="s">
        <v>N/A</v>
        <stp/>
        <stp>VOLUME</stp>
        <stp>.QQQ251231P493</stp>
        <tr r="X55" s="2"/>
      </tp>
      <tp t="s">
        <v>N/A</v>
        <stp/>
        <stp>VOLUME</stp>
        <stp>.QQQ251231C493</stp>
        <tr r="X55" s="2"/>
      </tp>
      <tp t="s">
        <v>N/A</v>
        <stp/>
        <stp>VOLUME</stp>
        <stp>.QQQ251231P492</stp>
        <tr r="X56" s="2"/>
      </tp>
      <tp t="s">
        <v>N/A</v>
        <stp/>
        <stp>VOLUME</stp>
        <stp>.QQQ251231C492</stp>
        <tr r="X56" s="2"/>
      </tp>
      <tp t="s">
        <v>N/A</v>
        <stp/>
        <stp>VOLUME</stp>
        <stp>.QQQ251231P499</stp>
        <tr r="X49" s="2"/>
      </tp>
      <tp t="s">
        <v>N/A</v>
        <stp/>
        <stp>VOLUME</stp>
        <stp>.QQQ251231C499</stp>
        <tr r="X49" s="2"/>
      </tp>
      <tp t="s">
        <v>N/A</v>
        <stp/>
        <stp>VOLUME</stp>
        <stp>.QQQ251231P498</stp>
        <tr r="X50" s="2"/>
      </tp>
      <tp t="s">
        <v>N/A</v>
        <stp/>
        <stp>VOLUME</stp>
        <stp>.QQQ251231C498</stp>
        <tr r="X50" s="2"/>
      </tp>
      <tp>
        <v>2</v>
        <stp/>
        <stp>VOLUME</stp>
        <stp>.QQQ251231P469</stp>
        <tr r="X79" s="2"/>
        <tr r="X79" s="2"/>
      </tp>
      <tp t="s">
        <v>N/A</v>
        <stp/>
        <stp>VOLUME</stp>
        <stp>.QQQ251231C469</stp>
        <tr r="X79" s="2"/>
      </tp>
      <tp t="s">
        <v>N/A</v>
        <stp/>
        <stp>VOLUME</stp>
        <stp>.QQQ251231P468</stp>
        <tr r="X80" s="2"/>
      </tp>
      <tp t="s">
        <v>N/A</v>
        <stp/>
        <stp>VOLUME</stp>
        <stp>.QQQ251231C468</stp>
        <tr r="X80" s="2"/>
      </tp>
      <tp>
        <v>1</v>
        <stp/>
        <stp>VOLUME</stp>
        <stp>.QQQ251231P475</stp>
        <tr r="X73" s="2"/>
        <tr r="X73" s="2"/>
      </tp>
      <tp t="s">
        <v>N/A</v>
        <stp/>
        <stp>VOLUME</stp>
        <stp>.QQQ251231C475</stp>
        <tr r="X73" s="2"/>
      </tp>
      <tp t="s">
        <v>N/A</v>
        <stp/>
        <stp>VOLUME</stp>
        <stp>.QQQ251231P474</stp>
        <tr r="X74" s="2"/>
      </tp>
      <tp t="s">
        <v>N/A</v>
        <stp/>
        <stp>VOLUME</stp>
        <stp>.QQQ251231C474</stp>
        <tr r="X74" s="2"/>
      </tp>
      <tp>
        <v>1</v>
        <stp/>
        <stp>VOLUME</stp>
        <stp>.QQQ251231P477</stp>
        <tr r="X71" s="2"/>
        <tr r="X71" s="2"/>
      </tp>
      <tp t="s">
        <v>N/A</v>
        <stp/>
        <stp>VOLUME</stp>
        <stp>.QQQ251231C477</stp>
        <tr r="X71" s="2"/>
      </tp>
      <tp t="s">
        <v>N/A</v>
        <stp/>
        <stp>VOLUME</stp>
        <stp>.QQQ251231P476</stp>
        <tr r="X72" s="2"/>
      </tp>
      <tp t="s">
        <v>N/A</v>
        <stp/>
        <stp>VOLUME</stp>
        <stp>.QQQ251231C476</stp>
        <tr r="X72" s="2"/>
      </tp>
      <tp t="s">
        <v>N/A</v>
        <stp/>
        <stp>VOLUME</stp>
        <stp>.QQQ251231P471</stp>
        <tr r="X77" s="2"/>
      </tp>
      <tp t="s">
        <v>N/A</v>
        <stp/>
        <stp>VOLUME</stp>
        <stp>.QQQ251231C471</stp>
        <tr r="X77" s="2"/>
      </tp>
      <tp>
        <v>3</v>
        <stp/>
        <stp>VOLUME</stp>
        <stp>.QQQ251231P470</stp>
        <tr r="X78" s="2"/>
        <tr r="X78" s="2"/>
      </tp>
      <tp>
        <v>3</v>
        <stp/>
        <stp>VOLUME</stp>
        <stp>.QQQ251231C470</stp>
        <tr r="X78" s="2"/>
        <tr r="X78" s="2"/>
      </tp>
      <tp t="s">
        <v>N/A</v>
        <stp/>
        <stp>VOLUME</stp>
        <stp>.QQQ251231P473</stp>
        <tr r="X75" s="2"/>
      </tp>
      <tp t="s">
        <v>N/A</v>
        <stp/>
        <stp>VOLUME</stp>
        <stp>.QQQ251231C473</stp>
        <tr r="X75" s="2"/>
      </tp>
      <tp>
        <v>1</v>
        <stp/>
        <stp>VOLUME</stp>
        <stp>.QQQ251231P472</stp>
        <tr r="X76" s="2"/>
        <tr r="X76" s="2"/>
      </tp>
      <tp t="s">
        <v>N/A</v>
        <stp/>
        <stp>VOLUME</stp>
        <stp>.QQQ251231C472</stp>
        <tr r="X76" s="2"/>
      </tp>
      <tp t="s">
        <v>N/A</v>
        <stp/>
        <stp>VOLUME</stp>
        <stp>.QQQ251231P479</stp>
        <tr r="X69" s="2"/>
      </tp>
      <tp>
        <v>3</v>
        <stp/>
        <stp>VOLUME</stp>
        <stp>.QQQ251231C479</stp>
        <tr r="X69" s="2"/>
        <tr r="X69" s="2"/>
      </tp>
      <tp>
        <v>1</v>
        <stp/>
        <stp>VOLUME</stp>
        <stp>.QQQ251231P478</stp>
        <tr r="X70" s="2"/>
        <tr r="X70" s="2"/>
      </tp>
      <tp>
        <v>2</v>
        <stp/>
        <stp>VOLUME</stp>
        <stp>.QQQ251231C478</stp>
        <tr r="X70" s="2"/>
        <tr r="X70" s="2"/>
      </tp>
      <tp t="s">
        <v>N/A</v>
        <stp/>
        <stp>VOLUME</stp>
        <stp>.QQQ251219P469</stp>
        <tr r="W79" s="2"/>
      </tp>
      <tp t="s">
        <v>N/A</v>
        <stp/>
        <stp>VOLUME</stp>
        <stp>.QQQ251219C469</stp>
        <tr r="W79" s="2"/>
      </tp>
      <tp t="s">
        <v>N/A</v>
        <stp/>
        <stp>VOLUME</stp>
        <stp>.QQQ251219P468</stp>
        <tr r="W80" s="2"/>
      </tp>
      <tp t="s">
        <v>N/A</v>
        <stp/>
        <stp>VOLUME</stp>
        <stp>.QQQ251219C468</stp>
        <tr r="W80" s="2"/>
      </tp>
      <tp t="s">
        <v>N/A</v>
        <stp/>
        <stp>VOLUME</stp>
        <stp>.QQQ251219P479</stp>
        <tr r="W69" s="2"/>
      </tp>
      <tp t="s">
        <v>N/A</v>
        <stp/>
        <stp>VOLUME</stp>
        <stp>.QQQ251219C479</stp>
        <tr r="W69" s="2"/>
      </tp>
      <tp t="s">
        <v>N/A</v>
        <stp/>
        <stp>VOLUME</stp>
        <stp>.QQQ251219P478</stp>
        <tr r="W70" s="2"/>
      </tp>
      <tp t="s">
        <v>N/A</v>
        <stp/>
        <stp>VOLUME</stp>
        <stp>.QQQ251219C478</stp>
        <tr r="W70" s="2"/>
      </tp>
      <tp t="s">
        <v>N/A</v>
        <stp/>
        <stp>VOLUME</stp>
        <stp>.QQQ251219P475</stp>
        <tr r="W73" s="2"/>
      </tp>
      <tp t="s">
        <v>N/A</v>
        <stp/>
        <stp>VOLUME</stp>
        <stp>.QQQ251219C475</stp>
        <tr r="W73" s="2"/>
      </tp>
      <tp t="s">
        <v>N/A</v>
        <stp/>
        <stp>VOLUME</stp>
        <stp>.QQQ251219P474</stp>
        <tr r="W74" s="2"/>
      </tp>
      <tp t="s">
        <v>N/A</v>
        <stp/>
        <stp>VOLUME</stp>
        <stp>.QQQ251219C474</stp>
        <tr r="W74" s="2"/>
      </tp>
      <tp t="s">
        <v>N/A</v>
        <stp/>
        <stp>VOLUME</stp>
        <stp>.QQQ251219P477</stp>
        <tr r="W71" s="2"/>
      </tp>
      <tp t="s">
        <v>N/A</v>
        <stp/>
        <stp>VOLUME</stp>
        <stp>.QQQ251219C477</stp>
        <tr r="W71" s="2"/>
      </tp>
      <tp t="s">
        <v>N/A</v>
        <stp/>
        <stp>VOLUME</stp>
        <stp>.QQQ251219P476</stp>
        <tr r="W72" s="2"/>
      </tp>
      <tp t="s">
        <v>N/A</v>
        <stp/>
        <stp>VOLUME</stp>
        <stp>.QQQ251219C476</stp>
        <tr r="W72" s="2"/>
      </tp>
      <tp t="s">
        <v>N/A</v>
        <stp/>
        <stp>VOLUME</stp>
        <stp>.QQQ251219P471</stp>
        <tr r="W77" s="2"/>
      </tp>
      <tp t="s">
        <v>N/A</v>
        <stp/>
        <stp>VOLUME</stp>
        <stp>.QQQ251219C471</stp>
        <tr r="W77" s="2"/>
      </tp>
      <tp>
        <v>9</v>
        <stp/>
        <stp>VOLUME</stp>
        <stp>.QQQ251219P470</stp>
        <tr r="W78" s="2"/>
        <tr r="W78" s="2"/>
      </tp>
      <tp>
        <v>2</v>
        <stp/>
        <stp>VOLUME</stp>
        <stp>.QQQ251219C470</stp>
        <tr r="W78" s="2"/>
        <tr r="W78" s="2"/>
      </tp>
      <tp t="s">
        <v>N/A</v>
        <stp/>
        <stp>VOLUME</stp>
        <stp>.QQQ251219P473</stp>
        <tr r="W75" s="2"/>
      </tp>
      <tp t="s">
        <v>N/A</v>
        <stp/>
        <stp>VOLUME</stp>
        <stp>.QQQ251219C473</stp>
        <tr r="W75" s="2"/>
      </tp>
      <tp t="s">
        <v>N/A</v>
        <stp/>
        <stp>VOLUME</stp>
        <stp>.QQQ251219P472</stp>
        <tr r="W76" s="2"/>
      </tp>
      <tp t="s">
        <v>N/A</v>
        <stp/>
        <stp>VOLUME</stp>
        <stp>.QQQ251219C472</stp>
        <tr r="W76" s="2"/>
      </tp>
      <tp t="s">
        <v>N/A</v>
        <stp/>
        <stp>VOLUME</stp>
        <stp>.QQQ251219P501</stp>
        <tr r="W47" s="2"/>
      </tp>
      <tp t="s">
        <v>N/A</v>
        <stp/>
        <stp>VOLUME</stp>
        <stp>.QQQ251219C501</stp>
        <tr r="W47" s="2"/>
      </tp>
      <tp>
        <v>38</v>
        <stp/>
        <stp>VOLUME</stp>
        <stp>.QQQ251219P500</stp>
        <tr r="W48" s="2"/>
        <tr r="W48" s="2"/>
      </tp>
      <tp>
        <v>70</v>
        <stp/>
        <stp>VOLUME</stp>
        <stp>.QQQ251219C500</stp>
        <tr r="W48" s="2"/>
        <tr r="W48" s="2"/>
      </tp>
      <tp t="s">
        <v>N/A</v>
        <stp/>
        <stp>VOLUME</stp>
        <stp>.QQQ251219P502</stp>
        <tr r="W46" s="2"/>
      </tp>
      <tp t="s">
        <v>N/A</v>
        <stp/>
        <stp>VOLUME</stp>
        <stp>.QQQ251219C502</stp>
        <tr r="W46" s="2"/>
      </tp>
      <tp t="s">
        <v>N/A</v>
        <stp/>
        <stp>VOLUME</stp>
        <stp>.QQQ251231P501</stp>
        <tr r="X47" s="2"/>
      </tp>
      <tp t="s">
        <v>N/A</v>
        <stp/>
        <stp>VOLUME</stp>
        <stp>.QQQ251231C501</stp>
        <tr r="X47" s="2"/>
      </tp>
      <tp>
        <v>12</v>
        <stp/>
        <stp>VOLUME</stp>
        <stp>.QQQ251231P500</stp>
        <tr r="X48" s="2"/>
        <tr r="X48" s="2"/>
      </tp>
      <tp>
        <v>6</v>
        <stp/>
        <stp>VOLUME</stp>
        <stp>.QQQ251231C500</stp>
        <tr r="X48" s="2"/>
        <tr r="X48" s="2"/>
      </tp>
      <tp t="s">
        <v>N/A</v>
        <stp/>
        <stp>VOLUME</stp>
        <stp>.QQQ251231P502</stp>
        <tr r="X46" s="2"/>
      </tp>
      <tp t="s">
        <v>N/A</v>
        <stp/>
        <stp>VOLUME</stp>
        <stp>.QQQ251231C502</stp>
        <tr r="X46" s="2"/>
      </tp>
      <tp t="s">
        <v>N/A</v>
        <stp/>
        <stp>VOLUME</stp>
        <stp>.QQQ251017P483</stp>
        <tr r="S65" s="2"/>
      </tp>
      <tp t="s">
        <v>N/A</v>
        <stp/>
        <stp>VOLUME</stp>
        <stp>.QQQ251017C483</stp>
        <tr r="S65" s="2"/>
      </tp>
      <tp t="s">
        <v>N/A</v>
        <stp/>
        <stp>VOLUME</stp>
        <stp>.QQQ251017P482</stp>
        <tr r="S66" s="2"/>
      </tp>
      <tp t="s">
        <v>N/A</v>
        <stp/>
        <stp>VOLUME</stp>
        <stp>.QQQ251017C482</stp>
        <tr r="S66" s="2"/>
      </tp>
      <tp t="s">
        <v>N/A</v>
        <stp/>
        <stp>VOLUME</stp>
        <stp>.QQQ251017P481</stp>
        <tr r="S67" s="2"/>
      </tp>
      <tp t="s">
        <v>N/A</v>
        <stp/>
        <stp>VOLUME</stp>
        <stp>.QQQ251017C481</stp>
        <tr r="S67" s="2"/>
      </tp>
      <tp t="s">
        <v>N/A</v>
        <stp/>
        <stp>VOLUME</stp>
        <stp>.QQQ251017P480</stp>
        <tr r="S68" s="2"/>
      </tp>
      <tp t="s">
        <v>N/A</v>
        <stp/>
        <stp>VOLUME</stp>
        <stp>.QQQ251017C480</stp>
        <tr r="S68" s="2"/>
      </tp>
      <tp t="s">
        <v>N/A</v>
        <stp/>
        <stp>VOLUME</stp>
        <stp>.QQQ251017P487</stp>
        <tr r="S61" s="2"/>
      </tp>
      <tp t="s">
        <v>N/A</v>
        <stp/>
        <stp>VOLUME</stp>
        <stp>.QQQ251017C487</stp>
        <tr r="S61" s="2"/>
      </tp>
      <tp t="s">
        <v>N/A</v>
        <stp/>
        <stp>VOLUME</stp>
        <stp>.QQQ251017P486</stp>
        <tr r="S62" s="2"/>
      </tp>
      <tp t="s">
        <v>N/A</v>
        <stp/>
        <stp>VOLUME</stp>
        <stp>.QQQ251017C486</stp>
        <tr r="S62" s="2"/>
      </tp>
      <tp t="s">
        <v>N/A</v>
        <stp/>
        <stp>VOLUME</stp>
        <stp>.QQQ251017P485</stp>
        <tr r="S63" s="2"/>
      </tp>
      <tp t="s">
        <v>N/A</v>
        <stp/>
        <stp>VOLUME</stp>
        <stp>.QQQ251017C485</stp>
        <tr r="S63" s="2"/>
      </tp>
      <tp t="s">
        <v>N/A</v>
        <stp/>
        <stp>VOLUME</stp>
        <stp>.QQQ251017P484</stp>
        <tr r="S64" s="2"/>
      </tp>
      <tp t="s">
        <v>N/A</v>
        <stp/>
        <stp>VOLUME</stp>
        <stp>.QQQ251017C484</stp>
        <tr r="S64" s="2"/>
      </tp>
      <tp t="s">
        <v>N/A</v>
        <stp/>
        <stp>VOLUME</stp>
        <stp>.QQQ251017P489</stp>
        <tr r="S59" s="2"/>
      </tp>
      <tp t="s">
        <v>N/A</v>
        <stp/>
        <stp>VOLUME</stp>
        <stp>.QQQ251017C489</stp>
        <tr r="S59" s="2"/>
      </tp>
      <tp t="s">
        <v>N/A</v>
        <stp/>
        <stp>VOLUME</stp>
        <stp>.QQQ251017P488</stp>
        <tr r="S60" s="2"/>
      </tp>
      <tp t="s">
        <v>N/A</v>
        <stp/>
        <stp>VOLUME</stp>
        <stp>.QQQ251017C488</stp>
        <tr r="S60" s="2"/>
      </tp>
      <tp t="s">
        <v>N/A</v>
        <stp/>
        <stp>VOLUME</stp>
        <stp>.SPY250919P582</stp>
        <tr r="Q5" s="2"/>
      </tp>
      <tp t="s">
        <v>N/A</v>
        <stp/>
        <stp>VOLUME</stp>
        <stp>.SPY250919C582</stp>
        <tr r="Q5" s="2"/>
      </tp>
      <tp t="s">
        <v>N/A</v>
        <stp/>
        <stp>VOLUME</stp>
        <stp>.SPY250919P581</stp>
        <tr r="Q6" s="2"/>
      </tp>
      <tp t="s">
        <v>N/A</v>
        <stp/>
        <stp>VOLUME</stp>
        <stp>.SPY250919C581</stp>
        <tr r="Q6" s="2"/>
      </tp>
      <tp>
        <v>742</v>
        <stp/>
        <stp>VOLUME</stp>
        <stp>.SPY250919P580</stp>
        <tr r="Q7" s="2"/>
        <tr r="Q7" s="2"/>
      </tp>
      <tp>
        <v>95</v>
        <stp/>
        <stp>VOLUME</stp>
        <stp>.SPY250919C580</stp>
        <tr r="Q7" s="2"/>
        <tr r="Q7" s="2"/>
      </tp>
      <tp t="s">
        <v>N/A</v>
        <stp/>
        <stp>VOLUME</stp>
        <stp>.QQQ251017P493</stp>
        <tr r="S55" s="2"/>
      </tp>
      <tp t="s">
        <v>N/A</v>
        <stp/>
        <stp>VOLUME</stp>
        <stp>.QQQ251017C493</stp>
        <tr r="S55" s="2"/>
      </tp>
      <tp t="s">
        <v>N/A</v>
        <stp/>
        <stp>VOLUME</stp>
        <stp>.QQQ251017P492</stp>
        <tr r="S56" s="2"/>
      </tp>
      <tp t="s">
        <v>N/A</v>
        <stp/>
        <stp>VOLUME</stp>
        <stp>.QQQ251017C492</stp>
        <tr r="S56" s="2"/>
      </tp>
      <tp t="s">
        <v>N/A</v>
        <stp/>
        <stp>VOLUME</stp>
        <stp>.QQQ251017P491</stp>
        <tr r="S57" s="2"/>
      </tp>
      <tp t="s">
        <v>N/A</v>
        <stp/>
        <stp>VOLUME</stp>
        <stp>.QQQ251017C491</stp>
        <tr r="S57" s="2"/>
      </tp>
      <tp t="s">
        <v>N/A</v>
        <stp/>
        <stp>VOLUME</stp>
        <stp>.QQQ251017P490</stp>
        <tr r="S58" s="2"/>
      </tp>
      <tp t="s">
        <v>N/A</v>
        <stp/>
        <stp>VOLUME</stp>
        <stp>.QQQ251017C490</stp>
        <tr r="S58" s="2"/>
      </tp>
      <tp t="s">
        <v>N/A</v>
        <stp/>
        <stp>VOLUME</stp>
        <stp>.QQQ251017P497</stp>
        <tr r="S51" s="2"/>
      </tp>
      <tp t="s">
        <v>N/A</v>
        <stp/>
        <stp>VOLUME</stp>
        <stp>.QQQ251017C497</stp>
        <tr r="S51" s="2"/>
      </tp>
      <tp t="s">
        <v>N/A</v>
        <stp/>
        <stp>VOLUME</stp>
        <stp>.QQQ251017P496</stp>
        <tr r="S52" s="2"/>
      </tp>
      <tp t="s">
        <v>N/A</v>
        <stp/>
        <stp>VOLUME</stp>
        <stp>.QQQ251017C496</stp>
        <tr r="S52" s="2"/>
      </tp>
      <tp t="s">
        <v>N/A</v>
        <stp/>
        <stp>VOLUME</stp>
        <stp>.QQQ251017P495</stp>
        <tr r="S53" s="2"/>
      </tp>
      <tp t="s">
        <v>N/A</v>
        <stp/>
        <stp>VOLUME</stp>
        <stp>.QQQ251017C495</stp>
        <tr r="S53" s="2"/>
      </tp>
      <tp t="s">
        <v>N/A</v>
        <stp/>
        <stp>VOLUME</stp>
        <stp>.QQQ251017P494</stp>
        <tr r="S54" s="2"/>
      </tp>
      <tp t="s">
        <v>N/A</v>
        <stp/>
        <stp>VOLUME</stp>
        <stp>.QQQ251017C494</stp>
        <tr r="S54" s="2"/>
      </tp>
      <tp t="s">
        <v>N/A</v>
        <stp/>
        <stp>VOLUME</stp>
        <stp>.QQQ251017P499</stp>
        <tr r="S49" s="2"/>
      </tp>
      <tp t="s">
        <v>N/A</v>
        <stp/>
        <stp>VOLUME</stp>
        <stp>.QQQ251017C499</stp>
        <tr r="S49" s="2"/>
      </tp>
      <tp t="s">
        <v>N/A</v>
        <stp/>
        <stp>VOLUME</stp>
        <stp>.QQQ251017P498</stp>
        <tr r="S50" s="2"/>
      </tp>
      <tp t="s">
        <v>N/A</v>
        <stp/>
        <stp>VOLUME</stp>
        <stp>.QQQ251017C498</stp>
        <tr r="S50" s="2"/>
      </tp>
      <tp t="s">
        <v>N/A</v>
        <stp/>
        <stp>VOLUME</stp>
        <stp>.QQQ251031P485</stp>
        <tr r="T63" s="2"/>
      </tp>
      <tp t="s">
        <v>N/A</v>
        <stp/>
        <stp>VOLUME</stp>
        <stp>.QQQ251031C485</stp>
        <tr r="T63" s="2"/>
      </tp>
      <tp t="s">
        <v>N/A</v>
        <stp/>
        <stp>VOLUME</stp>
        <stp>.QQQ251031P484</stp>
        <tr r="T64" s="2"/>
      </tp>
      <tp t="s">
        <v>N/A</v>
        <stp/>
        <stp>VOLUME</stp>
        <stp>.QQQ251031C484</stp>
        <tr r="T64" s="2"/>
      </tp>
      <tp t="s">
        <v>N/A</v>
        <stp/>
        <stp>VOLUME</stp>
        <stp>.QQQ251031P487</stp>
        <tr r="T61" s="2"/>
      </tp>
      <tp t="s">
        <v>N/A</v>
        <stp/>
        <stp>VOLUME</stp>
        <stp>.QQQ251031C487</stp>
        <tr r="T61" s="2"/>
      </tp>
      <tp t="s">
        <v>N/A</v>
        <stp/>
        <stp>VOLUME</stp>
        <stp>.QQQ251031P486</stp>
        <tr r="T62" s="2"/>
      </tp>
      <tp t="s">
        <v>N/A</v>
        <stp/>
        <stp>VOLUME</stp>
        <stp>.QQQ251031C486</stp>
        <tr r="T62" s="2"/>
      </tp>
      <tp t="s">
        <v>N/A</v>
        <stp/>
        <stp>VOLUME</stp>
        <stp>.QQQ251031P481</stp>
        <tr r="T67" s="2"/>
      </tp>
      <tp t="s">
        <v>N/A</v>
        <stp/>
        <stp>VOLUME</stp>
        <stp>.SPY250930P582</stp>
        <tr r="R5" s="2"/>
      </tp>
      <tp t="s">
        <v>N/A</v>
        <stp/>
        <stp>VOLUME</stp>
        <stp>.QQQ251031C481</stp>
        <tr r="T67" s="2"/>
      </tp>
      <tp t="s">
        <v>N/A</v>
        <stp/>
        <stp>VOLUME</stp>
        <stp>.SPY250930C582</stp>
        <tr r="R5" s="2"/>
      </tp>
      <tp t="s">
        <v>N/A</v>
        <stp/>
        <stp>VOLUME</stp>
        <stp>.QQQ251031P480</stp>
        <tr r="T68" s="2"/>
      </tp>
      <tp t="s">
        <v>N/A</v>
        <stp/>
        <stp>VOLUME</stp>
        <stp>.QQQ251031C480</stp>
        <tr r="T68" s="2"/>
      </tp>
      <tp t="s">
        <v>N/A</v>
        <stp/>
        <stp>VOLUME</stp>
        <stp>.QQQ251031P483</stp>
        <tr r="T65" s="2"/>
      </tp>
      <tp>
        <v>34</v>
        <stp/>
        <stp>VOLUME</stp>
        <stp>.SPY250930P580</stp>
        <tr r="R7" s="2"/>
        <tr r="R7" s="2"/>
      </tp>
      <tp t="s">
        <v>N/A</v>
        <stp/>
        <stp>VOLUME</stp>
        <stp>.QQQ251031C483</stp>
        <tr r="T65" s="2"/>
      </tp>
      <tp>
        <v>21</v>
        <stp/>
        <stp>VOLUME</stp>
        <stp>.SPY250930C580</stp>
        <tr r="R7" s="2"/>
        <tr r="R7" s="2"/>
      </tp>
      <tp t="s">
        <v>N/A</v>
        <stp/>
        <stp>VOLUME</stp>
        <stp>.QQQ251031P482</stp>
        <tr r="T66" s="2"/>
      </tp>
      <tp t="s">
        <v>N/A</v>
        <stp/>
        <stp>VOLUME</stp>
        <stp>.SPY250930P581</stp>
        <tr r="R6" s="2"/>
      </tp>
      <tp t="s">
        <v>N/A</v>
        <stp/>
        <stp>VOLUME</stp>
        <stp>.QQQ251031C482</stp>
        <tr r="T66" s="2"/>
      </tp>
      <tp t="s">
        <v>N/A</v>
        <stp/>
        <stp>VOLUME</stp>
        <stp>.SPY250930C581</stp>
        <tr r="R6" s="2"/>
      </tp>
      <tp t="s">
        <v>N/A</v>
        <stp/>
        <stp>VOLUME</stp>
        <stp>.QQQ251031P489</stp>
        <tr r="T59" s="2"/>
      </tp>
      <tp t="s">
        <v>N/A</v>
        <stp/>
        <stp>VOLUME</stp>
        <stp>.QQQ251031C489</stp>
        <tr r="T59" s="2"/>
      </tp>
      <tp t="s">
        <v>N/A</v>
        <stp/>
        <stp>VOLUME</stp>
        <stp>.QQQ251031P488</stp>
        <tr r="T60" s="2"/>
      </tp>
      <tp t="s">
        <v>N/A</v>
        <stp/>
        <stp>VOLUME</stp>
        <stp>.QQQ251031C488</stp>
        <tr r="T60" s="2"/>
      </tp>
      <tp t="s">
        <v>N/A</v>
        <stp/>
        <stp>VOLUME</stp>
        <stp>.QQQ251031P495</stp>
        <tr r="T53" s="2"/>
      </tp>
      <tp t="s">
        <v>N/A</v>
        <stp/>
        <stp>VOLUME</stp>
        <stp>.QQQ251031C495</stp>
        <tr r="T53" s="2"/>
      </tp>
      <tp t="s">
        <v>N/A</v>
        <stp/>
        <stp>VOLUME</stp>
        <stp>.QQQ251031P494</stp>
        <tr r="T54" s="2"/>
      </tp>
      <tp t="s">
        <v>N/A</v>
        <stp/>
        <stp>VOLUME</stp>
        <stp>.QQQ251031C494</stp>
        <tr r="T54" s="2"/>
      </tp>
      <tp t="s">
        <v>N/A</v>
        <stp/>
        <stp>VOLUME</stp>
        <stp>.QQQ251031P497</stp>
        <tr r="T51" s="2"/>
      </tp>
      <tp t="s">
        <v>N/A</v>
        <stp/>
        <stp>VOLUME</stp>
        <stp>.QQQ251031C497</stp>
        <tr r="T51" s="2"/>
      </tp>
      <tp t="s">
        <v>N/A</v>
        <stp/>
        <stp>VOLUME</stp>
        <stp>.QQQ251031P496</stp>
        <tr r="T52" s="2"/>
      </tp>
      <tp t="s">
        <v>N/A</v>
        <stp/>
        <stp>VOLUME</stp>
        <stp>.QQQ251031C496</stp>
        <tr r="T52" s="2"/>
      </tp>
      <tp t="s">
        <v>N/A</v>
        <stp/>
        <stp>VOLUME</stp>
        <stp>.QQQ251031P491</stp>
        <tr r="T57" s="2"/>
      </tp>
      <tp t="s">
        <v>N/A</v>
        <stp/>
        <stp>VOLUME</stp>
        <stp>.QQQ251031C491</stp>
        <tr r="T57" s="2"/>
      </tp>
      <tp t="s">
        <v>N/A</v>
        <stp/>
        <stp>VOLUME</stp>
        <stp>.QQQ251031P490</stp>
        <tr r="T58" s="2"/>
      </tp>
      <tp t="s">
        <v>N/A</v>
        <stp/>
        <stp>VOLUME</stp>
        <stp>.QQQ251031C490</stp>
        <tr r="T58" s="2"/>
      </tp>
      <tp t="s">
        <v>N/A</v>
        <stp/>
        <stp>VOLUME</stp>
        <stp>.QQQ251031P493</stp>
        <tr r="T55" s="2"/>
      </tp>
      <tp t="s">
        <v>N/A</v>
        <stp/>
        <stp>VOLUME</stp>
        <stp>.QQQ251031C493</stp>
        <tr r="T55" s="2"/>
      </tp>
      <tp t="s">
        <v>N/A</v>
        <stp/>
        <stp>VOLUME</stp>
        <stp>.QQQ251031P492</stp>
        <tr r="T56" s="2"/>
      </tp>
      <tp t="s">
        <v>N/A</v>
        <stp/>
        <stp>VOLUME</stp>
        <stp>.QQQ251031C492</stp>
        <tr r="T56" s="2"/>
      </tp>
      <tp t="s">
        <v>N/A</v>
        <stp/>
        <stp>VOLUME</stp>
        <stp>.QQQ251031P499</stp>
        <tr r="T49" s="2"/>
      </tp>
      <tp t="s">
        <v>N/A</v>
        <stp/>
        <stp>VOLUME</stp>
        <stp>.QQQ251031C499</stp>
        <tr r="T49" s="2"/>
      </tp>
      <tp t="s">
        <v>N/A</v>
        <stp/>
        <stp>VOLUME</stp>
        <stp>.QQQ251031P498</stp>
        <tr r="T50" s="2"/>
      </tp>
      <tp t="s">
        <v>N/A</v>
        <stp/>
        <stp>VOLUME</stp>
        <stp>.QQQ251031C498</stp>
        <tr r="T50" s="2"/>
      </tp>
      <tp t="s">
        <v>N/A</v>
        <stp/>
        <stp>VOLUME</stp>
        <stp>.QQQ251121P501</stp>
        <tr r="U47" s="2"/>
      </tp>
      <tp t="s">
        <v>N/A</v>
        <stp/>
        <stp>VOLUME</stp>
        <stp>.QQQ251121C501</stp>
        <tr r="U47" s="2"/>
      </tp>
      <tp>
        <v>3</v>
        <stp/>
        <stp>VOLUME</stp>
        <stp>.QQQ251121P500</stp>
        <tr r="U48" s="2"/>
        <tr r="U48" s="2"/>
      </tp>
      <tp>
        <v>118</v>
        <stp/>
        <stp>VOLUME</stp>
        <stp>.QQQ251121C500</stp>
        <tr r="U48" s="2"/>
        <tr r="U48" s="2"/>
      </tp>
      <tp t="s">
        <v>N/A</v>
        <stp/>
        <stp>VOLUME</stp>
        <stp>.QQQ251121P502</stp>
        <tr r="U46" s="2"/>
      </tp>
      <tp t="s">
        <v>N/A</v>
        <stp/>
        <stp>VOLUME</stp>
        <stp>.QQQ251121C502</stp>
        <tr r="U46" s="2"/>
      </tp>
      <tp t="s">
        <v>N/A</v>
        <stp/>
        <stp>VOLUME</stp>
        <stp>.QQQ251128P500</stp>
        <tr r="V48" s="2"/>
      </tp>
      <tp t="s">
        <v>N/A</v>
        <stp/>
        <stp>VOLUME</stp>
        <stp>.QQQ251128C500</stp>
        <tr r="V48" s="2"/>
      </tp>
      <tp t="s">
        <v>N/A</v>
        <stp/>
        <stp>VOLUME</stp>
        <stp>.QQQ251128P501</stp>
        <tr r="V47" s="2"/>
      </tp>
      <tp t="s">
        <v>N/A</v>
        <stp/>
        <stp>VOLUME</stp>
        <stp>.QQQ251128C501</stp>
        <tr r="V47" s="2"/>
      </tp>
      <tp t="s">
        <v>N/A</v>
        <stp/>
        <stp>VOLUME</stp>
        <stp>.QQQ251128P502</stp>
        <tr r="V46" s="2"/>
      </tp>
      <tp t="s">
        <v>N/A</v>
        <stp/>
        <stp>VOLUME</stp>
        <stp>.QQQ251128C502</stp>
        <tr r="V46" s="2"/>
      </tp>
      <tp>
        <v>4</v>
        <stp/>
        <stp>VOLUME</stp>
        <stp>.SPY250930P566</stp>
        <tr r="R21" s="2"/>
        <tr r="R21" s="2"/>
      </tp>
      <tp>
        <v>2</v>
        <stp/>
        <stp>VOLUME</stp>
        <stp>.SPY250930C566</stp>
        <tr r="R21" s="2"/>
        <tr r="R21" s="2"/>
      </tp>
      <tp>
        <v>12</v>
        <stp/>
        <stp>VOLUME</stp>
        <stp>.SPY250930P567</stp>
        <tr r="R20" s="2"/>
        <tr r="R20" s="2"/>
      </tp>
      <tp>
        <v>9</v>
        <stp/>
        <stp>VOLUME</stp>
        <stp>.SPY250930C567</stp>
        <tr r="R20" s="2"/>
        <tr r="R20" s="2"/>
      </tp>
      <tp>
        <v>27</v>
        <stp/>
        <stp>VOLUME</stp>
        <stp>.SPY250930P564</stp>
        <tr r="R23" s="2"/>
        <tr r="R23" s="2"/>
      </tp>
      <tp>
        <v>43</v>
        <stp/>
        <stp>VOLUME</stp>
        <stp>.SPY250930C564</stp>
        <tr r="R23" s="2"/>
        <tr r="R23" s="2"/>
      </tp>
      <tp>
        <v>132</v>
        <stp/>
        <stp>VOLUME</stp>
        <stp>.SPY250930P565</stp>
        <tr r="R22" s="2"/>
        <tr r="R22" s="2"/>
      </tp>
      <tp>
        <v>32</v>
        <stp/>
        <stp>VOLUME</stp>
        <stp>.SPY250930C565</stp>
        <tr r="R22" s="2"/>
        <tr r="R22" s="2"/>
      </tp>
      <tp>
        <v>11</v>
        <stp/>
        <stp>VOLUME</stp>
        <stp>.SPY250930P562</stp>
        <tr r="R25" s="2"/>
        <tr r="R25" s="2"/>
      </tp>
      <tp t="s">
        <v>N/A</v>
        <stp/>
        <stp>VOLUME</stp>
        <stp>.SPY250930C562</stp>
        <tr r="R25" s="2"/>
      </tp>
      <tp>
        <v>1</v>
        <stp/>
        <stp>VOLUME</stp>
        <stp>.SPY250930P563</stp>
        <tr r="R24" s="2"/>
        <tr r="R24" s="2"/>
      </tp>
      <tp>
        <v>3</v>
        <stp/>
        <stp>VOLUME</stp>
        <stp>.SPY250930C563</stp>
        <tr r="R24" s="2"/>
        <tr r="R24" s="2"/>
      </tp>
      <tp t="s">
        <v>N/A</v>
        <stp/>
        <stp>VOLUME</stp>
        <stp>.SPY250919P549</stp>
        <tr r="Q38" s="2"/>
      </tp>
      <tp>
        <v>12</v>
        <stp/>
        <stp>VOLUME</stp>
        <stp>.SPY250930P560</stp>
        <tr r="R27" s="2"/>
        <tr r="R27" s="2"/>
      </tp>
      <tp t="s">
        <v>N/A</v>
        <stp/>
        <stp>VOLUME</stp>
        <stp>.SPY250919C549</stp>
        <tr r="Q38" s="2"/>
      </tp>
      <tp>
        <v>5</v>
        <stp/>
        <stp>VOLUME</stp>
        <stp>.SPY250930C560</stp>
        <tr r="R27" s="2"/>
        <tr r="R27" s="2"/>
      </tp>
      <tp t="s">
        <v>N/A</v>
        <stp/>
        <stp>VOLUME</stp>
        <stp>.SPY250919P548</stp>
        <tr r="Q39" s="2"/>
      </tp>
      <tp>
        <v>3</v>
        <stp/>
        <stp>VOLUME</stp>
        <stp>.SPY250930P561</stp>
        <tr r="R26" s="2"/>
        <tr r="R26" s="2"/>
      </tp>
      <tp t="s">
        <v>N/A</v>
        <stp/>
        <stp>VOLUME</stp>
        <stp>.SPY250919C548</stp>
        <tr r="Q39" s="2"/>
      </tp>
      <tp t="s">
        <v>N/A</v>
        <stp/>
        <stp>VOLUME</stp>
        <stp>.SPY250930C561</stp>
        <tr r="R26" s="2"/>
      </tp>
      <tp t="s">
        <v>N/A</v>
        <stp/>
        <stp>VOLUME</stp>
        <stp>.QQQ251031P469</stp>
        <tr r="T79" s="2"/>
      </tp>
      <tp t="s">
        <v>N/A</v>
        <stp/>
        <stp>VOLUME</stp>
        <stp>.QQQ251031C469</stp>
        <tr r="T79" s="2"/>
      </tp>
      <tp t="s">
        <v>N/A</v>
        <stp/>
        <stp>VOLUME</stp>
        <stp>.QQQ251031P468</stp>
        <tr r="T80" s="2"/>
      </tp>
      <tp t="s">
        <v>N/A</v>
        <stp/>
        <stp>VOLUME</stp>
        <stp>.QQQ251031C468</stp>
        <tr r="T80" s="2"/>
      </tp>
      <tp>
        <v>1</v>
        <stp/>
        <stp>VOLUME</stp>
        <stp>.SPY250930P568</stp>
        <tr r="R19" s="2"/>
        <tr r="R19" s="2"/>
      </tp>
      <tp>
        <v>4</v>
        <stp/>
        <stp>VOLUME</stp>
        <stp>.SPY250930C568</stp>
        <tr r="R19" s="2"/>
        <tr r="R19" s="2"/>
      </tp>
      <tp>
        <v>7</v>
        <stp/>
        <stp>VOLUME</stp>
        <stp>.SPY250930P569</stp>
        <tr r="R18" s="2"/>
        <tr r="R18" s="2"/>
      </tp>
      <tp>
        <v>13</v>
        <stp/>
        <stp>VOLUME</stp>
        <stp>.SPY250930C569</stp>
        <tr r="R18" s="2"/>
        <tr r="R18" s="2"/>
      </tp>
      <tp t="s">
        <v>N/A</v>
        <stp/>
        <stp>VOLUME</stp>
        <stp>.QQQ251031P475</stp>
        <tr r="T73" s="2"/>
      </tp>
      <tp t="s">
        <v>N/A</v>
        <stp/>
        <stp>VOLUME</stp>
        <stp>.SPY250930P576</stp>
        <tr r="R11" s="2"/>
      </tp>
      <tp t="s">
        <v>N/A</v>
        <stp/>
        <stp>VOLUME</stp>
        <stp>.QQQ251031C475</stp>
        <tr r="T73" s="2"/>
      </tp>
      <tp t="s">
        <v>N/A</v>
        <stp/>
        <stp>VOLUME</stp>
        <stp>.SPY250930C576</stp>
        <tr r="R11" s="2"/>
      </tp>
      <tp t="s">
        <v>N/A</v>
        <stp/>
        <stp>VOLUME</stp>
        <stp>.QQQ251031P474</stp>
        <tr r="T74" s="2"/>
      </tp>
      <tp>
        <v>1</v>
        <stp/>
        <stp>VOLUME</stp>
        <stp>.SPY250930P577</stp>
        <tr r="R10" s="2"/>
        <tr r="R10" s="2"/>
      </tp>
      <tp t="s">
        <v>N/A</v>
        <stp/>
        <stp>VOLUME</stp>
        <stp>.QQQ251031C474</stp>
        <tr r="T74" s="2"/>
      </tp>
      <tp>
        <v>4</v>
        <stp/>
        <stp>VOLUME</stp>
        <stp>.SPY250930C577</stp>
        <tr r="R10" s="2"/>
        <tr r="R10" s="2"/>
      </tp>
      <tp t="s">
        <v>N/A</v>
        <stp/>
        <stp>VOLUME</stp>
        <stp>.QQQ251031P477</stp>
        <tr r="T71" s="2"/>
      </tp>
      <tp>
        <v>1</v>
        <stp/>
        <stp>VOLUME</stp>
        <stp>.SPY250930P574</stp>
        <tr r="R13" s="2"/>
        <tr r="R13" s="2"/>
      </tp>
      <tp t="s">
        <v>N/A</v>
        <stp/>
        <stp>VOLUME</stp>
        <stp>.QQQ251031C477</stp>
        <tr r="T71" s="2"/>
      </tp>
      <tp t="s">
        <v>N/A</v>
        <stp/>
        <stp>VOLUME</stp>
        <stp>.SPY250930C574</stp>
        <tr r="R13" s="2"/>
      </tp>
      <tp t="s">
        <v>N/A</v>
        <stp/>
        <stp>VOLUME</stp>
        <stp>.QQQ251031P476</stp>
        <tr r="T72" s="2"/>
      </tp>
      <tp t="s">
        <v>N/A</v>
        <stp/>
        <stp>VOLUME</stp>
        <stp>.SPY250930P575</stp>
        <tr r="R12" s="2"/>
      </tp>
      <tp t="s">
        <v>N/A</v>
        <stp/>
        <stp>VOLUME</stp>
        <stp>.QQQ251031C476</stp>
        <tr r="T72" s="2"/>
      </tp>
      <tp>
        <v>24</v>
        <stp/>
        <stp>VOLUME</stp>
        <stp>.SPY250930C575</stp>
        <tr r="R12" s="2"/>
        <tr r="R12" s="2"/>
      </tp>
      <tp t="s">
        <v>N/A</v>
        <stp/>
        <stp>VOLUME</stp>
        <stp>.QQQ251031P471</stp>
        <tr r="T77" s="2"/>
      </tp>
      <tp t="s">
        <v>N/A</v>
        <stp/>
        <stp>VOLUME</stp>
        <stp>.SPY250930P572</stp>
        <tr r="R15" s="2"/>
      </tp>
      <tp t="s">
        <v>N/A</v>
        <stp/>
        <stp>VOLUME</stp>
        <stp>.QQQ251031C471</stp>
        <tr r="T77" s="2"/>
      </tp>
      <tp t="s">
        <v>N/A</v>
        <stp/>
        <stp>VOLUME</stp>
        <stp>.SPY250930C572</stp>
        <tr r="R15" s="2"/>
      </tp>
      <tp t="s">
        <v>N/A</v>
        <stp/>
        <stp>VOLUME</stp>
        <stp>.QQQ251031P470</stp>
        <tr r="T78" s="2"/>
      </tp>
      <tp t="s">
        <v>N/A</v>
        <stp/>
        <stp>VOLUME</stp>
        <stp>.SPY250930P573</stp>
        <tr r="R14" s="2"/>
      </tp>
      <tp t="s">
        <v>N/A</v>
        <stp/>
        <stp>VOLUME</stp>
        <stp>.QQQ251031C470</stp>
        <tr r="T78" s="2"/>
      </tp>
      <tp t="s">
        <v>N/A</v>
        <stp/>
        <stp>VOLUME</stp>
        <stp>.SPY250930C573</stp>
        <tr r="R14" s="2"/>
      </tp>
      <tp t="s">
        <v>N/A</v>
        <stp/>
        <stp>VOLUME</stp>
        <stp>.QQQ251031P473</stp>
        <tr r="T75" s="2"/>
      </tp>
      <tp t="s">
        <v>N/A</v>
        <stp/>
        <stp>VOLUME</stp>
        <stp>.SPY250919P559</stp>
        <tr r="Q28" s="2"/>
      </tp>
      <tp>
        <v>53</v>
        <stp/>
        <stp>VOLUME</stp>
        <stp>.SPY250930P570</stp>
        <tr r="R17" s="2"/>
        <tr r="R17" s="2"/>
      </tp>
      <tp t="s">
        <v>N/A</v>
        <stp/>
        <stp>VOLUME</stp>
        <stp>.QQQ251031C473</stp>
        <tr r="T75" s="2"/>
      </tp>
      <tp t="s">
        <v>N/A</v>
        <stp/>
        <stp>VOLUME</stp>
        <stp>.SPY250919C559</stp>
        <tr r="Q28" s="2"/>
      </tp>
      <tp>
        <v>13</v>
        <stp/>
        <stp>VOLUME</stp>
        <stp>.SPY250930C570</stp>
        <tr r="R17" s="2"/>
        <tr r="R17" s="2"/>
      </tp>
      <tp t="s">
        <v>N/A</v>
        <stp/>
        <stp>VOLUME</stp>
        <stp>.QQQ251031P472</stp>
        <tr r="T76" s="2"/>
      </tp>
      <tp t="s">
        <v>N/A</v>
        <stp/>
        <stp>VOLUME</stp>
        <stp>.SPY250919P558</stp>
        <tr r="Q29" s="2"/>
      </tp>
      <tp t="s">
        <v>N/A</v>
        <stp/>
        <stp>VOLUME</stp>
        <stp>.SPY250930P571</stp>
        <tr r="R16" s="2"/>
      </tp>
      <tp t="s">
        <v>N/A</v>
        <stp/>
        <stp>VOLUME</stp>
        <stp>.QQQ251031C472</stp>
        <tr r="T76" s="2"/>
      </tp>
      <tp t="s">
        <v>N/A</v>
        <stp/>
        <stp>VOLUME</stp>
        <stp>.SPY250919C558</stp>
        <tr r="Q29" s="2"/>
      </tp>
      <tp t="s">
        <v>N/A</v>
        <stp/>
        <stp>VOLUME</stp>
        <stp>.SPY250930C571</stp>
        <tr r="R16" s="2"/>
      </tp>
      <tp t="s">
        <v>N/A</v>
        <stp/>
        <stp>VOLUME</stp>
        <stp>.SPY250919P557</stp>
        <tr r="Q30" s="2"/>
      </tp>
      <tp t="s">
        <v>N/A</v>
        <stp/>
        <stp>VOLUME</stp>
        <stp>.SPY250919C557</stp>
        <tr r="Q30" s="2"/>
      </tp>
      <tp t="s">
        <v>N/A</v>
        <stp/>
        <stp>VOLUME</stp>
        <stp>.SPY250919P556</stp>
        <tr r="Q31" s="2"/>
      </tp>
      <tp t="s">
        <v>N/A</v>
        <stp/>
        <stp>VOLUME</stp>
        <stp>.SPY250919C556</stp>
        <tr r="Q31" s="2"/>
      </tp>
      <tp>
        <v>83</v>
        <stp/>
        <stp>VOLUME</stp>
        <stp>.SPY250919P555</stp>
        <tr r="Q32" s="2"/>
        <tr r="Q32" s="2"/>
      </tp>
      <tp>
        <v>4</v>
        <stp/>
        <stp>VOLUME</stp>
        <stp>.SPY250919C555</stp>
        <tr r="Q32" s="2"/>
        <tr r="Q32" s="2"/>
      </tp>
      <tp t="s">
        <v>N/A</v>
        <stp/>
        <stp>VOLUME</stp>
        <stp>.SPY250919P554</stp>
        <tr r="Q33" s="2"/>
      </tp>
      <tp t="s">
        <v>N/A</v>
        <stp/>
        <stp>VOLUME</stp>
        <stp>.SPY250919C554</stp>
        <tr r="Q33" s="2"/>
      </tp>
      <tp t="s">
        <v>N/A</v>
        <stp/>
        <stp>VOLUME</stp>
        <stp>.QQQ251031P479</stp>
        <tr r="T69" s="2"/>
      </tp>
      <tp t="s">
        <v>N/A</v>
        <stp/>
        <stp>VOLUME</stp>
        <stp>.SPY250919P553</stp>
        <tr r="Q34" s="2"/>
      </tp>
      <tp t="s">
        <v>N/A</v>
        <stp/>
        <stp>VOLUME</stp>
        <stp>.QQQ251031C479</stp>
        <tr r="T69" s="2"/>
      </tp>
      <tp t="s">
        <v>N/A</v>
        <stp/>
        <stp>VOLUME</stp>
        <stp>.SPY250919C553</stp>
        <tr r="Q34" s="2"/>
      </tp>
      <tp t="s">
        <v>N/A</v>
        <stp/>
        <stp>VOLUME</stp>
        <stp>.QQQ251031P478</stp>
        <tr r="T70" s="2"/>
      </tp>
      <tp t="s">
        <v>N/A</v>
        <stp/>
        <stp>VOLUME</stp>
        <stp>.SPY250919P552</stp>
        <tr r="Q35" s="2"/>
      </tp>
      <tp t="s">
        <v>N/A</v>
        <stp/>
        <stp>VOLUME</stp>
        <stp>.QQQ251031C478</stp>
        <tr r="T70" s="2"/>
      </tp>
      <tp t="s">
        <v>N/A</v>
        <stp/>
        <stp>VOLUME</stp>
        <stp>.SPY250919C552</stp>
        <tr r="Q35" s="2"/>
      </tp>
      <tp t="s">
        <v>N/A</v>
        <stp/>
        <stp>VOLUME</stp>
        <stp>.SPY250919P551</stp>
        <tr r="Q36" s="2"/>
      </tp>
      <tp>
        <v>20</v>
        <stp/>
        <stp>VOLUME</stp>
        <stp>.SPY250930P578</stp>
        <tr r="R9" s="2"/>
        <tr r="R9" s="2"/>
      </tp>
      <tp t="s">
        <v>N/A</v>
        <stp/>
        <stp>VOLUME</stp>
        <stp>.SPY250919C551</stp>
        <tr r="Q36" s="2"/>
      </tp>
      <tp t="s">
        <v>N/A</v>
        <stp/>
        <stp>VOLUME</stp>
        <stp>.SPY250930C578</stp>
        <tr r="R9" s="2"/>
      </tp>
      <tp>
        <v>1349</v>
        <stp/>
        <stp>VOLUME</stp>
        <stp>.SPY250919P550</stp>
        <tr r="Q37" s="2"/>
        <tr r="Q37" s="2"/>
      </tp>
      <tp t="s">
        <v>N/A</v>
        <stp/>
        <stp>VOLUME</stp>
        <stp>.SPY250930P579</stp>
        <tr r="R8" s="2"/>
      </tp>
      <tp>
        <v>48</v>
        <stp/>
        <stp>VOLUME</stp>
        <stp>.SPY250919C550</stp>
        <tr r="Q37" s="2"/>
        <tr r="Q37" s="2"/>
      </tp>
      <tp t="s">
        <v>N/A</v>
        <stp/>
        <stp>VOLUME</stp>
        <stp>.SPY250930C579</stp>
        <tr r="R8" s="2"/>
      </tp>
      <tp t="s">
        <v>N/A</v>
        <stp/>
        <stp>VOLUME</stp>
        <stp>.SPY250919P569</stp>
        <tr r="Q18" s="2"/>
      </tp>
      <tp t="s">
        <v>N/A</v>
        <stp/>
        <stp>VOLUME</stp>
        <stp>.SPY250919C569</stp>
        <tr r="Q18" s="2"/>
      </tp>
      <tp t="s">
        <v>N/A</v>
        <stp/>
        <stp>VOLUME</stp>
        <stp>.SPY250919P568</stp>
        <tr r="Q19" s="2"/>
      </tp>
      <tp t="s">
        <v>N/A</v>
        <stp/>
        <stp>VOLUME</stp>
        <stp>.SPY250919C568</stp>
        <tr r="Q19" s="2"/>
      </tp>
      <tp t="s">
        <v>N/A</v>
        <stp/>
        <stp>VOLUME</stp>
        <stp>.SPY250919P567</stp>
        <tr r="Q20" s="2"/>
      </tp>
      <tp t="s">
        <v>N/A</v>
        <stp/>
        <stp>VOLUME</stp>
        <stp>.SPY250919C567</stp>
        <tr r="Q20" s="2"/>
      </tp>
      <tp t="s">
        <v>N/A</v>
        <stp/>
        <stp>VOLUME</stp>
        <stp>.SPY250919P566</stp>
        <tr r="Q21" s="2"/>
      </tp>
      <tp t="s">
        <v>N/A</v>
        <stp/>
        <stp>VOLUME</stp>
        <stp>.SPY250919C566</stp>
        <tr r="Q21" s="2"/>
      </tp>
      <tp t="s">
        <v>N/A</v>
        <stp/>
        <stp>VOLUME</stp>
        <stp>.QQQ251017P469</stp>
        <tr r="S79" s="2"/>
      </tp>
      <tp>
        <v>497</v>
        <stp/>
        <stp>VOLUME</stp>
        <stp>.SPY250919P565</stp>
        <tr r="Q22" s="2"/>
        <tr r="Q22" s="2"/>
      </tp>
      <tp t="s">
        <v>N/A</v>
        <stp/>
        <stp>VOLUME</stp>
        <stp>.QQQ251017C469</stp>
        <tr r="S79" s="2"/>
      </tp>
      <tp>
        <v>148</v>
        <stp/>
        <stp>VOLUME</stp>
        <stp>.SPY250919C565</stp>
        <tr r="Q22" s="2"/>
        <tr r="Q22" s="2"/>
      </tp>
      <tp t="s">
        <v>N/A</v>
        <stp/>
        <stp>VOLUME</stp>
        <stp>.QQQ251017P468</stp>
        <tr r="S80" s="2"/>
      </tp>
      <tp t="s">
        <v>N/A</v>
        <stp/>
        <stp>VOLUME</stp>
        <stp>.SPY250919P564</stp>
        <tr r="Q23" s="2"/>
      </tp>
      <tp t="s">
        <v>N/A</v>
        <stp/>
        <stp>VOLUME</stp>
        <stp>.QQQ251017C468</stp>
        <tr r="S80" s="2"/>
      </tp>
      <tp t="s">
        <v>N/A</v>
        <stp/>
        <stp>VOLUME</stp>
        <stp>.SPY250919C564</stp>
        <tr r="Q23" s="2"/>
      </tp>
      <tp t="s">
        <v>N/A</v>
        <stp/>
        <stp>VOLUME</stp>
        <stp>.SPY250919P563</stp>
        <tr r="Q24" s="2"/>
      </tp>
      <tp t="s">
        <v>N/A</v>
        <stp/>
        <stp>VOLUME</stp>
        <stp>.SPY250919C563</stp>
        <tr r="Q24" s="2"/>
      </tp>
      <tp t="s">
        <v>N/A</v>
        <stp/>
        <stp>VOLUME</stp>
        <stp>.SPY250919P562</stp>
        <tr r="Q25" s="2"/>
      </tp>
      <tp t="s">
        <v>N/A</v>
        <stp/>
        <stp>VOLUME</stp>
        <stp>.SPY250919C562</stp>
        <tr r="Q25" s="2"/>
      </tp>
      <tp t="s">
        <v>N/A</v>
        <stp/>
        <stp>VOLUME</stp>
        <stp>.SPY250919P561</stp>
        <tr r="Q26" s="2"/>
      </tp>
      <tp>
        <v>1</v>
        <stp/>
        <stp>VOLUME</stp>
        <stp>.SPY250930P548</stp>
        <tr r="R39" s="2"/>
        <tr r="R39" s="2"/>
      </tp>
      <tp t="s">
        <v>N/A</v>
        <stp/>
        <stp>VOLUME</stp>
        <stp>.SPY250919C561</stp>
        <tr r="Q26" s="2"/>
      </tp>
      <tp t="s">
        <v>N/A</v>
        <stp/>
        <stp>VOLUME</stp>
        <stp>.SPY250930C548</stp>
        <tr r="R39" s="2"/>
      </tp>
      <tp>
        <v>233</v>
        <stp/>
        <stp>VOLUME</stp>
        <stp>.SPY250919P560</stp>
        <tr r="Q27" s="2"/>
        <tr r="Q27" s="2"/>
      </tp>
      <tp>
        <v>1</v>
        <stp/>
        <stp>VOLUME</stp>
        <stp>.SPY250930P549</stp>
        <tr r="R38" s="2"/>
        <tr r="R38" s="2"/>
      </tp>
      <tp>
        <v>39</v>
        <stp/>
        <stp>VOLUME</stp>
        <stp>.SPY250919C560</stp>
        <tr r="Q27" s="2"/>
        <tr r="Q27" s="2"/>
      </tp>
      <tp t="s">
        <v>N/A</v>
        <stp/>
        <stp>VOLUME</stp>
        <stp>.SPY250930C549</stp>
        <tr r="R38" s="2"/>
      </tp>
      <tp t="s">
        <v>N/A</v>
        <stp/>
        <stp>VOLUME</stp>
        <stp>.QQQ251017P473</stp>
        <tr r="S75" s="2"/>
      </tp>
      <tp>
        <v>2</v>
        <stp/>
        <stp>VOLUME</stp>
        <stp>.SPY250930P556</stp>
        <tr r="R31" s="2"/>
        <tr r="R31" s="2"/>
      </tp>
      <tp t="s">
        <v>N/A</v>
        <stp/>
        <stp>VOLUME</stp>
        <stp>.QQQ251017C473</stp>
        <tr r="S75" s="2"/>
      </tp>
      <tp t="s">
        <v>N/A</v>
        <stp/>
        <stp>VOLUME</stp>
        <stp>.SPY250930C556</stp>
        <tr r="R31" s="2"/>
      </tp>
      <tp t="s">
        <v>N/A</v>
        <stp/>
        <stp>VOLUME</stp>
        <stp>.QQQ251017P472</stp>
        <tr r="S76" s="2"/>
      </tp>
      <tp>
        <v>5</v>
        <stp/>
        <stp>VOLUME</stp>
        <stp>.SPY250930P557</stp>
        <tr r="R30" s="2"/>
        <tr r="R30" s="2"/>
      </tp>
      <tp t="s">
        <v>N/A</v>
        <stp/>
        <stp>VOLUME</stp>
        <stp>.QQQ251017C472</stp>
        <tr r="S76" s="2"/>
      </tp>
      <tp t="s">
        <v>N/A</v>
        <stp/>
        <stp>VOLUME</stp>
        <stp>.SPY250930C557</stp>
        <tr r="R30" s="2"/>
      </tp>
      <tp t="s">
        <v>N/A</v>
        <stp/>
        <stp>VOLUME</stp>
        <stp>.QQQ251017P471</stp>
        <tr r="S77" s="2"/>
      </tp>
      <tp t="s">
        <v>N/A</v>
        <stp/>
        <stp>VOLUME</stp>
        <stp>.SPY250930P554</stp>
        <tr r="R33" s="2"/>
      </tp>
      <tp t="s">
        <v>N/A</v>
        <stp/>
        <stp>VOLUME</stp>
        <stp>.QQQ251017C471</stp>
        <tr r="S77" s="2"/>
      </tp>
      <tp t="s">
        <v>N/A</v>
        <stp/>
        <stp>VOLUME</stp>
        <stp>.SPY250930C554</stp>
        <tr r="R33" s="2"/>
      </tp>
      <tp t="s">
        <v>N/A</v>
        <stp/>
        <stp>VOLUME</stp>
        <stp>.QQQ251017P470</stp>
        <tr r="S78" s="2"/>
      </tp>
      <tp>
        <v>6</v>
        <stp/>
        <stp>VOLUME</stp>
        <stp>.SPY250930P555</stp>
        <tr r="R32" s="2"/>
        <tr r="R32" s="2"/>
      </tp>
      <tp t="s">
        <v>N/A</v>
        <stp/>
        <stp>VOLUME</stp>
        <stp>.QQQ251017C470</stp>
        <tr r="S78" s="2"/>
      </tp>
      <tp>
        <v>3</v>
        <stp/>
        <stp>VOLUME</stp>
        <stp>.SPY250930C555</stp>
        <tr r="R32" s="2"/>
        <tr r="R32" s="2"/>
      </tp>
      <tp t="s">
        <v>N/A</v>
        <stp/>
        <stp>VOLUME</stp>
        <stp>.QQQ251017P477</stp>
        <tr r="S71" s="2"/>
      </tp>
      <tp t="s">
        <v>N/A</v>
        <stp/>
        <stp>VOLUME</stp>
        <stp>.SPY250930P552</stp>
        <tr r="R35" s="2"/>
      </tp>
      <tp t="s">
        <v>N/A</v>
        <stp/>
        <stp>VOLUME</stp>
        <stp>.QQQ251017C477</stp>
        <tr r="S71" s="2"/>
      </tp>
      <tp t="s">
        <v>N/A</v>
        <stp/>
        <stp>VOLUME</stp>
        <stp>.SPY250930C552</stp>
        <tr r="R35" s="2"/>
      </tp>
      <tp t="s">
        <v>N/A</v>
        <stp/>
        <stp>VOLUME</stp>
        <stp>.QQQ251017P476</stp>
        <tr r="S72" s="2"/>
      </tp>
      <tp>
        <v>1</v>
        <stp/>
        <stp>VOLUME</stp>
        <stp>.SPY250930P553</stp>
        <tr r="R34" s="2"/>
        <tr r="R34" s="2"/>
      </tp>
      <tp t="s">
        <v>N/A</v>
        <stp/>
        <stp>VOLUME</stp>
        <stp>.QQQ251017C476</stp>
        <tr r="S72" s="2"/>
      </tp>
      <tp>
        <v>18</v>
        <stp/>
        <stp>VOLUME</stp>
        <stp>.SPY250930C553</stp>
        <tr r="R34" s="2"/>
        <tr r="R34" s="2"/>
      </tp>
      <tp t="s">
        <v>N/A</v>
        <stp/>
        <stp>VOLUME</stp>
        <stp>.QQQ251017P475</stp>
        <tr r="S73" s="2"/>
      </tp>
      <tp t="s">
        <v>N/A</v>
        <stp/>
        <stp>VOLUME</stp>
        <stp>.SPY250919P579</stp>
        <tr r="Q8" s="2"/>
      </tp>
      <tp>
        <v>107</v>
        <stp/>
        <stp>VOLUME</stp>
        <stp>.SPY250930P550</stp>
        <tr r="R37" s="2"/>
        <tr r="R37" s="2"/>
      </tp>
      <tp t="s">
        <v>N/A</v>
        <stp/>
        <stp>VOLUME</stp>
        <stp>.QQQ251017C475</stp>
        <tr r="S73" s="2"/>
      </tp>
      <tp t="s">
        <v>N/A</v>
        <stp/>
        <stp>VOLUME</stp>
        <stp>.SPY250919C579</stp>
        <tr r="Q8" s="2"/>
      </tp>
      <tp t="s">
        <v>N/A</v>
        <stp/>
        <stp>VOLUME</stp>
        <stp>.SPY250930C550</stp>
        <tr r="R37" s="2"/>
      </tp>
      <tp t="s">
        <v>N/A</v>
        <stp/>
        <stp>VOLUME</stp>
        <stp>.QQQ251017P474</stp>
        <tr r="S74" s="2"/>
      </tp>
      <tp t="s">
        <v>N/A</v>
        <stp/>
        <stp>VOLUME</stp>
        <stp>.SPY250919P578</stp>
        <tr r="Q9" s="2"/>
      </tp>
      <tp t="s">
        <v>N/A</v>
        <stp/>
        <stp>VOLUME</stp>
        <stp>.SPY250930P551</stp>
        <tr r="R36" s="2"/>
      </tp>
      <tp t="s">
        <v>N/A</v>
        <stp/>
        <stp>VOLUME</stp>
        <stp>.QQQ251017C474</stp>
        <tr r="S74" s="2"/>
      </tp>
      <tp t="s">
        <v>N/A</v>
        <stp/>
        <stp>VOLUME</stp>
        <stp>.SPY250919C578</stp>
        <tr r="Q9" s="2"/>
      </tp>
      <tp t="s">
        <v>N/A</v>
        <stp/>
        <stp>VOLUME</stp>
        <stp>.SPY250930C551</stp>
        <tr r="R36" s="2"/>
      </tp>
      <tp t="s">
        <v>N/A</v>
        <stp/>
        <stp>VOLUME</stp>
        <stp>.SPY250919P577</stp>
        <tr r="Q10" s="2"/>
      </tp>
      <tp t="s">
        <v>N/A</v>
        <stp/>
        <stp>VOLUME</stp>
        <stp>.SPY250919C577</stp>
        <tr r="Q10" s="2"/>
      </tp>
      <tp t="s">
        <v>N/A</v>
        <stp/>
        <stp>VOLUME</stp>
        <stp>.SPY250919P576</stp>
        <tr r="Q11" s="2"/>
      </tp>
      <tp t="s">
        <v>N/A</v>
        <stp/>
        <stp>VOLUME</stp>
        <stp>.SPY250919C576</stp>
        <tr r="Q11" s="2"/>
      </tp>
      <tp t="s">
        <v>N/A</v>
        <stp/>
        <stp>VOLUME</stp>
        <stp>.QQQ251017P479</stp>
        <tr r="S69" s="2"/>
      </tp>
      <tp>
        <v>72</v>
        <stp/>
        <stp>VOLUME</stp>
        <stp>.SPY250919P575</stp>
        <tr r="Q12" s="2"/>
        <tr r="Q12" s="2"/>
      </tp>
      <tp t="s">
        <v>N/A</v>
        <stp/>
        <stp>VOLUME</stp>
        <stp>.QQQ251017C479</stp>
        <tr r="S69" s="2"/>
      </tp>
      <tp>
        <v>175</v>
        <stp/>
        <stp>VOLUME</stp>
        <stp>.SPY250919C575</stp>
        <tr r="Q12" s="2"/>
        <tr r="Q12" s="2"/>
      </tp>
      <tp t="s">
        <v>N/A</v>
        <stp/>
        <stp>VOLUME</stp>
        <stp>.QQQ251017P478</stp>
        <tr r="S70" s="2"/>
      </tp>
      <tp t="s">
        <v>N/A</v>
        <stp/>
        <stp>VOLUME</stp>
        <stp>.SPY250919P574</stp>
        <tr r="Q13" s="2"/>
      </tp>
      <tp t="s">
        <v>N/A</v>
        <stp/>
        <stp>VOLUME</stp>
        <stp>.QQQ251017C478</stp>
        <tr r="S70" s="2"/>
      </tp>
      <tp t="s">
        <v>N/A</v>
        <stp/>
        <stp>VOLUME</stp>
        <stp>.SPY250919C574</stp>
        <tr r="Q13" s="2"/>
      </tp>
      <tp t="s">
        <v>N/A</v>
        <stp/>
        <stp>VOLUME</stp>
        <stp>.SPY250919P573</stp>
        <tr r="Q14" s="2"/>
      </tp>
      <tp t="s">
        <v>N/A</v>
        <stp/>
        <stp>VOLUME</stp>
        <stp>.SPY250919C573</stp>
        <tr r="Q14" s="2"/>
      </tp>
      <tp t="s">
        <v>N/A</v>
        <stp/>
        <stp>VOLUME</stp>
        <stp>.SPY250919P572</stp>
        <tr r="Q15" s="2"/>
      </tp>
      <tp t="s">
        <v>N/A</v>
        <stp/>
        <stp>VOLUME</stp>
        <stp>.SPY250919C572</stp>
        <tr r="Q15" s="2"/>
      </tp>
      <tp t="s">
        <v>N/A</v>
        <stp/>
        <stp>VOLUME</stp>
        <stp>.SPY250919P571</stp>
        <tr r="Q16" s="2"/>
      </tp>
      <tp>
        <v>1</v>
        <stp/>
        <stp>VOLUME</stp>
        <stp>.SPY250930P558</stp>
        <tr r="R29" s="2"/>
        <tr r="R29" s="2"/>
      </tp>
      <tp t="s">
        <v>N/A</v>
        <stp/>
        <stp>VOLUME</stp>
        <stp>.SPY250919C571</stp>
        <tr r="Q16" s="2"/>
      </tp>
      <tp t="s">
        <v>N/A</v>
        <stp/>
        <stp>VOLUME</stp>
        <stp>.SPY250930C558</stp>
        <tr r="R29" s="2"/>
      </tp>
      <tp>
        <v>279</v>
        <stp/>
        <stp>VOLUME</stp>
        <stp>.SPY250919P570</stp>
        <tr r="Q17" s="2"/>
        <tr r="Q17" s="2"/>
      </tp>
      <tp t="s">
        <v>N/A</v>
        <stp/>
        <stp>VOLUME</stp>
        <stp>.SPY250930P559</stp>
        <tr r="R28" s="2"/>
      </tp>
      <tp>
        <v>101</v>
        <stp/>
        <stp>VOLUME</stp>
        <stp>.SPY250919C570</stp>
        <tr r="Q17" s="2"/>
        <tr r="Q17" s="2"/>
      </tp>
      <tp t="s">
        <v>N/A</v>
        <stp/>
        <stp>VOLUME</stp>
        <stp>.SPY250930C559</stp>
        <tr r="R28" s="2"/>
      </tp>
      <tp>
        <v>-1</v>
        <stp/>
        <stp>DELTA</stp>
        <stp>.SPXW250509P5820</stp>
        <tr r="CG90" s="1"/>
        <tr r="CG90" s="1"/>
      </tp>
      <tp>
        <v>0</v>
        <stp/>
        <stp>DELTA</stp>
        <stp>.SPXW250509C5820</stp>
        <tr r="CF90" s="1"/>
        <tr r="CF90" s="1"/>
      </tp>
      <tp>
        <v>-1</v>
        <stp/>
        <stp>DELTA</stp>
        <stp>.SPXW250509P5830</stp>
        <tr r="CG89" s="1"/>
        <tr r="CG89" s="1"/>
      </tp>
      <tp>
        <v>0</v>
        <stp/>
        <stp>DELTA</stp>
        <stp>.SPXW250509C5830</stp>
        <tr r="CF89" s="1"/>
        <tr r="CF89" s="1"/>
      </tp>
      <tp>
        <v>-0.99</v>
        <stp/>
        <stp>DELTA</stp>
        <stp>.SPXW250509P5800</stp>
        <tr r="CG92" s="1"/>
        <tr r="CG92" s="1"/>
      </tp>
      <tp>
        <v>0</v>
        <stp/>
        <stp>DELTA</stp>
        <stp>.SPXW250509C5800</stp>
        <tr r="CF92" s="1"/>
        <tr r="CF92" s="1"/>
      </tp>
      <tp>
        <v>-1</v>
        <stp/>
        <stp>DELTA</stp>
        <stp>.SPXW250509P5810</stp>
        <tr r="CG91" s="1"/>
        <tr r="CG91" s="1"/>
      </tp>
      <tp>
        <v>0</v>
        <stp/>
        <stp>DELTA</stp>
        <stp>.SPXW250509C5810</stp>
        <tr r="CF91" s="1"/>
        <tr r="CF91" s="1"/>
      </tp>
      <tp>
        <v>-0.98</v>
        <stp/>
        <stp>DELTA</stp>
        <stp>.SPXW250509P5860</stp>
        <tr r="CG86" s="1"/>
        <tr r="CG86" s="1"/>
      </tp>
      <tp>
        <v>0</v>
        <stp/>
        <stp>DELTA</stp>
        <stp>.SPXW250509C5860</stp>
        <tr r="CF86" s="1"/>
        <tr r="CF86" s="1"/>
      </tp>
      <tp>
        <v>-0.98</v>
        <stp/>
        <stp>DELTA</stp>
        <stp>.SPXW250509P5870</stp>
        <tr r="CG85" s="1"/>
        <tr r="CG85" s="1"/>
      </tp>
      <tp>
        <v>0</v>
        <stp/>
        <stp>DELTA</stp>
        <stp>.SPXW250509C5870</stp>
        <tr r="CF85" s="1"/>
        <tr r="CF85" s="1"/>
      </tp>
      <tp>
        <v>-0.98</v>
        <stp/>
        <stp>DELTA</stp>
        <stp>.SPXW250509P5840</stp>
        <tr r="CG88" s="1"/>
        <tr r="CG88" s="1"/>
      </tp>
      <tp>
        <v>0</v>
        <stp/>
        <stp>DELTA</stp>
        <stp>.SPXW250509C5840</stp>
        <tr r="CF88" s="1"/>
        <tr r="CF88" s="1"/>
      </tp>
      <tp>
        <v>-0.98</v>
        <stp/>
        <stp>DELTA</stp>
        <stp>.SPXW250509P5850</stp>
        <tr r="CG87" s="1"/>
        <tr r="CG87" s="1"/>
      </tp>
      <tp>
        <v>0</v>
        <stp/>
        <stp>DELTA</stp>
        <stp>.SPXW250509C5850</stp>
        <tr r="CF87" s="1"/>
        <tr r="CF87" s="1"/>
      </tp>
      <tp t="s">
        <v>N/A</v>
        <stp/>
        <stp>DELTA</stp>
        <stp>.SPXW250505P5860</stp>
        <tr r="CE86" s="1"/>
      </tp>
      <tp t="s">
        <v>N/A</v>
        <stp/>
        <stp>DELTA</stp>
        <stp>.SPXW250505C5860</stp>
        <tr r="CD86" s="1"/>
      </tp>
      <tp t="s">
        <v>N/A</v>
        <stp/>
        <stp>DELTA</stp>
        <stp>.SPXW250505P5870</stp>
        <tr r="CE85" s="1"/>
      </tp>
      <tp t="s">
        <v>N/A</v>
        <stp/>
        <stp>DELTA</stp>
        <stp>.SPXW250505C5870</stp>
        <tr r="CD85" s="1"/>
      </tp>
      <tp t="s">
        <v>N/A</v>
        <stp/>
        <stp>DELTA</stp>
        <stp>.SPXW250505P5840</stp>
        <tr r="CE88" s="1"/>
      </tp>
      <tp t="s">
        <v>N/A</v>
        <stp/>
        <stp>DELTA</stp>
        <stp>.SPXW250505C5840</stp>
        <tr r="CD88" s="1"/>
      </tp>
      <tp>
        <v>-0.87</v>
        <stp/>
        <stp>DELTA</stp>
        <stp>.SPXW250505P5850</stp>
        <tr r="CE87" s="1"/>
        <tr r="CE87" s="1"/>
      </tp>
      <tp>
        <v>0</v>
        <stp/>
        <stp>DELTA</stp>
        <stp>.SPXW250505C5850</stp>
        <tr r="CD87" s="1"/>
        <tr r="CD87" s="1"/>
      </tp>
      <tp>
        <v>-0.86</v>
        <stp/>
        <stp>DELTA</stp>
        <stp>.SPXW250505P5820</stp>
        <tr r="CE90" s="1"/>
        <tr r="CE90" s="1"/>
      </tp>
      <tp>
        <v>0</v>
        <stp/>
        <stp>DELTA</stp>
        <stp>.SPXW250505C5820</stp>
        <tr r="CD90" s="1"/>
        <tr r="CD90" s="1"/>
      </tp>
      <tp t="s">
        <v>N/A</v>
        <stp/>
        <stp>DELTA</stp>
        <stp>.SPXW250505P5830</stp>
        <tr r="CE89" s="1"/>
      </tp>
      <tp t="s">
        <v>N/A</v>
        <stp/>
        <stp>DELTA</stp>
        <stp>.SPXW250505C5830</stp>
        <tr r="CD89" s="1"/>
      </tp>
      <tp>
        <v>-0.84</v>
        <stp/>
        <stp>DELTA</stp>
        <stp>.SPXW250505P5800</stp>
        <tr r="CE92" s="1"/>
        <tr r="CE92" s="1"/>
      </tp>
      <tp>
        <v>0</v>
        <stp/>
        <stp>DELTA</stp>
        <stp>.SPXW250505C5800</stp>
        <tr r="CD92" s="1"/>
        <tr r="CD92" s="1"/>
      </tp>
      <tp>
        <v>-0.86</v>
        <stp/>
        <stp>DELTA</stp>
        <stp>.SPXW250505P5810</stp>
        <tr r="CE91" s="1"/>
        <tr r="CE91" s="1"/>
      </tp>
      <tp>
        <v>0</v>
        <stp/>
        <stp>DELTA</stp>
        <stp>.SPXW250505C5810</stp>
        <tr r="CD91" s="1"/>
        <tr r="CD91" s="1"/>
      </tp>
      <tp t="s">
        <v>N/A</v>
        <stp/>
        <stp>VOLUME</stp>
        <stp>.SPY250815P582</stp>
        <tr r="O5" s="2"/>
      </tp>
      <tp t="s">
        <v>N/A</v>
        <stp/>
        <stp>VOLUME</stp>
        <stp>.SPY250815C582</stp>
        <tr r="O5" s="2"/>
      </tp>
      <tp t="s">
        <v>N/A</v>
        <stp/>
        <stp>VOLUME</stp>
        <stp>.SPY250815P581</stp>
        <tr r="O6" s="2"/>
      </tp>
      <tp t="s">
        <v>N/A</v>
        <stp/>
        <stp>VOLUME</stp>
        <stp>.SPY250815C581</stp>
        <tr r="O6" s="2"/>
      </tp>
      <tp>
        <v>17</v>
        <stp/>
        <stp>VOLUME</stp>
        <stp>.SPY250815P580</stp>
        <tr r="O7" s="2"/>
        <tr r="O7" s="2"/>
      </tp>
      <tp>
        <v>133</v>
        <stp/>
        <stp>VOLUME</stp>
        <stp>.SPY250815C580</stp>
        <tr r="O7" s="2"/>
        <tr r="O7" s="2"/>
      </tp>
      <tp>
        <v>2</v>
        <stp/>
        <stp>VOLUME</stp>
        <stp>.QQQ251121P495</stp>
        <tr r="U53" s="2"/>
        <tr r="U53" s="2"/>
      </tp>
      <tp>
        <v>98</v>
        <stp/>
        <stp>VOLUME</stp>
        <stp>.QQQ251121C495</stp>
        <tr r="U53" s="2"/>
        <tr r="U53" s="2"/>
      </tp>
      <tp t="s">
        <v>N/A</v>
        <stp/>
        <stp>VOLUME</stp>
        <stp>.QQQ251121P494</stp>
        <tr r="U54" s="2"/>
      </tp>
      <tp t="s">
        <v>N/A</v>
        <stp/>
        <stp>VOLUME</stp>
        <stp>.QQQ251121C494</stp>
        <tr r="U54" s="2"/>
      </tp>
      <tp t="s">
        <v>N/A</v>
        <stp/>
        <stp>VOLUME</stp>
        <stp>.QQQ251121P497</stp>
        <tr r="U51" s="2"/>
      </tp>
      <tp t="s">
        <v>N/A</v>
        <stp/>
        <stp>VOLUME</stp>
        <stp>.QQQ251121C497</stp>
        <tr r="U51" s="2"/>
      </tp>
      <tp t="s">
        <v>N/A</v>
        <stp/>
        <stp>VOLUME</stp>
        <stp>.QQQ251121P496</stp>
        <tr r="U52" s="2"/>
      </tp>
      <tp t="s">
        <v>N/A</v>
        <stp/>
        <stp>VOLUME</stp>
        <stp>.QQQ251121C496</stp>
        <tr r="U52" s="2"/>
      </tp>
      <tp t="s">
        <v>N/A</v>
        <stp/>
        <stp>VOLUME</stp>
        <stp>.QQQ251121P491</stp>
        <tr r="U57" s="2"/>
      </tp>
      <tp t="s">
        <v>N/A</v>
        <stp/>
        <stp>VOLUME</stp>
        <stp>.QQQ251128P498</stp>
        <tr r="V50" s="2"/>
      </tp>
      <tp t="s">
        <v>N/A</v>
        <stp/>
        <stp>VOLUME</stp>
        <stp>.QQQ251121C491</stp>
        <tr r="U57" s="2"/>
      </tp>
      <tp t="s">
        <v>N/A</v>
        <stp/>
        <stp>VOLUME</stp>
        <stp>.QQQ251128C498</stp>
        <tr r="V50" s="2"/>
      </tp>
      <tp>
        <v>219</v>
        <stp/>
        <stp>VOLUME</stp>
        <stp>.QQQ251121P490</stp>
        <tr r="U58" s="2"/>
        <tr r="U58" s="2"/>
      </tp>
      <tp t="s">
        <v>N/A</v>
        <stp/>
        <stp>VOLUME</stp>
        <stp>.QQQ251128P499</stp>
        <tr r="V49" s="2"/>
      </tp>
      <tp>
        <v>118</v>
        <stp/>
        <stp>VOLUME</stp>
        <stp>.QQQ251121C490</stp>
        <tr r="U58" s="2"/>
        <tr r="U58" s="2"/>
      </tp>
      <tp t="s">
        <v>N/A</v>
        <stp/>
        <stp>VOLUME</stp>
        <stp>.QQQ251128C499</stp>
        <tr r="V49" s="2"/>
      </tp>
      <tp t="s">
        <v>N/A</v>
        <stp/>
        <stp>VOLUME</stp>
        <stp>.QQQ251121P493</stp>
        <tr r="U55" s="2"/>
      </tp>
      <tp t="s">
        <v>N/A</v>
        <stp/>
        <stp>VOLUME</stp>
        <stp>.QQQ251121C493</stp>
        <tr r="U55" s="2"/>
      </tp>
      <tp t="s">
        <v>N/A</v>
        <stp/>
        <stp>VOLUME</stp>
        <stp>.QQQ251121P492</stp>
        <tr r="U56" s="2"/>
      </tp>
      <tp t="s">
        <v>N/A</v>
        <stp/>
        <stp>VOLUME</stp>
        <stp>.QQQ251121C492</stp>
        <tr r="U56" s="2"/>
      </tp>
      <tp t="s">
        <v>N/A</v>
        <stp/>
        <stp>VOLUME</stp>
        <stp>.QQQ251128P494</stp>
        <tr r="V54" s="2"/>
      </tp>
      <tp t="s">
        <v>N/A</v>
        <stp/>
        <stp>VOLUME</stp>
        <stp>.QQQ251128C494</stp>
        <tr r="V54" s="2"/>
      </tp>
      <tp t="s">
        <v>N/A</v>
        <stp/>
        <stp>VOLUME</stp>
        <stp>.QQQ251128P495</stp>
        <tr r="V53" s="2"/>
      </tp>
      <tp t="s">
        <v>N/A</v>
        <stp/>
        <stp>VOLUME</stp>
        <stp>.QQQ251128C495</stp>
        <tr r="V53" s="2"/>
      </tp>
      <tp t="s">
        <v>N/A</v>
        <stp/>
        <stp>VOLUME</stp>
        <stp>.QQQ251128P496</stp>
        <tr r="V52" s="2"/>
      </tp>
      <tp t="s">
        <v>N/A</v>
        <stp/>
        <stp>VOLUME</stp>
        <stp>.QQQ251128C496</stp>
        <tr r="V52" s="2"/>
      </tp>
      <tp t="s">
        <v>N/A</v>
        <stp/>
        <stp>VOLUME</stp>
        <stp>.QQQ251128P497</stp>
        <tr r="V51" s="2"/>
      </tp>
      <tp t="s">
        <v>N/A</v>
        <stp/>
        <stp>VOLUME</stp>
        <stp>.QQQ251128C497</stp>
        <tr r="V51" s="2"/>
      </tp>
      <tp t="s">
        <v>N/A</v>
        <stp/>
        <stp>VOLUME</stp>
        <stp>.QQQ251121P499</stp>
        <tr r="U49" s="2"/>
      </tp>
      <tp t="s">
        <v>N/A</v>
        <stp/>
        <stp>VOLUME</stp>
        <stp>.QQQ251128P490</stp>
        <tr r="V58" s="2"/>
      </tp>
      <tp t="s">
        <v>N/A</v>
        <stp/>
        <stp>VOLUME</stp>
        <stp>.QQQ251121C499</stp>
        <tr r="U49" s="2"/>
      </tp>
      <tp t="s">
        <v>N/A</v>
        <stp/>
        <stp>VOLUME</stp>
        <stp>.QQQ251128C490</stp>
        <tr r="V58" s="2"/>
      </tp>
      <tp t="s">
        <v>N/A</v>
        <stp/>
        <stp>VOLUME</stp>
        <stp>.QQQ251121P498</stp>
        <tr r="U50" s="2"/>
      </tp>
      <tp t="s">
        <v>N/A</v>
        <stp/>
        <stp>VOLUME</stp>
        <stp>.QQQ251128P491</stp>
        <tr r="V57" s="2"/>
      </tp>
      <tp t="s">
        <v>N/A</v>
        <stp/>
        <stp>VOLUME</stp>
        <stp>.QQQ251121C498</stp>
        <tr r="U50" s="2"/>
      </tp>
      <tp t="s">
        <v>N/A</v>
        <stp/>
        <stp>VOLUME</stp>
        <stp>.QQQ251128C491</stp>
        <tr r="V57" s="2"/>
      </tp>
      <tp t="s">
        <v>N/A</v>
        <stp/>
        <stp>VOLUME</stp>
        <stp>.QQQ251128P492</stp>
        <tr r="V56" s="2"/>
      </tp>
      <tp t="s">
        <v>N/A</v>
        <stp/>
        <stp>VOLUME</stp>
        <stp>.QQQ251128C492</stp>
        <tr r="V56" s="2"/>
      </tp>
      <tp t="s">
        <v>N/A</v>
        <stp/>
        <stp>VOLUME</stp>
        <stp>.QQQ251128P493</stp>
        <tr r="V55" s="2"/>
      </tp>
      <tp t="s">
        <v>N/A</v>
        <stp/>
        <stp>VOLUME</stp>
        <stp>.QQQ251128C493</stp>
        <tr r="V55" s="2"/>
      </tp>
      <tp>
        <v>7</v>
        <stp/>
        <stp>VOLUME</stp>
        <stp>.QQQ251121P485</stp>
        <tr r="U63" s="2"/>
        <tr r="U63" s="2"/>
      </tp>
      <tp>
        <v>109</v>
        <stp/>
        <stp>VOLUME</stp>
        <stp>.QQQ251121C485</stp>
        <tr r="U63" s="2"/>
        <tr r="U63" s="2"/>
      </tp>
      <tp t="s">
        <v>N/A</v>
        <stp/>
        <stp>VOLUME</stp>
        <stp>.QQQ251121P484</stp>
        <tr r="U64" s="2"/>
      </tp>
      <tp t="s">
        <v>N/A</v>
        <stp/>
        <stp>VOLUME</stp>
        <stp>.QQQ251121C484</stp>
        <tr r="U64" s="2"/>
      </tp>
      <tp t="s">
        <v>N/A</v>
        <stp/>
        <stp>VOLUME</stp>
        <stp>.QQQ251121P487</stp>
        <tr r="U61" s="2"/>
      </tp>
      <tp t="s">
        <v>N/A</v>
        <stp/>
        <stp>VOLUME</stp>
        <stp>.QQQ251121C487</stp>
        <tr r="U61" s="2"/>
      </tp>
      <tp t="s">
        <v>N/A</v>
        <stp/>
        <stp>VOLUME</stp>
        <stp>.QQQ251121P486</stp>
        <tr r="U62" s="2"/>
      </tp>
      <tp t="s">
        <v>N/A</v>
        <stp/>
        <stp>VOLUME</stp>
        <stp>.QQQ251121C486</stp>
        <tr r="U62" s="2"/>
      </tp>
      <tp t="s">
        <v>N/A</v>
        <stp/>
        <stp>VOLUME</stp>
        <stp>.QQQ251121P481</stp>
        <tr r="U67" s="2"/>
      </tp>
      <tp t="s">
        <v>N/A</v>
        <stp/>
        <stp>VOLUME</stp>
        <stp>.QQQ251128P488</stp>
        <tr r="V60" s="2"/>
      </tp>
      <tp t="s">
        <v>N/A</v>
        <stp/>
        <stp>VOLUME</stp>
        <stp>.QQQ251121C481</stp>
        <tr r="U67" s="2"/>
      </tp>
      <tp t="s">
        <v>N/A</v>
        <stp/>
        <stp>VOLUME</stp>
        <stp>.QQQ251128C488</stp>
        <tr r="V60" s="2"/>
      </tp>
      <tp>
        <v>8</v>
        <stp/>
        <stp>VOLUME</stp>
        <stp>.QQQ251121P480</stp>
        <tr r="U68" s="2"/>
        <tr r="U68" s="2"/>
      </tp>
      <tp t="s">
        <v>N/A</v>
        <stp/>
        <stp>VOLUME</stp>
        <stp>.QQQ251128P489</stp>
        <tr r="V59" s="2"/>
      </tp>
      <tp>
        <v>5</v>
        <stp/>
        <stp>VOLUME</stp>
        <stp>.QQQ251121C480</stp>
        <tr r="U68" s="2"/>
        <tr r="U68" s="2"/>
      </tp>
      <tp t="s">
        <v>N/A</v>
        <stp/>
        <stp>VOLUME</stp>
        <stp>.QQQ251128C489</stp>
        <tr r="V59" s="2"/>
      </tp>
      <tp t="s">
        <v>N/A</v>
        <stp/>
        <stp>VOLUME</stp>
        <stp>.QQQ251121P483</stp>
        <tr r="U65" s="2"/>
      </tp>
      <tp t="s">
        <v>N/A</v>
        <stp/>
        <stp>VOLUME</stp>
        <stp>.QQQ251121C483</stp>
        <tr r="U65" s="2"/>
      </tp>
      <tp t="s">
        <v>N/A</v>
        <stp/>
        <stp>VOLUME</stp>
        <stp>.QQQ251121P482</stp>
        <tr r="U66" s="2"/>
      </tp>
      <tp t="s">
        <v>N/A</v>
        <stp/>
        <stp>VOLUME</stp>
        <stp>.QQQ251121C482</stp>
        <tr r="U66" s="2"/>
      </tp>
      <tp t="s">
        <v>N/A</v>
        <stp/>
        <stp>VOLUME</stp>
        <stp>.QQQ251128P484</stp>
        <tr r="V64" s="2"/>
      </tp>
      <tp t="s">
        <v>N/A</v>
        <stp/>
        <stp>VOLUME</stp>
        <stp>.QQQ251128C484</stp>
        <tr r="V64" s="2"/>
      </tp>
      <tp t="s">
        <v>N/A</v>
        <stp/>
        <stp>VOLUME</stp>
        <stp>.QQQ251128P485</stp>
        <tr r="V63" s="2"/>
      </tp>
      <tp t="s">
        <v>N/A</v>
        <stp/>
        <stp>VOLUME</stp>
        <stp>.QQQ251128C485</stp>
        <tr r="V63" s="2"/>
      </tp>
      <tp t="s">
        <v>N/A</v>
        <stp/>
        <stp>VOLUME</stp>
        <stp>.QQQ251128P486</stp>
        <tr r="V62" s="2"/>
      </tp>
      <tp t="s">
        <v>N/A</v>
        <stp/>
        <stp>VOLUME</stp>
        <stp>.QQQ251128C486</stp>
        <tr r="V62" s="2"/>
      </tp>
      <tp t="s">
        <v>N/A</v>
        <stp/>
        <stp>VOLUME</stp>
        <stp>.QQQ251128P487</stp>
        <tr r="V61" s="2"/>
      </tp>
      <tp t="s">
        <v>N/A</v>
        <stp/>
        <stp>VOLUME</stp>
        <stp>.QQQ251128C487</stp>
        <tr r="V61" s="2"/>
      </tp>
      <tp t="s">
        <v>N/A</v>
        <stp/>
        <stp>VOLUME</stp>
        <stp>.QQQ251121P489</stp>
        <tr r="U59" s="2"/>
      </tp>
      <tp t="s">
        <v>N/A</v>
        <stp/>
        <stp>VOLUME</stp>
        <stp>.QQQ251128P480</stp>
        <tr r="V68" s="2"/>
      </tp>
      <tp t="s">
        <v>N/A</v>
        <stp/>
        <stp>VOLUME</stp>
        <stp>.QQQ251121C489</stp>
        <tr r="U59" s="2"/>
      </tp>
      <tp t="s">
        <v>N/A</v>
        <stp/>
        <stp>VOLUME</stp>
        <stp>.QQQ251128C480</stp>
        <tr r="V68" s="2"/>
      </tp>
      <tp t="s">
        <v>N/A</v>
        <stp/>
        <stp>VOLUME</stp>
        <stp>.QQQ251121P488</stp>
        <tr r="U60" s="2"/>
      </tp>
      <tp t="s">
        <v>N/A</v>
        <stp/>
        <stp>VOLUME</stp>
        <stp>.QQQ251128P481</stp>
        <tr r="V67" s="2"/>
      </tp>
      <tp t="s">
        <v>N/A</v>
        <stp/>
        <stp>VOLUME</stp>
        <stp>.SPY250829P582</stp>
        <tr r="P5" s="2"/>
      </tp>
      <tp t="s">
        <v>N/A</v>
        <stp/>
        <stp>VOLUME</stp>
        <stp>.QQQ251121C488</stp>
        <tr r="U60" s="2"/>
      </tp>
      <tp t="s">
        <v>N/A</v>
        <stp/>
        <stp>VOLUME</stp>
        <stp>.QQQ251128C481</stp>
        <tr r="V67" s="2"/>
      </tp>
      <tp>
        <v>34</v>
        <stp/>
        <stp>VOLUME</stp>
        <stp>.SPY250829C582</stp>
        <tr r="P5" s="2"/>
        <tr r="P5" s="2"/>
      </tp>
      <tp t="s">
        <v>N/A</v>
        <stp/>
        <stp>VOLUME</stp>
        <stp>.QQQ251128P482</stp>
        <tr r="V66" s="2"/>
      </tp>
      <tp t="s">
        <v>N/A</v>
        <stp/>
        <stp>VOLUME</stp>
        <stp>.SPY250829P581</stp>
        <tr r="P6" s="2"/>
      </tp>
      <tp t="s">
        <v>N/A</v>
        <stp/>
        <stp>VOLUME</stp>
        <stp>.QQQ251128C482</stp>
        <tr r="V66" s="2"/>
      </tp>
      <tp>
        <v>2</v>
        <stp/>
        <stp>VOLUME</stp>
        <stp>.SPY250829C581</stp>
        <tr r="P6" s="2"/>
        <tr r="P6" s="2"/>
      </tp>
      <tp t="s">
        <v>N/A</v>
        <stp/>
        <stp>VOLUME</stp>
        <stp>.QQQ251128P483</stp>
        <tr r="V65" s="2"/>
      </tp>
      <tp>
        <v>3</v>
        <stp/>
        <stp>VOLUME</stp>
        <stp>.SPY250829P580</stp>
        <tr r="P7" s="2"/>
        <tr r="P7" s="2"/>
      </tp>
      <tp t="s">
        <v>N/A</v>
        <stp/>
        <stp>VOLUME</stp>
        <stp>.QQQ251128C483</stp>
        <tr r="V65" s="2"/>
      </tp>
      <tp>
        <v>6</v>
        <stp/>
        <stp>VOLUME</stp>
        <stp>.SPY250829C580</stp>
        <tr r="P7" s="2"/>
        <tr r="P7" s="2"/>
      </tp>
      <tp t="s">
        <v>N/A</v>
        <stp/>
        <stp>VOLUME</stp>
        <stp>.QQQ251017P502</stp>
        <tr r="S46" s="2"/>
      </tp>
      <tp t="s">
        <v>N/A</v>
        <stp/>
        <stp>VOLUME</stp>
        <stp>.QQQ251017C502</stp>
        <tr r="S46" s="2"/>
      </tp>
      <tp t="s">
        <v>N/A</v>
        <stp/>
        <stp>VOLUME</stp>
        <stp>.QQQ251017P501</stp>
        <tr r="S47" s="2"/>
      </tp>
      <tp t="s">
        <v>N/A</v>
        <stp/>
        <stp>VOLUME</stp>
        <stp>.QQQ251017C501</stp>
        <tr r="S47" s="2"/>
      </tp>
      <tp t="s">
        <v>N/A</v>
        <stp/>
        <stp>VOLUME</stp>
        <stp>.QQQ251017P500</stp>
        <tr r="S48" s="2"/>
      </tp>
      <tp t="s">
        <v>N/A</v>
        <stp/>
        <stp>VOLUME</stp>
        <stp>.QQQ251017C500</stp>
        <tr r="S48" s="2"/>
      </tp>
      <tp t="s">
        <v>N/A</v>
        <stp/>
        <stp>VOLUME</stp>
        <stp>.QQQ251031P501</stp>
        <tr r="T47" s="2"/>
      </tp>
      <tp t="s">
        <v>N/A</v>
        <stp/>
        <stp>VOLUME</stp>
        <stp>.QQQ251031C501</stp>
        <tr r="T47" s="2"/>
      </tp>
      <tp t="s">
        <v>N/A</v>
        <stp/>
        <stp>VOLUME</stp>
        <stp>.QQQ251031P500</stp>
        <tr r="T48" s="2"/>
      </tp>
      <tp t="s">
        <v>N/A</v>
        <stp/>
        <stp>VOLUME</stp>
        <stp>.QQQ251031C500</stp>
        <tr r="T48" s="2"/>
      </tp>
      <tp t="s">
        <v>N/A</v>
        <stp/>
        <stp>VOLUME</stp>
        <stp>.QQQ251031P502</stp>
        <tr r="T46" s="2"/>
      </tp>
      <tp t="s">
        <v>N/A</v>
        <stp/>
        <stp>VOLUME</stp>
        <stp>.QQQ251031C502</stp>
        <tr r="T46" s="2"/>
      </tp>
      <tp>
        <v>31</v>
        <stp/>
        <stp>VOLUME</stp>
        <stp>.QQQ251121P475</stp>
        <tr r="U73" s="2"/>
        <tr r="U73" s="2"/>
      </tp>
      <tp>
        <v>1</v>
        <stp/>
        <stp>VOLUME</stp>
        <stp>.QQQ251121C475</stp>
        <tr r="U73" s="2"/>
        <tr r="U73" s="2"/>
      </tp>
      <tp t="s">
        <v>N/A</v>
        <stp/>
        <stp>VOLUME</stp>
        <stp>.QQQ251121P474</stp>
        <tr r="U74" s="2"/>
      </tp>
      <tp t="s">
        <v>N/A</v>
        <stp/>
        <stp>VOLUME</stp>
        <stp>.QQQ251121C474</stp>
        <tr r="U74" s="2"/>
      </tp>
      <tp t="s">
        <v>N/A</v>
        <stp/>
        <stp>VOLUME</stp>
        <stp>.QQQ251121P477</stp>
        <tr r="U71" s="2"/>
      </tp>
      <tp t="s">
        <v>N/A</v>
        <stp/>
        <stp>VOLUME</stp>
        <stp>.QQQ251121C477</stp>
        <tr r="U71" s="2"/>
      </tp>
      <tp t="s">
        <v>N/A</v>
        <stp/>
        <stp>VOLUME</stp>
        <stp>.QQQ251121P476</stp>
        <tr r="U72" s="2"/>
      </tp>
      <tp t="s">
        <v>N/A</v>
        <stp/>
        <stp>VOLUME</stp>
        <stp>.QQQ251121C476</stp>
        <tr r="U72" s="2"/>
      </tp>
      <tp t="s">
        <v>N/A</v>
        <stp/>
        <stp>VOLUME</stp>
        <stp>.QQQ251121P471</stp>
        <tr r="U77" s="2"/>
      </tp>
      <tp t="s">
        <v>N/A</v>
        <stp/>
        <stp>VOLUME</stp>
        <stp>.QQQ251128P478</stp>
        <tr r="V70" s="2"/>
      </tp>
      <tp t="s">
        <v>N/A</v>
        <stp/>
        <stp>VOLUME</stp>
        <stp>.QQQ251121C471</stp>
        <tr r="U77" s="2"/>
      </tp>
      <tp t="s">
        <v>N/A</v>
        <stp/>
        <stp>VOLUME</stp>
        <stp>.QQQ251128C478</stp>
        <tr r="V70" s="2"/>
      </tp>
      <tp>
        <v>38</v>
        <stp/>
        <stp>VOLUME</stp>
        <stp>.QQQ251121P470</stp>
        <tr r="U78" s="2"/>
        <tr r="U78" s="2"/>
      </tp>
      <tp t="s">
        <v>N/A</v>
        <stp/>
        <stp>VOLUME</stp>
        <stp>.QQQ251128P479</stp>
        <tr r="V69" s="2"/>
      </tp>
      <tp>
        <v>9</v>
        <stp/>
        <stp>VOLUME</stp>
        <stp>.QQQ251121C470</stp>
        <tr r="U78" s="2"/>
        <tr r="U78" s="2"/>
      </tp>
      <tp t="s">
        <v>N/A</v>
        <stp/>
        <stp>VOLUME</stp>
        <stp>.QQQ251128C479</stp>
        <tr r="V69" s="2"/>
      </tp>
      <tp t="s">
        <v>N/A</v>
        <stp/>
        <stp>VOLUME</stp>
        <stp>.QQQ251121P473</stp>
        <tr r="U75" s="2"/>
      </tp>
      <tp t="s">
        <v>N/A</v>
        <stp/>
        <stp>VOLUME</stp>
        <stp>.SPY250829P579</stp>
        <tr r="P8" s="2"/>
      </tp>
      <tp t="s">
        <v>N/A</v>
        <stp/>
        <stp>VOLUME</stp>
        <stp>.QQQ251121C473</stp>
        <tr r="U75" s="2"/>
      </tp>
      <tp t="s">
        <v>N/A</v>
        <stp/>
        <stp>VOLUME</stp>
        <stp>.SPY250829C579</stp>
        <tr r="P8" s="2"/>
      </tp>
      <tp t="s">
        <v>N/A</v>
        <stp/>
        <stp>VOLUME</stp>
        <stp>.QQQ251121P472</stp>
        <tr r="U76" s="2"/>
      </tp>
      <tp>
        <v>21</v>
        <stp/>
        <stp>VOLUME</stp>
        <stp>.SPY250829P578</stp>
        <tr r="P9" s="2"/>
        <tr r="P9" s="2"/>
      </tp>
      <tp t="s">
        <v>N/A</v>
        <stp/>
        <stp>VOLUME</stp>
        <stp>.QQQ251121C472</stp>
        <tr r="U76" s="2"/>
      </tp>
      <tp t="s">
        <v>N/A</v>
        <stp/>
        <stp>VOLUME</stp>
        <stp>.SPY250829C578</stp>
        <tr r="P9" s="2"/>
      </tp>
      <tp t="s">
        <v>N/A</v>
        <stp/>
        <stp>VOLUME</stp>
        <stp>.QQQ251128P474</stp>
        <tr r="V74" s="2"/>
      </tp>
      <tp t="s">
        <v>N/A</v>
        <stp/>
        <stp>VOLUME</stp>
        <stp>.SPY250829P577</stp>
        <tr r="P10" s="2"/>
      </tp>
      <tp t="s">
        <v>N/A</v>
        <stp/>
        <stp>VOLUME</stp>
        <stp>.QQQ251128C474</stp>
        <tr r="V74" s="2"/>
      </tp>
      <tp t="s">
        <v>N/A</v>
        <stp/>
        <stp>VOLUME</stp>
        <stp>.SPY250829C577</stp>
        <tr r="P10" s="2"/>
      </tp>
      <tp t="s">
        <v>N/A</v>
        <stp/>
        <stp>VOLUME</stp>
        <stp>.QQQ251128P475</stp>
        <tr r="V73" s="2"/>
      </tp>
      <tp t="s">
        <v>N/A</v>
        <stp/>
        <stp>VOLUME</stp>
        <stp>.SPY250829P576</stp>
        <tr r="P11" s="2"/>
      </tp>
      <tp t="s">
        <v>N/A</v>
        <stp/>
        <stp>VOLUME</stp>
        <stp>.QQQ251128C475</stp>
        <tr r="V73" s="2"/>
      </tp>
      <tp t="s">
        <v>N/A</v>
        <stp/>
        <stp>VOLUME</stp>
        <stp>.SPY250829C576</stp>
        <tr r="P11" s="2"/>
      </tp>
      <tp t="s">
        <v>N/A</v>
        <stp/>
        <stp>VOLUME</stp>
        <stp>.QQQ251128P476</stp>
        <tr r="V72" s="2"/>
      </tp>
      <tp>
        <v>10</v>
        <stp/>
        <stp>VOLUME</stp>
        <stp>.SPY250815P549</stp>
        <tr r="O38" s="2"/>
        <tr r="O38" s="2"/>
      </tp>
      <tp>
        <v>2</v>
        <stp/>
        <stp>VOLUME</stp>
        <stp>.SPY250829P575</stp>
        <tr r="P12" s="2"/>
        <tr r="P12" s="2"/>
      </tp>
      <tp t="s">
        <v>N/A</v>
        <stp/>
        <stp>VOLUME</stp>
        <stp>.QQQ251128C476</stp>
        <tr r="V72" s="2"/>
      </tp>
      <tp t="s">
        <v>N/A</v>
        <stp/>
        <stp>VOLUME</stp>
        <stp>.SPY250815C549</stp>
        <tr r="O38" s="2"/>
      </tp>
      <tp t="s">
        <v>N/A</v>
        <stp/>
        <stp>VOLUME</stp>
        <stp>.SPY250829C575</stp>
        <tr r="P12" s="2"/>
      </tp>
      <tp t="s">
        <v>N/A</v>
        <stp/>
        <stp>VOLUME</stp>
        <stp>.QQQ251128P477</stp>
        <tr r="V71" s="2"/>
      </tp>
      <tp>
        <v>53</v>
        <stp/>
        <stp>VOLUME</stp>
        <stp>.SPY250815P548</stp>
        <tr r="O39" s="2"/>
        <tr r="O39" s="2"/>
      </tp>
      <tp>
        <v>5</v>
        <stp/>
        <stp>VOLUME</stp>
        <stp>.SPY250829P574</stp>
        <tr r="P13" s="2"/>
        <tr r="P13" s="2"/>
      </tp>
      <tp t="s">
        <v>N/A</v>
        <stp/>
        <stp>VOLUME</stp>
        <stp>.QQQ251128C477</stp>
        <tr r="V71" s="2"/>
      </tp>
      <tp>
        <v>1</v>
        <stp/>
        <stp>VOLUME</stp>
        <stp>.SPY250815C548</stp>
        <tr r="O39" s="2"/>
        <tr r="O39" s="2"/>
      </tp>
      <tp>
        <v>1</v>
        <stp/>
        <stp>VOLUME</stp>
        <stp>.SPY250829C574</stp>
        <tr r="P13" s="2"/>
        <tr r="P13" s="2"/>
      </tp>
      <tp t="s">
        <v>N/A</v>
        <stp/>
        <stp>VOLUME</stp>
        <stp>.QQQ251121P479</stp>
        <tr r="U69" s="2"/>
      </tp>
      <tp t="s">
        <v>N/A</v>
        <stp/>
        <stp>VOLUME</stp>
        <stp>.QQQ251128P470</stp>
        <tr r="V78" s="2"/>
      </tp>
      <tp t="s">
        <v>N/A</v>
        <stp/>
        <stp>VOLUME</stp>
        <stp>.SPY250829P573</stp>
        <tr r="P14" s="2"/>
      </tp>
      <tp t="s">
        <v>N/A</v>
        <stp/>
        <stp>VOLUME</stp>
        <stp>.QQQ251121C479</stp>
        <tr r="U69" s="2"/>
      </tp>
      <tp t="s">
        <v>N/A</v>
        <stp/>
        <stp>VOLUME</stp>
        <stp>.QQQ251128C470</stp>
        <tr r="V78" s="2"/>
      </tp>
      <tp>
        <v>6</v>
        <stp/>
        <stp>VOLUME</stp>
        <stp>.SPY250829C573</stp>
        <tr r="P14" s="2"/>
        <tr r="P14" s="2"/>
      </tp>
      <tp t="s">
        <v>N/A</v>
        <stp/>
        <stp>VOLUME</stp>
        <stp>.QQQ251121P478</stp>
        <tr r="U70" s="2"/>
      </tp>
      <tp t="s">
        <v>N/A</v>
        <stp/>
        <stp>VOLUME</stp>
        <stp>.QQQ251128P471</stp>
        <tr r="V77" s="2"/>
      </tp>
      <tp t="s">
        <v>N/A</v>
        <stp/>
        <stp>VOLUME</stp>
        <stp>.SPY250829P572</stp>
        <tr r="P15" s="2"/>
      </tp>
      <tp t="s">
        <v>N/A</v>
        <stp/>
        <stp>VOLUME</stp>
        <stp>.QQQ251121C478</stp>
        <tr r="U70" s="2"/>
      </tp>
      <tp t="s">
        <v>N/A</v>
        <stp/>
        <stp>VOLUME</stp>
        <stp>.QQQ251128C471</stp>
        <tr r="V77" s="2"/>
      </tp>
      <tp t="s">
        <v>N/A</v>
        <stp/>
        <stp>VOLUME</stp>
        <stp>.SPY250829C572</stp>
        <tr r="P15" s="2"/>
      </tp>
      <tp t="s">
        <v>N/A</v>
        <stp/>
        <stp>VOLUME</stp>
        <stp>.QQQ251128P472</stp>
        <tr r="V76" s="2"/>
      </tp>
      <tp>
        <v>1</v>
        <stp/>
        <stp>VOLUME</stp>
        <stp>.SPY250829P571</stp>
        <tr r="P16" s="2"/>
        <tr r="P16" s="2"/>
      </tp>
      <tp t="s">
        <v>N/A</v>
        <stp/>
        <stp>VOLUME</stp>
        <stp>.QQQ251128C472</stp>
        <tr r="V76" s="2"/>
      </tp>
      <tp t="s">
        <v>N/A</v>
        <stp/>
        <stp>VOLUME</stp>
        <stp>.SPY250829C571</stp>
        <tr r="P16" s="2"/>
      </tp>
      <tp t="s">
        <v>N/A</v>
        <stp/>
        <stp>VOLUME</stp>
        <stp>.QQQ251128P473</stp>
        <tr r="V75" s="2"/>
      </tp>
      <tp>
        <v>28</v>
        <stp/>
        <stp>VOLUME</stp>
        <stp>.SPY250829P570</stp>
        <tr r="P17" s="2"/>
        <tr r="P17" s="2"/>
      </tp>
      <tp t="s">
        <v>N/A</v>
        <stp/>
        <stp>VOLUME</stp>
        <stp>.QQQ251128C473</stp>
        <tr r="V75" s="2"/>
      </tp>
      <tp>
        <v>13</v>
        <stp/>
        <stp>VOLUME</stp>
        <stp>.SPY250829C570</stp>
        <tr r="P17" s="2"/>
        <tr r="P17" s="2"/>
      </tp>
      <tp>
        <v>123</v>
        <stp/>
        <stp>VOLUME</stp>
        <stp>.SPY250815P553</stp>
        <tr r="O34" s="2"/>
        <tr r="O34" s="2"/>
      </tp>
      <tp>
        <v>1</v>
        <stp/>
        <stp>VOLUME</stp>
        <stp>.SPY250815C553</stp>
        <tr r="O34" s="2"/>
        <tr r="O34" s="2"/>
      </tp>
      <tp>
        <v>5</v>
        <stp/>
        <stp>VOLUME</stp>
        <stp>.SPY250815P552</stp>
        <tr r="O35" s="2"/>
        <tr r="O35" s="2"/>
      </tp>
      <tp t="s">
        <v>N/A</v>
        <stp/>
        <stp>VOLUME</stp>
        <stp>.SPY250815C552</stp>
        <tr r="O35" s="2"/>
      </tp>
      <tp>
        <v>2</v>
        <stp/>
        <stp>VOLUME</stp>
        <stp>.SPY250815P551</stp>
        <tr r="O36" s="2"/>
        <tr r="O36" s="2"/>
      </tp>
      <tp>
        <v>1</v>
        <stp/>
        <stp>VOLUME</stp>
        <stp>.SPY250815C551</stp>
        <tr r="O36" s="2"/>
        <tr r="O36" s="2"/>
      </tp>
      <tp>
        <v>390</v>
        <stp/>
        <stp>VOLUME</stp>
        <stp>.SPY250815P550</stp>
        <tr r="O37" s="2"/>
        <tr r="O37" s="2"/>
      </tp>
      <tp>
        <v>37</v>
        <stp/>
        <stp>VOLUME</stp>
        <stp>.SPY250815C550</stp>
        <tr r="O37" s="2"/>
        <tr r="O37" s="2"/>
      </tp>
      <tp t="s">
        <v>N/A</v>
        <stp/>
        <stp>VOLUME</stp>
        <stp>.QQQ251128P468</stp>
        <tr r="V80" s="2"/>
      </tp>
      <tp>
        <v>10</v>
        <stp/>
        <stp>VOLUME</stp>
        <stp>.SPY250815P557</stp>
        <tr r="O30" s="2"/>
        <tr r="O30" s="2"/>
      </tp>
      <tp t="s">
        <v>N/A</v>
        <stp/>
        <stp>VOLUME</stp>
        <stp>.QQQ251128C468</stp>
        <tr r="V80" s="2"/>
      </tp>
      <tp>
        <v>1</v>
        <stp/>
        <stp>VOLUME</stp>
        <stp>.SPY250815C557</stp>
        <tr r="O30" s="2"/>
        <tr r="O30" s="2"/>
      </tp>
      <tp t="s">
        <v>N/A</v>
        <stp/>
        <stp>VOLUME</stp>
        <stp>.QQQ251128P469</stp>
        <tr r="V79" s="2"/>
      </tp>
      <tp>
        <v>11</v>
        <stp/>
        <stp>VOLUME</stp>
        <stp>.SPY250815P556</stp>
        <tr r="O31" s="2"/>
        <tr r="O31" s="2"/>
      </tp>
      <tp t="s">
        <v>N/A</v>
        <stp/>
        <stp>VOLUME</stp>
        <stp>.QQQ251128C469</stp>
        <tr r="V79" s="2"/>
      </tp>
      <tp>
        <v>10</v>
        <stp/>
        <stp>VOLUME</stp>
        <stp>.SPY250815C556</stp>
        <tr r="O31" s="2"/>
        <tr r="O31" s="2"/>
      </tp>
      <tp>
        <v>180</v>
        <stp/>
        <stp>VOLUME</stp>
        <stp>.SPY250815P555</stp>
        <tr r="O32" s="2"/>
        <tr r="O32" s="2"/>
      </tp>
      <tp t="s">
        <v>N/A</v>
        <stp/>
        <stp>VOLUME</stp>
        <stp>.SPY250829P569</stp>
        <tr r="P18" s="2"/>
      </tp>
      <tp>
        <v>3</v>
        <stp/>
        <stp>VOLUME</stp>
        <stp>.SPY250815C555</stp>
        <tr r="O32" s="2"/>
        <tr r="O32" s="2"/>
      </tp>
      <tp>
        <v>4</v>
        <stp/>
        <stp>VOLUME</stp>
        <stp>.SPY250829C569</stp>
        <tr r="P18" s="2"/>
        <tr r="P18" s="2"/>
      </tp>
      <tp>
        <v>11</v>
        <stp/>
        <stp>VOLUME</stp>
        <stp>.SPY250815P554</stp>
        <tr r="O33" s="2"/>
        <tr r="O33" s="2"/>
      </tp>
      <tp>
        <v>6</v>
        <stp/>
        <stp>VOLUME</stp>
        <stp>.SPY250829P568</stp>
        <tr r="P19" s="2"/>
        <tr r="P19" s="2"/>
      </tp>
      <tp>
        <v>1</v>
        <stp/>
        <stp>VOLUME</stp>
        <stp>.SPY250815C554</stp>
        <tr r="O33" s="2"/>
        <tr r="O33" s="2"/>
      </tp>
      <tp>
        <v>11</v>
        <stp/>
        <stp>VOLUME</stp>
        <stp>.SPY250829C568</stp>
        <tr r="P19" s="2"/>
        <tr r="P19" s="2"/>
      </tp>
      <tp>
        <v>40</v>
        <stp/>
        <stp>VOLUME</stp>
        <stp>.SPY250829P567</stp>
        <tr r="P20" s="2"/>
        <tr r="P20" s="2"/>
      </tp>
      <tp>
        <v>11</v>
        <stp/>
        <stp>VOLUME</stp>
        <stp>.SPY250829C567</stp>
        <tr r="P20" s="2"/>
        <tr r="P20" s="2"/>
      </tp>
      <tp t="s">
        <v>N/A</v>
        <stp/>
        <stp>VOLUME</stp>
        <stp>.SPY250829P566</stp>
        <tr r="P21" s="2"/>
      </tp>
      <tp>
        <v>23</v>
        <stp/>
        <stp>VOLUME</stp>
        <stp>.SPY250829C566</stp>
        <tr r="P21" s="2"/>
        <tr r="P21" s="2"/>
      </tp>
      <tp>
        <v>2</v>
        <stp/>
        <stp>VOLUME</stp>
        <stp>.SPY250815P559</stp>
        <tr r="O28" s="2"/>
        <tr r="O28" s="2"/>
      </tp>
      <tp>
        <v>69</v>
        <stp/>
        <stp>VOLUME</stp>
        <stp>.SPY250829P565</stp>
        <tr r="P22" s="2"/>
        <tr r="P22" s="2"/>
      </tp>
      <tp t="s">
        <v>N/A</v>
        <stp/>
        <stp>VOLUME</stp>
        <stp>.SPY250815C559</stp>
        <tr r="O28" s="2"/>
      </tp>
      <tp>
        <v>17</v>
        <stp/>
        <stp>VOLUME</stp>
        <stp>.SPY250829C565</stp>
        <tr r="P22" s="2"/>
        <tr r="P22" s="2"/>
      </tp>
      <tp>
        <v>4</v>
        <stp/>
        <stp>VOLUME</stp>
        <stp>.SPY250815P558</stp>
        <tr r="O29" s="2"/>
        <tr r="O29" s="2"/>
      </tp>
      <tp>
        <v>16</v>
        <stp/>
        <stp>VOLUME</stp>
        <stp>.SPY250829P564</stp>
        <tr r="P23" s="2"/>
        <tr r="P23" s="2"/>
      </tp>
      <tp>
        <v>10</v>
        <stp/>
        <stp>VOLUME</stp>
        <stp>.SPY250815C558</stp>
        <tr r="O29" s="2"/>
        <tr r="O29" s="2"/>
      </tp>
      <tp>
        <v>3</v>
        <stp/>
        <stp>VOLUME</stp>
        <stp>.SPY250829C564</stp>
        <tr r="P23" s="2"/>
        <tr r="P23" s="2"/>
      </tp>
      <tp t="s">
        <v>N/A</v>
        <stp/>
        <stp>VOLUME</stp>
        <stp>.QQQ251121P469</stp>
        <tr r="U79" s="2"/>
      </tp>
      <tp>
        <v>2</v>
        <stp/>
        <stp>VOLUME</stp>
        <stp>.SPY250829P563</stp>
        <tr r="P24" s="2"/>
        <tr r="P24" s="2"/>
      </tp>
      <tp t="s">
        <v>N/A</v>
        <stp/>
        <stp>VOLUME</stp>
        <stp>.QQQ251121C469</stp>
        <tr r="U79" s="2"/>
      </tp>
      <tp>
        <v>11</v>
        <stp/>
        <stp>VOLUME</stp>
        <stp>.SPY250829C563</stp>
        <tr r="P24" s="2"/>
        <tr r="P24" s="2"/>
      </tp>
      <tp t="s">
        <v>N/A</v>
        <stp/>
        <stp>VOLUME</stp>
        <stp>.QQQ251121P468</stp>
        <tr r="U80" s="2"/>
      </tp>
      <tp t="s">
        <v>N/A</v>
        <stp/>
        <stp>VOLUME</stp>
        <stp>.SPY250829P562</stp>
        <tr r="P25" s="2"/>
      </tp>
      <tp t="s">
        <v>N/A</v>
        <stp/>
        <stp>VOLUME</stp>
        <stp>.QQQ251121C468</stp>
        <tr r="U80" s="2"/>
      </tp>
      <tp t="s">
        <v>N/A</v>
        <stp/>
        <stp>VOLUME</stp>
        <stp>.SPY250829C562</stp>
        <tr r="P25" s="2"/>
      </tp>
      <tp t="s">
        <v>N/A</v>
        <stp/>
        <stp>VOLUME</stp>
        <stp>.SPY250829P561</stp>
        <tr r="P26" s="2"/>
      </tp>
      <tp t="s">
        <v>N/A</v>
        <stp/>
        <stp>VOLUME</stp>
        <stp>.SPY250829C561</stp>
        <tr r="P26" s="2"/>
      </tp>
      <tp>
        <v>10</v>
        <stp/>
        <stp>VOLUME</stp>
        <stp>.SPY250829P560</stp>
        <tr r="P27" s="2"/>
        <tr r="P27" s="2"/>
      </tp>
      <tp>
        <v>1</v>
        <stp/>
        <stp>VOLUME</stp>
        <stp>.SPY250829C560</stp>
        <tr r="P27" s="2"/>
        <tr r="P27" s="2"/>
      </tp>
      <tp>
        <v>143</v>
        <stp/>
        <stp>VOLUME</stp>
        <stp>.SPY250815P563</stp>
        <tr r="O24" s="2"/>
        <tr r="O24" s="2"/>
      </tp>
      <tp>
        <v>13</v>
        <stp/>
        <stp>VOLUME</stp>
        <stp>.SPY250815C563</stp>
        <tr r="O24" s="2"/>
        <tr r="O24" s="2"/>
      </tp>
      <tp>
        <v>111</v>
        <stp/>
        <stp>VOLUME</stp>
        <stp>.SPY250815P562</stp>
        <tr r="O25" s="2"/>
        <tr r="O25" s="2"/>
      </tp>
      <tp>
        <v>1</v>
        <stp/>
        <stp>VOLUME</stp>
        <stp>.SPY250815C562</stp>
        <tr r="O25" s="2"/>
        <tr r="O25" s="2"/>
      </tp>
      <tp>
        <v>146</v>
        <stp/>
        <stp>VOLUME</stp>
        <stp>.SPY250815P561</stp>
        <tr r="O26" s="2"/>
        <tr r="O26" s="2"/>
      </tp>
      <tp t="s">
        <v>N/A</v>
        <stp/>
        <stp>VOLUME</stp>
        <stp>.SPY250815C561</stp>
        <tr r="O26" s="2"/>
      </tp>
      <tp>
        <v>593</v>
        <stp/>
        <stp>VOLUME</stp>
        <stp>.SPY250815P560</stp>
        <tr r="O27" s="2"/>
        <tr r="O27" s="2"/>
      </tp>
      <tp>
        <v>54</v>
        <stp/>
        <stp>VOLUME</stp>
        <stp>.SPY250815C560</stp>
        <tr r="O27" s="2"/>
        <tr r="O27" s="2"/>
      </tp>
      <tp>
        <v>26</v>
        <stp/>
        <stp>VOLUME</stp>
        <stp>.SPY250815P567</stp>
        <tr r="O20" s="2"/>
        <tr r="O20" s="2"/>
      </tp>
      <tp>
        <v>40</v>
        <stp/>
        <stp>VOLUME</stp>
        <stp>.SPY250815C567</stp>
        <tr r="O20" s="2"/>
        <tr r="O20" s="2"/>
      </tp>
      <tp>
        <v>47</v>
        <stp/>
        <stp>VOLUME</stp>
        <stp>.SPY250815P566</stp>
        <tr r="O21" s="2"/>
        <tr r="O21" s="2"/>
      </tp>
      <tp>
        <v>23</v>
        <stp/>
        <stp>VOLUME</stp>
        <stp>.SPY250815C566</stp>
        <tr r="O21" s="2"/>
        <tr r="O21" s="2"/>
      </tp>
      <tp>
        <v>239</v>
        <stp/>
        <stp>VOLUME</stp>
        <stp>.SPY250815P565</stp>
        <tr r="O22" s="2"/>
        <tr r="O22" s="2"/>
      </tp>
      <tp t="s">
        <v>N/A</v>
        <stp/>
        <stp>VOLUME</stp>
        <stp>.SPY250829P559</stp>
        <tr r="P28" s="2"/>
      </tp>
      <tp>
        <v>95</v>
        <stp/>
        <stp>VOLUME</stp>
        <stp>.SPY250815C565</stp>
        <tr r="O22" s="2"/>
        <tr r="O22" s="2"/>
      </tp>
      <tp t="s">
        <v>N/A</v>
        <stp/>
        <stp>VOLUME</stp>
        <stp>.SPY250829C559</stp>
        <tr r="P28" s="2"/>
      </tp>
      <tp>
        <v>177</v>
        <stp/>
        <stp>VOLUME</stp>
        <stp>.SPY250815P564</stp>
        <tr r="O23" s="2"/>
        <tr r="O23" s="2"/>
      </tp>
      <tp>
        <v>7</v>
        <stp/>
        <stp>VOLUME</stp>
        <stp>.SPY250829P558</stp>
        <tr r="P29" s="2"/>
        <tr r="P29" s="2"/>
      </tp>
      <tp>
        <v>40</v>
        <stp/>
        <stp>VOLUME</stp>
        <stp>.SPY250815C564</stp>
        <tr r="O23" s="2"/>
        <tr r="O23" s="2"/>
      </tp>
      <tp t="s">
        <v>N/A</v>
        <stp/>
        <stp>VOLUME</stp>
        <stp>.SPY250829C558</stp>
        <tr r="P29" s="2"/>
      </tp>
      <tp t="s">
        <v>N/A</v>
        <stp/>
        <stp>VOLUME</stp>
        <stp>.SPY250829P557</stp>
        <tr r="P30" s="2"/>
      </tp>
      <tp t="s">
        <v>N/A</v>
        <stp/>
        <stp>VOLUME</stp>
        <stp>.SPY250829C557</stp>
        <tr r="P30" s="2"/>
      </tp>
      <tp>
        <v>1</v>
        <stp/>
        <stp>VOLUME</stp>
        <stp>.SPY250829P556</stp>
        <tr r="P31" s="2"/>
        <tr r="P31" s="2"/>
      </tp>
      <tp t="s">
        <v>N/A</v>
        <stp/>
        <stp>VOLUME</stp>
        <stp>.SPY250829C556</stp>
        <tr r="P31" s="2"/>
      </tp>
      <tp>
        <v>28</v>
        <stp/>
        <stp>VOLUME</stp>
        <stp>.SPY250815P569</stp>
        <tr r="O18" s="2"/>
        <tr r="O18" s="2"/>
      </tp>
      <tp>
        <v>24</v>
        <stp/>
        <stp>VOLUME</stp>
        <stp>.SPY250829P555</stp>
        <tr r="P32" s="2"/>
        <tr r="P32" s="2"/>
      </tp>
      <tp>
        <v>18</v>
        <stp/>
        <stp>VOLUME</stp>
        <stp>.SPY250815C569</stp>
        <tr r="O18" s="2"/>
        <tr r="O18" s="2"/>
      </tp>
      <tp>
        <v>1</v>
        <stp/>
        <stp>VOLUME</stp>
        <stp>.SPY250829C555</stp>
        <tr r="P32" s="2"/>
        <tr r="P32" s="2"/>
      </tp>
      <tp>
        <v>98</v>
        <stp/>
        <stp>VOLUME</stp>
        <stp>.SPY250815P568</stp>
        <tr r="O19" s="2"/>
        <tr r="O19" s="2"/>
      </tp>
      <tp>
        <v>3</v>
        <stp/>
        <stp>VOLUME</stp>
        <stp>.SPY250829P554</stp>
        <tr r="P33" s="2"/>
        <tr r="P33" s="2"/>
      </tp>
      <tp>
        <v>202</v>
        <stp/>
        <stp>VOLUME</stp>
        <stp>.SPY250815C568</stp>
        <tr r="O19" s="2"/>
        <tr r="O19" s="2"/>
      </tp>
      <tp t="s">
        <v>N/A</v>
        <stp/>
        <stp>VOLUME</stp>
        <stp>.SPY250829C554</stp>
        <tr r="P33" s="2"/>
      </tp>
      <tp>
        <v>3</v>
        <stp/>
        <stp>VOLUME</stp>
        <stp>.SPY250829P553</stp>
        <tr r="P34" s="2"/>
        <tr r="P34" s="2"/>
      </tp>
      <tp t="s">
        <v>N/A</v>
        <stp/>
        <stp>VOLUME</stp>
        <stp>.SPY250829C553</stp>
        <tr r="P34" s="2"/>
      </tp>
      <tp t="s">
        <v>N/A</v>
        <stp/>
        <stp>VOLUME</stp>
        <stp>.SPY250829P552</stp>
        <tr r="P35" s="2"/>
      </tp>
      <tp t="s">
        <v>N/A</v>
        <stp/>
        <stp>VOLUME</stp>
        <stp>.SPY250829C552</stp>
        <tr r="P35" s="2"/>
      </tp>
      <tp>
        <v>2</v>
        <stp/>
        <stp>VOLUME</stp>
        <stp>.SPY250829P551</stp>
        <tr r="P36" s="2"/>
        <tr r="P36" s="2"/>
      </tp>
      <tp t="s">
        <v>N/A</v>
        <stp/>
        <stp>VOLUME</stp>
        <stp>.SPY250829C551</stp>
        <tr r="P36" s="2"/>
      </tp>
      <tp>
        <v>36</v>
        <stp/>
        <stp>VOLUME</stp>
        <stp>.SPY250829P550</stp>
        <tr r="P37" s="2"/>
        <tr r="P37" s="2"/>
      </tp>
      <tp>
        <v>15</v>
        <stp/>
        <stp>VOLUME</stp>
        <stp>.SPY250829C550</stp>
        <tr r="P37" s="2"/>
        <tr r="P37" s="2"/>
      </tp>
      <tp>
        <v>1</v>
        <stp/>
        <stp>VOLUME</stp>
        <stp>.SPY250815P573</stp>
        <tr r="O14" s="2"/>
        <tr r="O14" s="2"/>
      </tp>
      <tp>
        <v>10</v>
        <stp/>
        <stp>VOLUME</stp>
        <stp>.SPY250815C573</stp>
        <tr r="O14" s="2"/>
        <tr r="O14" s="2"/>
      </tp>
      <tp>
        <v>64</v>
        <stp/>
        <stp>VOLUME</stp>
        <stp>.SPY250815P572</stp>
        <tr r="O15" s="2"/>
        <tr r="O15" s="2"/>
      </tp>
      <tp>
        <v>58</v>
        <stp/>
        <stp>VOLUME</stp>
        <stp>.SPY250815C572</stp>
        <tr r="O15" s="2"/>
        <tr r="O15" s="2"/>
      </tp>
      <tp>
        <v>3</v>
        <stp/>
        <stp>VOLUME</stp>
        <stp>.SPY250815P571</stp>
        <tr r="O16" s="2"/>
        <tr r="O16" s="2"/>
      </tp>
      <tp>
        <v>124</v>
        <stp/>
        <stp>VOLUME</stp>
        <stp>.SPY250815C571</stp>
        <tr r="O16" s="2"/>
        <tr r="O16" s="2"/>
      </tp>
      <tp>
        <v>104</v>
        <stp/>
        <stp>VOLUME</stp>
        <stp>.SPY250815P570</stp>
        <tr r="O17" s="2"/>
        <tr r="O17" s="2"/>
      </tp>
      <tp>
        <v>64</v>
        <stp/>
        <stp>VOLUME</stp>
        <stp>.SPY250815C570</stp>
        <tr r="O17" s="2"/>
        <tr r="O17" s="2"/>
      </tp>
      <tp>
        <v>34</v>
        <stp/>
        <stp>VOLUME</stp>
        <stp>.SPY250815P577</stp>
        <tr r="O10" s="2"/>
        <tr r="O10" s="2"/>
      </tp>
      <tp>
        <v>63</v>
        <stp/>
        <stp>VOLUME</stp>
        <stp>.SPY250815C577</stp>
        <tr r="O10" s="2"/>
        <tr r="O10" s="2"/>
      </tp>
      <tp>
        <v>2</v>
        <stp/>
        <stp>VOLUME</stp>
        <stp>.SPY250815P576</stp>
        <tr r="O11" s="2"/>
        <tr r="O11" s="2"/>
      </tp>
      <tp>
        <v>97</v>
        <stp/>
        <stp>VOLUME</stp>
        <stp>.SPY250815C576</stp>
        <tr r="O11" s="2"/>
        <tr r="O11" s="2"/>
      </tp>
      <tp>
        <v>5</v>
        <stp/>
        <stp>VOLUME</stp>
        <stp>.SPY250815P575</stp>
        <tr r="O12" s="2"/>
        <tr r="O12" s="2"/>
      </tp>
      <tp t="s">
        <v>N/A</v>
        <stp/>
        <stp>VOLUME</stp>
        <stp>.SPY250829P549</stp>
        <tr r="P38" s="2"/>
      </tp>
      <tp>
        <v>160</v>
        <stp/>
        <stp>VOLUME</stp>
        <stp>.SPY250815C575</stp>
        <tr r="O12" s="2"/>
        <tr r="O12" s="2"/>
      </tp>
      <tp t="s">
        <v>N/A</v>
        <stp/>
        <stp>VOLUME</stp>
        <stp>.SPY250829C549</stp>
        <tr r="P38" s="2"/>
      </tp>
      <tp>
        <v>20</v>
        <stp/>
        <stp>VOLUME</stp>
        <stp>.SPY250815P574</stp>
        <tr r="O13" s="2"/>
        <tr r="O13" s="2"/>
      </tp>
      <tp t="s">
        <v>N/A</v>
        <stp/>
        <stp>VOLUME</stp>
        <stp>.SPY250829P548</stp>
        <tr r="P39" s="2"/>
      </tp>
      <tp>
        <v>29</v>
        <stp/>
        <stp>VOLUME</stp>
        <stp>.SPY250815C574</stp>
        <tr r="O13" s="2"/>
        <tr r="O13" s="2"/>
      </tp>
      <tp t="s">
        <v>N/A</v>
        <stp/>
        <stp>VOLUME</stp>
        <stp>.SPY250829C548</stp>
        <tr r="P39" s="2"/>
      </tp>
      <tp>
        <v>35</v>
        <stp/>
        <stp>VOLUME</stp>
        <stp>.SPY250815P579</stp>
        <tr r="O8" s="2"/>
        <tr r="O8" s="2"/>
      </tp>
      <tp>
        <v>53</v>
        <stp/>
        <stp>VOLUME</stp>
        <stp>.SPY250815C579</stp>
        <tr r="O8" s="2"/>
        <tr r="O8" s="2"/>
      </tp>
      <tp>
        <v>34</v>
        <stp/>
        <stp>VOLUME</stp>
        <stp>.SPY250815P578</stp>
        <tr r="O9" s="2"/>
        <tr r="O9" s="2"/>
      </tp>
      <tp>
        <v>101</v>
        <stp/>
        <stp>VOLUME</stp>
        <stp>.SPY250815C578</stp>
        <tr r="O9" s="2"/>
        <tr r="O9" s="2"/>
      </tp>
      <tp>
        <v>-0.93</v>
        <stp/>
        <stp>DELTA</stp>
        <stp>.SPXW250516P5850</stp>
        <tr r="CI87" s="1"/>
        <tr r="CI87" s="1"/>
      </tp>
      <tp>
        <v>0.1</v>
        <stp/>
        <stp>DELTA</stp>
        <stp>.SPXW250516C5850</stp>
        <tr r="CH87" s="1"/>
        <tr r="CH87" s="1"/>
      </tp>
      <tp>
        <v>-0.91</v>
        <stp/>
        <stp>DELTA</stp>
        <stp>.SPXW250516P5840</stp>
        <tr r="CI88" s="1"/>
        <tr r="CI88" s="1"/>
      </tp>
      <tp>
        <v>0.11</v>
        <stp/>
        <stp>DELTA</stp>
        <stp>.SPXW250516C5840</stp>
        <tr r="CH88" s="1"/>
        <tr r="CH88" s="1"/>
      </tp>
      <tp>
        <v>-0.96</v>
        <stp/>
        <stp>DELTA</stp>
        <stp>.SPXW250516P5870</stp>
        <tr r="CI85" s="1"/>
        <tr r="CI85" s="1"/>
      </tp>
      <tp>
        <v>0.08</v>
        <stp/>
        <stp>DELTA</stp>
        <stp>.SPXW250516C5870</stp>
        <tr r="CH85" s="1"/>
        <tr r="CH85" s="1"/>
      </tp>
      <tp>
        <v>-0.94</v>
        <stp/>
        <stp>DELTA</stp>
        <stp>.SPXW250516P5860</stp>
        <tr r="CI86" s="1"/>
        <tr r="CI86" s="1"/>
      </tp>
      <tp>
        <v>0.09</v>
        <stp/>
        <stp>DELTA</stp>
        <stp>.SPXW250516C5860</stp>
        <tr r="CH86" s="1"/>
        <tr r="CH86" s="1"/>
      </tp>
      <tp>
        <v>-0.86</v>
        <stp/>
        <stp>DELTA</stp>
        <stp>.SPXW250516P5810</stp>
        <tr r="CI91" s="1"/>
        <tr r="CI91" s="1"/>
      </tp>
      <tp>
        <v>0.16</v>
        <stp/>
        <stp>DELTA</stp>
        <stp>.SPXW250516C5810</stp>
        <tr r="CH91" s="1"/>
        <tr r="CH91" s="1"/>
      </tp>
      <tp>
        <v>-0.84</v>
        <stp/>
        <stp>DELTA</stp>
        <stp>.SPXW250516P5800</stp>
        <tr r="CI92" s="1"/>
        <tr r="CI92" s="1"/>
      </tp>
      <tp>
        <v>0.18</v>
        <stp/>
        <stp>DELTA</stp>
        <stp>.SPXW250516C5800</stp>
        <tr r="CH92" s="1"/>
        <tr r="CH92" s="1"/>
      </tp>
      <tp>
        <v>-0.9</v>
        <stp/>
        <stp>DELTA</stp>
        <stp>.SPXW250516P5830</stp>
        <tr r="CI89" s="1"/>
        <tr r="CI89" s="1"/>
      </tp>
      <tp>
        <v>0.13</v>
        <stp/>
        <stp>DELTA</stp>
        <stp>.SPXW250516C5830</stp>
        <tr r="CH89" s="1"/>
        <tr r="CH89" s="1"/>
      </tp>
      <tp>
        <v>-0.88</v>
        <stp/>
        <stp>DELTA</stp>
        <stp>.SPXW250516P5820</stp>
        <tr r="CI90" s="1"/>
        <tr r="CI90" s="1"/>
      </tp>
      <tp>
        <v>0.14000000000000001</v>
        <stp/>
        <stp>DELTA</stp>
        <stp>.SPXW250516C5820</stp>
        <tr r="CH90" s="1"/>
        <tr r="CH90" s="1"/>
      </tp>
      <tp t="s">
        <v>N/A</v>
        <stp/>
        <stp>VOLUME</stp>
        <stp>.SPX250815C5830</stp>
        <tr r="O90" s="2"/>
      </tp>
      <tp t="s">
        <v>N/A</v>
        <stp/>
        <stp>VOLUME</stp>
        <stp>.SPX251017C5810</stp>
        <tr r="S92" s="2"/>
      </tp>
      <tp t="s">
        <v>N/A</v>
        <stp/>
        <stp>VOLUME</stp>
        <stp>.SPX251017P5810</stp>
        <tr r="S92" s="2"/>
      </tp>
      <tp t="s">
        <v>N/A</v>
        <stp/>
        <stp>VOLUME</stp>
        <stp>.SPX250815P5830</stp>
        <tr r="O90" s="2"/>
      </tp>
      <tp t="s">
        <v>N/A</v>
        <stp/>
        <stp>VOLUME</stp>
        <stp>.SPX250815C5820</stp>
        <tr r="O91" s="2"/>
      </tp>
      <tp>
        <v>137</v>
        <stp/>
        <stp>VOLUME</stp>
        <stp>.SPX251017C5800</stp>
        <tr r="S93" s="2"/>
        <tr r="S93" s="2"/>
      </tp>
      <tp>
        <v>138</v>
        <stp/>
        <stp>VOLUME</stp>
        <stp>.SPX251017P5800</stp>
        <tr r="S93" s="2"/>
        <tr r="S93" s="2"/>
      </tp>
      <tp t="s">
        <v>N/A</v>
        <stp/>
        <stp>VOLUME</stp>
        <stp>.SPX250815P5820</stp>
        <tr r="O91" s="2"/>
      </tp>
      <tp t="s">
        <v>N/A</v>
        <stp/>
        <stp>VOLUME</stp>
        <stp>.SPX250815C5810</stp>
        <tr r="O92" s="2"/>
      </tp>
      <tp t="s">
        <v>N/A</v>
        <stp/>
        <stp>VOLUME</stp>
        <stp>.SPX251017C5830</stp>
        <tr r="S90" s="2"/>
      </tp>
      <tp t="s">
        <v>N/A</v>
        <stp/>
        <stp>VOLUME</stp>
        <stp>.SPX251017P5830</stp>
        <tr r="S90" s="2"/>
      </tp>
      <tp t="s">
        <v>N/A</v>
        <stp/>
        <stp>VOLUME</stp>
        <stp>.SPX250815P5810</stp>
        <tr r="O92" s="2"/>
      </tp>
      <tp>
        <v>71</v>
        <stp/>
        <stp>VOLUME</stp>
        <stp>.SPX250815C5800</stp>
        <tr r="O93" s="2"/>
        <tr r="O93" s="2"/>
      </tp>
      <tp t="s">
        <v>N/A</v>
        <stp/>
        <stp>VOLUME</stp>
        <stp>.SPX251017C5820</stp>
        <tr r="S91" s="2"/>
      </tp>
      <tp t="s">
        <v>N/A</v>
        <stp/>
        <stp>VOLUME</stp>
        <stp>.SPX251017P5820</stp>
        <tr r="S91" s="2"/>
      </tp>
      <tp t="s">
        <v>N/A</v>
        <stp/>
        <stp>VOLUME</stp>
        <stp>.SPX250815P5800</stp>
        <tr r="O93" s="2"/>
      </tp>
      <tp t="s">
        <v>N/A</v>
        <stp/>
        <stp>VOLUME</stp>
        <stp>.SPX250815C5870</stp>
        <tr r="O86" s="2"/>
      </tp>
      <tp>
        <v>12</v>
        <stp/>
        <stp>VOLUME</stp>
        <stp>.SPX251017C5850</stp>
        <tr r="S88" s="2"/>
        <tr r="S88" s="2"/>
      </tp>
      <tp t="s">
        <v>N/A</v>
        <stp/>
        <stp>VOLUME</stp>
        <stp>.SPX251017P5850</stp>
        <tr r="S88" s="2"/>
      </tp>
      <tp t="s">
        <v>N/A</v>
        <stp/>
        <stp>VOLUME</stp>
        <stp>.SPX250815P5870</stp>
        <tr r="O86" s="2"/>
      </tp>
      <tp t="s">
        <v>N/A</v>
        <stp/>
        <stp>VOLUME</stp>
        <stp>.SPX250815C5860</stp>
        <tr r="O87" s="2"/>
      </tp>
      <tp t="s">
        <v>N/A</v>
        <stp/>
        <stp>VOLUME</stp>
        <stp>.SPX251017C5840</stp>
        <tr r="S89" s="2"/>
      </tp>
      <tp t="s">
        <v>N/A</v>
        <stp/>
        <stp>VOLUME</stp>
        <stp>.SPX251017P5840</stp>
        <tr r="S89" s="2"/>
      </tp>
      <tp>
        <v>1</v>
        <stp/>
        <stp>VOLUME</stp>
        <stp>.SPX250815P5860</stp>
        <tr r="O87" s="2"/>
        <tr r="O87" s="2"/>
      </tp>
      <tp t="s">
        <v>N/A</v>
        <stp/>
        <stp>VOLUME</stp>
        <stp>.SPX250815C5850</stp>
        <tr r="O88" s="2"/>
      </tp>
      <tp t="s">
        <v>N/A</v>
        <stp/>
        <stp>VOLUME</stp>
        <stp>.SPX251017C5870</stp>
        <tr r="S86" s="2"/>
      </tp>
      <tp t="s">
        <v>N/A</v>
        <stp/>
        <stp>VOLUME</stp>
        <stp>.SPX251017P5870</stp>
        <tr r="S86" s="2"/>
      </tp>
      <tp>
        <v>10</v>
        <stp/>
        <stp>VOLUME</stp>
        <stp>.SPX250815P5850</stp>
        <tr r="O88" s="2"/>
        <tr r="O88" s="2"/>
      </tp>
      <tp>
        <v>4</v>
        <stp/>
        <stp>VOLUME</stp>
        <stp>.SPX250815C5840</stp>
        <tr r="O89" s="2"/>
        <tr r="O89" s="2"/>
      </tp>
      <tp t="s">
        <v>N/A</v>
        <stp/>
        <stp>VOLUME</stp>
        <stp>.SPX251017C5860</stp>
        <tr r="S87" s="2"/>
      </tp>
      <tp t="s">
        <v>N/A</v>
        <stp/>
        <stp>VOLUME</stp>
        <stp>.SPX251017P5860</stp>
        <tr r="S87" s="2"/>
      </tp>
      <tp t="s">
        <v>N/A</v>
        <stp/>
        <stp>VOLUME</stp>
        <stp>.SPX250815P5840</stp>
        <tr r="O89" s="2"/>
      </tp>
      <tp>
        <v>1</v>
        <stp/>
        <stp>VOLUME</stp>
        <stp>.SPX250718C5860</stp>
        <tr r="M87" s="2"/>
        <tr r="M87" s="2"/>
      </tp>
      <tp t="s">
        <v>N/A</v>
        <stp/>
        <stp>VOLUME</stp>
        <stp>.SPX250919C5870</stp>
        <tr r="Q86" s="2"/>
      </tp>
      <tp t="s">
        <v>N/A</v>
        <stp/>
        <stp>VOLUME</stp>
        <stp>.SPX251219C5870</stp>
        <tr r="W86" s="2"/>
      </tp>
      <tp t="s">
        <v>N/A</v>
        <stp/>
        <stp>VOLUME</stp>
        <stp>.SPX251219P5870</stp>
        <tr r="W86" s="2"/>
      </tp>
      <tp t="s">
        <v>N/A</v>
        <stp/>
        <stp>VOLUME</stp>
        <stp>.SPX250718P5860</stp>
        <tr r="M87" s="2"/>
      </tp>
      <tp t="s">
        <v>N/A</v>
        <stp/>
        <stp>VOLUME</stp>
        <stp>.SPX250919P5870</stp>
        <tr r="Q86" s="2"/>
      </tp>
      <tp>
        <v>3</v>
        <stp/>
        <stp>VOLUME</stp>
        <stp>.SPX250718C5870</stp>
        <tr r="M86" s="2"/>
        <tr r="M86" s="2"/>
      </tp>
      <tp t="s">
        <v>N/A</v>
        <stp/>
        <stp>VOLUME</stp>
        <stp>.SPX250919C5860</stp>
        <tr r="Q87" s="2"/>
      </tp>
      <tp t="s">
        <v>N/A</v>
        <stp/>
        <stp>VOLUME</stp>
        <stp>.SPX251219C5860</stp>
        <tr r="W87" s="2"/>
      </tp>
      <tp t="s">
        <v>N/A</v>
        <stp/>
        <stp>VOLUME</stp>
        <stp>.SPX251219P5860</stp>
        <tr r="W87" s="2"/>
      </tp>
      <tp t="s">
        <v>N/A</v>
        <stp/>
        <stp>VOLUME</stp>
        <stp>.SPX250718P5870</stp>
        <tr r="M86" s="2"/>
      </tp>
      <tp t="s">
        <v>N/A</v>
        <stp/>
        <stp>VOLUME</stp>
        <stp>.SPX250919P5860</stp>
        <tr r="Q87" s="2"/>
      </tp>
      <tp>
        <v>1</v>
        <stp/>
        <stp>VOLUME</stp>
        <stp>.SPX250718C5840</stp>
        <tr r="M89" s="2"/>
        <tr r="M89" s="2"/>
      </tp>
      <tp>
        <v>70</v>
        <stp/>
        <stp>VOLUME</stp>
        <stp>.SPX250919C5850</stp>
        <tr r="Q88" s="2"/>
        <tr r="Q88" s="2"/>
      </tp>
      <tp>
        <v>50</v>
        <stp/>
        <stp>VOLUME</stp>
        <stp>.SPX251219C5850</stp>
        <tr r="W88" s="2"/>
        <tr r="W88" s="2"/>
      </tp>
      <tp>
        <v>20</v>
        <stp/>
        <stp>VOLUME</stp>
        <stp>.SPX251219P5850</stp>
        <tr r="W88" s="2"/>
        <tr r="W88" s="2"/>
      </tp>
      <tp t="s">
        <v>N/A</v>
        <stp/>
        <stp>VOLUME</stp>
        <stp>.SPX250718P5840</stp>
        <tr r="M89" s="2"/>
      </tp>
      <tp>
        <v>1</v>
        <stp/>
        <stp>VOLUME</stp>
        <stp>.SPX250919P5850</stp>
        <tr r="Q88" s="2"/>
        <tr r="Q88" s="2"/>
      </tp>
      <tp>
        <v>178</v>
        <stp/>
        <stp>VOLUME</stp>
        <stp>.SPX250718C5850</stp>
        <tr r="M88" s="2"/>
        <tr r="M88" s="2"/>
      </tp>
      <tp t="s">
        <v>N/A</v>
        <stp/>
        <stp>VOLUME</stp>
        <stp>.SPX250919C5840</stp>
        <tr r="Q89" s="2"/>
      </tp>
      <tp t="s">
        <v>N/A</v>
        <stp/>
        <stp>VOLUME</stp>
        <stp>.SPX251219C5840</stp>
        <tr r="W89" s="2"/>
      </tp>
      <tp t="s">
        <v>N/A</v>
        <stp/>
        <stp>VOLUME</stp>
        <stp>.SPX251219P5840</stp>
        <tr r="W89" s="2"/>
      </tp>
      <tp t="s">
        <v>N/A</v>
        <stp/>
        <stp>VOLUME</stp>
        <stp>.SPX250718P5850</stp>
        <tr r="M88" s="2"/>
      </tp>
      <tp t="s">
        <v>N/A</v>
        <stp/>
        <stp>VOLUME</stp>
        <stp>.SPX250919P5840</stp>
        <tr r="Q89" s="2"/>
      </tp>
      <tp>
        <v>16</v>
        <stp/>
        <stp>VOLUME</stp>
        <stp>.SPX250718C5820</stp>
        <tr r="M91" s="2"/>
        <tr r="M91" s="2"/>
      </tp>
      <tp t="s">
        <v>N/A</v>
        <stp/>
        <stp>VOLUME</stp>
        <stp>.SPX250919C5830</stp>
        <tr r="Q90" s="2"/>
      </tp>
      <tp t="s">
        <v>N/A</v>
        <stp/>
        <stp>VOLUME</stp>
        <stp>.SPX251219C5830</stp>
        <tr r="W90" s="2"/>
      </tp>
      <tp t="s">
        <v>N/A</v>
        <stp/>
        <stp>VOLUME</stp>
        <stp>.SPX251219P5830</stp>
        <tr r="W90" s="2"/>
      </tp>
      <tp t="s">
        <v>N/A</v>
        <stp/>
        <stp>VOLUME</stp>
        <stp>.SPX250718P5820</stp>
        <tr r="M91" s="2"/>
      </tp>
      <tp t="s">
        <v>N/A</v>
        <stp/>
        <stp>VOLUME</stp>
        <stp>.SPX250919P5830</stp>
        <tr r="Q90" s="2"/>
      </tp>
      <tp t="s">
        <v>N/A</v>
        <stp/>
        <stp>VOLUME</stp>
        <stp>.SPX250718C5830</stp>
        <tr r="M90" s="2"/>
      </tp>
      <tp>
        <v>1</v>
        <stp/>
        <stp>VOLUME</stp>
        <stp>.SPX250919C5820</stp>
        <tr r="Q91" s="2"/>
        <tr r="Q91" s="2"/>
      </tp>
      <tp t="s">
        <v>N/A</v>
        <stp/>
        <stp>VOLUME</stp>
        <stp>.SPX251219C5820</stp>
        <tr r="W91" s="2"/>
      </tp>
      <tp t="s">
        <v>N/A</v>
        <stp/>
        <stp>VOLUME</stp>
        <stp>.SPX251219P5820</stp>
        <tr r="W91" s="2"/>
      </tp>
      <tp t="s">
        <v>N/A</v>
        <stp/>
        <stp>VOLUME</stp>
        <stp>.SPX250718P5830</stp>
        <tr r="M90" s="2"/>
      </tp>
      <tp t="s">
        <v>N/A</v>
        <stp/>
        <stp>VOLUME</stp>
        <stp>.SPX250919P5820</stp>
        <tr r="Q91" s="2"/>
      </tp>
      <tp>
        <v>39</v>
        <stp/>
        <stp>VOLUME</stp>
        <stp>.SPX250718C5800</stp>
        <tr r="M93" s="2"/>
        <tr r="M93" s="2"/>
      </tp>
      <tp t="s">
        <v>N/A</v>
        <stp/>
        <stp>VOLUME</stp>
        <stp>.SPX250919C5810</stp>
        <tr r="Q92" s="2"/>
      </tp>
      <tp t="s">
        <v>N/A</v>
        <stp/>
        <stp>VOLUME</stp>
        <stp>.SPX251219C5810</stp>
        <tr r="W92" s="2"/>
      </tp>
      <tp t="s">
        <v>N/A</v>
        <stp/>
        <stp>VOLUME</stp>
        <stp>.SPX251219P5810</stp>
        <tr r="W92" s="2"/>
      </tp>
      <tp t="s">
        <v>N/A</v>
        <stp/>
        <stp>VOLUME</stp>
        <stp>.SPX250718P5800</stp>
        <tr r="M93" s="2"/>
      </tp>
      <tp t="s">
        <v>N/A</v>
        <stp/>
        <stp>VOLUME</stp>
        <stp>.SPX250919P5810</stp>
        <tr r="Q92" s="2"/>
      </tp>
      <tp>
        <v>15</v>
        <stp/>
        <stp>VOLUME</stp>
        <stp>.SPX250718C5810</stp>
        <tr r="M92" s="2"/>
        <tr r="M92" s="2"/>
      </tp>
      <tp>
        <v>475</v>
        <stp/>
        <stp>VOLUME</stp>
        <stp>.SPX250919C5800</stp>
        <tr r="Q93" s="2"/>
        <tr r="Q93" s="2"/>
      </tp>
      <tp>
        <v>523</v>
        <stp/>
        <stp>VOLUME</stp>
        <stp>.SPX251219C5800</stp>
        <tr r="W93" s="2"/>
        <tr r="W93" s="2"/>
      </tp>
      <tp>
        <v>908</v>
        <stp/>
        <stp>VOLUME</stp>
        <stp>.SPX251219P5800</stp>
        <tr r="W93" s="2"/>
        <tr r="W93" s="2"/>
      </tp>
      <tp t="s">
        <v>N/A</v>
        <stp/>
        <stp>VOLUME</stp>
        <stp>.SPX250718P5810</stp>
        <tr r="M92" s="2"/>
      </tp>
      <tp t="s">
        <v>N/A</v>
        <stp/>
        <stp>VOLUME</stp>
        <stp>.SPX250919P5800</stp>
        <tr r="Q93" s="2"/>
      </tp>
      <tp t="s">
        <v>27.15%</v>
        <stp/>
        <stp>IMPL_VOL</stp>
        <stp>.NDX250516C19900</stp>
        <tr r="EP159" s="1"/>
      </tp>
      <tp t="s">
        <v>27.12%</v>
        <stp/>
        <stp>IMPL_VOL</stp>
        <stp>.NDX250516C19925</stp>
        <tr r="EP158" s="1"/>
      </tp>
      <tp t="s">
        <v>27.05%</v>
        <stp/>
        <stp>IMPL_VOL</stp>
        <stp>.NDX250516C19950</stp>
        <tr r="EP157" s="1"/>
      </tp>
      <tp t="s">
        <v>26.94%</v>
        <stp/>
        <stp>IMPL_VOL</stp>
        <stp>.NDX250516C19975</stp>
        <tr r="EP156" s="1"/>
      </tp>
      <tp t="s">
        <v>28.82%</v>
        <stp/>
        <stp>IMPL_VOL</stp>
        <stp>.NDX250516P19925</stp>
        <tr r="EQ158" s="1"/>
      </tp>
      <tp t="s">
        <v>28.89%</v>
        <stp/>
        <stp>IMPL_VOL</stp>
        <stp>.NDX250516P19900</stp>
        <tr r="EQ159" s="1"/>
      </tp>
      <tp t="s">
        <v>28.69%</v>
        <stp/>
        <stp>IMPL_VOL</stp>
        <stp>.NDX250516P19975</stp>
        <tr r="EQ156" s="1"/>
      </tp>
      <tp t="s">
        <v>28.77%</v>
        <stp/>
        <stp>IMPL_VOL</stp>
        <stp>.NDX250516P19950</stp>
        <tr r="EQ157" s="1"/>
      </tp>
      <tp t="s">
        <v>27.31%</v>
        <stp/>
        <stp>IMPL_VOL</stp>
        <stp>.NDX250516C19800</stp>
        <tr r="EP163" s="1"/>
      </tp>
      <tp t="s">
        <v>27.44%</v>
        <stp/>
        <stp>IMPL_VOL</stp>
        <stp>.NDX250516C19825</stp>
        <tr r="EP162" s="1"/>
      </tp>
      <tp t="s">
        <v>27.26%</v>
        <stp/>
        <stp>IMPL_VOL</stp>
        <stp>.NDX250516C19850</stp>
        <tr r="EP161" s="1"/>
      </tp>
      <tp t="s">
        <v>27.35%</v>
        <stp/>
        <stp>IMPL_VOL</stp>
        <stp>.NDX250516C19875</stp>
        <tr r="EP160" s="1"/>
      </tp>
      <tp t="s">
        <v>29.09%</v>
        <stp/>
        <stp>IMPL_VOL</stp>
        <stp>.NDX250516P19825</stp>
        <tr r="EQ162" s="1"/>
      </tp>
      <tp t="s">
        <v>29.18%</v>
        <stp/>
        <stp>IMPL_VOL</stp>
        <stp>.NDX250516P19800</stp>
        <tr r="EQ163" s="1"/>
      </tp>
      <tp t="s">
        <v>28.99%</v>
        <stp/>
        <stp>IMPL_VOL</stp>
        <stp>.NDX250516P19875</stp>
        <tr r="EQ160" s="1"/>
      </tp>
      <tp t="s">
        <v>29.06%</v>
        <stp/>
        <stp>IMPL_VOL</stp>
        <stp>.NDX250516P19850</stp>
        <tr r="EQ161" s="1"/>
      </tp>
      <tp>
        <v>57</v>
        <stp/>
        <stp>VOLUME</stp>
        <stp>.SPX250620C5860</stp>
        <tr r="K87" s="2"/>
        <tr r="K87" s="2"/>
      </tp>
      <tp t="s">
        <v>N/A</v>
        <stp/>
        <stp>VOLUME</stp>
        <stp>.SPX250523C5850</stp>
        <tr r="H88" s="2"/>
      </tp>
      <tp t="s">
        <v>N/A</v>
        <stp/>
        <stp>VOLUME</stp>
        <stp>.SPX251121C5870</stp>
        <tr r="U86" s="2"/>
      </tp>
      <tp t="s">
        <v>N/A</v>
        <stp/>
        <stp>VOLUME</stp>
        <stp>.SPX251121P5870</stp>
        <tr r="U86" s="2"/>
      </tp>
      <tp t="s">
        <v>N/A</v>
        <stp/>
        <stp>VOLUME</stp>
        <stp>.SPX250620P5860</stp>
        <tr r="K87" s="2"/>
      </tp>
      <tp t="s">
        <v>N/A</v>
        <stp/>
        <stp>VOLUME</stp>
        <stp>.SPX250523P5850</stp>
        <tr r="H88" s="2"/>
      </tp>
      <tp t="s">
        <v>N/A</v>
        <stp/>
        <stp>VOLUME</stp>
        <stp>.SPX250620C5870</stp>
        <tr r="K86" s="2"/>
      </tp>
      <tp t="s">
        <v>N/A</v>
        <stp/>
        <stp>VOLUME</stp>
        <stp>.SPX250523C5840</stp>
        <tr r="H89" s="2"/>
      </tp>
      <tp t="s">
        <v>N/A</v>
        <stp/>
        <stp>VOLUME</stp>
        <stp>.SPX251121C5860</stp>
        <tr r="U87" s="2"/>
      </tp>
      <tp t="s">
        <v>N/A</v>
        <stp/>
        <stp>VOLUME</stp>
        <stp>.SPX251121P5860</stp>
        <tr r="U87" s="2"/>
      </tp>
      <tp>
        <v>5</v>
        <stp/>
        <stp>VOLUME</stp>
        <stp>.SPX250620P5870</stp>
        <tr r="K86" s="2"/>
        <tr r="K86" s="2"/>
      </tp>
      <tp t="s">
        <v>N/A</v>
        <stp/>
        <stp>VOLUME</stp>
        <stp>.SPX250523P5840</stp>
        <tr r="H89" s="2"/>
      </tp>
      <tp t="s">
        <v>N/A</v>
        <stp/>
        <stp>VOLUME</stp>
        <stp>.SPX250620C5840</stp>
        <tr r="K89" s="2"/>
      </tp>
      <tp t="s">
        <v>N/A</v>
        <stp/>
        <stp>VOLUME</stp>
        <stp>.SPX250523C5870</stp>
        <tr r="H86" s="2"/>
      </tp>
      <tp>
        <v>2</v>
        <stp/>
        <stp>VOLUME</stp>
        <stp>.SPX251121C5850</stp>
        <tr r="U88" s="2"/>
        <tr r="U88" s="2"/>
      </tp>
      <tp t="s">
        <v>N/A</v>
        <stp/>
        <stp>VOLUME</stp>
        <stp>.SPX251121P5850</stp>
        <tr r="U88" s="2"/>
      </tp>
      <tp t="s">
        <v>N/A</v>
        <stp/>
        <stp>VOLUME</stp>
        <stp>.SPX250620P5840</stp>
        <tr r="K89" s="2"/>
      </tp>
      <tp t="s">
        <v>N/A</v>
        <stp/>
        <stp>VOLUME</stp>
        <stp>.SPX250523P5870</stp>
        <tr r="H86" s="2"/>
      </tp>
      <tp>
        <v>614</v>
        <stp/>
        <stp>VOLUME</stp>
        <stp>.SPX250620C5850</stp>
        <tr r="K88" s="2"/>
        <tr r="K88" s="2"/>
      </tp>
      <tp t="s">
        <v>N/A</v>
        <stp/>
        <stp>VOLUME</stp>
        <stp>.SPX250523C5860</stp>
        <tr r="H87" s="2"/>
      </tp>
      <tp t="s">
        <v>N/A</v>
        <stp/>
        <stp>VOLUME</stp>
        <stp>.SPX251121C5840</stp>
        <tr r="U89" s="2"/>
      </tp>
      <tp t="s">
        <v>N/A</v>
        <stp/>
        <stp>VOLUME</stp>
        <stp>.SPX251121P5840</stp>
        <tr r="U89" s="2"/>
      </tp>
      <tp>
        <v>20</v>
        <stp/>
        <stp>VOLUME</stp>
        <stp>.SPX250620P5850</stp>
        <tr r="K88" s="2"/>
        <tr r="K88" s="2"/>
      </tp>
      <tp t="s">
        <v>N/A</v>
        <stp/>
        <stp>VOLUME</stp>
        <stp>.SPX250523P5860</stp>
        <tr r="H87" s="2"/>
      </tp>
      <tp>
        <v>2</v>
        <stp/>
        <stp>VOLUME</stp>
        <stp>.SPX250620C5820</stp>
        <tr r="K91" s="2"/>
        <tr r="K91" s="2"/>
      </tp>
      <tp t="s">
        <v>N/A</v>
        <stp/>
        <stp>VOLUME</stp>
        <stp>.SPX250523C5810</stp>
        <tr r="H92" s="2"/>
      </tp>
      <tp t="s">
        <v>N/A</v>
        <stp/>
        <stp>VOLUME</stp>
        <stp>.SPX251121C5830</stp>
        <tr r="U90" s="2"/>
      </tp>
      <tp t="s">
        <v>N/A</v>
        <stp/>
        <stp>VOLUME</stp>
        <stp>.SPX251121P5830</stp>
        <tr r="U90" s="2"/>
      </tp>
      <tp t="s">
        <v>N/A</v>
        <stp/>
        <stp>VOLUME</stp>
        <stp>.SPX250620P5820</stp>
        <tr r="K91" s="2"/>
      </tp>
      <tp t="s">
        <v>N/A</v>
        <stp/>
        <stp>VOLUME</stp>
        <stp>.SPX250523P5810</stp>
        <tr r="H92" s="2"/>
      </tp>
      <tp>
        <v>78</v>
        <stp/>
        <stp>VOLUME</stp>
        <stp>.SPX250620C5830</stp>
        <tr r="K90" s="2"/>
        <tr r="K90" s="2"/>
      </tp>
      <tp t="s">
        <v>N/A</v>
        <stp/>
        <stp>VOLUME</stp>
        <stp>.SPX250523C5800</stp>
        <tr r="H93" s="2"/>
      </tp>
      <tp t="s">
        <v>N/A</v>
        <stp/>
        <stp>VOLUME</stp>
        <stp>.SPX251121C5820</stp>
        <tr r="U91" s="2"/>
      </tp>
      <tp t="s">
        <v>N/A</v>
        <stp/>
        <stp>VOLUME</stp>
        <stp>.SPX251121P5820</stp>
        <tr r="U91" s="2"/>
      </tp>
      <tp>
        <v>20</v>
        <stp/>
        <stp>VOLUME</stp>
        <stp>.SPX250620P5830</stp>
        <tr r="K90" s="2"/>
        <tr r="K90" s="2"/>
      </tp>
      <tp t="s">
        <v>N/A</v>
        <stp/>
        <stp>VOLUME</stp>
        <stp>.SPX250523P5800</stp>
        <tr r="H93" s="2"/>
      </tp>
      <tp>
        <v>1353</v>
        <stp/>
        <stp>VOLUME</stp>
        <stp>.SPX250620C5800</stp>
        <tr r="K93" s="2"/>
        <tr r="K93" s="2"/>
      </tp>
      <tp t="s">
        <v>N/A</v>
        <stp/>
        <stp>VOLUME</stp>
        <stp>.SPX250523C5830</stp>
        <tr r="H90" s="2"/>
      </tp>
      <tp t="s">
        <v>N/A</v>
        <stp/>
        <stp>VOLUME</stp>
        <stp>.SPX251121C5810</stp>
        <tr r="U92" s="2"/>
      </tp>
      <tp t="s">
        <v>N/A</v>
        <stp/>
        <stp>VOLUME</stp>
        <stp>.SPX251121P5810</stp>
        <tr r="U92" s="2"/>
      </tp>
      <tp>
        <v>60</v>
        <stp/>
        <stp>VOLUME</stp>
        <stp>.SPX250620P5800</stp>
        <tr r="K93" s="2"/>
        <tr r="K93" s="2"/>
      </tp>
      <tp t="s">
        <v>N/A</v>
        <stp/>
        <stp>VOLUME</stp>
        <stp>.SPX250523P5830</stp>
        <tr r="H90" s="2"/>
      </tp>
      <tp>
        <v>5</v>
        <stp/>
        <stp>VOLUME</stp>
        <stp>.SPX250620C5810</stp>
        <tr r="K92" s="2"/>
        <tr r="K92" s="2"/>
      </tp>
      <tp t="s">
        <v>N/A</v>
        <stp/>
        <stp>VOLUME</stp>
        <stp>.SPX250523C5820</stp>
        <tr r="H91" s="2"/>
      </tp>
      <tp t="s">
        <v>N/A</v>
        <stp/>
        <stp>VOLUME</stp>
        <stp>.SPX251121C5800</stp>
        <tr r="U93" s="2"/>
      </tp>
      <tp>
        <v>202</v>
        <stp/>
        <stp>VOLUME</stp>
        <stp>.SPX251121P5800</stp>
        <tr r="U93" s="2"/>
        <tr r="U93" s="2"/>
      </tp>
      <tp t="s">
        <v>N/A</v>
        <stp/>
        <stp>VOLUME</stp>
        <stp>.SPX250620P5810</stp>
        <tr r="K92" s="2"/>
      </tp>
      <tp t="s">
        <v>N/A</v>
        <stp/>
        <stp>VOLUME</stp>
        <stp>.SPX250523P5820</stp>
        <tr r="H91" s="2"/>
      </tp>
      <tp>
        <v>1424</v>
        <stp/>
        <stp>OPEN_INT</stp>
        <stp>.SPXW250505C5740</stp>
        <tr r="AS98" s="1"/>
        <tr r="AS98" s="1"/>
      </tp>
      <tp>
        <v>1006</v>
        <stp/>
        <stp>OPEN_INT</stp>
        <stp>.SPXW250509C5780</stp>
        <tr r="AU94" s="1"/>
        <tr r="AU94" s="1"/>
      </tp>
      <tp>
        <v>150</v>
        <stp/>
        <stp>OPEN_INT</stp>
        <stp>.SPXW250516C5670</stp>
        <tr r="AW105" s="1"/>
        <tr r="AW105" s="1"/>
      </tp>
      <tp>
        <v>34</v>
        <stp/>
        <stp>OPEN_INT</stp>
        <stp>.SPXW250505P5740</stp>
        <tr r="AT98" s="1"/>
        <tr r="AT98" s="1"/>
      </tp>
      <tp>
        <v>86</v>
        <stp/>
        <stp>OPEN_INT</stp>
        <stp>.SPXW250509P5780</stp>
        <tr r="AV94" s="1"/>
        <tr r="AV94" s="1"/>
      </tp>
      <tp>
        <v>532</v>
        <stp/>
        <stp>OPEN_INT</stp>
        <stp>.SPXW250516P5670</stp>
        <tr r="AX105" s="1"/>
        <tr r="AX105" s="1"/>
      </tp>
      <tp>
        <v>3113</v>
        <stp/>
        <stp>OPEN_INT</stp>
        <stp>.SPXW250505C5750</stp>
        <tr r="AS97" s="1"/>
        <tr r="AS97" s="1"/>
      </tp>
      <tp>
        <v>1853</v>
        <stp/>
        <stp>OPEN_INT</stp>
        <stp>.SPXW250509C5790</stp>
        <tr r="AU93" s="1"/>
        <tr r="AU93" s="1"/>
      </tp>
      <tp>
        <v>475</v>
        <stp/>
        <stp>OPEN_INT</stp>
        <stp>.SPXW250516C5660</stp>
        <tr r="AW106" s="1"/>
        <tr r="AW106" s="1"/>
      </tp>
      <tp>
        <v>68</v>
        <stp/>
        <stp>OPEN_INT</stp>
        <stp>.SPXW250505P5750</stp>
        <tr r="AT97" s="1"/>
        <tr r="AT97" s="1"/>
      </tp>
      <tp>
        <v>562</v>
        <stp/>
        <stp>OPEN_INT</stp>
        <stp>.SPXW250509P5790</stp>
        <tr r="AV93" s="1"/>
        <tr r="AV93" s="1"/>
      </tp>
      <tp>
        <v>366</v>
        <stp/>
        <stp>OPEN_INT</stp>
        <stp>.SPXW250516P5660</stp>
        <tr r="AX106" s="1"/>
        <tr r="AX106" s="1"/>
      </tp>
      <tp>
        <v>1039</v>
        <stp/>
        <stp>OPEN_INT</stp>
        <stp>.SPXW250505C5760</stp>
        <tr r="AS96" s="1"/>
        <tr r="AS96" s="1"/>
      </tp>
      <tp>
        <v>892</v>
        <stp/>
        <stp>OPEN_INT</stp>
        <stp>.SPXW250516C5650</stp>
        <tr r="AW107" s="1"/>
        <tr r="AW107" s="1"/>
      </tp>
      <tp>
        <v>31</v>
        <stp/>
        <stp>OPEN_INT</stp>
        <stp>.SPXW250505P5760</stp>
        <tr r="AT96" s="1"/>
        <tr r="AT96" s="1"/>
      </tp>
      <tp>
        <v>871</v>
        <stp/>
        <stp>OPEN_INT</stp>
        <stp>.SPXW250516P5650</stp>
        <tr r="AX107" s="1"/>
        <tr r="AX107" s="1"/>
      </tp>
      <tp>
        <v>1368</v>
        <stp/>
        <stp>OPEN_INT</stp>
        <stp>.SPXW250505C5770</stp>
        <tr r="AS95" s="1"/>
        <tr r="AS95" s="1"/>
      </tp>
      <tp>
        <v>731</v>
        <stp/>
        <stp>OPEN_INT</stp>
        <stp>.SPXW250516C5640</stp>
        <tr r="AW108" s="1"/>
        <tr r="AW108" s="1"/>
      </tp>
      <tp>
        <v>349</v>
        <stp/>
        <stp>OPEN_INT</stp>
        <stp>.SPXW250505P5770</stp>
        <tr r="AT95" s="1"/>
        <tr r="AT95" s="1"/>
      </tp>
      <tp>
        <v>944</v>
        <stp/>
        <stp>OPEN_INT</stp>
        <stp>.SPXW250516P5640</stp>
        <tr r="AX108" s="1"/>
        <tr r="AX108" s="1"/>
      </tp>
      <tp>
        <v>2466</v>
        <stp/>
        <stp>OPEN_INT</stp>
        <stp>.SPXW250505C5700</stp>
        <tr r="AS102" s="1"/>
        <tr r="AS102" s="1"/>
      </tp>
      <tp>
        <v>380</v>
        <stp/>
        <stp>OPEN_INT</stp>
        <stp>.SPXW250516C5630</stp>
        <tr r="AW109" s="1"/>
        <tr r="AW109" s="1"/>
      </tp>
      <tp>
        <v>1132</v>
        <stp/>
        <stp>OPEN_INT</stp>
        <stp>.SPXW250505P5700</stp>
        <tr r="AT102" s="1"/>
        <tr r="AT102" s="1"/>
      </tp>
      <tp>
        <v>1110</v>
        <stp/>
        <stp>OPEN_INT</stp>
        <stp>.SPXW250516P5630</stp>
        <tr r="AX109" s="1"/>
        <tr r="AX109" s="1"/>
      </tp>
      <tp>
        <v>1826</v>
        <stp/>
        <stp>OPEN_INT</stp>
        <stp>.SPXW250505C5710</stp>
        <tr r="AS101" s="1"/>
        <tr r="AS101" s="1"/>
      </tp>
      <tp>
        <v>619</v>
        <stp/>
        <stp>OPEN_INT</stp>
        <stp>.SPXW250516C5620</stp>
        <tr r="AW110" s="1"/>
        <tr r="AW110" s="1"/>
      </tp>
      <tp>
        <v>217</v>
        <stp/>
        <stp>OPEN_INT</stp>
        <stp>.SPXW250505P5710</stp>
        <tr r="AT101" s="1"/>
        <tr r="AT101" s="1"/>
      </tp>
      <tp>
        <v>777</v>
        <stp/>
        <stp>OPEN_INT</stp>
        <stp>.SPXW250516P5620</stp>
        <tr r="AX110" s="1"/>
        <tr r="AX110" s="1"/>
      </tp>
      <tp>
        <v>804</v>
        <stp/>
        <stp>OPEN_INT</stp>
        <stp>.SPXW250505C5720</stp>
        <tr r="AS100" s="1"/>
        <tr r="AS100" s="1"/>
      </tp>
      <tp>
        <v>1209</v>
        <stp/>
        <stp>OPEN_INT</stp>
        <stp>.SPXW250516C5610</stp>
        <tr r="AW111" s="1"/>
        <tr r="AW111" s="1"/>
      </tp>
      <tp>
        <v>140</v>
        <stp/>
        <stp>OPEN_INT</stp>
        <stp>.SPXW250505P5720</stp>
        <tr r="AT100" s="1"/>
        <tr r="AT100" s="1"/>
      </tp>
      <tp>
        <v>465</v>
        <stp/>
        <stp>OPEN_INT</stp>
        <stp>.SPXW250516P5610</stp>
        <tr r="AX111" s="1"/>
        <tr r="AX111" s="1"/>
      </tp>
      <tp>
        <v>1013</v>
        <stp/>
        <stp>OPEN_INT</stp>
        <stp>.SPXW250505C5730</stp>
        <tr r="AS99" s="1"/>
        <tr r="AS99" s="1"/>
      </tp>
      <tp>
        <v>3152</v>
        <stp/>
        <stp>OPEN_INT</stp>
        <stp>.SPXW250516C5600</stp>
        <tr r="AW112" s="1"/>
        <tr r="AW112" s="1"/>
      </tp>
      <tp>
        <v>48</v>
        <stp/>
        <stp>OPEN_INT</stp>
        <stp>.SPXW250505P5730</stp>
        <tr r="AT99" s="1"/>
        <tr r="AT99" s="1"/>
      </tp>
      <tp>
        <v>2122</v>
        <stp/>
        <stp>OPEN_INT</stp>
        <stp>.SPXW250516P5600</stp>
        <tr r="AX112" s="1"/>
        <tr r="AX112" s="1"/>
      </tp>
      <tp>
        <v>3989</v>
        <stp/>
        <stp>OPEN_INT</stp>
        <stp>.SPXW250509C5700</stp>
        <tr r="AU102" s="1"/>
        <tr r="AU102" s="1"/>
      </tp>
      <tp>
        <v>1922</v>
        <stp/>
        <stp>OPEN_INT</stp>
        <stp>.SPXW250509P5700</stp>
        <tr r="AV102" s="1"/>
        <tr r="AV102" s="1"/>
      </tp>
      <tp>
        <v>2369</v>
        <stp/>
        <stp>OPEN_INT</stp>
        <stp>.SPXW250509C5710</stp>
        <tr r="AU101" s="1"/>
        <tr r="AU101" s="1"/>
      </tp>
      <tp>
        <v>813</v>
        <stp/>
        <stp>OPEN_INT</stp>
        <stp>.SPXW250509P5710</stp>
        <tr r="AV101" s="1"/>
        <tr r="AV101" s="1"/>
      </tp>
      <tp t="s">
        <v>N/A</v>
        <stp/>
        <stp>OPEN_INT</stp>
        <stp>.SPXW250509C5720</stp>
        <tr r="AU100" s="1"/>
      </tp>
      <tp t="s">
        <v>N/A</v>
        <stp/>
        <stp>OPEN_INT</stp>
        <stp>.SPXW250509P5720</stp>
        <tr r="AV100" s="1"/>
      </tp>
      <tp>
        <v>1117</v>
        <stp/>
        <stp>OPEN_INT</stp>
        <stp>.SPXW250509C5730</stp>
        <tr r="AU99" s="1"/>
        <tr r="AU99" s="1"/>
      </tp>
      <tp>
        <v>202</v>
        <stp/>
        <stp>OPEN_INT</stp>
        <stp>.SPXW250509P5730</stp>
        <tr r="AV99" s="1"/>
        <tr r="AV99" s="1"/>
      </tp>
      <tp>
        <v>713</v>
        <stp/>
        <stp>OPEN_INT</stp>
        <stp>.SPXW250505C5780</stp>
        <tr r="AS94" s="1"/>
        <tr r="AS94" s="1"/>
      </tp>
      <tp>
        <v>1602</v>
        <stp/>
        <stp>OPEN_INT</stp>
        <stp>.SPXW250509C5740</stp>
        <tr r="AU98" s="1"/>
        <tr r="AU98" s="1"/>
      </tp>
      <tp>
        <v>101</v>
        <stp/>
        <stp>OPEN_INT</stp>
        <stp>.SPXW250505P5780</stp>
        <tr r="AT94" s="1"/>
        <tr r="AT94" s="1"/>
      </tp>
      <tp>
        <v>139</v>
        <stp/>
        <stp>OPEN_INT</stp>
        <stp>.SPXW250509P5740</stp>
        <tr r="AV98" s="1"/>
        <tr r="AV98" s="1"/>
      </tp>
      <tp>
        <v>2637</v>
        <stp/>
        <stp>OPEN_INT</stp>
        <stp>.SPXW250505C5790</stp>
        <tr r="AS93" s="1"/>
        <tr r="AS93" s="1"/>
      </tp>
      <tp>
        <v>3846</v>
        <stp/>
        <stp>OPEN_INT</stp>
        <stp>.SPXW250509C5750</stp>
        <tr r="AU97" s="1"/>
        <tr r="AU97" s="1"/>
      </tp>
      <tp>
        <v>339</v>
        <stp/>
        <stp>OPEN_INT</stp>
        <stp>.SPXW250505P5790</stp>
        <tr r="AT93" s="1"/>
        <tr r="AT93" s="1"/>
      </tp>
      <tp>
        <v>496</v>
        <stp/>
        <stp>OPEN_INT</stp>
        <stp>.SPXW250509P5750</stp>
        <tr r="AV97" s="1"/>
        <tr r="AV97" s="1"/>
      </tp>
      <tp>
        <v>2655</v>
        <stp/>
        <stp>OPEN_INT</stp>
        <stp>.SPXW250509C5760</stp>
        <tr r="AU96" s="1"/>
        <tr r="AU96" s="1"/>
      </tp>
      <tp>
        <v>563</v>
        <stp/>
        <stp>OPEN_INT</stp>
        <stp>.SPXW250516C5690</stp>
        <tr r="AW103" s="1"/>
        <tr r="AW103" s="1"/>
      </tp>
      <tp>
        <v>310</v>
        <stp/>
        <stp>OPEN_INT</stp>
        <stp>.SPXW250509P5760</stp>
        <tr r="AV96" s="1"/>
        <tr r="AV96" s="1"/>
      </tp>
      <tp>
        <v>298</v>
        <stp/>
        <stp>OPEN_INT</stp>
        <stp>.SPXW250516P5690</stp>
        <tr r="AX103" s="1"/>
        <tr r="AX103" s="1"/>
      </tp>
      <tp>
        <v>1391</v>
        <stp/>
        <stp>OPEN_INT</stp>
        <stp>.SPXW250509C5770</stp>
        <tr r="AU95" s="1"/>
        <tr r="AU95" s="1"/>
      </tp>
      <tp>
        <v>564</v>
        <stp/>
        <stp>OPEN_INT</stp>
        <stp>.SPXW250516C5680</stp>
        <tr r="AW104" s="1"/>
        <tr r="AW104" s="1"/>
      </tp>
      <tp>
        <v>369</v>
        <stp/>
        <stp>OPEN_INT</stp>
        <stp>.SPXW250509P5770</stp>
        <tr r="AV95" s="1"/>
        <tr r="AV95" s="1"/>
      </tp>
      <tp>
        <v>755</v>
        <stp/>
        <stp>OPEN_INT</stp>
        <stp>.SPXW250516P5680</stp>
        <tr r="AX104" s="1"/>
        <tr r="AX104" s="1"/>
      </tp>
      <tp>
        <v>369</v>
        <stp/>
        <stp>OPEN_INT</stp>
        <stp>.SPXW250505C5640</stp>
        <tr r="AS108" s="1"/>
        <tr r="AS108" s="1"/>
      </tp>
      <tp>
        <v>3536</v>
        <stp/>
        <stp>OPEN_INT</stp>
        <stp>.SPXW250509C5680</stp>
        <tr r="AU104" s="1"/>
        <tr r="AU104" s="1"/>
      </tp>
      <tp>
        <v>409</v>
        <stp/>
        <stp>OPEN_INT</stp>
        <stp>.SPXW250516C5770</stp>
        <tr r="AW95" s="1"/>
        <tr r="AW95" s="1"/>
      </tp>
      <tp>
        <v>891</v>
        <stp/>
        <stp>OPEN_INT</stp>
        <stp>.SPXW250505P5640</stp>
        <tr r="AT108" s="1"/>
        <tr r="AT108" s="1"/>
      </tp>
      <tp>
        <v>581</v>
        <stp/>
        <stp>OPEN_INT</stp>
        <stp>.SPXW250509P5680</stp>
        <tr r="AV104" s="1"/>
        <tr r="AV104" s="1"/>
      </tp>
      <tp>
        <v>203</v>
        <stp/>
        <stp>OPEN_INT</stp>
        <stp>.SPXW250516P5770</stp>
        <tr r="AX95" s="1"/>
        <tr r="AX95" s="1"/>
      </tp>
      <tp>
        <v>1330</v>
        <stp/>
        <stp>OPEN_INT</stp>
        <stp>.SPXW250505C5650</stp>
        <tr r="AS107" s="1"/>
        <tr r="AS107" s="1"/>
      </tp>
      <tp>
        <v>1409</v>
        <stp/>
        <stp>OPEN_INT</stp>
        <stp>.SPXW250509C5690</stp>
        <tr r="AU103" s="1"/>
        <tr r="AU103" s="1"/>
      </tp>
      <tp>
        <v>460</v>
        <stp/>
        <stp>OPEN_INT</stp>
        <stp>.SPXW250516C5760</stp>
        <tr r="AW96" s="1"/>
        <tr r="AW96" s="1"/>
      </tp>
      <tp>
        <v>1970</v>
        <stp/>
        <stp>OPEN_INT</stp>
        <stp>.SPXW250505P5650</stp>
        <tr r="AT107" s="1"/>
        <tr r="AT107" s="1"/>
      </tp>
      <tp>
        <v>492</v>
        <stp/>
        <stp>OPEN_INT</stp>
        <stp>.SPXW250509P5690</stp>
        <tr r="AV103" s="1"/>
        <tr r="AV103" s="1"/>
      </tp>
      <tp>
        <v>348</v>
        <stp/>
        <stp>OPEN_INT</stp>
        <stp>.SPXW250516P5760</stp>
        <tr r="AX96" s="1"/>
        <tr r="AX96" s="1"/>
      </tp>
      <tp>
        <v>965</v>
        <stp/>
        <stp>OPEN_INT</stp>
        <stp>.SPXW250505C5660</stp>
        <tr r="AS106" s="1"/>
        <tr r="AS106" s="1"/>
      </tp>
      <tp>
        <v>2542</v>
        <stp/>
        <stp>OPEN_INT</stp>
        <stp>.SPXW250516C5750</stp>
        <tr r="AW97" s="1"/>
        <tr r="AW97" s="1"/>
      </tp>
      <tp>
        <v>706</v>
        <stp/>
        <stp>OPEN_INT</stp>
        <stp>.SPXW250505P5660</stp>
        <tr r="AT106" s="1"/>
        <tr r="AT106" s="1"/>
      </tp>
      <tp>
        <v>345</v>
        <stp/>
        <stp>OPEN_INT</stp>
        <stp>.SPXW250516P5750</stp>
        <tr r="AX97" s="1"/>
        <tr r="AX97" s="1"/>
      </tp>
      <tp>
        <v>759</v>
        <stp/>
        <stp>OPEN_INT</stp>
        <stp>.SPXW250505C5670</stp>
        <tr r="AS105" s="1"/>
        <tr r="AS105" s="1"/>
      </tp>
      <tp>
        <v>361</v>
        <stp/>
        <stp>OPEN_INT</stp>
        <stp>.SPXW250516C5740</stp>
        <tr r="AW98" s="1"/>
        <tr r="AW98" s="1"/>
      </tp>
      <tp>
        <v>686</v>
        <stp/>
        <stp>OPEN_INT</stp>
        <stp>.SPXW250505P5670</stp>
        <tr r="AT105" s="1"/>
        <tr r="AT105" s="1"/>
      </tp>
      <tp>
        <v>190</v>
        <stp/>
        <stp>OPEN_INT</stp>
        <stp>.SPXW250516P5740</stp>
        <tr r="AX98" s="1"/>
        <tr r="AX98" s="1"/>
      </tp>
      <tp>
        <v>1872</v>
        <stp/>
        <stp>OPEN_INT</stp>
        <stp>.SPXW250505C5600</stp>
        <tr r="AS112" s="1"/>
        <tr r="AS112" s="1"/>
      </tp>
      <tp>
        <v>354</v>
        <stp/>
        <stp>OPEN_INT</stp>
        <stp>.SPXW250516C5730</stp>
        <tr r="AW99" s="1"/>
        <tr r="AW99" s="1"/>
      </tp>
      <tp>
        <v>3344</v>
        <stp/>
        <stp>OPEN_INT</stp>
        <stp>.SPXW250505P5600</stp>
        <tr r="AT112" s="1"/>
        <tr r="AT112" s="1"/>
      </tp>
      <tp>
        <v>106</v>
        <stp/>
        <stp>OPEN_INT</stp>
        <stp>.SPXW250516P5730</stp>
        <tr r="AX99" s="1"/>
        <tr r="AX99" s="1"/>
      </tp>
      <tp>
        <v>1216</v>
        <stp/>
        <stp>OPEN_INT</stp>
        <stp>.SPXW250505C5610</stp>
        <tr r="AS111" s="1"/>
        <tr r="AS111" s="1"/>
      </tp>
      <tp>
        <v>475</v>
        <stp/>
        <stp>OPEN_INT</stp>
        <stp>.SPXW250516C5720</stp>
        <tr r="AW100" s="1"/>
        <tr r="AW100" s="1"/>
      </tp>
      <tp>
        <v>2116</v>
        <stp/>
        <stp>OPEN_INT</stp>
        <stp>.SPXW250505P5610</stp>
        <tr r="AT111" s="1"/>
        <tr r="AT111" s="1"/>
      </tp>
      <tp>
        <v>198</v>
        <stp/>
        <stp>OPEN_INT</stp>
        <stp>.SPXW250516P5720</stp>
        <tr r="AX100" s="1"/>
        <tr r="AX100" s="1"/>
      </tp>
      <tp>
        <v>188</v>
        <stp/>
        <stp>OPEN_INT</stp>
        <stp>.SPXW250505C5620</stp>
        <tr r="AS110" s="1"/>
        <tr r="AS110" s="1"/>
      </tp>
      <tp>
        <v>858</v>
        <stp/>
        <stp>OPEN_INT</stp>
        <stp>.SPXW250516C5710</stp>
        <tr r="AW101" s="1"/>
        <tr r="AW101" s="1"/>
      </tp>
      <tp>
        <v>1730</v>
        <stp/>
        <stp>OPEN_INT</stp>
        <stp>.SPXW250505P5620</stp>
        <tr r="AT110" s="1"/>
        <tr r="AT110" s="1"/>
      </tp>
      <tp>
        <v>590</v>
        <stp/>
        <stp>OPEN_INT</stp>
        <stp>.SPXW250516P5710</stp>
        <tr r="AX101" s="1"/>
        <tr r="AX101" s="1"/>
      </tp>
      <tp>
        <v>461</v>
        <stp/>
        <stp>OPEN_INT</stp>
        <stp>.SPXW250505C5630</stp>
        <tr r="AS109" s="1"/>
        <tr r="AS109" s="1"/>
      </tp>
      <tp>
        <v>3560</v>
        <stp/>
        <stp>OPEN_INT</stp>
        <stp>.SPXW250516C5700</stp>
        <tr r="AW102" s="1"/>
        <tr r="AW102" s="1"/>
      </tp>
      <tp>
        <v>572</v>
        <stp/>
        <stp>OPEN_INT</stp>
        <stp>.SPXW250505P5630</stp>
        <tr r="AT109" s="1"/>
        <tr r="AT109" s="1"/>
      </tp>
      <tp>
        <v>6254</v>
        <stp/>
        <stp>OPEN_INT</stp>
        <stp>.SPXW250516P5700</stp>
        <tr r="AX102" s="1"/>
        <tr r="AX102" s="1"/>
      </tp>
      <tp>
        <v>2808</v>
        <stp/>
        <stp>OPEN_INT</stp>
        <stp>.SPXW250509C5600</stp>
        <tr r="AU112" s="1"/>
        <tr r="AU112" s="1"/>
      </tp>
      <tp>
        <v>4717</v>
        <stp/>
        <stp>OPEN_INT</stp>
        <stp>.SPXW250509P5600</stp>
        <tr r="AV112" s="1"/>
        <tr r="AV112" s="1"/>
      </tp>
      <tp>
        <v>675</v>
        <stp/>
        <stp>OPEN_INT</stp>
        <stp>.SPXW250509C5610</stp>
        <tr r="AU111" s="1"/>
        <tr r="AU111" s="1"/>
      </tp>
      <tp>
        <v>1105</v>
        <stp/>
        <stp>OPEN_INT</stp>
        <stp>.SPXW250509P5610</stp>
        <tr r="AV111" s="1"/>
        <tr r="AV111" s="1"/>
      </tp>
      <tp>
        <v>1685</v>
        <stp/>
        <stp>OPEN_INT</stp>
        <stp>.SPXW250509C5620</stp>
        <tr r="AU110" s="1"/>
        <tr r="AU110" s="1"/>
      </tp>
      <tp>
        <v>2334</v>
        <stp/>
        <stp>OPEN_INT</stp>
        <stp>.SPXW250509P5620</stp>
        <tr r="AV110" s="1"/>
        <tr r="AV110" s="1"/>
      </tp>
      <tp>
        <v>1052</v>
        <stp/>
        <stp>OPEN_INT</stp>
        <stp>.SPXW250509C5630</stp>
        <tr r="AU109" s="1"/>
        <tr r="AU109" s="1"/>
      </tp>
      <tp>
        <v>1204</v>
        <stp/>
        <stp>OPEN_INT</stp>
        <stp>.SPXW250509P5630</stp>
        <tr r="AV109" s="1"/>
        <tr r="AV109" s="1"/>
      </tp>
      <tp>
        <v>740</v>
        <stp/>
        <stp>OPEN_INT</stp>
        <stp>.SPXW250505C5680</stp>
        <tr r="AS104" s="1"/>
        <tr r="AS104" s="1"/>
      </tp>
      <tp>
        <v>1190</v>
        <stp/>
        <stp>OPEN_INT</stp>
        <stp>.SPXW250509C5640</stp>
        <tr r="AU108" s="1"/>
        <tr r="AU108" s="1"/>
      </tp>
      <tp>
        <v>479</v>
        <stp/>
        <stp>OPEN_INT</stp>
        <stp>.SPXW250505P5680</stp>
        <tr r="AT104" s="1"/>
        <tr r="AT104" s="1"/>
      </tp>
      <tp>
        <v>844</v>
        <stp/>
        <stp>OPEN_INT</stp>
        <stp>.SPXW250509P5640</stp>
        <tr r="AV108" s="1"/>
        <tr r="AV108" s="1"/>
      </tp>
      <tp>
        <v>2775</v>
        <stp/>
        <stp>OPEN_INT</stp>
        <stp>.SPXW250505C5690</stp>
        <tr r="AS103" s="1"/>
        <tr r="AS103" s="1"/>
      </tp>
      <tp>
        <v>3508</v>
        <stp/>
        <stp>OPEN_INT</stp>
        <stp>.SPXW250509C5650</stp>
        <tr r="AU107" s="1"/>
        <tr r="AU107" s="1"/>
      </tp>
      <tp>
        <v>732</v>
        <stp/>
        <stp>OPEN_INT</stp>
        <stp>.SPXW250505P5690</stp>
        <tr r="AT103" s="1"/>
        <tr r="AT103" s="1"/>
      </tp>
      <tp>
        <v>3195</v>
        <stp/>
        <stp>OPEN_INT</stp>
        <stp>.SPXW250509P5650</stp>
        <tr r="AV107" s="1"/>
        <tr r="AV107" s="1"/>
      </tp>
      <tp>
        <v>1391</v>
        <stp/>
        <stp>OPEN_INT</stp>
        <stp>.SPXW250509C5660</stp>
        <tr r="AU106" s="1"/>
        <tr r="AU106" s="1"/>
      </tp>
      <tp>
        <v>676</v>
        <stp/>
        <stp>OPEN_INT</stp>
        <stp>.SPXW250516C5790</stp>
        <tr r="AW93" s="1"/>
        <tr r="AW93" s="1"/>
      </tp>
      <tp>
        <v>1440</v>
        <stp/>
        <stp>OPEN_INT</stp>
        <stp>.SPXW250509P5660</stp>
        <tr r="AV106" s="1"/>
        <tr r="AV106" s="1"/>
      </tp>
      <tp>
        <v>208</v>
        <stp/>
        <stp>OPEN_INT</stp>
        <stp>.SPXW250516P5790</stp>
        <tr r="AX93" s="1"/>
        <tr r="AX93" s="1"/>
      </tp>
      <tp>
        <v>897</v>
        <stp/>
        <stp>OPEN_INT</stp>
        <stp>.SPXW250509C5670</stp>
        <tr r="AU105" s="1"/>
        <tr r="AU105" s="1"/>
      </tp>
      <tp>
        <v>428</v>
        <stp/>
        <stp>OPEN_INT</stp>
        <stp>.SPXW250516C5780</stp>
        <tr r="AW94" s="1"/>
        <tr r="AW94" s="1"/>
      </tp>
      <tp>
        <v>865</v>
        <stp/>
        <stp>OPEN_INT</stp>
        <stp>.SPXW250509P5670</stp>
        <tr r="AV105" s="1"/>
        <tr r="AV105" s="1"/>
      </tp>
      <tp>
        <v>451</v>
        <stp/>
        <stp>OPEN_INT</stp>
        <stp>.SPXW250516P5780</stp>
        <tr r="AX94" s="1"/>
        <tr r="AX94" s="1"/>
      </tp>
      <tp>
        <v>587</v>
        <stp/>
        <stp>OPEN_INT</stp>
        <stp>.SPXW250505C5540</stp>
        <tr r="AS118" s="1"/>
        <tr r="AS118" s="1"/>
      </tp>
      <tp>
        <v>404</v>
        <stp/>
        <stp>OPEN_INT</stp>
        <stp>.SPXW250509C5580</stp>
        <tr r="AU114" s="1"/>
        <tr r="AU114" s="1"/>
      </tp>
      <tp>
        <v>117</v>
        <stp/>
        <stp>OPEN_INT</stp>
        <stp>.SPXW250516C5470</stp>
        <tr r="AW125" s="1"/>
        <tr r="AW125" s="1"/>
      </tp>
      <tp>
        <v>647</v>
        <stp/>
        <stp>OPEN_INT</stp>
        <stp>.SPXW250505P5540</stp>
        <tr r="AT118" s="1"/>
        <tr r="AT118" s="1"/>
      </tp>
      <tp>
        <v>1701</v>
        <stp/>
        <stp>OPEN_INT</stp>
        <stp>.SPXW250509P5580</stp>
        <tr r="AV114" s="1"/>
        <tr r="AV114" s="1"/>
      </tp>
      <tp>
        <v>333</v>
        <stp/>
        <stp>OPEN_INT</stp>
        <stp>.SPXW250516P5470</stp>
        <tr r="AX125" s="1"/>
        <tr r="AX125" s="1"/>
      </tp>
      <tp>
        <v>1616</v>
        <stp/>
        <stp>OPEN_INT</stp>
        <stp>.SPXW250505C5550</stp>
        <tr r="AS117" s="1"/>
        <tr r="AS117" s="1"/>
      </tp>
      <tp>
        <v>728</v>
        <stp/>
        <stp>OPEN_INT</stp>
        <stp>.SPXW250509C5590</stp>
        <tr r="AU113" s="1"/>
        <tr r="AU113" s="1"/>
      </tp>
      <tp>
        <v>460</v>
        <stp/>
        <stp>OPEN_INT</stp>
        <stp>.SPXW250516C5460</stp>
        <tr r="AW126" s="1"/>
        <tr r="AW126" s="1"/>
      </tp>
      <tp>
        <v>4021</v>
        <stp/>
        <stp>OPEN_INT</stp>
        <stp>.SPXW250505P5550</stp>
        <tr r="AT117" s="1"/>
        <tr r="AT117" s="1"/>
      </tp>
      <tp>
        <v>1155</v>
        <stp/>
        <stp>OPEN_INT</stp>
        <stp>.SPXW250509P5590</stp>
        <tr r="AV113" s="1"/>
        <tr r="AV113" s="1"/>
      </tp>
      <tp>
        <v>337</v>
        <stp/>
        <stp>OPEN_INT</stp>
        <stp>.SPXW250516P5460</stp>
        <tr r="AX126" s="1"/>
        <tr r="AX126" s="1"/>
      </tp>
      <tp>
        <v>729</v>
        <stp/>
        <stp>OPEN_INT</stp>
        <stp>.SPXW250505C5560</stp>
        <tr r="AS116" s="1"/>
        <tr r="AS116" s="1"/>
      </tp>
      <tp>
        <v>721</v>
        <stp/>
        <stp>OPEN_INT</stp>
        <stp>.SPXW250516C5450</stp>
        <tr r="AW127" s="1"/>
        <tr r="AW127" s="1"/>
      </tp>
      <tp>
        <v>926</v>
        <stp/>
        <stp>OPEN_INT</stp>
        <stp>.SPXW250505P5560</stp>
        <tr r="AT116" s="1"/>
        <tr r="AT116" s="1"/>
      </tp>
      <tp>
        <v>2116</v>
        <stp/>
        <stp>OPEN_INT</stp>
        <stp>.SPXW250516P5450</stp>
        <tr r="AX127" s="1"/>
        <tr r="AX127" s="1"/>
      </tp>
      <tp>
        <v>205</v>
        <stp/>
        <stp>OPEN_INT</stp>
        <stp>.SPXW250505C5570</stp>
        <tr r="AS115" s="1"/>
        <tr r="AS115" s="1"/>
      </tp>
      <tp>
        <v>659</v>
        <stp/>
        <stp>OPEN_INT</stp>
        <stp>.SPXW250516C5440</stp>
        <tr r="AW128" s="1"/>
        <tr r="AW128" s="1"/>
      </tp>
      <tp>
        <v>316</v>
        <stp/>
        <stp>OPEN_INT</stp>
        <stp>.SPXW250505P5570</stp>
        <tr r="AT115" s="1"/>
        <tr r="AT115" s="1"/>
      </tp>
      <tp>
        <v>1214</v>
        <stp/>
        <stp>OPEN_INT</stp>
        <stp>.SPXW250516P5440</stp>
        <tr r="AX128" s="1"/>
        <tr r="AX128" s="1"/>
      </tp>
      <tp>
        <v>2145</v>
        <stp/>
        <stp>OPEN_INT</stp>
        <stp>.SPXW250505C5500</stp>
        <tr r="AS122" s="1"/>
        <tr r="AS122" s="1"/>
      </tp>
      <tp>
        <v>116</v>
        <stp/>
        <stp>OPEN_INT</stp>
        <stp>.SPXW250516C5430</stp>
        <tr r="AW129" s="1"/>
        <tr r="AW129" s="1"/>
      </tp>
      <tp>
        <v>8603</v>
        <stp/>
        <stp>OPEN_INT</stp>
        <stp>.SPXW250505P5500</stp>
        <tr r="AT122" s="1"/>
        <tr r="AT122" s="1"/>
      </tp>
      <tp>
        <v>265</v>
        <stp/>
        <stp>OPEN_INT</stp>
        <stp>.SPXW250516P5430</stp>
        <tr r="AX129" s="1"/>
        <tr r="AX129" s="1"/>
      </tp>
      <tp>
        <v>283</v>
        <stp/>
        <stp>OPEN_INT</stp>
        <stp>.SPXW250505C5510</stp>
        <tr r="AS121" s="1"/>
        <tr r="AS121" s="1"/>
      </tp>
      <tp>
        <v>309</v>
        <stp/>
        <stp>OPEN_INT</stp>
        <stp>.SPXW250516C5420</stp>
        <tr r="AW130" s="1"/>
        <tr r="AW130" s="1"/>
      </tp>
      <tp>
        <v>676</v>
        <stp/>
        <stp>OPEN_INT</stp>
        <stp>.SPXW250505P5510</stp>
        <tr r="AT121" s="1"/>
        <tr r="AT121" s="1"/>
      </tp>
      <tp>
        <v>335</v>
        <stp/>
        <stp>OPEN_INT</stp>
        <stp>.SPXW250516P5420</stp>
        <tr r="AX130" s="1"/>
        <tr r="AX130" s="1"/>
      </tp>
      <tp>
        <v>166</v>
        <stp/>
        <stp>OPEN_INT</stp>
        <stp>.SPXW250505C5520</stp>
        <tr r="AS120" s="1"/>
        <tr r="AS120" s="1"/>
      </tp>
      <tp>
        <v>574</v>
        <stp/>
        <stp>OPEN_INT</stp>
        <stp>.SPXW250505P5520</stp>
        <tr r="AT120" s="1"/>
        <tr r="AT120" s="1"/>
      </tp>
      <tp>
        <v>286</v>
        <stp/>
        <stp>OPEN_INT</stp>
        <stp>.SPXW250505C5530</stp>
        <tr r="AS119" s="1"/>
        <tr r="AS119" s="1"/>
      </tp>
      <tp>
        <v>1258</v>
        <stp/>
        <stp>OPEN_INT</stp>
        <stp>.SPXW250505P5530</stp>
        <tr r="AT119" s="1"/>
        <tr r="AT119" s="1"/>
      </tp>
      <tp>
        <v>1677</v>
        <stp/>
        <stp>OPEN_INT</stp>
        <stp>.SPXW250509C5500</stp>
        <tr r="AU122" s="1"/>
        <tr r="AU122" s="1"/>
      </tp>
      <tp>
        <v>5547</v>
        <stp/>
        <stp>OPEN_INT</stp>
        <stp>.SPXW250509P5500</stp>
        <tr r="AV122" s="1"/>
        <tr r="AV122" s="1"/>
      </tp>
      <tp>
        <v>377</v>
        <stp/>
        <stp>OPEN_INT</stp>
        <stp>.SPXW250509C5510</stp>
        <tr r="AU121" s="1"/>
        <tr r="AU121" s="1"/>
      </tp>
      <tp>
        <v>844</v>
        <stp/>
        <stp>OPEN_INT</stp>
        <stp>.SPXW250509P5510</stp>
        <tr r="AV121" s="1"/>
        <tr r="AV121" s="1"/>
      </tp>
      <tp>
        <v>341</v>
        <stp/>
        <stp>OPEN_INT</stp>
        <stp>.SPXW250509C5520</stp>
        <tr r="AU120" s="1"/>
        <tr r="AU120" s="1"/>
      </tp>
      <tp>
        <v>651</v>
        <stp/>
        <stp>OPEN_INT</stp>
        <stp>.SPXW250509P5520</stp>
        <tr r="AV120" s="1"/>
        <tr r="AV120" s="1"/>
      </tp>
      <tp>
        <v>134</v>
        <stp/>
        <stp>OPEN_INT</stp>
        <stp>.SPXW250509C5530</stp>
        <tr r="AU119" s="1"/>
        <tr r="AU119" s="1"/>
      </tp>
      <tp>
        <v>669</v>
        <stp/>
        <stp>OPEN_INT</stp>
        <stp>.SPXW250509P5530</stp>
        <tr r="AV119" s="1"/>
        <tr r="AV119" s="1"/>
      </tp>
      <tp>
        <v>177</v>
        <stp/>
        <stp>OPEN_INT</stp>
        <stp>.SPXW250505C5580</stp>
        <tr r="AS114" s="1"/>
        <tr r="AS114" s="1"/>
      </tp>
      <tp>
        <v>751</v>
        <stp/>
        <stp>OPEN_INT</stp>
        <stp>.SPXW250509C5540</stp>
        <tr r="AU118" s="1"/>
        <tr r="AU118" s="1"/>
      </tp>
      <tp>
        <v>361</v>
        <stp/>
        <stp>OPEN_INT</stp>
        <stp>.SPXW250505P5580</stp>
        <tr r="AT114" s="1"/>
        <tr r="AT114" s="1"/>
      </tp>
      <tp>
        <v>4411</v>
        <stp/>
        <stp>OPEN_INT</stp>
        <stp>.SPXW250509P5540</stp>
        <tr r="AV118" s="1"/>
        <tr r="AV118" s="1"/>
      </tp>
      <tp>
        <v>125</v>
        <stp/>
        <stp>OPEN_INT</stp>
        <stp>.SPXW250505C5590</stp>
        <tr r="AS113" s="1"/>
        <tr r="AS113" s="1"/>
      </tp>
      <tp>
        <v>1234</v>
        <stp/>
        <stp>OPEN_INT</stp>
        <stp>.SPXW250509C5550</stp>
        <tr r="AU117" s="1"/>
        <tr r="AU117" s="1"/>
      </tp>
      <tp>
        <v>730</v>
        <stp/>
        <stp>OPEN_INT</stp>
        <stp>.SPXW250505P5590</stp>
        <tr r="AT113" s="1"/>
        <tr r="AT113" s="1"/>
      </tp>
      <tp>
        <v>4838</v>
        <stp/>
        <stp>OPEN_INT</stp>
        <stp>.SPXW250509P5550</stp>
        <tr r="AV117" s="1"/>
        <tr r="AV117" s="1"/>
      </tp>
      <tp>
        <v>244</v>
        <stp/>
        <stp>OPEN_INT</stp>
        <stp>.SPXW250509C5560</stp>
        <tr r="AU116" s="1"/>
        <tr r="AU116" s="1"/>
      </tp>
      <tp>
        <v>447</v>
        <stp/>
        <stp>OPEN_INT</stp>
        <stp>.SPXW250516C5490</stp>
        <tr r="AW123" s="1"/>
        <tr r="AW123" s="1"/>
      </tp>
      <tp>
        <v>842</v>
        <stp/>
        <stp>OPEN_INT</stp>
        <stp>.SPXW250509P5560</stp>
        <tr r="AV116" s="1"/>
        <tr r="AV116" s="1"/>
      </tp>
      <tp>
        <v>475</v>
        <stp/>
        <stp>OPEN_INT</stp>
        <stp>.SPXW250516P5490</stp>
        <tr r="AX123" s="1"/>
        <tr r="AX123" s="1"/>
      </tp>
      <tp>
        <v>192</v>
        <stp/>
        <stp>OPEN_INT</stp>
        <stp>.SPXW250509C5570</stp>
        <tr r="AU115" s="1"/>
        <tr r="AU115" s="1"/>
      </tp>
      <tp>
        <v>153</v>
        <stp/>
        <stp>OPEN_INT</stp>
        <stp>.SPXW250516C5480</stp>
        <tr r="AW124" s="1"/>
        <tr r="AW124" s="1"/>
      </tp>
      <tp>
        <v>2685</v>
        <stp/>
        <stp>OPEN_INT</stp>
        <stp>.SPXW250509P5570</stp>
        <tr r="AV115" s="1"/>
        <tr r="AV115" s="1"/>
      </tp>
      <tp>
        <v>1754</v>
        <stp/>
        <stp>OPEN_INT</stp>
        <stp>.SPXW250516P5480</stp>
        <tr r="AX124" s="1"/>
        <tr r="AX124" s="1"/>
      </tp>
      <tp>
        <v>216</v>
        <stp/>
        <stp>OPEN_INT</stp>
        <stp>.SPXW250505C5440</stp>
        <tr r="AS128" s="1"/>
        <tr r="AS128" s="1"/>
      </tp>
      <tp>
        <v>766</v>
        <stp/>
        <stp>OPEN_INT</stp>
        <stp>.SPXW250509C5480</stp>
        <tr r="AU124" s="1"/>
        <tr r="AU124" s="1"/>
      </tp>
      <tp>
        <v>215</v>
        <stp/>
        <stp>OPEN_INT</stp>
        <stp>.SPXW250516C5570</stp>
        <tr r="AW115" s="1"/>
        <tr r="AW115" s="1"/>
      </tp>
      <tp>
        <v>397</v>
        <stp/>
        <stp>OPEN_INT</stp>
        <stp>.SPXW250505P5440</stp>
        <tr r="AT128" s="1"/>
        <tr r="AT128" s="1"/>
      </tp>
      <tp>
        <v>1127</v>
        <stp/>
        <stp>OPEN_INT</stp>
        <stp>.SPXW250509P5480</stp>
        <tr r="AV124" s="1"/>
        <tr r="AV124" s="1"/>
      </tp>
      <tp>
        <v>1269</v>
        <stp/>
        <stp>OPEN_INT</stp>
        <stp>.SPXW250516P5570</stp>
        <tr r="AX115" s="1"/>
        <tr r="AX115" s="1"/>
      </tp>
      <tp>
        <v>566</v>
        <stp/>
        <stp>OPEN_INT</stp>
        <stp>.SPXW250505C5450</stp>
        <tr r="AS127" s="1"/>
        <tr r="AS127" s="1"/>
      </tp>
      <tp>
        <v>352</v>
        <stp/>
        <stp>OPEN_INT</stp>
        <stp>.SPXW250509C5490</stp>
        <tr r="AU123" s="1"/>
        <tr r="AU123" s="1"/>
      </tp>
      <tp>
        <v>212</v>
        <stp/>
        <stp>OPEN_INT</stp>
        <stp>.SPXW250516C5560</stp>
        <tr r="AW116" s="1"/>
        <tr r="AW116" s="1"/>
      </tp>
      <tp>
        <v>1686</v>
        <stp/>
        <stp>OPEN_INT</stp>
        <stp>.SPXW250505P5450</stp>
        <tr r="AT127" s="1"/>
        <tr r="AT127" s="1"/>
      </tp>
      <tp>
        <v>846</v>
        <stp/>
        <stp>OPEN_INT</stp>
        <stp>.SPXW250509P5490</stp>
        <tr r="AV123" s="1"/>
        <tr r="AV123" s="1"/>
      </tp>
      <tp>
        <v>436</v>
        <stp/>
        <stp>OPEN_INT</stp>
        <stp>.SPXW250516P5560</stp>
        <tr r="AX116" s="1"/>
        <tr r="AX116" s="1"/>
      </tp>
      <tp>
        <v>73</v>
        <stp/>
        <stp>OPEN_INT</stp>
        <stp>.SPXW250505C5460</stp>
        <tr r="AS126" s="1"/>
        <tr r="AS126" s="1"/>
      </tp>
      <tp>
        <v>757</v>
        <stp/>
        <stp>OPEN_INT</stp>
        <stp>.SPXW250516C5550</stp>
        <tr r="AW117" s="1"/>
        <tr r="AW117" s="1"/>
      </tp>
      <tp>
        <v>762</v>
        <stp/>
        <stp>OPEN_INT</stp>
        <stp>.SPXW250505P5460</stp>
        <tr r="AT126" s="1"/>
        <tr r="AT126" s="1"/>
      </tp>
      <tp>
        <v>2186</v>
        <stp/>
        <stp>OPEN_INT</stp>
        <stp>.SPXW250516P5550</stp>
        <tr r="AX117" s="1"/>
        <tr r="AX117" s="1"/>
      </tp>
      <tp>
        <v>221</v>
        <stp/>
        <stp>OPEN_INT</stp>
        <stp>.SPXW250505C5470</stp>
        <tr r="AS125" s="1"/>
        <tr r="AS125" s="1"/>
      </tp>
      <tp>
        <v>483</v>
        <stp/>
        <stp>OPEN_INT</stp>
        <stp>.SPXW250516C5540</stp>
        <tr r="AW118" s="1"/>
        <tr r="AW118" s="1"/>
      </tp>
      <tp>
        <v>520</v>
        <stp/>
        <stp>OPEN_INT</stp>
        <stp>.SPXW250505P5470</stp>
        <tr r="AT125" s="1"/>
        <tr r="AT125" s="1"/>
      </tp>
      <tp>
        <v>495</v>
        <stp/>
        <stp>OPEN_INT</stp>
        <stp>.SPXW250516P5540</stp>
        <tr r="AX118" s="1"/>
        <tr r="AX118" s="1"/>
      </tp>
      <tp>
        <v>141</v>
        <stp/>
        <stp>OPEN_INT</stp>
        <stp>.SPXW250516C5530</stp>
        <tr r="AW119" s="1"/>
        <tr r="AW119" s="1"/>
      </tp>
      <tp>
        <v>1060</v>
        <stp/>
        <stp>OPEN_INT</stp>
        <stp>.SPXW250516P5530</stp>
        <tr r="AX119" s="1"/>
        <tr r="AX119" s="1"/>
      </tp>
      <tp>
        <v>141</v>
        <stp/>
        <stp>OPEN_INT</stp>
        <stp>.SPXW250516C5520</stp>
        <tr r="AW120" s="1"/>
        <tr r="AW120" s="1"/>
      </tp>
      <tp>
        <v>392</v>
        <stp/>
        <stp>OPEN_INT</stp>
        <stp>.SPXW250516P5520</stp>
        <tr r="AX120" s="1"/>
        <tr r="AX120" s="1"/>
      </tp>
      <tp>
        <v>109</v>
        <stp/>
        <stp>OPEN_INT</stp>
        <stp>.SPXW250505C5420</stp>
        <tr r="AS130" s="1"/>
        <tr r="AS130" s="1"/>
      </tp>
      <tp>
        <v>375</v>
        <stp/>
        <stp>OPEN_INT</stp>
        <stp>.SPXW250516C5510</stp>
        <tr r="AW121" s="1"/>
        <tr r="AW121" s="1"/>
      </tp>
      <tp>
        <v>2591</v>
        <stp/>
        <stp>OPEN_INT</stp>
        <stp>.SPXW250505P5420</stp>
        <tr r="AT130" s="1"/>
        <tr r="AT130" s="1"/>
      </tp>
      <tp>
        <v>160</v>
        <stp/>
        <stp>OPEN_INT</stp>
        <stp>.SPXW250516P5510</stp>
        <tr r="AX121" s="1"/>
        <tr r="AX121" s="1"/>
      </tp>
      <tp>
        <v>83</v>
        <stp/>
        <stp>OPEN_INT</stp>
        <stp>.SPXW250505C5430</stp>
        <tr r="AS129" s="1"/>
        <tr r="AS129" s="1"/>
      </tp>
      <tp>
        <v>1022</v>
        <stp/>
        <stp>OPEN_INT</stp>
        <stp>.SPXW250516C5500</stp>
        <tr r="AW122" s="1"/>
        <tr r="AW122" s="1"/>
      </tp>
      <tp>
        <v>239</v>
        <stp/>
        <stp>OPEN_INT</stp>
        <stp>.SPXW250505P5430</stp>
        <tr r="AT129" s="1"/>
        <tr r="AT129" s="1"/>
      </tp>
      <tp>
        <v>2773</v>
        <stp/>
        <stp>OPEN_INT</stp>
        <stp>.SPXW250516P5500</stp>
        <tr r="AX122" s="1"/>
        <tr r="AX122" s="1"/>
      </tp>
      <tp>
        <v>147</v>
        <stp/>
        <stp>OPEN_INT</stp>
        <stp>.SPXW250509C5420</stp>
        <tr r="AU130" s="1"/>
        <tr r="AU130" s="1"/>
      </tp>
      <tp>
        <v>1753</v>
        <stp/>
        <stp>OPEN_INT</stp>
        <stp>.SPXW250509P5420</stp>
        <tr r="AV130" s="1"/>
        <tr r="AV130" s="1"/>
      </tp>
      <tp>
        <v>1100</v>
        <stp/>
        <stp>OPEN_INT</stp>
        <stp>.SPXW250509C5430</stp>
        <tr r="AU129" s="1"/>
        <tr r="AU129" s="1"/>
      </tp>
      <tp>
        <v>890</v>
        <stp/>
        <stp>OPEN_INT</stp>
        <stp>.SPXW250509P5430</stp>
        <tr r="AV129" s="1"/>
        <tr r="AV129" s="1"/>
      </tp>
      <tp>
        <v>120</v>
        <stp/>
        <stp>OPEN_INT</stp>
        <stp>.SPXW250505C5480</stp>
        <tr r="AS124" s="1"/>
        <tr r="AS124" s="1"/>
      </tp>
      <tp>
        <v>287</v>
        <stp/>
        <stp>OPEN_INT</stp>
        <stp>.SPXW250509C5440</stp>
        <tr r="AU128" s="1"/>
        <tr r="AU128" s="1"/>
      </tp>
      <tp>
        <v>743</v>
        <stp/>
        <stp>OPEN_INT</stp>
        <stp>.SPXW250505P5480</stp>
        <tr r="AT124" s="1"/>
        <tr r="AT124" s="1"/>
      </tp>
      <tp>
        <v>2623</v>
        <stp/>
        <stp>OPEN_INT</stp>
        <stp>.SPXW250509P5440</stp>
        <tr r="AV128" s="1"/>
        <tr r="AV128" s="1"/>
      </tp>
      <tp>
        <v>325</v>
        <stp/>
        <stp>OPEN_INT</stp>
        <stp>.SPXW250505C5490</stp>
        <tr r="AS123" s="1"/>
        <tr r="AS123" s="1"/>
      </tp>
      <tp>
        <v>983</v>
        <stp/>
        <stp>OPEN_INT</stp>
        <stp>.SPXW250509C5450</stp>
        <tr r="AU127" s="1"/>
        <tr r="AU127" s="1"/>
      </tp>
      <tp>
        <v>338</v>
        <stp/>
        <stp>OPEN_INT</stp>
        <stp>.SPXW250505P5490</stp>
        <tr r="AT123" s="1"/>
        <tr r="AT123" s="1"/>
      </tp>
      <tp>
        <v>6960</v>
        <stp/>
        <stp>OPEN_INT</stp>
        <stp>.SPXW250509P5450</stp>
        <tr r="AV127" s="1"/>
        <tr r="AV127" s="1"/>
      </tp>
      <tp>
        <v>318</v>
        <stp/>
        <stp>OPEN_INT</stp>
        <stp>.SPXW250509C5460</stp>
        <tr r="AU126" s="1"/>
        <tr r="AU126" s="1"/>
      </tp>
      <tp>
        <v>334</v>
        <stp/>
        <stp>OPEN_INT</stp>
        <stp>.SPXW250516C5590</stp>
        <tr r="AW113" s="1"/>
        <tr r="AW113" s="1"/>
      </tp>
      <tp>
        <v>1202</v>
        <stp/>
        <stp>OPEN_INT</stp>
        <stp>.SPXW250509P5460</stp>
        <tr r="AV126" s="1"/>
        <tr r="AV126" s="1"/>
      </tp>
      <tp>
        <v>570</v>
        <stp/>
        <stp>OPEN_INT</stp>
        <stp>.SPXW250516P5590</stp>
        <tr r="AX113" s="1"/>
        <tr r="AX113" s="1"/>
      </tp>
      <tp>
        <v>128</v>
        <stp/>
        <stp>OPEN_INT</stp>
        <stp>.SPXW250509C5470</stp>
        <tr r="AU125" s="1"/>
        <tr r="AU125" s="1"/>
      </tp>
      <tp>
        <v>318</v>
        <stp/>
        <stp>OPEN_INT</stp>
        <stp>.SPXW250516C5580</stp>
        <tr r="AW114" s="1"/>
        <tr r="AW114" s="1"/>
      </tp>
      <tp>
        <v>645</v>
        <stp/>
        <stp>OPEN_INT</stp>
        <stp>.SPXW250509P5470</stp>
        <tr r="AV125" s="1"/>
        <tr r="AV125" s="1"/>
      </tp>
      <tp>
        <v>435</v>
        <stp/>
        <stp>OPEN_INT</stp>
        <stp>.SPXW250516P5580</stp>
        <tr r="AX114" s="1"/>
        <tr r="AX114" s="1"/>
      </tp>
      <tp t="s">
        <v>27.55%</v>
        <stp/>
        <stp>IMPL_VOL</stp>
        <stp>.NDX250516C19300</stp>
        <tr r="EP183" s="1"/>
      </tp>
      <tp t="s">
        <v>26.06%</v>
        <stp/>
        <stp>IMPL_VOL</stp>
        <stp>.NDX250516C20300</stp>
        <tr r="EP143" s="1"/>
      </tp>
      <tp t="s">
        <v>27.63%</v>
        <stp/>
        <stp>IMPL_VOL</stp>
        <stp>.NDX250516C19325</stp>
        <tr r="EP182" s="1"/>
      </tp>
      <tp t="s">
        <v>25.99%</v>
        <stp/>
        <stp>IMPL_VOL</stp>
        <stp>.NDX250516C20325</stp>
        <tr r="EP142" s="1"/>
      </tp>
      <tp t="s">
        <v>27.67%</v>
        <stp/>
        <stp>IMPL_VOL</stp>
        <stp>.NDX250516C19350</stp>
        <tr r="EP181" s="1"/>
      </tp>
      <tp t="s">
        <v>25.91%</v>
        <stp/>
        <stp>IMPL_VOL</stp>
        <stp>.NDX250516C20350</stp>
        <tr r="EP141" s="1"/>
      </tp>
      <tp t="s">
        <v>27.71%</v>
        <stp/>
        <stp>IMPL_VOL</stp>
        <stp>.NDX250516C19375</stp>
        <tr r="EP180" s="1"/>
      </tp>
      <tp t="s">
        <v>25.85%</v>
        <stp/>
        <stp>IMPL_VOL</stp>
        <stp>.NDX250516C20375</stp>
        <tr r="EP140" s="1"/>
      </tp>
      <tp t="s">
        <v>30.42%</v>
        <stp/>
        <stp>IMPL_VOL</stp>
        <stp>.NDX250516P19325</stp>
        <tr r="EQ182" s="1"/>
      </tp>
      <tp t="s">
        <v>27.90%</v>
        <stp/>
        <stp>IMPL_VOL</stp>
        <stp>.NDX250516P20325</stp>
        <tr r="EQ142" s="1"/>
      </tp>
      <tp t="s">
        <v>30.49%</v>
        <stp/>
        <stp>IMPL_VOL</stp>
        <stp>.NDX250516P19300</stp>
        <tr r="EQ183" s="1"/>
      </tp>
      <tp t="s">
        <v>27.87%</v>
        <stp/>
        <stp>IMPL_VOL</stp>
        <stp>.NDX250516P20300</stp>
        <tr r="EQ143" s="1"/>
      </tp>
      <tp t="s">
        <v>30.23%</v>
        <stp/>
        <stp>IMPL_VOL</stp>
        <stp>.NDX250516P19375</stp>
        <tr r="EQ180" s="1"/>
      </tp>
      <tp t="s">
        <v>28.00%</v>
        <stp/>
        <stp>IMPL_VOL</stp>
        <stp>.NDX250516P20375</stp>
        <tr r="EQ140" s="1"/>
      </tp>
      <tp t="s">
        <v>30.30%</v>
        <stp/>
        <stp>IMPL_VOL</stp>
        <stp>.NDX250516P19350</stp>
        <tr r="EQ181" s="1"/>
      </tp>
      <tp t="s">
        <v>27.75%</v>
        <stp/>
        <stp>IMPL_VOL</stp>
        <stp>.NDX250516P20350</stp>
        <tr r="EQ141" s="1"/>
      </tp>
      <tp t="s">
        <v>27.20%</v>
        <stp/>
        <stp>IMPL_VOL</stp>
        <stp>.NDX250516C19200</stp>
        <tr r="EP187" s="1"/>
      </tp>
      <tp t="s">
        <v>26.36%</v>
        <stp/>
        <stp>IMPL_VOL</stp>
        <stp>.NDX250516C20200</stp>
        <tr r="EP147" s="1"/>
      </tp>
      <tp t="s">
        <v>25.56%</v>
        <stp/>
        <stp>IMPL_VOL</stp>
        <stp>.NDX250516C19225</stp>
        <tr r="EP186" s="1"/>
      </tp>
      <tp t="s">
        <v>26.28%</v>
        <stp/>
        <stp>IMPL_VOL</stp>
        <stp>.NDX250516C20225</stp>
        <tr r="EP146" s="1"/>
      </tp>
      <tp t="s">
        <v>28.35%</v>
        <stp/>
        <stp>IMPL_VOL</stp>
        <stp>.NDX250516C19250</stp>
        <tr r="EP185" s="1"/>
      </tp>
      <tp t="s">
        <v>26.21%</v>
        <stp/>
        <stp>IMPL_VOL</stp>
        <stp>.NDX250516C20250</stp>
        <tr r="EP145" s="1"/>
      </tp>
      <tp t="s">
        <v>27.48%</v>
        <stp/>
        <stp>IMPL_VOL</stp>
        <stp>.NDX250516C19275</stp>
        <tr r="EP184" s="1"/>
      </tp>
      <tp t="s">
        <v>26.13%</v>
        <stp/>
        <stp>IMPL_VOL</stp>
        <stp>.NDX250516C20275</stp>
        <tr r="EP144" s="1"/>
      </tp>
      <tp t="s">
        <v>30.71%</v>
        <stp/>
        <stp>IMPL_VOL</stp>
        <stp>.NDX250516P19225</stp>
        <tr r="EQ186" s="1"/>
      </tp>
      <tp t="s">
        <v>28.03%</v>
        <stp/>
        <stp>IMPL_VOL</stp>
        <stp>.NDX250516P20225</stp>
        <tr r="EQ146" s="1"/>
      </tp>
      <tp t="s">
        <v>30.80%</v>
        <stp/>
        <stp>IMPL_VOL</stp>
        <stp>.NDX250516P19200</stp>
        <tr r="EQ187" s="1"/>
      </tp>
      <tp t="s">
        <v>28.07%</v>
        <stp/>
        <stp>IMPL_VOL</stp>
        <stp>.NDX250516P20200</stp>
        <tr r="EQ147" s="1"/>
      </tp>
      <tp t="s">
        <v>30.58%</v>
        <stp/>
        <stp>IMPL_VOL</stp>
        <stp>.NDX250516P19275</stp>
        <tr r="EQ184" s="1"/>
      </tp>
      <tp t="s">
        <v>28.03%</v>
        <stp/>
        <stp>IMPL_VOL</stp>
        <stp>.NDX250516P20275</stp>
        <tr r="EQ144" s="1"/>
      </tp>
      <tp t="s">
        <v>30.65%</v>
        <stp/>
        <stp>IMPL_VOL</stp>
        <stp>.NDX250516P19250</stp>
        <tr r="EQ185" s="1"/>
      </tp>
      <tp t="s">
        <v>27.97%</v>
        <stp/>
        <stp>IMPL_VOL</stp>
        <stp>.NDX250516P20250</stp>
        <tr r="EQ145" s="1"/>
      </tp>
      <tp t="s">
        <v>26.63%</v>
        <stp/>
        <stp>IMPL_VOL</stp>
        <stp>.NDX250516C20100</stp>
        <tr r="EP151" s="1"/>
      </tp>
      <tp t="s">
        <v>26.56%</v>
        <stp/>
        <stp>IMPL_VOL</stp>
        <stp>.NDX250516C20125</stp>
        <tr r="EP150" s="1"/>
      </tp>
      <tp t="s">
        <v>26.93%</v>
        <stp/>
        <stp>IMPL_VOL</stp>
        <stp>.NDX250516C19150</stp>
        <tr r="EP189" s="1"/>
      </tp>
      <tp t="s">
        <v>26.49%</v>
        <stp/>
        <stp>IMPL_VOL</stp>
        <stp>.NDX250516C20150</stp>
        <tr r="EP149" s="1"/>
      </tp>
      <tp t="s">
        <v>29.93%</v>
        <stp/>
        <stp>IMPL_VOL</stp>
        <stp>.NDX250516C19175</stp>
        <tr r="EP188" s="1"/>
      </tp>
      <tp t="s">
        <v>26.42%</v>
        <stp/>
        <stp>IMPL_VOL</stp>
        <stp>.NDX250516C20175</stp>
        <tr r="EP148" s="1"/>
      </tp>
      <tp t="s">
        <v>28.27%</v>
        <stp/>
        <stp>IMPL_VOL</stp>
        <stp>.NDX250516P20125</stp>
        <tr r="EQ150" s="1"/>
      </tp>
      <tp t="s">
        <v>28.34%</v>
        <stp/>
        <stp>IMPL_VOL</stp>
        <stp>.NDX250516P20100</stp>
        <tr r="EQ151" s="1"/>
      </tp>
      <tp t="s">
        <v>30.87%</v>
        <stp/>
        <stp>IMPL_VOL</stp>
        <stp>.NDX250516P19175</stp>
        <tr r="EQ188" s="1"/>
      </tp>
      <tp t="s">
        <v>28.13%</v>
        <stp/>
        <stp>IMPL_VOL</stp>
        <stp>.NDX250516P20175</stp>
        <tr r="EQ148" s="1"/>
      </tp>
      <tp t="s">
        <v>30.93%</v>
        <stp/>
        <stp>IMPL_VOL</stp>
        <stp>.NDX250516P19150</stp>
        <tr r="EQ189" s="1"/>
      </tp>
      <tp t="s">
        <v>28.22%</v>
        <stp/>
        <stp>IMPL_VOL</stp>
        <stp>.NDX250516P20150</stp>
        <tr r="EQ149" s="1"/>
      </tp>
      <tp>
        <v>275</v>
        <stp/>
        <stp>OPEN_INT</stp>
        <stp>.SPXW250516C5870</stp>
        <tr r="AW85" s="1"/>
        <tr r="AW85" s="1"/>
      </tp>
      <tp>
        <v>157</v>
        <stp/>
        <stp>OPEN_INT</stp>
        <stp>.SPXW250516P5870</stp>
        <tr r="AX85" s="1"/>
        <tr r="AX85" s="1"/>
      </tp>
      <tp>
        <v>921</v>
        <stp/>
        <stp>OPEN_INT</stp>
        <stp>.SPXW250516C5860</stp>
        <tr r="AW86" s="1"/>
        <tr r="AW86" s="1"/>
      </tp>
      <tp>
        <v>243</v>
        <stp/>
        <stp>OPEN_INT</stp>
        <stp>.SPXW250516P5860</stp>
        <tr r="AX86" s="1"/>
        <tr r="AX86" s="1"/>
      </tp>
      <tp>
        <v>2908</v>
        <stp/>
        <stp>OPEN_INT</stp>
        <stp>.SPXW250516C5850</stp>
        <tr r="AW87" s="1"/>
        <tr r="AW87" s="1"/>
      </tp>
      <tp>
        <v>807</v>
        <stp/>
        <stp>OPEN_INT</stp>
        <stp>.SPXW250516P5850</stp>
        <tr r="AX87" s="1"/>
        <tr r="AX87" s="1"/>
      </tp>
      <tp>
        <v>359</v>
        <stp/>
        <stp>OPEN_INT</stp>
        <stp>.SPXW250516C5840</stp>
        <tr r="AW88" s="1"/>
        <tr r="AW88" s="1"/>
      </tp>
      <tp>
        <v>136</v>
        <stp/>
        <stp>OPEN_INT</stp>
        <stp>.SPXW250516P5840</stp>
        <tr r="AX88" s="1"/>
        <tr r="AX88" s="1"/>
      </tp>
      <tp>
        <v>337</v>
        <stp/>
        <stp>OPEN_INT</stp>
        <stp>.SPXW250516C5830</stp>
        <tr r="AW89" s="1"/>
        <tr r="AW89" s="1"/>
      </tp>
      <tp>
        <v>103</v>
        <stp/>
        <stp>OPEN_INT</stp>
        <stp>.SPXW250516P5830</stp>
        <tr r="AX89" s="1"/>
        <tr r="AX89" s="1"/>
      </tp>
      <tp>
        <v>663</v>
        <stp/>
        <stp>OPEN_INT</stp>
        <stp>.SPXW250516C5820</stp>
        <tr r="AW90" s="1"/>
        <tr r="AW90" s="1"/>
      </tp>
      <tp>
        <v>212</v>
        <stp/>
        <stp>OPEN_INT</stp>
        <stp>.SPXW250516P5820</stp>
        <tr r="AX90" s="1"/>
        <tr r="AX90" s="1"/>
      </tp>
      <tp>
        <v>430</v>
        <stp/>
        <stp>OPEN_INT</stp>
        <stp>.SPXW250516C5810</stp>
        <tr r="AW91" s="1"/>
        <tr r="AW91" s="1"/>
      </tp>
      <tp>
        <v>667</v>
        <stp/>
        <stp>OPEN_INT</stp>
        <stp>.SPXW250516P5810</stp>
        <tr r="AX91" s="1"/>
        <tr r="AX91" s="1"/>
      </tp>
      <tp>
        <v>22888</v>
        <stp/>
        <stp>OPEN_INT</stp>
        <stp>.SPXW250516C5800</stp>
        <tr r="AW92" s="1"/>
        <tr r="AW92" s="1"/>
      </tp>
      <tp>
        <v>7534</v>
        <stp/>
        <stp>OPEN_INT</stp>
        <stp>.SPXW250516P5800</stp>
        <tr r="AX92" s="1"/>
        <tr r="AX92" s="1"/>
      </tp>
      <tp t="s">
        <v>26.91%</v>
        <stp/>
        <stp>IMPL_VOL</stp>
        <stp>.NDX250516C20000</stp>
        <tr r="EP155" s="1"/>
      </tp>
      <tp t="s">
        <v>26.85%</v>
        <stp/>
        <stp>IMPL_VOL</stp>
        <stp>.NDX250516C20025</stp>
        <tr r="EP154" s="1"/>
      </tp>
      <tp t="s">
        <v>26.77%</v>
        <stp/>
        <stp>IMPL_VOL</stp>
        <stp>.NDX250516C20050</stp>
        <tr r="EP153" s="1"/>
      </tp>
      <tp t="s">
        <v>26.72%</v>
        <stp/>
        <stp>IMPL_VOL</stp>
        <stp>.NDX250516C20075</stp>
        <tr r="EP152" s="1"/>
      </tp>
      <tp t="s">
        <v>28.55%</v>
        <stp/>
        <stp>IMPL_VOL</stp>
        <stp>.NDX250516P20025</stp>
        <tr r="EQ154" s="1"/>
      </tp>
      <tp t="s">
        <v>28.63%</v>
        <stp/>
        <stp>IMPL_VOL</stp>
        <stp>.NDX250516P20000</stp>
        <tr r="EQ155" s="1"/>
      </tp>
      <tp t="s">
        <v>28.43%</v>
        <stp/>
        <stp>IMPL_VOL</stp>
        <stp>.NDX250516P20075</stp>
        <tr r="EQ152" s="1"/>
      </tp>
      <tp t="s">
        <v>28.48%</v>
        <stp/>
        <stp>IMPL_VOL</stp>
        <stp>.NDX250516P20050</stp>
        <tr r="EQ153" s="1"/>
      </tp>
      <tp t="s">
        <v>N/A</v>
        <stp/>
        <stp>OPEN_INT</stp>
        <stp>.SPXW250505C5840</stp>
        <tr r="AS88" s="1"/>
      </tp>
      <tp t="s">
        <v>N/A</v>
        <stp/>
        <stp>OPEN_INT</stp>
        <stp>.SPXW250505P5840</stp>
        <tr r="AT88" s="1"/>
      </tp>
      <tp>
        <v>2326</v>
        <stp/>
        <stp>OPEN_INT</stp>
        <stp>.SPXW250505C5850</stp>
        <tr r="AS87" s="1"/>
        <tr r="AS87" s="1"/>
      </tp>
      <tp>
        <v>149</v>
        <stp/>
        <stp>OPEN_INT</stp>
        <stp>.SPXW250505P5850</stp>
        <tr r="AT87" s="1"/>
        <tr r="AT87" s="1"/>
      </tp>
      <tp t="s">
        <v>N/A</v>
        <stp/>
        <stp>OPEN_INT</stp>
        <stp>.SPXW250505C5860</stp>
        <tr r="AS86" s="1"/>
      </tp>
      <tp t="s">
        <v>N/A</v>
        <stp/>
        <stp>OPEN_INT</stp>
        <stp>.SPXW250505P5860</stp>
        <tr r="AT86" s="1"/>
      </tp>
      <tp t="s">
        <v>N/A</v>
        <stp/>
        <stp>OPEN_INT</stp>
        <stp>.SPXW250505C5870</stp>
        <tr r="AS85" s="1"/>
      </tp>
      <tp t="s">
        <v>N/A</v>
        <stp/>
        <stp>OPEN_INT</stp>
        <stp>.SPXW250505P5870</stp>
        <tr r="AT85" s="1"/>
      </tp>
      <tp>
        <v>5557</v>
        <stp/>
        <stp>OPEN_INT</stp>
        <stp>.SPXW250505C5800</stp>
        <tr r="AS92" s="1"/>
        <tr r="AS92" s="1"/>
      </tp>
      <tp>
        <v>69</v>
        <stp/>
        <stp>OPEN_INT</stp>
        <stp>.SPXW250505P5800</stp>
        <tr r="AT92" s="1"/>
        <tr r="AT92" s="1"/>
      </tp>
      <tp>
        <v>533</v>
        <stp/>
        <stp>OPEN_INT</stp>
        <stp>.SPXW250505C5810</stp>
        <tr r="AS91" s="1"/>
        <tr r="AS91" s="1"/>
      </tp>
      <tp>
        <v>38</v>
        <stp/>
        <stp>OPEN_INT</stp>
        <stp>.SPXW250505P5810</stp>
        <tr r="AT91" s="1"/>
        <tr r="AT91" s="1"/>
      </tp>
      <tp>
        <v>771</v>
        <stp/>
        <stp>OPEN_INT</stp>
        <stp>.SPXW250505C5820</stp>
        <tr r="AS90" s="1"/>
        <tr r="AS90" s="1"/>
      </tp>
      <tp>
        <v>26</v>
        <stp/>
        <stp>OPEN_INT</stp>
        <stp>.SPXW250505P5820</stp>
        <tr r="AT90" s="1"/>
        <tr r="AT90" s="1"/>
      </tp>
      <tp t="s">
        <v>N/A</v>
        <stp/>
        <stp>OPEN_INT</stp>
        <stp>.SPXW250505C5830</stp>
        <tr r="AS89" s="1"/>
      </tp>
      <tp t="s">
        <v>N/A</v>
        <stp/>
        <stp>OPEN_INT</stp>
        <stp>.SPXW250505P5830</stp>
        <tr r="AT89" s="1"/>
      </tp>
      <tp>
        <v>7493</v>
        <stp/>
        <stp>OPEN_INT</stp>
        <stp>.SPXW250509C5800</stp>
        <tr r="AU92" s="1"/>
        <tr r="AU92" s="1"/>
      </tp>
      <tp>
        <v>222</v>
        <stp/>
        <stp>OPEN_INT</stp>
        <stp>.SPXW250509P5800</stp>
        <tr r="AV92" s="1"/>
        <tr r="AV92" s="1"/>
      </tp>
      <tp>
        <v>1040</v>
        <stp/>
        <stp>OPEN_INT</stp>
        <stp>.SPXW250509C5810</stp>
        <tr r="AU91" s="1"/>
        <tr r="AU91" s="1"/>
      </tp>
      <tp>
        <v>79</v>
        <stp/>
        <stp>OPEN_INT</stp>
        <stp>.SPXW250509P5810</stp>
        <tr r="AV91" s="1"/>
        <tr r="AV91" s="1"/>
      </tp>
      <tp>
        <v>1668</v>
        <stp/>
        <stp>OPEN_INT</stp>
        <stp>.SPXW250509C5820</stp>
        <tr r="AU90" s="1"/>
        <tr r="AU90" s="1"/>
      </tp>
      <tp>
        <v>316</v>
        <stp/>
        <stp>OPEN_INT</stp>
        <stp>.SPXW250509P5820</stp>
        <tr r="AV90" s="1"/>
        <tr r="AV90" s="1"/>
      </tp>
      <tp>
        <v>1432</v>
        <stp/>
        <stp>OPEN_INT</stp>
        <stp>.SPXW250509C5830</stp>
        <tr r="AU89" s="1"/>
        <tr r="AU89" s="1"/>
      </tp>
      <tp>
        <v>406</v>
        <stp/>
        <stp>OPEN_INT</stp>
        <stp>.SPXW250509P5830</stp>
        <tr r="AV89" s="1"/>
        <tr r="AV89" s="1"/>
      </tp>
      <tp>
        <v>1471</v>
        <stp/>
        <stp>OPEN_INT</stp>
        <stp>.SPXW250509C5840</stp>
        <tr r="AU88" s="1"/>
        <tr r="AU88" s="1"/>
      </tp>
      <tp>
        <v>14</v>
        <stp/>
        <stp>OPEN_INT</stp>
        <stp>.SPXW250509P5840</stp>
        <tr r="AV88" s="1"/>
        <tr r="AV88" s="1"/>
      </tp>
      <tp>
        <v>8457</v>
        <stp/>
        <stp>OPEN_INT</stp>
        <stp>.SPXW250509C5850</stp>
        <tr r="AU87" s="1"/>
        <tr r="AU87" s="1"/>
      </tp>
      <tp>
        <v>211</v>
        <stp/>
        <stp>OPEN_INT</stp>
        <stp>.SPXW250509P5850</stp>
        <tr r="AV87" s="1"/>
        <tr r="AV87" s="1"/>
      </tp>
      <tp>
        <v>434</v>
        <stp/>
        <stp>OPEN_INT</stp>
        <stp>.SPXW250509C5860</stp>
        <tr r="AU86" s="1"/>
        <tr r="AU86" s="1"/>
      </tp>
      <tp>
        <v>2</v>
        <stp/>
        <stp>OPEN_INT</stp>
        <stp>.SPXW250509P5860</stp>
        <tr r="AV86" s="1"/>
        <tr r="AV86" s="1"/>
      </tp>
      <tp>
        <v>899</v>
        <stp/>
        <stp>OPEN_INT</stp>
        <stp>.SPXW250509C5870</stp>
        <tr r="AU85" s="1"/>
        <tr r="AU85" s="1"/>
      </tp>
      <tp>
        <v>1</v>
        <stp/>
        <stp>OPEN_INT</stp>
        <stp>.SPXW250509P5870</stp>
        <tr r="AV85" s="1"/>
        <tr r="AV85" s="1"/>
      </tp>
      <tp t="s">
        <v>28.00%</v>
        <stp/>
        <stp>IMPL_VOL</stp>
        <stp>.NDX250516C19700</stp>
        <tr r="EP167" s="1"/>
      </tp>
      <tp t="s">
        <v>27.55%</v>
        <stp/>
        <stp>IMPL_VOL</stp>
        <stp>.NDX250516C19725</stp>
        <tr r="EP166" s="1"/>
      </tp>
      <tp t="s">
        <v>27.45%</v>
        <stp/>
        <stp>IMPL_VOL</stp>
        <stp>.NDX250516C19750</stp>
        <tr r="EP165" s="1"/>
      </tp>
      <tp t="s">
        <v>27.51%</v>
        <stp/>
        <stp>IMPL_VOL</stp>
        <stp>.NDX250516C19775</stp>
        <tr r="EP164" s="1"/>
      </tp>
      <tp t="s">
        <v>29.37%</v>
        <stp/>
        <stp>IMPL_VOL</stp>
        <stp>.NDX250516P19725</stp>
        <tr r="EQ166" s="1"/>
      </tp>
      <tp t="s">
        <v>29.44%</v>
        <stp/>
        <stp>IMPL_VOL</stp>
        <stp>.NDX250516P19700</stp>
        <tr r="EQ167" s="1"/>
      </tp>
      <tp t="s">
        <v>29.25%</v>
        <stp/>
        <stp>IMPL_VOL</stp>
        <stp>.NDX250516P19775</stp>
        <tr r="EQ164" s="1"/>
      </tp>
      <tp t="s">
        <v>29.32%</v>
        <stp/>
        <stp>IMPL_VOL</stp>
        <stp>.NDX250516P19750</stp>
        <tr r="EQ165" s="1"/>
      </tp>
      <tp>
        <v>5</v>
        <stp/>
        <stp>VOLUME</stp>
        <stp>.SPX250620C5760</stp>
        <tr r="K97" s="2"/>
        <tr r="K97" s="2"/>
      </tp>
      <tp t="s">
        <v>N/A</v>
        <stp/>
        <stp>VOLUME</stp>
        <stp>.SPX250523C5750</stp>
        <tr r="H98" s="2"/>
      </tp>
      <tp t="s">
        <v>N/A</v>
        <stp/>
        <stp>VOLUME</stp>
        <stp>.SPX250815C5430</stp>
        <tr r="O130" s="2"/>
      </tp>
      <tp t="s">
        <v>N/A</v>
        <stp/>
        <stp>VOLUME</stp>
        <stp>.SPX251121C5770</stp>
        <tr r="U96" s="2"/>
      </tp>
      <tp t="s">
        <v>N/A</v>
        <stp/>
        <stp>VOLUME</stp>
        <stp>.SPX251121P5770</stp>
        <tr r="U96" s="2"/>
      </tp>
      <tp>
        <v>1</v>
        <stp/>
        <stp>VOLUME</stp>
        <stp>.SPX250620P5760</stp>
        <tr r="K97" s="2"/>
        <tr r="K97" s="2"/>
      </tp>
      <tp t="s">
        <v>N/A</v>
        <stp/>
        <stp>VOLUME</stp>
        <stp>.SPX250523P5750</stp>
        <tr r="H98" s="2"/>
      </tp>
      <tp>
        <v>2</v>
        <stp/>
        <stp>VOLUME</stp>
        <stp>.SPX250815P5430</stp>
        <tr r="O130" s="2"/>
        <tr r="O130" s="2"/>
      </tp>
      <tp>
        <v>49</v>
        <stp/>
        <stp>VOLUME</stp>
        <stp>.SPX250620C5770</stp>
        <tr r="K96" s="2"/>
        <tr r="K96" s="2"/>
      </tp>
      <tp t="s">
        <v>N/A</v>
        <stp/>
        <stp>VOLUME</stp>
        <stp>.SPX250523C5740</stp>
        <tr r="H99" s="2"/>
      </tp>
      <tp t="s">
        <v>N/A</v>
        <stp/>
        <stp>VOLUME</stp>
        <stp>.SPX250815C5420</stp>
        <tr r="O131" s="2"/>
      </tp>
      <tp t="s">
        <v>N/A</v>
        <stp/>
        <stp>VOLUME</stp>
        <stp>.SPX251121C5760</stp>
        <tr r="U97" s="2"/>
      </tp>
      <tp t="s">
        <v>N/A</v>
        <stp/>
        <stp>VOLUME</stp>
        <stp>.SPX251121P5760</stp>
        <tr r="U97" s="2"/>
      </tp>
      <tp t="s">
        <v>N/A</v>
        <stp/>
        <stp>VOLUME</stp>
        <stp>.SPX250620P5770</stp>
        <tr r="K96" s="2"/>
      </tp>
      <tp t="s">
        <v>N/A</v>
        <stp/>
        <stp>VOLUME</stp>
        <stp>.SPX250523P5740</stp>
        <tr r="H99" s="2"/>
      </tp>
      <tp>
        <v>7</v>
        <stp/>
        <stp>VOLUME</stp>
        <stp>.SPX250815P5420</stp>
        <tr r="O131" s="2"/>
        <tr r="O131" s="2"/>
      </tp>
      <tp>
        <v>48</v>
        <stp/>
        <stp>VOLUME</stp>
        <stp>.SPX250620C5740</stp>
        <tr r="K99" s="2"/>
        <tr r="K99" s="2"/>
      </tp>
      <tp t="s">
        <v>N/A</v>
        <stp/>
        <stp>VOLUME</stp>
        <stp>.SPX250523C5770</stp>
        <tr r="H96" s="2"/>
      </tp>
      <tp>
        <v>404</v>
        <stp/>
        <stp>VOLUME</stp>
        <stp>.SPX251121C5750</stp>
        <tr r="U98" s="2"/>
        <tr r="U98" s="2"/>
      </tp>
      <tp t="s">
        <v>N/A</v>
        <stp/>
        <stp>VOLUME</stp>
        <stp>.SPX251017C5430</stp>
        <tr r="S130" s="2"/>
      </tp>
      <tp t="s">
        <v>N/A</v>
        <stp/>
        <stp>VOLUME</stp>
        <stp>.SPX251121P5750</stp>
        <tr r="U98" s="2"/>
      </tp>
      <tp t="s">
        <v>N/A</v>
        <stp/>
        <stp>VOLUME</stp>
        <stp>.SPX251017P5430</stp>
        <tr r="S130" s="2"/>
      </tp>
      <tp>
        <v>26</v>
        <stp/>
        <stp>VOLUME</stp>
        <stp>.SPX250620P5740</stp>
        <tr r="K99" s="2"/>
        <tr r="K99" s="2"/>
      </tp>
      <tp t="s">
        <v>N/A</v>
        <stp/>
        <stp>VOLUME</stp>
        <stp>.SPX250523P5770</stp>
        <tr r="H96" s="2"/>
      </tp>
      <tp>
        <v>366</v>
        <stp/>
        <stp>VOLUME</stp>
        <stp>.SPX250620C5750</stp>
        <tr r="K98" s="2"/>
        <tr r="K98" s="2"/>
      </tp>
      <tp t="s">
        <v>N/A</v>
        <stp/>
        <stp>VOLUME</stp>
        <stp>.SPX250523C5760</stp>
        <tr r="H97" s="2"/>
      </tp>
      <tp t="s">
        <v>N/A</v>
        <stp/>
        <stp>VOLUME</stp>
        <stp>.SPX251121C5740</stp>
        <tr r="U99" s="2"/>
      </tp>
      <tp t="s">
        <v>N/A</v>
        <stp/>
        <stp>VOLUME</stp>
        <stp>.SPX251017C5420</stp>
        <tr r="S131" s="2"/>
      </tp>
      <tp t="s">
        <v>N/A</v>
        <stp/>
        <stp>VOLUME</stp>
        <stp>.SPX251121P5740</stp>
        <tr r="U99" s="2"/>
      </tp>
      <tp t="s">
        <v>N/A</v>
        <stp/>
        <stp>VOLUME</stp>
        <stp>.SPX251017P5420</stp>
        <tr r="S131" s="2"/>
      </tp>
      <tp>
        <v>45</v>
        <stp/>
        <stp>VOLUME</stp>
        <stp>.SPX250620P5750</stp>
        <tr r="K98" s="2"/>
        <tr r="K98" s="2"/>
      </tp>
      <tp t="s">
        <v>N/A</v>
        <stp/>
        <stp>VOLUME</stp>
        <stp>.SPX250523P5760</stp>
        <tr r="H97" s="2"/>
      </tp>
      <tp>
        <v>300</v>
        <stp/>
        <stp>VOLUME</stp>
        <stp>.SPX250620C5720</stp>
        <tr r="K101" s="2"/>
        <tr r="K101" s="2"/>
      </tp>
      <tp t="s">
        <v>N/A</v>
        <stp/>
        <stp>VOLUME</stp>
        <stp>.SPX250523C5710</stp>
        <tr r="H102" s="2"/>
      </tp>
      <tp t="s">
        <v>N/A</v>
        <stp/>
        <stp>VOLUME</stp>
        <stp>.SPX250815C5470</stp>
        <tr r="O126" s="2"/>
      </tp>
      <tp t="s">
        <v>N/A</v>
        <stp/>
        <stp>VOLUME</stp>
        <stp>.SPX251121C5730</stp>
        <tr r="U100" s="2"/>
      </tp>
      <tp>
        <v>1</v>
        <stp/>
        <stp>VOLUME</stp>
        <stp>.SPX251017C5450</stp>
        <tr r="S128" s="2"/>
        <tr r="S128" s="2"/>
      </tp>
      <tp t="s">
        <v>N/A</v>
        <stp/>
        <stp>VOLUME</stp>
        <stp>.SPX251121P5730</stp>
        <tr r="U100" s="2"/>
      </tp>
      <tp>
        <v>4</v>
        <stp/>
        <stp>VOLUME</stp>
        <stp>.SPX251017P5450</stp>
        <tr r="S128" s="2"/>
        <tr r="S128" s="2"/>
      </tp>
      <tp>
        <v>318</v>
        <stp/>
        <stp>VOLUME</stp>
        <stp>.SPX250620P5720</stp>
        <tr r="K101" s="2"/>
        <tr r="K101" s="2"/>
      </tp>
      <tp t="s">
        <v>N/A</v>
        <stp/>
        <stp>VOLUME</stp>
        <stp>.SPX250523P5710</stp>
        <tr r="H102" s="2"/>
      </tp>
      <tp>
        <v>1</v>
        <stp/>
        <stp>VOLUME</stp>
        <stp>.SPX250815P5470</stp>
        <tr r="O126" s="2"/>
        <tr r="O126" s="2"/>
      </tp>
      <tp>
        <v>88</v>
        <stp/>
        <stp>VOLUME</stp>
        <stp>.SPX250620C5730</stp>
        <tr r="K100" s="2"/>
        <tr r="K100" s="2"/>
      </tp>
      <tp t="s">
        <v>N/A</v>
        <stp/>
        <stp>VOLUME</stp>
        <stp>.SPX250523C5700</stp>
        <tr r="H103" s="2"/>
      </tp>
      <tp t="s">
        <v>N/A</v>
        <stp/>
        <stp>VOLUME</stp>
        <stp>.SPX250815C5460</stp>
        <tr r="O127" s="2"/>
      </tp>
      <tp t="s">
        <v>N/A</v>
        <stp/>
        <stp>VOLUME</stp>
        <stp>.SPX251121C5720</stp>
        <tr r="U101" s="2"/>
      </tp>
      <tp t="s">
        <v>N/A</v>
        <stp/>
        <stp>VOLUME</stp>
        <stp>.SPX251017C5440</stp>
        <tr r="S129" s="2"/>
      </tp>
      <tp t="s">
        <v>N/A</v>
        <stp/>
        <stp>VOLUME</stp>
        <stp>.SPX251121P5720</stp>
        <tr r="U101" s="2"/>
      </tp>
      <tp t="s">
        <v>N/A</v>
        <stp/>
        <stp>VOLUME</stp>
        <stp>.SPX251017P5440</stp>
        <tr r="S129" s="2"/>
      </tp>
      <tp>
        <v>113</v>
        <stp/>
        <stp>VOLUME</stp>
        <stp>.SPX250620P5730</stp>
        <tr r="K100" s="2"/>
        <tr r="K100" s="2"/>
      </tp>
      <tp t="s">
        <v>N/A</v>
        <stp/>
        <stp>VOLUME</stp>
        <stp>.SPX250523P5700</stp>
        <tr r="H103" s="2"/>
      </tp>
      <tp>
        <v>112</v>
        <stp/>
        <stp>VOLUME</stp>
        <stp>.SPX250815P5460</stp>
        <tr r="O127" s="2"/>
        <tr r="O127" s="2"/>
      </tp>
      <tp t="s">
        <v>N/A</v>
        <stp/>
        <stp>VOLUME</stp>
        <stp>.SPX250718C5480</stp>
        <tr r="M125" s="2"/>
      </tp>
      <tp>
        <v>5370</v>
        <stp/>
        <stp>VOLUME</stp>
        <stp>.SPX250620C5700</stp>
        <tr r="K103" s="2"/>
        <tr r="K103" s="2"/>
      </tp>
      <tp t="s">
        <v>N/A</v>
        <stp/>
        <stp>VOLUME</stp>
        <stp>.SPX250523C5730</stp>
        <tr r="H100" s="2"/>
      </tp>
      <tp t="s">
        <v>N/A</v>
        <stp/>
        <stp>VOLUME</stp>
        <stp>.SPX250919C5490</stp>
        <tr r="Q124" s="2"/>
      </tp>
      <tp>
        <v>1</v>
        <stp/>
        <stp>VOLUME</stp>
        <stp>.SPX250815C5450</stp>
        <tr r="O128" s="2"/>
        <tr r="O128" s="2"/>
      </tp>
      <tp t="s">
        <v>N/A</v>
        <stp/>
        <stp>VOLUME</stp>
        <stp>.SPX251219C5490</stp>
        <tr r="W124" s="2"/>
      </tp>
      <tp t="s">
        <v>N/A</v>
        <stp/>
        <stp>VOLUME</stp>
        <stp>.SPX251121C5710</stp>
        <tr r="U102" s="2"/>
      </tp>
      <tp t="s">
        <v>N/A</v>
        <stp/>
        <stp>VOLUME</stp>
        <stp>.SPX251017C5470</stp>
        <tr r="S126" s="2"/>
      </tp>
      <tp t="s">
        <v>N/A</v>
        <stp/>
        <stp>VOLUME</stp>
        <stp>.SPX251219P5490</stp>
        <tr r="W124" s="2"/>
      </tp>
      <tp t="s">
        <v>N/A</v>
        <stp/>
        <stp>VOLUME</stp>
        <stp>.SPX251121P5710</stp>
        <tr r="U102" s="2"/>
      </tp>
      <tp t="s">
        <v>N/A</v>
        <stp/>
        <stp>VOLUME</stp>
        <stp>.SPX251017P5470</stp>
        <tr r="S126" s="2"/>
      </tp>
      <tp t="s">
        <v>N/A</v>
        <stp/>
        <stp>VOLUME</stp>
        <stp>.SPX250718P5480</stp>
        <tr r="M125" s="2"/>
      </tp>
      <tp>
        <v>5819</v>
        <stp/>
        <stp>VOLUME</stp>
        <stp>.SPX250620P5700</stp>
        <tr r="K103" s="2"/>
        <tr r="K103" s="2"/>
      </tp>
      <tp t="s">
        <v>N/A</v>
        <stp/>
        <stp>VOLUME</stp>
        <stp>.SPX250523P5730</stp>
        <tr r="H100" s="2"/>
      </tp>
      <tp t="s">
        <v>N/A</v>
        <stp/>
        <stp>VOLUME</stp>
        <stp>.SPX250919P5490</stp>
        <tr r="Q124" s="2"/>
      </tp>
      <tp>
        <v>109</v>
        <stp/>
        <stp>VOLUME</stp>
        <stp>.SPX250815P5450</stp>
        <tr r="O128" s="2"/>
        <tr r="O128" s="2"/>
      </tp>
      <tp t="s">
        <v>N/A</v>
        <stp/>
        <stp>VOLUME</stp>
        <stp>.SPX250718C5490</stp>
        <tr r="M124" s="2"/>
      </tp>
      <tp>
        <v>1474</v>
        <stp/>
        <stp>VOLUME</stp>
        <stp>.SPX250620C5710</stp>
        <tr r="K102" s="2"/>
        <tr r="K102" s="2"/>
      </tp>
      <tp t="s">
        <v>N/A</v>
        <stp/>
        <stp>VOLUME</stp>
        <stp>.SPX250523C5720</stp>
        <tr r="H101" s="2"/>
      </tp>
      <tp t="s">
        <v>N/A</v>
        <stp/>
        <stp>VOLUME</stp>
        <stp>.SPX250919C5480</stp>
        <tr r="Q125" s="2"/>
      </tp>
      <tp t="s">
        <v>N/A</v>
        <stp/>
        <stp>VOLUME</stp>
        <stp>.SPX250815C5440</stp>
        <tr r="O129" s="2"/>
      </tp>
      <tp t="s">
        <v>N/A</v>
        <stp/>
        <stp>VOLUME</stp>
        <stp>.SPX251219C5480</stp>
        <tr r="W125" s="2"/>
      </tp>
      <tp t="s">
        <v>N/A</v>
        <stp/>
        <stp>VOLUME</stp>
        <stp>.SPX251121C5700</stp>
        <tr r="U103" s="2"/>
      </tp>
      <tp t="s">
        <v>N/A</v>
        <stp/>
        <stp>VOLUME</stp>
        <stp>.SPX251017C5460</stp>
        <tr r="S127" s="2"/>
      </tp>
      <tp t="s">
        <v>N/A</v>
        <stp/>
        <stp>VOLUME</stp>
        <stp>.SPX251219P5480</stp>
        <tr r="W125" s="2"/>
      </tp>
      <tp>
        <v>22</v>
        <stp/>
        <stp>VOLUME</stp>
        <stp>.SPX251121P5700</stp>
        <tr r="U103" s="2"/>
        <tr r="U103" s="2"/>
      </tp>
      <tp t="s">
        <v>N/A</v>
        <stp/>
        <stp>VOLUME</stp>
        <stp>.SPX251017P5460</stp>
        <tr r="S127" s="2"/>
      </tp>
      <tp>
        <v>23</v>
        <stp/>
        <stp>VOLUME</stp>
        <stp>.SPX250718P5490</stp>
        <tr r="M124" s="2"/>
        <tr r="M124" s="2"/>
      </tp>
      <tp>
        <v>1493</v>
        <stp/>
        <stp>VOLUME</stp>
        <stp>.SPX250620P5710</stp>
        <tr r="K102" s="2"/>
        <tr r="K102" s="2"/>
      </tp>
      <tp t="s">
        <v>N/A</v>
        <stp/>
        <stp>VOLUME</stp>
        <stp>.SPX250523P5720</stp>
        <tr r="H101" s="2"/>
      </tp>
      <tp>
        <v>6</v>
        <stp/>
        <stp>VOLUME</stp>
        <stp>.SPX250919P5480</stp>
        <tr r="Q125" s="2"/>
        <tr r="Q125" s="2"/>
      </tp>
      <tp>
        <v>2</v>
        <stp/>
        <stp>VOLUME</stp>
        <stp>.SPX250815P5440</stp>
        <tr r="O129" s="2"/>
        <tr r="O129" s="2"/>
      </tp>
      <tp t="s">
        <v>N/A</v>
        <stp/>
        <stp>VOLUME</stp>
        <stp>.SPX250718C5460</stp>
        <tr r="M127" s="2"/>
      </tp>
      <tp t="s">
        <v>N/A</v>
        <stp/>
        <stp>VOLUME</stp>
        <stp>.SPX250919C5470</stp>
        <tr r="Q126" s="2"/>
      </tp>
      <tp t="s">
        <v>N/A</v>
        <stp/>
        <stp>VOLUME</stp>
        <stp>.SPX251219C5470</stp>
        <tr r="W126" s="2"/>
      </tp>
      <tp t="s">
        <v>N/A</v>
        <stp/>
        <stp>VOLUME</stp>
        <stp>.SPX251017C5490</stp>
        <tr r="S124" s="2"/>
      </tp>
      <tp t="s">
        <v>N/A</v>
        <stp/>
        <stp>VOLUME</stp>
        <stp>.SPX251219P5470</stp>
        <tr r="W126" s="2"/>
      </tp>
      <tp t="s">
        <v>N/A</v>
        <stp/>
        <stp>VOLUME</stp>
        <stp>.SPX251017P5490</stp>
        <tr r="S124" s="2"/>
      </tp>
      <tp>
        <v>1</v>
        <stp/>
        <stp>VOLUME</stp>
        <stp>.SPX250718P5460</stp>
        <tr r="M127" s="2"/>
        <tr r="M127" s="2"/>
      </tp>
      <tp>
        <v>1</v>
        <stp/>
        <stp>VOLUME</stp>
        <stp>.SPX250919P5470</stp>
        <tr r="Q126" s="2"/>
        <tr r="Q126" s="2"/>
      </tp>
      <tp t="s">
        <v>N/A</v>
        <stp/>
        <stp>VOLUME</stp>
        <stp>.SPX250718C5470</stp>
        <tr r="M126" s="2"/>
      </tp>
      <tp t="s">
        <v>N/A</v>
        <stp/>
        <stp>VOLUME</stp>
        <stp>.SPX250919C5460</stp>
        <tr r="Q127" s="2"/>
      </tp>
      <tp t="s">
        <v>N/A</v>
        <stp/>
        <stp>VOLUME</stp>
        <stp>.SPX251219C5460</stp>
        <tr r="W127" s="2"/>
      </tp>
      <tp t="s">
        <v>N/A</v>
        <stp/>
        <stp>VOLUME</stp>
        <stp>.SPX251017C5480</stp>
        <tr r="S125" s="2"/>
      </tp>
      <tp t="s">
        <v>N/A</v>
        <stp/>
        <stp>VOLUME</stp>
        <stp>.SPX251219P5460</stp>
        <tr r="W127" s="2"/>
      </tp>
      <tp t="s">
        <v>N/A</v>
        <stp/>
        <stp>VOLUME</stp>
        <stp>.SPX251017P5480</stp>
        <tr r="S125" s="2"/>
      </tp>
      <tp t="s">
        <v>N/A</v>
        <stp/>
        <stp>VOLUME</stp>
        <stp>.SPX250718P5470</stp>
        <tr r="M126" s="2"/>
      </tp>
      <tp t="s">
        <v>N/A</v>
        <stp/>
        <stp>VOLUME</stp>
        <stp>.SPX250919P5460</stp>
        <tr r="Q127" s="2"/>
      </tp>
      <tp t="s">
        <v>N/A</v>
        <stp/>
        <stp>VOLUME</stp>
        <stp>.SPX250718C5440</stp>
        <tr r="M129" s="2"/>
      </tp>
      <tp>
        <v>5</v>
        <stp/>
        <stp>VOLUME</stp>
        <stp>.SPX250919C5450</stp>
        <tr r="Q128" s="2"/>
        <tr r="Q128" s="2"/>
      </tp>
      <tp t="s">
        <v>N/A</v>
        <stp/>
        <stp>VOLUME</stp>
        <stp>.SPX250815C5490</stp>
        <tr r="O124" s="2"/>
      </tp>
      <tp>
        <v>2</v>
        <stp/>
        <stp>VOLUME</stp>
        <stp>.SPX251219C5450</stp>
        <tr r="W128" s="2"/>
        <tr r="W128" s="2"/>
      </tp>
      <tp t="s">
        <v>N/A</v>
        <stp/>
        <stp>VOLUME</stp>
        <stp>.SPX251219P5450</stp>
        <tr r="W128" s="2"/>
      </tp>
      <tp>
        <v>17</v>
        <stp/>
        <stp>VOLUME</stp>
        <stp>.SPX250718P5440</stp>
        <tr r="M129" s="2"/>
        <tr r="M129" s="2"/>
      </tp>
      <tp>
        <v>141</v>
        <stp/>
        <stp>VOLUME</stp>
        <stp>.SPX250919P5450</stp>
        <tr r="Q128" s="2"/>
        <tr r="Q128" s="2"/>
      </tp>
      <tp>
        <v>2</v>
        <stp/>
        <stp>VOLUME</stp>
        <stp>.SPX250815P5490</stp>
        <tr r="O124" s="2"/>
        <tr r="O124" s="2"/>
      </tp>
      <tp t="s">
        <v>N/A</v>
        <stp/>
        <stp>VOLUME</stp>
        <stp>.SPX250718C5450</stp>
        <tr r="M128" s="2"/>
      </tp>
      <tp t="s">
        <v>N/A</v>
        <stp/>
        <stp>VOLUME</stp>
        <stp>.SPX250919C5440</stp>
        <tr r="Q129" s="2"/>
      </tp>
      <tp t="s">
        <v>N/A</v>
        <stp/>
        <stp>VOLUME</stp>
        <stp>.SPX250815C5480</stp>
        <tr r="O125" s="2"/>
      </tp>
      <tp t="s">
        <v>N/A</v>
        <stp/>
        <stp>VOLUME</stp>
        <stp>.SPX251219C5440</stp>
        <tr r="W129" s="2"/>
      </tp>
      <tp t="s">
        <v>N/A</v>
        <stp/>
        <stp>VOLUME</stp>
        <stp>.SPX251219P5440</stp>
        <tr r="W129" s="2"/>
      </tp>
      <tp>
        <v>220</v>
        <stp/>
        <stp>VOLUME</stp>
        <stp>.SPX250718P5450</stp>
        <tr r="M128" s="2"/>
        <tr r="M128" s="2"/>
      </tp>
      <tp>
        <v>4</v>
        <stp/>
        <stp>VOLUME</stp>
        <stp>.SPX250919P5440</stp>
        <tr r="Q129" s="2"/>
        <tr r="Q129" s="2"/>
      </tp>
      <tp>
        <v>6</v>
        <stp/>
        <stp>VOLUME</stp>
        <stp>.SPX250815P5480</stp>
        <tr r="O125" s="2"/>
        <tr r="O125" s="2"/>
      </tp>
      <tp t="s">
        <v>N/A</v>
        <stp/>
        <stp>VOLUME</stp>
        <stp>.SPX250718C5420</stp>
        <tr r="M131" s="2"/>
      </tp>
      <tp t="s">
        <v>N/A</v>
        <stp/>
        <stp>VOLUME</stp>
        <stp>.SPX250523C5790</stp>
        <tr r="H94" s="2"/>
      </tp>
      <tp t="s">
        <v>N/A</v>
        <stp/>
        <stp>VOLUME</stp>
        <stp>.SPX250919C5430</stp>
        <tr r="Q130" s="2"/>
      </tp>
      <tp t="s">
        <v>N/A</v>
        <stp/>
        <stp>VOLUME</stp>
        <stp>.SPX251219C5430</stp>
        <tr r="W130" s="2"/>
      </tp>
      <tp t="s">
        <v>N/A</v>
        <stp/>
        <stp>VOLUME</stp>
        <stp>.SPX251219P5430</stp>
        <tr r="W130" s="2"/>
      </tp>
      <tp>
        <v>100</v>
        <stp/>
        <stp>VOLUME</stp>
        <stp>.SPX250718P5420</stp>
        <tr r="M131" s="2"/>
        <tr r="M131" s="2"/>
      </tp>
      <tp t="s">
        <v>N/A</v>
        <stp/>
        <stp>VOLUME</stp>
        <stp>.SPX250523P5790</stp>
        <tr r="H94" s="2"/>
      </tp>
      <tp t="s">
        <v>N/A</v>
        <stp/>
        <stp>VOLUME</stp>
        <stp>.SPX250919P5430</stp>
        <tr r="Q130" s="2"/>
      </tp>
      <tp>
        <v>2</v>
        <stp/>
        <stp>VOLUME</stp>
        <stp>.SPX250718C5430</stp>
        <tr r="M130" s="2"/>
        <tr r="M130" s="2"/>
      </tp>
      <tp t="s">
        <v>N/A</v>
        <stp/>
        <stp>VOLUME</stp>
        <stp>.SPX250523C5780</stp>
        <tr r="H95" s="2"/>
      </tp>
      <tp t="s">
        <v>N/A</v>
        <stp/>
        <stp>VOLUME</stp>
        <stp>.SPX250919C5420</stp>
        <tr r="Q131" s="2"/>
      </tp>
      <tp t="s">
        <v>N/A</v>
        <stp/>
        <stp>VOLUME</stp>
        <stp>.SPX251219C5420</stp>
        <tr r="W131" s="2"/>
      </tp>
      <tp t="s">
        <v>N/A</v>
        <stp/>
        <stp>VOLUME</stp>
        <stp>.SPX251219P5420</stp>
        <tr r="W131" s="2"/>
      </tp>
      <tp>
        <v>1</v>
        <stp/>
        <stp>VOLUME</stp>
        <stp>.SPX250718P5430</stp>
        <tr r="M130" s="2"/>
        <tr r="M130" s="2"/>
      </tp>
      <tp t="s">
        <v>N/A</v>
        <stp/>
        <stp>VOLUME</stp>
        <stp>.SPX250523P5780</stp>
        <tr r="H95" s="2"/>
      </tp>
      <tp>
        <v>1</v>
        <stp/>
        <stp>VOLUME</stp>
        <stp>.SPX250919P5420</stp>
        <tr r="Q131" s="2"/>
        <tr r="Q131" s="2"/>
      </tp>
      <tp>
        <v>36</v>
        <stp/>
        <stp>VOLUME</stp>
        <stp>.SPX250620C5780</stp>
        <tr r="K95" s="2"/>
        <tr r="K95" s="2"/>
      </tp>
      <tp t="s">
        <v>N/A</v>
        <stp/>
        <stp>VOLUME</stp>
        <stp>.SPX251121C5790</stp>
        <tr r="U94" s="2"/>
      </tp>
      <tp t="s">
        <v>N/A</v>
        <stp/>
        <stp>VOLUME</stp>
        <stp>.SPX251121P5790</stp>
        <tr r="U94" s="2"/>
      </tp>
      <tp t="s">
        <v>N/A</v>
        <stp/>
        <stp>VOLUME</stp>
        <stp>.SPX250620P5780</stp>
        <tr r="K95" s="2"/>
      </tp>
      <tp>
        <v>28</v>
        <stp/>
        <stp>VOLUME</stp>
        <stp>.SPX250620C5790</stp>
        <tr r="K94" s="2"/>
        <tr r="K94" s="2"/>
      </tp>
      <tp t="s">
        <v>N/A</v>
        <stp/>
        <stp>VOLUME</stp>
        <stp>.SPX251121C5780</stp>
        <tr r="U95" s="2"/>
      </tp>
      <tp t="s">
        <v>N/A</v>
        <stp/>
        <stp>VOLUME</stp>
        <stp>.SPX251121P5780</stp>
        <tr r="U95" s="2"/>
      </tp>
      <tp t="s">
        <v>N/A</v>
        <stp/>
        <stp>VOLUME</stp>
        <stp>.SPX250620P5790</stp>
        <tr r="K94" s="2"/>
      </tp>
      <tp t="s">
        <v>27.84%</v>
        <stp/>
        <stp>IMPL_VOL</stp>
        <stp>.NDX250516C19600</stp>
        <tr r="EP171" s="1"/>
      </tp>
      <tp t="s">
        <v>27.83%</v>
        <stp/>
        <stp>IMPL_VOL</stp>
        <stp>.NDX250516C19625</stp>
        <tr r="EP170" s="1"/>
      </tp>
      <tp t="s">
        <v>27.83%</v>
        <stp/>
        <stp>IMPL_VOL</stp>
        <stp>.NDX250516C19650</stp>
        <tr r="EP169" s="1"/>
      </tp>
      <tp t="s">
        <v>27.74%</v>
        <stp/>
        <stp>IMPL_VOL</stp>
        <stp>.NDX250516C19675</stp>
        <tr r="EP168" s="1"/>
      </tp>
      <tp t="s">
        <v>29.63%</v>
        <stp/>
        <stp>IMPL_VOL</stp>
        <stp>.NDX250516P19625</stp>
        <tr r="EQ170" s="1"/>
      </tp>
      <tp t="s">
        <v>29.68%</v>
        <stp/>
        <stp>IMPL_VOL</stp>
        <stp>.NDX250516P19600</stp>
        <tr r="EQ171" s="1"/>
      </tp>
      <tp t="s">
        <v>29.52%</v>
        <stp/>
        <stp>IMPL_VOL</stp>
        <stp>.NDX250516P19675</stp>
        <tr r="EQ168" s="1"/>
      </tp>
      <tp t="s">
        <v>29.56%</v>
        <stp/>
        <stp>IMPL_VOL</stp>
        <stp>.NDX250516P19650</stp>
        <tr r="EQ169" s="1"/>
      </tp>
      <tp>
        <v>18</v>
        <stp/>
        <stp>VOLUME</stp>
        <stp>.SPX250620C5660</stp>
        <tr r="K107" s="2"/>
        <tr r="K107" s="2"/>
      </tp>
      <tp t="s">
        <v>N/A</v>
        <stp/>
        <stp>VOLUME</stp>
        <stp>.SPX250523C5650</stp>
        <tr r="H108" s="2"/>
      </tp>
      <tp t="s">
        <v>N/A</v>
        <stp/>
        <stp>VOLUME</stp>
        <stp>.SPX250815C5530</stp>
        <tr r="O120" s="2"/>
      </tp>
      <tp t="s">
        <v>N/A</v>
        <stp/>
        <stp>VOLUME</stp>
        <stp>.SPX251121C5670</stp>
        <tr r="U106" s="2"/>
      </tp>
      <tp t="s">
        <v>N/A</v>
        <stp/>
        <stp>VOLUME</stp>
        <stp>.SPX251017C5510</stp>
        <tr r="S122" s="2"/>
      </tp>
      <tp t="s">
        <v>N/A</v>
        <stp/>
        <stp>VOLUME</stp>
        <stp>.SPX251121P5670</stp>
        <tr r="U106" s="2"/>
      </tp>
      <tp t="s">
        <v>N/A</v>
        <stp/>
        <stp>VOLUME</stp>
        <stp>.SPX251017P5510</stp>
        <tr r="S122" s="2"/>
      </tp>
      <tp>
        <v>86</v>
        <stp/>
        <stp>VOLUME</stp>
        <stp>.SPX250620P5660</stp>
        <tr r="K107" s="2"/>
        <tr r="K107" s="2"/>
      </tp>
      <tp t="s">
        <v>N/A</v>
        <stp/>
        <stp>VOLUME</stp>
        <stp>.SPX250523P5650</stp>
        <tr r="H108" s="2"/>
      </tp>
      <tp t="s">
        <v>N/A</v>
        <stp/>
        <stp>VOLUME</stp>
        <stp>.SPX250815P5530</stp>
        <tr r="O120" s="2"/>
      </tp>
      <tp>
        <v>1666</v>
        <stp/>
        <stp>VOLUME</stp>
        <stp>.SPX250620C5670</stp>
        <tr r="K106" s="2"/>
        <tr r="K106" s="2"/>
      </tp>
      <tp t="s">
        <v>N/A</v>
        <stp/>
        <stp>VOLUME</stp>
        <stp>.SPX250523C5640</stp>
        <tr r="H109" s="2"/>
      </tp>
      <tp t="s">
        <v>N/A</v>
        <stp/>
        <stp>VOLUME</stp>
        <stp>.SPX250815C5520</stp>
        <tr r="O121" s="2"/>
      </tp>
      <tp t="s">
        <v>N/A</v>
        <stp/>
        <stp>VOLUME</stp>
        <stp>.SPX251121C5660</stp>
        <tr r="U107" s="2"/>
      </tp>
      <tp>
        <v>5</v>
        <stp/>
        <stp>VOLUME</stp>
        <stp>.SPX251017C5500</stp>
        <tr r="S123" s="2"/>
        <tr r="S123" s="2"/>
      </tp>
      <tp t="s">
        <v>N/A</v>
        <stp/>
        <stp>VOLUME</stp>
        <stp>.SPX251121P5660</stp>
        <tr r="U107" s="2"/>
      </tp>
      <tp>
        <v>11</v>
        <stp/>
        <stp>VOLUME</stp>
        <stp>.SPX251017P5500</stp>
        <tr r="S123" s="2"/>
        <tr r="S123" s="2"/>
      </tp>
      <tp>
        <v>1714</v>
        <stp/>
        <stp>VOLUME</stp>
        <stp>.SPX250620P5670</stp>
        <tr r="K106" s="2"/>
        <tr r="K106" s="2"/>
      </tp>
      <tp t="s">
        <v>N/A</v>
        <stp/>
        <stp>VOLUME</stp>
        <stp>.SPX250523P5640</stp>
        <tr r="H109" s="2"/>
      </tp>
      <tp>
        <v>14</v>
        <stp/>
        <stp>VOLUME</stp>
        <stp>.SPX250815P5520</stp>
        <tr r="O121" s="2"/>
        <tr r="O121" s="2"/>
      </tp>
      <tp t="s">
        <v>N/A</v>
        <stp/>
        <stp>VOLUME</stp>
        <stp>.SPX250620C5640</stp>
        <tr r="K109" s="2"/>
      </tp>
      <tp t="s">
        <v>N/A</v>
        <stp/>
        <stp>VOLUME</stp>
        <stp>.SPX250523C5670</stp>
        <tr r="H106" s="2"/>
      </tp>
      <tp t="s">
        <v>N/A</v>
        <stp/>
        <stp>VOLUME</stp>
        <stp>.SPX250815C5510</stp>
        <tr r="O122" s="2"/>
      </tp>
      <tp>
        <v>2</v>
        <stp/>
        <stp>VOLUME</stp>
        <stp>.SPX251121C5650</stp>
        <tr r="U108" s="2"/>
        <tr r="U108" s="2"/>
      </tp>
      <tp t="s">
        <v>N/A</v>
        <stp/>
        <stp>VOLUME</stp>
        <stp>.SPX251017C5530</stp>
        <tr r="S120" s="2"/>
      </tp>
      <tp>
        <v>17</v>
        <stp/>
        <stp>VOLUME</stp>
        <stp>.SPX251121P5650</stp>
        <tr r="U108" s="2"/>
        <tr r="U108" s="2"/>
      </tp>
      <tp>
        <v>3</v>
        <stp/>
        <stp>VOLUME</stp>
        <stp>.SPX251017P5530</stp>
        <tr r="S120" s="2"/>
        <tr r="S120" s="2"/>
      </tp>
      <tp>
        <v>20</v>
        <stp/>
        <stp>VOLUME</stp>
        <stp>.SPX250620P5640</stp>
        <tr r="K109" s="2"/>
        <tr r="K109" s="2"/>
      </tp>
      <tp t="s">
        <v>N/A</v>
        <stp/>
        <stp>VOLUME</stp>
        <stp>.SPX250523P5670</stp>
        <tr r="H106" s="2"/>
      </tp>
      <tp>
        <v>14</v>
        <stp/>
        <stp>VOLUME</stp>
        <stp>.SPX250815P5510</stp>
        <tr r="O122" s="2"/>
        <tr r="O122" s="2"/>
      </tp>
      <tp>
        <v>562</v>
        <stp/>
        <stp>VOLUME</stp>
        <stp>.SPX250620C5650</stp>
        <tr r="K108" s="2"/>
        <tr r="K108" s="2"/>
      </tp>
      <tp t="s">
        <v>N/A</v>
        <stp/>
        <stp>VOLUME</stp>
        <stp>.SPX250523C5660</stp>
        <tr r="H107" s="2"/>
      </tp>
      <tp>
        <v>3</v>
        <stp/>
        <stp>VOLUME</stp>
        <stp>.SPX250815C5500</stp>
        <tr r="O123" s="2"/>
        <tr r="O123" s="2"/>
      </tp>
      <tp t="s">
        <v>N/A</v>
        <stp/>
        <stp>VOLUME</stp>
        <stp>.SPX251121C5640</stp>
        <tr r="U109" s="2"/>
      </tp>
      <tp t="s">
        <v>N/A</v>
        <stp/>
        <stp>VOLUME</stp>
        <stp>.SPX251017C5520</stp>
        <tr r="S121" s="2"/>
      </tp>
      <tp t="s">
        <v>N/A</v>
        <stp/>
        <stp>VOLUME</stp>
        <stp>.SPX251121P5640</stp>
        <tr r="U109" s="2"/>
      </tp>
      <tp t="s">
        <v>N/A</v>
        <stp/>
        <stp>VOLUME</stp>
        <stp>.SPX251017P5520</stp>
        <tr r="S121" s="2"/>
      </tp>
      <tp>
        <v>964</v>
        <stp/>
        <stp>VOLUME</stp>
        <stp>.SPX250620P5650</stp>
        <tr r="K108" s="2"/>
        <tr r="K108" s="2"/>
      </tp>
      <tp t="s">
        <v>N/A</v>
        <stp/>
        <stp>VOLUME</stp>
        <stp>.SPX250523P5660</stp>
        <tr r="H107" s="2"/>
      </tp>
      <tp>
        <v>11</v>
        <stp/>
        <stp>VOLUME</stp>
        <stp>.SPX250815P5500</stp>
        <tr r="O123" s="2"/>
        <tr r="O123" s="2"/>
      </tp>
      <tp>
        <v>1</v>
        <stp/>
        <stp>VOLUME</stp>
        <stp>.SPX250620C5620</stp>
        <tr r="K111" s="2"/>
        <tr r="K111" s="2"/>
      </tp>
      <tp t="s">
        <v>N/A</v>
        <stp/>
        <stp>VOLUME</stp>
        <stp>.SPX250523C5610</stp>
        <tr r="H112" s="2"/>
      </tp>
      <tp t="s">
        <v>N/A</v>
        <stp/>
        <stp>VOLUME</stp>
        <stp>.SPX250815C5570</stp>
        <tr r="O116" s="2"/>
      </tp>
      <tp t="s">
        <v>N/A</v>
        <stp/>
        <stp>VOLUME</stp>
        <stp>.SPX251121C5630</stp>
        <tr r="U110" s="2"/>
      </tp>
      <tp t="s">
        <v>N/A</v>
        <stp/>
        <stp>VOLUME</stp>
        <stp>.SPX251017C5550</stp>
        <tr r="S118" s="2"/>
      </tp>
      <tp t="s">
        <v>N/A</v>
        <stp/>
        <stp>VOLUME</stp>
        <stp>.SPX251121P5630</stp>
        <tr r="U110" s="2"/>
      </tp>
      <tp>
        <v>7</v>
        <stp/>
        <stp>VOLUME</stp>
        <stp>.SPX251017P5550</stp>
        <tr r="S118" s="2"/>
        <tr r="S118" s="2"/>
      </tp>
      <tp>
        <v>12</v>
        <stp/>
        <stp>VOLUME</stp>
        <stp>.SPX250620P5620</stp>
        <tr r="K111" s="2"/>
        <tr r="K111" s="2"/>
      </tp>
      <tp t="s">
        <v>N/A</v>
        <stp/>
        <stp>VOLUME</stp>
        <stp>.SPX250523P5610</stp>
        <tr r="H112" s="2"/>
      </tp>
      <tp t="s">
        <v>N/A</v>
        <stp/>
        <stp>VOLUME</stp>
        <stp>.SPX250815P5570</stp>
        <tr r="O116" s="2"/>
      </tp>
      <tp>
        <v>1</v>
        <stp/>
        <stp>VOLUME</stp>
        <stp>.SPX250620C5630</stp>
        <tr r="K110" s="2"/>
        <tr r="K110" s="2"/>
      </tp>
      <tp t="s">
        <v>N/A</v>
        <stp/>
        <stp>VOLUME</stp>
        <stp>.SPX250523C5600</stp>
        <tr r="H113" s="2"/>
      </tp>
      <tp>
        <v>1</v>
        <stp/>
        <stp>VOLUME</stp>
        <stp>.SPX250815C5560</stp>
        <tr r="O117" s="2"/>
        <tr r="O117" s="2"/>
      </tp>
      <tp t="s">
        <v>N/A</v>
        <stp/>
        <stp>VOLUME</stp>
        <stp>.SPX251121C5620</stp>
        <tr r="U111" s="2"/>
      </tp>
      <tp t="s">
        <v>N/A</v>
        <stp/>
        <stp>VOLUME</stp>
        <stp>.SPX251017C5540</stp>
        <tr r="S119" s="2"/>
      </tp>
      <tp t="s">
        <v>N/A</v>
        <stp/>
        <stp>VOLUME</stp>
        <stp>.SPX251121P5620</stp>
        <tr r="U111" s="2"/>
      </tp>
      <tp t="s">
        <v>N/A</v>
        <stp/>
        <stp>VOLUME</stp>
        <stp>.SPX251017P5540</stp>
        <tr r="S119" s="2"/>
      </tp>
      <tp>
        <v>9</v>
        <stp/>
        <stp>VOLUME</stp>
        <stp>.SPX250620P5630</stp>
        <tr r="K110" s="2"/>
        <tr r="K110" s="2"/>
      </tp>
      <tp t="s">
        <v>N/A</v>
        <stp/>
        <stp>VOLUME</stp>
        <stp>.SPX250523P5600</stp>
        <tr r="H113" s="2"/>
      </tp>
      <tp>
        <v>10</v>
        <stp/>
        <stp>VOLUME</stp>
        <stp>.SPX250815P5560</stp>
        <tr r="O117" s="2"/>
        <tr r="O117" s="2"/>
      </tp>
      <tp t="s">
        <v>N/A</v>
        <stp/>
        <stp>VOLUME</stp>
        <stp>.SPX250718C5580</stp>
        <tr r="M115" s="2"/>
      </tp>
      <tp>
        <v>700</v>
        <stp/>
        <stp>VOLUME</stp>
        <stp>.SPX250620C5600</stp>
        <tr r="K113" s="2"/>
        <tr r="K113" s="2"/>
      </tp>
      <tp t="s">
        <v>N/A</v>
        <stp/>
        <stp>VOLUME</stp>
        <stp>.SPX250523C5630</stp>
        <tr r="H110" s="2"/>
      </tp>
      <tp t="s">
        <v>N/A</v>
        <stp/>
        <stp>VOLUME</stp>
        <stp>.SPX250919C5590</stp>
        <tr r="Q114" s="2"/>
      </tp>
      <tp>
        <v>1</v>
        <stp/>
        <stp>VOLUME</stp>
        <stp>.SPX250815C5550</stp>
        <tr r="O118" s="2"/>
        <tr r="O118" s="2"/>
      </tp>
      <tp t="s">
        <v>N/A</v>
        <stp/>
        <stp>VOLUME</stp>
        <stp>.SPX251219C5590</stp>
        <tr r="W114" s="2"/>
      </tp>
      <tp t="s">
        <v>N/A</v>
        <stp/>
        <stp>VOLUME</stp>
        <stp>.SPX251121C5610</stp>
        <tr r="U112" s="2"/>
      </tp>
      <tp t="s">
        <v>N/A</v>
        <stp/>
        <stp>VOLUME</stp>
        <stp>.SPX251017C5570</stp>
        <tr r="S116" s="2"/>
      </tp>
      <tp t="s">
        <v>N/A</v>
        <stp/>
        <stp>VOLUME</stp>
        <stp>.SPX251219P5590</stp>
        <tr r="W114" s="2"/>
      </tp>
      <tp t="s">
        <v>N/A</v>
        <stp/>
        <stp>VOLUME</stp>
        <stp>.SPX251121P5610</stp>
        <tr r="U112" s="2"/>
      </tp>
      <tp t="s">
        <v>N/A</v>
        <stp/>
        <stp>VOLUME</stp>
        <stp>.SPX251017P5570</stp>
        <tr r="S116" s="2"/>
      </tp>
      <tp>
        <v>52</v>
        <stp/>
        <stp>VOLUME</stp>
        <stp>.SPX250718P5580</stp>
        <tr r="M115" s="2"/>
        <tr r="M115" s="2"/>
      </tp>
      <tp>
        <v>1322</v>
        <stp/>
        <stp>VOLUME</stp>
        <stp>.SPX250620P5600</stp>
        <tr r="K113" s="2"/>
        <tr r="K113" s="2"/>
      </tp>
      <tp t="s">
        <v>N/A</v>
        <stp/>
        <stp>VOLUME</stp>
        <stp>.SPX250523P5630</stp>
        <tr r="H110" s="2"/>
      </tp>
      <tp>
        <v>1</v>
        <stp/>
        <stp>VOLUME</stp>
        <stp>.SPX250919P5590</stp>
        <tr r="Q114" s="2"/>
        <tr r="Q114" s="2"/>
      </tp>
      <tp>
        <v>2518</v>
        <stp/>
        <stp>VOLUME</stp>
        <stp>.SPX250815P5550</stp>
        <tr r="O118" s="2"/>
        <tr r="O118" s="2"/>
      </tp>
      <tp t="s">
        <v>N/A</v>
        <stp/>
        <stp>VOLUME</stp>
        <stp>.SPX250718C5590</stp>
        <tr r="M114" s="2"/>
      </tp>
      <tp>
        <v>4</v>
        <stp/>
        <stp>VOLUME</stp>
        <stp>.SPX250620C5610</stp>
        <tr r="K112" s="2"/>
        <tr r="K112" s="2"/>
      </tp>
      <tp t="s">
        <v>N/A</v>
        <stp/>
        <stp>VOLUME</stp>
        <stp>.SPX250523C5620</stp>
        <tr r="H111" s="2"/>
      </tp>
      <tp t="s">
        <v>N/A</v>
        <stp/>
        <stp>VOLUME</stp>
        <stp>.SPX250919C5580</stp>
        <tr r="Q115" s="2"/>
      </tp>
      <tp t="s">
        <v>N/A</v>
        <stp/>
        <stp>VOLUME</stp>
        <stp>.SPX250815C5540</stp>
        <tr r="O119" s="2"/>
      </tp>
      <tp t="s">
        <v>N/A</v>
        <stp/>
        <stp>VOLUME</stp>
        <stp>.SPX251219C5580</stp>
        <tr r="W115" s="2"/>
      </tp>
      <tp>
        <v>193</v>
        <stp/>
        <stp>VOLUME</stp>
        <stp>.SPX251121C5600</stp>
        <tr r="U113" s="2"/>
        <tr r="U113" s="2"/>
      </tp>
      <tp t="s">
        <v>N/A</v>
        <stp/>
        <stp>VOLUME</stp>
        <stp>.SPX251017C5560</stp>
        <tr r="S117" s="2"/>
      </tp>
      <tp t="s">
        <v>N/A</v>
        <stp/>
        <stp>VOLUME</stp>
        <stp>.SPX251219P5580</stp>
        <tr r="W115" s="2"/>
      </tp>
      <tp>
        <v>191</v>
        <stp/>
        <stp>VOLUME</stp>
        <stp>.SPX251121P5600</stp>
        <tr r="U113" s="2"/>
        <tr r="U113" s="2"/>
      </tp>
      <tp t="s">
        <v>N/A</v>
        <stp/>
        <stp>VOLUME</stp>
        <stp>.SPX251017P5560</stp>
        <tr r="S117" s="2"/>
      </tp>
      <tp>
        <v>66</v>
        <stp/>
        <stp>VOLUME</stp>
        <stp>.SPX250718P5590</stp>
        <tr r="M114" s="2"/>
        <tr r="M114" s="2"/>
      </tp>
      <tp>
        <v>4</v>
        <stp/>
        <stp>VOLUME</stp>
        <stp>.SPX250620P5610</stp>
        <tr r="K112" s="2"/>
        <tr r="K112" s="2"/>
      </tp>
      <tp t="s">
        <v>N/A</v>
        <stp/>
        <stp>VOLUME</stp>
        <stp>.SPX250523P5620</stp>
        <tr r="H111" s="2"/>
      </tp>
      <tp t="s">
        <v>N/A</v>
        <stp/>
        <stp>VOLUME</stp>
        <stp>.SPX250919P5580</stp>
        <tr r="Q115" s="2"/>
      </tp>
      <tp>
        <v>5</v>
        <stp/>
        <stp>VOLUME</stp>
        <stp>.SPX250815P5540</stp>
        <tr r="O119" s="2"/>
        <tr r="O119" s="2"/>
      </tp>
      <tp t="s">
        <v>N/A</v>
        <stp/>
        <stp>VOLUME</stp>
        <stp>.SPX250718C5560</stp>
        <tr r="M117" s="2"/>
      </tp>
      <tp t="s">
        <v>N/A</v>
        <stp/>
        <stp>VOLUME</stp>
        <stp>.SPX250919C5570</stp>
        <tr r="Q116" s="2"/>
      </tp>
      <tp t="s">
        <v>N/A</v>
        <stp/>
        <stp>VOLUME</stp>
        <stp>.SPX251219C5570</stp>
        <tr r="W116" s="2"/>
      </tp>
      <tp t="s">
        <v>N/A</v>
        <stp/>
        <stp>VOLUME</stp>
        <stp>.SPX251017C5590</stp>
        <tr r="S114" s="2"/>
      </tp>
      <tp t="s">
        <v>N/A</v>
        <stp/>
        <stp>VOLUME</stp>
        <stp>.SPX251219P5570</stp>
        <tr r="W116" s="2"/>
      </tp>
      <tp>
        <v>6</v>
        <stp/>
        <stp>VOLUME</stp>
        <stp>.SPX251017P5590</stp>
        <tr r="S114" s="2"/>
        <tr r="S114" s="2"/>
      </tp>
      <tp t="s">
        <v>N/A</v>
        <stp/>
        <stp>VOLUME</stp>
        <stp>.SPX250718P5560</stp>
        <tr r="M117" s="2"/>
      </tp>
      <tp t="s">
        <v>N/A</v>
        <stp/>
        <stp>VOLUME</stp>
        <stp>.SPX250919P5570</stp>
        <tr r="Q116" s="2"/>
      </tp>
      <tp t="s">
        <v>N/A</v>
        <stp/>
        <stp>VOLUME</stp>
        <stp>.SPX250718C5570</stp>
        <tr r="M116" s="2"/>
      </tp>
      <tp t="s">
        <v>N/A</v>
        <stp/>
        <stp>VOLUME</stp>
        <stp>.SPX250919C5560</stp>
        <tr r="Q117" s="2"/>
      </tp>
      <tp t="s">
        <v>N/A</v>
        <stp/>
        <stp>VOLUME</stp>
        <stp>.SPX251219C5560</stp>
        <tr r="W117" s="2"/>
      </tp>
      <tp t="s">
        <v>N/A</v>
        <stp/>
        <stp>VOLUME</stp>
        <stp>.SPX251017C5580</stp>
        <tr r="S115" s="2"/>
      </tp>
      <tp t="s">
        <v>N/A</v>
        <stp/>
        <stp>VOLUME</stp>
        <stp>.SPX251219P5560</stp>
        <tr r="W117" s="2"/>
      </tp>
      <tp>
        <v>36</v>
        <stp/>
        <stp>VOLUME</stp>
        <stp>.SPX251017P5580</stp>
        <tr r="S115" s="2"/>
        <tr r="S115" s="2"/>
      </tp>
      <tp t="s">
        <v>N/A</v>
        <stp/>
        <stp>VOLUME</stp>
        <stp>.SPX250718P5570</stp>
        <tr r="M116" s="2"/>
      </tp>
      <tp t="s">
        <v>N/A</v>
        <stp/>
        <stp>VOLUME</stp>
        <stp>.SPX250919P5560</stp>
        <tr r="Q117" s="2"/>
      </tp>
      <tp t="s">
        <v>N/A</v>
        <stp/>
        <stp>VOLUME</stp>
        <stp>.SPX250718C5540</stp>
        <tr r="M119" s="2"/>
      </tp>
      <tp t="s">
        <v>N/A</v>
        <stp/>
        <stp>VOLUME</stp>
        <stp>.SPX250919C5550</stp>
        <tr r="Q118" s="2"/>
      </tp>
      <tp t="s">
        <v>N/A</v>
        <stp/>
        <stp>VOLUME</stp>
        <stp>.SPX250815C5590</stp>
        <tr r="O114" s="2"/>
      </tp>
      <tp>
        <v>200</v>
        <stp/>
        <stp>VOLUME</stp>
        <stp>.SPX251219C5550</stp>
        <tr r="W118" s="2"/>
        <tr r="W118" s="2"/>
      </tp>
      <tp>
        <v>12</v>
        <stp/>
        <stp>VOLUME</stp>
        <stp>.SPX251219P5550</stp>
        <tr r="W118" s="2"/>
        <tr r="W118" s="2"/>
      </tp>
      <tp>
        <v>5</v>
        <stp/>
        <stp>VOLUME</stp>
        <stp>.SPX250718P5540</stp>
        <tr r="M119" s="2"/>
        <tr r="M119" s="2"/>
      </tp>
      <tp>
        <v>156</v>
        <stp/>
        <stp>VOLUME</stp>
        <stp>.SPX250919P5550</stp>
        <tr r="Q118" s="2"/>
        <tr r="Q118" s="2"/>
      </tp>
      <tp t="s">
        <v>N/A</v>
        <stp/>
        <stp>VOLUME</stp>
        <stp>.SPX250815P5590</stp>
        <tr r="O114" s="2"/>
      </tp>
      <tp t="s">
        <v>N/A</v>
        <stp/>
        <stp>VOLUME</stp>
        <stp>.SPX250718C5550</stp>
        <tr r="M118" s="2"/>
      </tp>
      <tp t="s">
        <v>N/A</v>
        <stp/>
        <stp>VOLUME</stp>
        <stp>.SPX250919C5540</stp>
        <tr r="Q119" s="2"/>
      </tp>
      <tp t="s">
        <v>N/A</v>
        <stp/>
        <stp>VOLUME</stp>
        <stp>.SPX250815C5580</stp>
        <tr r="O115" s="2"/>
      </tp>
      <tp t="s">
        <v>N/A</v>
        <stp/>
        <stp>VOLUME</stp>
        <stp>.SPX251219C5540</stp>
        <tr r="W119" s="2"/>
      </tp>
      <tp t="s">
        <v>N/A</v>
        <stp/>
        <stp>VOLUME</stp>
        <stp>.SPX251219P5540</stp>
        <tr r="W119" s="2"/>
      </tp>
      <tp>
        <v>22</v>
        <stp/>
        <stp>VOLUME</stp>
        <stp>.SPX250718P5550</stp>
        <tr r="M118" s="2"/>
        <tr r="M118" s="2"/>
      </tp>
      <tp t="s">
        <v>N/A</v>
        <stp/>
        <stp>VOLUME</stp>
        <stp>.SPX250919P5540</stp>
        <tr r="Q119" s="2"/>
      </tp>
      <tp>
        <v>5</v>
        <stp/>
        <stp>VOLUME</stp>
        <stp>.SPX250815P5580</stp>
        <tr r="O115" s="2"/>
        <tr r="O115" s="2"/>
      </tp>
      <tp t="s">
        <v>N/A</v>
        <stp/>
        <stp>VOLUME</stp>
        <stp>.SPX250718C5520</stp>
        <tr r="M121" s="2"/>
      </tp>
      <tp t="s">
        <v>N/A</v>
        <stp/>
        <stp>VOLUME</stp>
        <stp>.SPX250523C5690</stp>
        <tr r="H104" s="2"/>
      </tp>
      <tp t="s">
        <v>N/A</v>
        <stp/>
        <stp>VOLUME</stp>
        <stp>.SPX250919C5530</stp>
        <tr r="Q120" s="2"/>
      </tp>
      <tp t="s">
        <v>N/A</v>
        <stp/>
        <stp>VOLUME</stp>
        <stp>.SPX251219C5530</stp>
        <tr r="W120" s="2"/>
      </tp>
      <tp t="s">
        <v>N/A</v>
        <stp/>
        <stp>VOLUME</stp>
        <stp>.SPX251219P5530</stp>
        <tr r="W120" s="2"/>
      </tp>
      <tp>
        <v>5</v>
        <stp/>
        <stp>VOLUME</stp>
        <stp>.SPX250718P5520</stp>
        <tr r="M121" s="2"/>
        <tr r="M121" s="2"/>
      </tp>
      <tp t="s">
        <v>N/A</v>
        <stp/>
        <stp>VOLUME</stp>
        <stp>.SPX250523P5690</stp>
        <tr r="H104" s="2"/>
      </tp>
      <tp t="s">
        <v>N/A</v>
        <stp/>
        <stp>VOLUME</stp>
        <stp>.SPX250919P5530</stp>
        <tr r="Q120" s="2"/>
      </tp>
      <tp t="s">
        <v>N/A</v>
        <stp/>
        <stp>VOLUME</stp>
        <stp>.SPX250718C5530</stp>
        <tr r="M120" s="2"/>
      </tp>
      <tp t="s">
        <v>N/A</v>
        <stp/>
        <stp>VOLUME</stp>
        <stp>.SPX250523C5680</stp>
        <tr r="H105" s="2"/>
      </tp>
      <tp t="s">
        <v>N/A</v>
        <stp/>
        <stp>VOLUME</stp>
        <stp>.SPX250919C5520</stp>
        <tr r="Q121" s="2"/>
      </tp>
      <tp t="s">
        <v>N/A</v>
        <stp/>
        <stp>VOLUME</stp>
        <stp>.SPX251219C5520</stp>
        <tr r="W121" s="2"/>
      </tp>
      <tp t="s">
        <v>N/A</v>
        <stp/>
        <stp>VOLUME</stp>
        <stp>.SPX251219P5520</stp>
        <tr r="W121" s="2"/>
      </tp>
      <tp>
        <v>19</v>
        <stp/>
        <stp>VOLUME</stp>
        <stp>.SPX250718P5530</stp>
        <tr r="M120" s="2"/>
        <tr r="M120" s="2"/>
      </tp>
      <tp t="s">
        <v>N/A</v>
        <stp/>
        <stp>VOLUME</stp>
        <stp>.SPX250523P5680</stp>
        <tr r="H105" s="2"/>
      </tp>
      <tp>
        <v>1</v>
        <stp/>
        <stp>VOLUME</stp>
        <stp>.SPX250919P5520</stp>
        <tr r="Q121" s="2"/>
        <tr r="Q121" s="2"/>
      </tp>
      <tp>
        <v>3</v>
        <stp/>
        <stp>VOLUME</stp>
        <stp>.SPX250718C5500</stp>
        <tr r="M123" s="2"/>
        <tr r="M123" s="2"/>
      </tp>
      <tp>
        <v>3330</v>
        <stp/>
        <stp>VOLUME</stp>
        <stp>.SPX250620C5680</stp>
        <tr r="K105" s="2"/>
        <tr r="K105" s="2"/>
      </tp>
      <tp t="s">
        <v>N/A</v>
        <stp/>
        <stp>VOLUME</stp>
        <stp>.SPX250919C5510</stp>
        <tr r="Q122" s="2"/>
      </tp>
      <tp t="s">
        <v>N/A</v>
        <stp/>
        <stp>VOLUME</stp>
        <stp>.SPX251219C5510</stp>
        <tr r="W122" s="2"/>
      </tp>
      <tp t="s">
        <v>N/A</v>
        <stp/>
        <stp>VOLUME</stp>
        <stp>.SPX251121C5690</stp>
        <tr r="U104" s="2"/>
      </tp>
      <tp t="s">
        <v>N/A</v>
        <stp/>
        <stp>VOLUME</stp>
        <stp>.SPX251219P5510</stp>
        <tr r="W122" s="2"/>
      </tp>
      <tp t="s">
        <v>N/A</v>
        <stp/>
        <stp>VOLUME</stp>
        <stp>.SPX251121P5690</stp>
        <tr r="U104" s="2"/>
      </tp>
      <tp>
        <v>201</v>
        <stp/>
        <stp>VOLUME</stp>
        <stp>.SPX250718P5500</stp>
        <tr r="M123" s="2"/>
        <tr r="M123" s="2"/>
      </tp>
      <tp>
        <v>3349</v>
        <stp/>
        <stp>VOLUME</stp>
        <stp>.SPX250620P5680</stp>
        <tr r="K105" s="2"/>
        <tr r="K105" s="2"/>
      </tp>
      <tp t="s">
        <v>N/A</v>
        <stp/>
        <stp>VOLUME</stp>
        <stp>.SPX250919P5510</stp>
        <tr r="Q122" s="2"/>
      </tp>
      <tp t="s">
        <v>N/A</v>
        <stp/>
        <stp>VOLUME</stp>
        <stp>.SPX250718C5510</stp>
        <tr r="M122" s="2"/>
      </tp>
      <tp>
        <v>667</v>
        <stp/>
        <stp>VOLUME</stp>
        <stp>.SPX250620C5690</stp>
        <tr r="K104" s="2"/>
        <tr r="K104" s="2"/>
      </tp>
      <tp>
        <v>103</v>
        <stp/>
        <stp>VOLUME</stp>
        <stp>.SPX250919C5500</stp>
        <tr r="Q123" s="2"/>
        <tr r="Q123" s="2"/>
      </tp>
      <tp>
        <v>15</v>
        <stp/>
        <stp>VOLUME</stp>
        <stp>.SPX251219C5500</stp>
        <tr r="W123" s="2"/>
        <tr r="W123" s="2"/>
      </tp>
      <tp t="s">
        <v>N/A</v>
        <stp/>
        <stp>VOLUME</stp>
        <stp>.SPX251121C5680</stp>
        <tr r="U105" s="2"/>
      </tp>
      <tp>
        <v>77</v>
        <stp/>
        <stp>VOLUME</stp>
        <stp>.SPX251219P5500</stp>
        <tr r="W123" s="2"/>
        <tr r="W123" s="2"/>
      </tp>
      <tp t="s">
        <v>N/A</v>
        <stp/>
        <stp>VOLUME</stp>
        <stp>.SPX251121P5680</stp>
        <tr r="U105" s="2"/>
      </tp>
      <tp>
        <v>11</v>
        <stp/>
        <stp>VOLUME</stp>
        <stp>.SPX250718P5510</stp>
        <tr r="M122" s="2"/>
        <tr r="M122" s="2"/>
      </tp>
      <tp>
        <v>804</v>
        <stp/>
        <stp>VOLUME</stp>
        <stp>.SPX250620P5690</stp>
        <tr r="K104" s="2"/>
        <tr r="K104" s="2"/>
      </tp>
      <tp>
        <v>24</v>
        <stp/>
        <stp>VOLUME</stp>
        <stp>.SPX250919P5500</stp>
        <tr r="Q123" s="2"/>
        <tr r="Q123" s="2"/>
      </tp>
      <tp t="s">
        <v>27.87%</v>
        <stp/>
        <stp>IMPL_VOL</stp>
        <stp>.NDX250516C19500</stp>
        <tr r="EP175" s="1"/>
      </tp>
      <tp t="s">
        <v>27.87%</v>
        <stp/>
        <stp>IMPL_VOL</stp>
        <stp>.NDX250516C19525</stp>
        <tr r="EP174" s="1"/>
      </tp>
      <tp t="s">
        <v>27.85%</v>
        <stp/>
        <stp>IMPL_VOL</stp>
        <stp>.NDX250516C19550</stp>
        <tr r="EP173" s="1"/>
      </tp>
      <tp t="s">
        <v>27.84%</v>
        <stp/>
        <stp>IMPL_VOL</stp>
        <stp>.NDX250516C19575</stp>
        <tr r="EP172" s="1"/>
      </tp>
      <tp t="s">
        <v>29.87%</v>
        <stp/>
        <stp>IMPL_VOL</stp>
        <stp>.NDX250516P19525</stp>
        <tr r="EQ174" s="1"/>
      </tp>
      <tp t="s">
        <v>29.95%</v>
        <stp/>
        <stp>IMPL_VOL</stp>
        <stp>.NDX250516P19500</stp>
        <tr r="EQ175" s="1"/>
      </tp>
      <tp t="s">
        <v>29.77%</v>
        <stp/>
        <stp>IMPL_VOL</stp>
        <stp>.NDX250516P19575</stp>
        <tr r="EQ172" s="1"/>
      </tp>
      <tp t="s">
        <v>29.79%</v>
        <stp/>
        <stp>IMPL_VOL</stp>
        <stp>.NDX250516P19550</stp>
        <tr r="EQ173" s="1"/>
      </tp>
      <tp>
        <v>14</v>
        <stp/>
        <stp>VOLUME</stp>
        <stp>.SPX250620C5560</stp>
        <tr r="K117" s="2"/>
        <tr r="K117" s="2"/>
      </tp>
      <tp t="s">
        <v>N/A</v>
        <stp/>
        <stp>VOLUME</stp>
        <stp>.SPX250523C5550</stp>
        <tr r="H118" s="2"/>
      </tp>
      <tp>
        <v>19</v>
        <stp/>
        <stp>VOLUME</stp>
        <stp>.SPX250815C5630</stp>
        <tr r="O110" s="2"/>
        <tr r="O110" s="2"/>
      </tp>
      <tp t="s">
        <v>N/A</v>
        <stp/>
        <stp>VOLUME</stp>
        <stp>.SPX251121C5570</stp>
        <tr r="U116" s="2"/>
      </tp>
      <tp t="s">
        <v>N/A</v>
        <stp/>
        <stp>VOLUME</stp>
        <stp>.SPX251017C5610</stp>
        <tr r="S112" s="2"/>
      </tp>
      <tp t="s">
        <v>N/A</v>
        <stp/>
        <stp>VOLUME</stp>
        <stp>.SPX251121P5570</stp>
        <tr r="U116" s="2"/>
      </tp>
      <tp>
        <v>1</v>
        <stp/>
        <stp>VOLUME</stp>
        <stp>.SPX251017P5610</stp>
        <tr r="S112" s="2"/>
        <tr r="S112" s="2"/>
      </tp>
      <tp>
        <v>235</v>
        <stp/>
        <stp>VOLUME</stp>
        <stp>.SPX250620P5560</stp>
        <tr r="K117" s="2"/>
        <tr r="K117" s="2"/>
      </tp>
      <tp t="s">
        <v>N/A</v>
        <stp/>
        <stp>VOLUME</stp>
        <stp>.SPX250523P5550</stp>
        <tr r="H118" s="2"/>
      </tp>
      <tp t="s">
        <v>N/A</v>
        <stp/>
        <stp>VOLUME</stp>
        <stp>.SPX250815P5630</stp>
        <tr r="O110" s="2"/>
      </tp>
      <tp>
        <v>11</v>
        <stp/>
        <stp>VOLUME</stp>
        <stp>.SPX250620C5570</stp>
        <tr r="K116" s="2"/>
        <tr r="K116" s="2"/>
      </tp>
      <tp t="s">
        <v>N/A</v>
        <stp/>
        <stp>VOLUME</stp>
        <stp>.SPX250523C5540</stp>
        <tr r="H119" s="2"/>
      </tp>
      <tp>
        <v>10</v>
        <stp/>
        <stp>VOLUME</stp>
        <stp>.SPX250815C5620</stp>
        <tr r="O111" s="2"/>
        <tr r="O111" s="2"/>
      </tp>
      <tp t="s">
        <v>N/A</v>
        <stp/>
        <stp>VOLUME</stp>
        <stp>.SPX251121C5560</stp>
        <tr r="U117" s="2"/>
      </tp>
      <tp>
        <v>100</v>
        <stp/>
        <stp>VOLUME</stp>
        <stp>.SPX251017C5600</stp>
        <tr r="S113" s="2"/>
        <tr r="S113" s="2"/>
      </tp>
      <tp t="s">
        <v>N/A</v>
        <stp/>
        <stp>VOLUME</stp>
        <stp>.SPX251121P5560</stp>
        <tr r="U117" s="2"/>
      </tp>
      <tp>
        <v>18</v>
        <stp/>
        <stp>VOLUME</stp>
        <stp>.SPX251017P5600</stp>
        <tr r="S113" s="2"/>
        <tr r="S113" s="2"/>
      </tp>
      <tp>
        <v>11</v>
        <stp/>
        <stp>VOLUME</stp>
        <stp>.SPX250620P5570</stp>
        <tr r="K116" s="2"/>
        <tr r="K116" s="2"/>
      </tp>
      <tp t="s">
        <v>N/A</v>
        <stp/>
        <stp>VOLUME</stp>
        <stp>.SPX250523P5540</stp>
        <tr r="H119" s="2"/>
      </tp>
      <tp>
        <v>2</v>
        <stp/>
        <stp>VOLUME</stp>
        <stp>.SPX250815P5620</stp>
        <tr r="O111" s="2"/>
        <tr r="O111" s="2"/>
      </tp>
      <tp>
        <v>8</v>
        <stp/>
        <stp>VOLUME</stp>
        <stp>.SPX250620C5540</stp>
        <tr r="K119" s="2"/>
        <tr r="K119" s="2"/>
      </tp>
      <tp t="s">
        <v>N/A</v>
        <stp/>
        <stp>VOLUME</stp>
        <stp>.SPX250523C5570</stp>
        <tr r="H116" s="2"/>
      </tp>
      <tp t="s">
        <v>N/A</v>
        <stp/>
        <stp>VOLUME</stp>
        <stp>.SPX250815C5610</stp>
        <tr r="O112" s="2"/>
      </tp>
      <tp t="s">
        <v>N/A</v>
        <stp/>
        <stp>VOLUME</stp>
        <stp>.SPX251121C5550</stp>
        <tr r="U118" s="2"/>
      </tp>
      <tp t="s">
        <v>N/A</v>
        <stp/>
        <stp>VOLUME</stp>
        <stp>.SPX251017C5630</stp>
        <tr r="S110" s="2"/>
      </tp>
      <tp t="s">
        <v>N/A</v>
        <stp/>
        <stp>VOLUME</stp>
        <stp>.SPX251121P5550</stp>
        <tr r="U118" s="2"/>
      </tp>
      <tp t="s">
        <v>N/A</v>
        <stp/>
        <stp>VOLUME</stp>
        <stp>.SPX251017P5630</stp>
        <tr r="S110" s="2"/>
      </tp>
      <tp>
        <v>134</v>
        <stp/>
        <stp>VOLUME</stp>
        <stp>.SPX250620P5540</stp>
        <tr r="K119" s="2"/>
        <tr r="K119" s="2"/>
      </tp>
      <tp t="s">
        <v>N/A</v>
        <stp/>
        <stp>VOLUME</stp>
        <stp>.SPX250523P5570</stp>
        <tr r="H116" s="2"/>
      </tp>
      <tp>
        <v>8</v>
        <stp/>
        <stp>VOLUME</stp>
        <stp>.SPX250815P5610</stp>
        <tr r="O112" s="2"/>
        <tr r="O112" s="2"/>
      </tp>
      <tp>
        <v>20</v>
        <stp/>
        <stp>VOLUME</stp>
        <stp>.SPX250620C5550</stp>
        <tr r="K118" s="2"/>
        <tr r="K118" s="2"/>
      </tp>
      <tp t="s">
        <v>N/A</v>
        <stp/>
        <stp>VOLUME</stp>
        <stp>.SPX250523C5560</stp>
        <tr r="H117" s="2"/>
      </tp>
      <tp>
        <v>191</v>
        <stp/>
        <stp>VOLUME</stp>
        <stp>.SPX250815C5600</stp>
        <tr r="O113" s="2"/>
        <tr r="O113" s="2"/>
      </tp>
      <tp t="s">
        <v>N/A</v>
        <stp/>
        <stp>VOLUME</stp>
        <stp>.SPX251121C5540</stp>
        <tr r="U119" s="2"/>
      </tp>
      <tp t="s">
        <v>N/A</v>
        <stp/>
        <stp>VOLUME</stp>
        <stp>.SPX251017C5620</stp>
        <tr r="S111" s="2"/>
      </tp>
      <tp t="s">
        <v>N/A</v>
        <stp/>
        <stp>VOLUME</stp>
        <stp>.SPX251121P5540</stp>
        <tr r="U119" s="2"/>
      </tp>
      <tp t="s">
        <v>N/A</v>
        <stp/>
        <stp>VOLUME</stp>
        <stp>.SPX251017P5620</stp>
        <tr r="S111" s="2"/>
      </tp>
      <tp>
        <v>2623</v>
        <stp/>
        <stp>VOLUME</stp>
        <stp>.SPX250620P5550</stp>
        <tr r="K118" s="2"/>
        <tr r="K118" s="2"/>
      </tp>
      <tp t="s">
        <v>N/A</v>
        <stp/>
        <stp>VOLUME</stp>
        <stp>.SPX250523P5560</stp>
        <tr r="H117" s="2"/>
      </tp>
      <tp>
        <v>388</v>
        <stp/>
        <stp>VOLUME</stp>
        <stp>.SPX250815P5600</stp>
        <tr r="O113" s="2"/>
        <tr r="O113" s="2"/>
      </tp>
      <tp>
        <v>1</v>
        <stp/>
        <stp>VOLUME</stp>
        <stp>.SPX250620C5520</stp>
        <tr r="K121" s="2"/>
        <tr r="K121" s="2"/>
      </tp>
      <tp t="s">
        <v>N/A</v>
        <stp/>
        <stp>VOLUME</stp>
        <stp>.SPX250523C5510</stp>
        <tr r="H122" s="2"/>
      </tp>
      <tp t="s">
        <v>N/A</v>
        <stp/>
        <stp>VOLUME</stp>
        <stp>.SPX250815C5670</stp>
        <tr r="O106" s="2"/>
      </tp>
      <tp t="s">
        <v>N/A</v>
        <stp/>
        <stp>VOLUME</stp>
        <stp>.SPX251121C5530</stp>
        <tr r="U120" s="2"/>
      </tp>
      <tp t="s">
        <v>N/A</v>
        <stp/>
        <stp>VOLUME</stp>
        <stp>.SPX251017C5650</stp>
        <tr r="S108" s="2"/>
      </tp>
      <tp t="s">
        <v>N/A</v>
        <stp/>
        <stp>VOLUME</stp>
        <stp>.SPX251121P5530</stp>
        <tr r="U120" s="2"/>
      </tp>
      <tp t="s">
        <v>N/A</v>
        <stp/>
        <stp>VOLUME</stp>
        <stp>.SPX251017P5650</stp>
        <tr r="S108" s="2"/>
      </tp>
      <tp>
        <v>60</v>
        <stp/>
        <stp>VOLUME</stp>
        <stp>.SPX250620P5520</stp>
        <tr r="K121" s="2"/>
        <tr r="K121" s="2"/>
      </tp>
      <tp t="s">
        <v>N/A</v>
        <stp/>
        <stp>VOLUME</stp>
        <stp>.SPX250523P5510</stp>
        <tr r="H122" s="2"/>
      </tp>
      <tp t="s">
        <v>N/A</v>
        <stp/>
        <stp>VOLUME</stp>
        <stp>.SPX250815P5670</stp>
        <tr r="O106" s="2"/>
      </tp>
      <tp>
        <v>151</v>
        <stp/>
        <stp>VOLUME</stp>
        <stp>.SPX250620C5530</stp>
        <tr r="K120" s="2"/>
        <tr r="K120" s="2"/>
      </tp>
      <tp t="s">
        <v>N/A</v>
        <stp/>
        <stp>VOLUME</stp>
        <stp>.SPX250523C5500</stp>
        <tr r="H123" s="2"/>
      </tp>
      <tp>
        <v>2</v>
        <stp/>
        <stp>VOLUME</stp>
        <stp>.SPX250815C5660</stp>
        <tr r="O107" s="2"/>
        <tr r="O107" s="2"/>
      </tp>
      <tp t="s">
        <v>N/A</v>
        <stp/>
        <stp>VOLUME</stp>
        <stp>.SPX251121C5520</stp>
        <tr r="U121" s="2"/>
      </tp>
      <tp t="s">
        <v>N/A</v>
        <stp/>
        <stp>VOLUME</stp>
        <stp>.SPX251017C5640</stp>
        <tr r="S109" s="2"/>
      </tp>
      <tp t="s">
        <v>N/A</v>
        <stp/>
        <stp>VOLUME</stp>
        <stp>.SPX251121P5520</stp>
        <tr r="U121" s="2"/>
      </tp>
      <tp t="s">
        <v>N/A</v>
        <stp/>
        <stp>VOLUME</stp>
        <stp>.SPX251017P5640</stp>
        <tr r="S109" s="2"/>
      </tp>
      <tp>
        <v>29</v>
        <stp/>
        <stp>VOLUME</stp>
        <stp>.SPX250620P5530</stp>
        <tr r="K120" s="2"/>
        <tr r="K120" s="2"/>
      </tp>
      <tp t="s">
        <v>N/A</v>
        <stp/>
        <stp>VOLUME</stp>
        <stp>.SPX250523P5500</stp>
        <tr r="H123" s="2"/>
      </tp>
      <tp>
        <v>1</v>
        <stp/>
        <stp>VOLUME</stp>
        <stp>.SPX250815P5660</stp>
        <tr r="O107" s="2"/>
        <tr r="O107" s="2"/>
      </tp>
      <tp>
        <v>106</v>
        <stp/>
        <stp>VOLUME</stp>
        <stp>.SPX250718C5680</stp>
        <tr r="M105" s="2"/>
        <tr r="M105" s="2"/>
      </tp>
      <tp>
        <v>301</v>
        <stp/>
        <stp>VOLUME</stp>
        <stp>.SPX250620C5500</stp>
        <tr r="K123" s="2"/>
        <tr r="K123" s="2"/>
      </tp>
      <tp t="s">
        <v>N/A</v>
        <stp/>
        <stp>VOLUME</stp>
        <stp>.SPX250523C5530</stp>
        <tr r="H120" s="2"/>
      </tp>
      <tp t="s">
        <v>N/A</v>
        <stp/>
        <stp>VOLUME</stp>
        <stp>.SPX250919C5690</stp>
        <tr r="Q104" s="2"/>
      </tp>
      <tp>
        <v>12</v>
        <stp/>
        <stp>VOLUME</stp>
        <stp>.SPX250815C5650</stp>
        <tr r="O108" s="2"/>
        <tr r="O108" s="2"/>
      </tp>
      <tp t="s">
        <v>N/A</v>
        <stp/>
        <stp>VOLUME</stp>
        <stp>.SPX251219C5690</stp>
        <tr r="W104" s="2"/>
      </tp>
      <tp t="s">
        <v>N/A</v>
        <stp/>
        <stp>VOLUME</stp>
        <stp>.SPX251121C5510</stp>
        <tr r="U122" s="2"/>
      </tp>
      <tp t="s">
        <v>N/A</v>
        <stp/>
        <stp>VOLUME</stp>
        <stp>.SPX251017C5670</stp>
        <tr r="S106" s="2"/>
      </tp>
      <tp t="s">
        <v>N/A</v>
        <stp/>
        <stp>VOLUME</stp>
        <stp>.SPX251219P5690</stp>
        <tr r="W104" s="2"/>
      </tp>
      <tp t="s">
        <v>N/A</v>
        <stp/>
        <stp>VOLUME</stp>
        <stp>.SPX251121P5510</stp>
        <tr r="U122" s="2"/>
      </tp>
      <tp t="s">
        <v>N/A</v>
        <stp/>
        <stp>VOLUME</stp>
        <stp>.SPX251017P5670</stp>
        <tr r="S106" s="2"/>
      </tp>
      <tp>
        <v>40</v>
        <stp/>
        <stp>VOLUME</stp>
        <stp>.SPX250718P5680</stp>
        <tr r="M105" s="2"/>
        <tr r="M105" s="2"/>
      </tp>
      <tp>
        <v>3879</v>
        <stp/>
        <stp>VOLUME</stp>
        <stp>.SPX250620P5500</stp>
        <tr r="K123" s="2"/>
        <tr r="K123" s="2"/>
      </tp>
      <tp t="s">
        <v>N/A</v>
        <stp/>
        <stp>VOLUME</stp>
        <stp>.SPX250523P5530</stp>
        <tr r="H120" s="2"/>
      </tp>
      <tp t="s">
        <v>N/A</v>
        <stp/>
        <stp>VOLUME</stp>
        <stp>.SPX250919P5690</stp>
        <tr r="Q104" s="2"/>
      </tp>
      <tp>
        <v>13</v>
        <stp/>
        <stp>VOLUME</stp>
        <stp>.SPX250815P5650</stp>
        <tr r="O108" s="2"/>
        <tr r="O108" s="2"/>
      </tp>
      <tp>
        <v>2</v>
        <stp/>
        <stp>VOLUME</stp>
        <stp>.SPX250718C5690</stp>
        <tr r="M104" s="2"/>
        <tr r="M104" s="2"/>
      </tp>
      <tp>
        <v>8</v>
        <stp/>
        <stp>VOLUME</stp>
        <stp>.SPX250620C5510</stp>
        <tr r="K122" s="2"/>
        <tr r="K122" s="2"/>
      </tp>
      <tp t="s">
        <v>N/A</v>
        <stp/>
        <stp>VOLUME</stp>
        <stp>.SPX250523C5520</stp>
        <tr r="H121" s="2"/>
      </tp>
      <tp t="s">
        <v>N/A</v>
        <stp/>
        <stp>VOLUME</stp>
        <stp>.SPX250919C5680</stp>
        <tr r="Q105" s="2"/>
      </tp>
      <tp>
        <v>15</v>
        <stp/>
        <stp>VOLUME</stp>
        <stp>.SPX250815C5640</stp>
        <tr r="O109" s="2"/>
        <tr r="O109" s="2"/>
      </tp>
      <tp t="s">
        <v>N/A</v>
        <stp/>
        <stp>VOLUME</stp>
        <stp>.SPX251219C5680</stp>
        <tr r="W105" s="2"/>
      </tp>
      <tp>
        <v>1</v>
        <stp/>
        <stp>VOLUME</stp>
        <stp>.SPX251121C5500</stp>
        <tr r="U123" s="2"/>
        <tr r="U123" s="2"/>
      </tp>
      <tp t="s">
        <v>N/A</v>
        <stp/>
        <stp>VOLUME</stp>
        <stp>.SPX251017C5660</stp>
        <tr r="S107" s="2"/>
      </tp>
      <tp t="s">
        <v>N/A</v>
        <stp/>
        <stp>VOLUME</stp>
        <stp>.SPX251219P5680</stp>
        <tr r="W105" s="2"/>
      </tp>
      <tp t="s">
        <v>N/A</v>
        <stp/>
        <stp>VOLUME</stp>
        <stp>.SPX251121P5500</stp>
        <tr r="U123" s="2"/>
      </tp>
      <tp t="s">
        <v>N/A</v>
        <stp/>
        <stp>VOLUME</stp>
        <stp>.SPX251017P5660</stp>
        <tr r="S107" s="2"/>
      </tp>
      <tp>
        <v>93</v>
        <stp/>
        <stp>VOLUME</stp>
        <stp>.SPX250718P5690</stp>
        <tr r="M104" s="2"/>
        <tr r="M104" s="2"/>
      </tp>
      <tp>
        <v>7</v>
        <stp/>
        <stp>VOLUME</stp>
        <stp>.SPX250620P5510</stp>
        <tr r="K122" s="2"/>
        <tr r="K122" s="2"/>
      </tp>
      <tp t="s">
        <v>N/A</v>
        <stp/>
        <stp>VOLUME</stp>
        <stp>.SPX250523P5520</stp>
        <tr r="H121" s="2"/>
      </tp>
      <tp t="s">
        <v>N/A</v>
        <stp/>
        <stp>VOLUME</stp>
        <stp>.SPX250919P5680</stp>
        <tr r="Q105" s="2"/>
      </tp>
      <tp>
        <v>2</v>
        <stp/>
        <stp>VOLUME</stp>
        <stp>.SPX250815P5640</stp>
        <tr r="O109" s="2"/>
        <tr r="O109" s="2"/>
      </tp>
      <tp>
        <v>6</v>
        <stp/>
        <stp>VOLUME</stp>
        <stp>.SPX250718C5660</stp>
        <tr r="M107" s="2"/>
        <tr r="M107" s="2"/>
      </tp>
      <tp t="s">
        <v>N/A</v>
        <stp/>
        <stp>VOLUME</stp>
        <stp>.SPX250919C5670</stp>
        <tr r="Q106" s="2"/>
      </tp>
      <tp t="s">
        <v>N/A</v>
        <stp/>
        <stp>VOLUME</stp>
        <stp>.SPX251219C5670</stp>
        <tr r="W106" s="2"/>
      </tp>
      <tp t="s">
        <v>N/A</v>
        <stp/>
        <stp>VOLUME</stp>
        <stp>.SPX251017C5690</stp>
        <tr r="S104" s="2"/>
      </tp>
      <tp t="s">
        <v>N/A</v>
        <stp/>
        <stp>VOLUME</stp>
        <stp>.SPX251219P5670</stp>
        <tr r="W106" s="2"/>
      </tp>
      <tp t="s">
        <v>N/A</v>
        <stp/>
        <stp>VOLUME</stp>
        <stp>.SPX251017P5690</stp>
        <tr r="S104" s="2"/>
      </tp>
      <tp>
        <v>10</v>
        <stp/>
        <stp>VOLUME</stp>
        <stp>.SPX250718P5660</stp>
        <tr r="M107" s="2"/>
        <tr r="M107" s="2"/>
      </tp>
      <tp t="s">
        <v>N/A</v>
        <stp/>
        <stp>VOLUME</stp>
        <stp>.SPX250919P5670</stp>
        <tr r="Q106" s="2"/>
      </tp>
      <tp>
        <v>3</v>
        <stp/>
        <stp>VOLUME</stp>
        <stp>.SPX250718C5670</stp>
        <tr r="M106" s="2"/>
        <tr r="M106" s="2"/>
      </tp>
      <tp t="s">
        <v>N/A</v>
        <stp/>
        <stp>VOLUME</stp>
        <stp>.SPX250919C5660</stp>
        <tr r="Q107" s="2"/>
      </tp>
      <tp t="s">
        <v>N/A</v>
        <stp/>
        <stp>VOLUME</stp>
        <stp>.SPX251219C5660</stp>
        <tr r="W107" s="2"/>
      </tp>
      <tp t="s">
        <v>N/A</v>
        <stp/>
        <stp>VOLUME</stp>
        <stp>.SPX251017C5680</stp>
        <tr r="S105" s="2"/>
      </tp>
      <tp t="s">
        <v>N/A</v>
        <stp/>
        <stp>VOLUME</stp>
        <stp>.SPX251219P5660</stp>
        <tr r="W107" s="2"/>
      </tp>
      <tp t="s">
        <v>N/A</v>
        <stp/>
        <stp>VOLUME</stp>
        <stp>.SPX251017P5680</stp>
        <tr r="S105" s="2"/>
      </tp>
      <tp>
        <v>20</v>
        <stp/>
        <stp>VOLUME</stp>
        <stp>.SPX250718P5670</stp>
        <tr r="M106" s="2"/>
        <tr r="M106" s="2"/>
      </tp>
      <tp>
        <v>1</v>
        <stp/>
        <stp>VOLUME</stp>
        <stp>.SPX250919P5660</stp>
        <tr r="Q107" s="2"/>
        <tr r="Q107" s="2"/>
      </tp>
      <tp>
        <v>15</v>
        <stp/>
        <stp>VOLUME</stp>
        <stp>.SPX250718C5640</stp>
        <tr r="M109" s="2"/>
        <tr r="M109" s="2"/>
      </tp>
      <tp>
        <v>16</v>
        <stp/>
        <stp>VOLUME</stp>
        <stp>.SPX250919C5650</stp>
        <tr r="Q108" s="2"/>
        <tr r="Q108" s="2"/>
      </tp>
      <tp>
        <v>3</v>
        <stp/>
        <stp>VOLUME</stp>
        <stp>.SPX250815C5690</stp>
        <tr r="O104" s="2"/>
        <tr r="O104" s="2"/>
      </tp>
      <tp t="s">
        <v>N/A</v>
        <stp/>
        <stp>VOLUME</stp>
        <stp>.SPX251219C5650</stp>
        <tr r="W108" s="2"/>
      </tp>
      <tp>
        <v>9</v>
        <stp/>
        <stp>VOLUME</stp>
        <stp>.SPX251219P5650</stp>
        <tr r="W108" s="2"/>
        <tr r="W108" s="2"/>
      </tp>
      <tp>
        <v>2</v>
        <stp/>
        <stp>VOLUME</stp>
        <stp>.SPX250718P5640</stp>
        <tr r="M109" s="2"/>
        <tr r="M109" s="2"/>
      </tp>
      <tp>
        <v>271</v>
        <stp/>
        <stp>VOLUME</stp>
        <stp>.SPX250919P5650</stp>
        <tr r="Q108" s="2"/>
        <tr r="Q108" s="2"/>
      </tp>
      <tp>
        <v>4</v>
        <stp/>
        <stp>VOLUME</stp>
        <stp>.SPX250815P5690</stp>
        <tr r="O104" s="2"/>
        <tr r="O104" s="2"/>
      </tp>
      <tp>
        <v>40</v>
        <stp/>
        <stp>VOLUME</stp>
        <stp>.SPX250718C5650</stp>
        <tr r="M108" s="2"/>
        <tr r="M108" s="2"/>
      </tp>
      <tp t="s">
        <v>N/A</v>
        <stp/>
        <stp>VOLUME</stp>
        <stp>.SPX250919C5640</stp>
        <tr r="Q109" s="2"/>
      </tp>
      <tp>
        <v>3</v>
        <stp/>
        <stp>VOLUME</stp>
        <stp>.SPX250815C5680</stp>
        <tr r="O105" s="2"/>
        <tr r="O105" s="2"/>
      </tp>
      <tp t="s">
        <v>N/A</v>
        <stp/>
        <stp>VOLUME</stp>
        <stp>.SPX251219C5640</stp>
        <tr r="W109" s="2"/>
      </tp>
      <tp t="s">
        <v>N/A</v>
        <stp/>
        <stp>VOLUME</stp>
        <stp>.SPX251219P5640</stp>
        <tr r="W109" s="2"/>
      </tp>
      <tp>
        <v>116</v>
        <stp/>
        <stp>VOLUME</stp>
        <stp>.SPX250718P5650</stp>
        <tr r="M108" s="2"/>
        <tr r="M108" s="2"/>
      </tp>
      <tp t="s">
        <v>N/A</v>
        <stp/>
        <stp>VOLUME</stp>
        <stp>.SPX250919P5640</stp>
        <tr r="Q109" s="2"/>
      </tp>
      <tp>
        <v>7</v>
        <stp/>
        <stp>VOLUME</stp>
        <stp>.SPX250815P5680</stp>
        <tr r="O105" s="2"/>
        <tr r="O105" s="2"/>
      </tp>
      <tp t="s">
        <v>N/A</v>
        <stp/>
        <stp>VOLUME</stp>
        <stp>.SPX250718C5620</stp>
        <tr r="M111" s="2"/>
      </tp>
      <tp t="s">
        <v>N/A</v>
        <stp/>
        <stp>VOLUME</stp>
        <stp>.SPX250523C5590</stp>
        <tr r="H114" s="2"/>
      </tp>
      <tp t="s">
        <v>N/A</v>
        <stp/>
        <stp>VOLUME</stp>
        <stp>.SPX250919C5630</stp>
        <tr r="Q110" s="2"/>
      </tp>
      <tp t="s">
        <v>N/A</v>
        <stp/>
        <stp>VOLUME</stp>
        <stp>.SPX251219C5630</stp>
        <tr r="W110" s="2"/>
      </tp>
      <tp t="s">
        <v>N/A</v>
        <stp/>
        <stp>VOLUME</stp>
        <stp>.SPX251219P5630</stp>
        <tr r="W110" s="2"/>
      </tp>
      <tp>
        <v>12</v>
        <stp/>
        <stp>VOLUME</stp>
        <stp>.SPX250718P5620</stp>
        <tr r="M111" s="2"/>
        <tr r="M111" s="2"/>
      </tp>
      <tp t="s">
        <v>N/A</v>
        <stp/>
        <stp>VOLUME</stp>
        <stp>.SPX250523P5590</stp>
        <tr r="H114" s="2"/>
      </tp>
      <tp t="s">
        <v>N/A</v>
        <stp/>
        <stp>VOLUME</stp>
        <stp>.SPX250919P5630</stp>
        <tr r="Q110" s="2"/>
      </tp>
      <tp>
        <v>12</v>
        <stp/>
        <stp>VOLUME</stp>
        <stp>.SPX250718C5630</stp>
        <tr r="M110" s="2"/>
        <tr r="M110" s="2"/>
      </tp>
      <tp t="s">
        <v>N/A</v>
        <stp/>
        <stp>VOLUME</stp>
        <stp>.SPX250523C5580</stp>
        <tr r="H115" s="2"/>
      </tp>
      <tp t="s">
        <v>N/A</v>
        <stp/>
        <stp>VOLUME</stp>
        <stp>.SPX250919C5620</stp>
        <tr r="Q111" s="2"/>
      </tp>
      <tp t="s">
        <v>N/A</v>
        <stp/>
        <stp>VOLUME</stp>
        <stp>.SPX251219C5620</stp>
        <tr r="W111" s="2"/>
      </tp>
      <tp t="s">
        <v>N/A</v>
        <stp/>
        <stp>VOLUME</stp>
        <stp>.SPX251219P5620</stp>
        <tr r="W111" s="2"/>
      </tp>
      <tp t="s">
        <v>N/A</v>
        <stp/>
        <stp>VOLUME</stp>
        <stp>.SPX250718P5630</stp>
        <tr r="M110" s="2"/>
      </tp>
      <tp t="s">
        <v>N/A</v>
        <stp/>
        <stp>VOLUME</stp>
        <stp>.SPX250523P5580</stp>
        <tr r="H115" s="2"/>
      </tp>
      <tp>
        <v>1</v>
        <stp/>
        <stp>VOLUME</stp>
        <stp>.SPX250919P5620</stp>
        <tr r="Q111" s="2"/>
        <tr r="Q111" s="2"/>
      </tp>
      <tp>
        <v>313</v>
        <stp/>
        <stp>VOLUME</stp>
        <stp>.SPX250718C5600</stp>
        <tr r="M113" s="2"/>
        <tr r="M113" s="2"/>
      </tp>
      <tp t="s">
        <v>N/A</v>
        <stp/>
        <stp>VOLUME</stp>
        <stp>.SPX250620C5580</stp>
        <tr r="K115" s="2"/>
      </tp>
      <tp t="s">
        <v>N/A</v>
        <stp/>
        <stp>VOLUME</stp>
        <stp>.SPX250919C5610</stp>
        <tr r="Q112" s="2"/>
      </tp>
      <tp t="s">
        <v>N/A</v>
        <stp/>
        <stp>VOLUME</stp>
        <stp>.SPX251219C5610</stp>
        <tr r="W112" s="2"/>
      </tp>
      <tp t="s">
        <v>N/A</v>
        <stp/>
        <stp>VOLUME</stp>
        <stp>.SPX251121C5590</stp>
        <tr r="U114" s="2"/>
      </tp>
      <tp t="s">
        <v>N/A</v>
        <stp/>
        <stp>VOLUME</stp>
        <stp>.SPX251219P5610</stp>
        <tr r="W112" s="2"/>
      </tp>
      <tp t="s">
        <v>N/A</v>
        <stp/>
        <stp>VOLUME</stp>
        <stp>.SPX251121P5590</stp>
        <tr r="U114" s="2"/>
      </tp>
      <tp>
        <v>194</v>
        <stp/>
        <stp>VOLUME</stp>
        <stp>.SPX250718P5600</stp>
        <tr r="M113" s="2"/>
        <tr r="M113" s="2"/>
      </tp>
      <tp>
        <v>27</v>
        <stp/>
        <stp>VOLUME</stp>
        <stp>.SPX250620P5580</stp>
        <tr r="K115" s="2"/>
        <tr r="K115" s="2"/>
      </tp>
      <tp>
        <v>3</v>
        <stp/>
        <stp>VOLUME</stp>
        <stp>.SPX250919P5610</stp>
        <tr r="Q112" s="2"/>
        <tr r="Q112" s="2"/>
      </tp>
      <tp>
        <v>4</v>
        <stp/>
        <stp>VOLUME</stp>
        <stp>.SPX250718C5610</stp>
        <tr r="M112" s="2"/>
        <tr r="M112" s="2"/>
      </tp>
      <tp t="s">
        <v>N/A</v>
        <stp/>
        <stp>VOLUME</stp>
        <stp>.SPX250620C5590</stp>
        <tr r="K114" s="2"/>
      </tp>
      <tp>
        <v>94</v>
        <stp/>
        <stp>VOLUME</stp>
        <stp>.SPX250919C5600</stp>
        <tr r="Q113" s="2"/>
        <tr r="Q113" s="2"/>
      </tp>
      <tp>
        <v>151</v>
        <stp/>
        <stp>VOLUME</stp>
        <stp>.SPX251219C5600</stp>
        <tr r="W113" s="2"/>
        <tr r="W113" s="2"/>
      </tp>
      <tp t="s">
        <v>N/A</v>
        <stp/>
        <stp>VOLUME</stp>
        <stp>.SPX251121C5580</stp>
        <tr r="U115" s="2"/>
      </tp>
      <tp>
        <v>208</v>
        <stp/>
        <stp>VOLUME</stp>
        <stp>.SPX251219P5600</stp>
        <tr r="W113" s="2"/>
        <tr r="W113" s="2"/>
      </tp>
      <tp t="s">
        <v>N/A</v>
        <stp/>
        <stp>VOLUME</stp>
        <stp>.SPX251121P5580</stp>
        <tr r="U115" s="2"/>
      </tp>
      <tp>
        <v>6</v>
        <stp/>
        <stp>VOLUME</stp>
        <stp>.SPX250718P5610</stp>
        <tr r="M112" s="2"/>
        <tr r="M112" s="2"/>
      </tp>
      <tp>
        <v>11</v>
        <stp/>
        <stp>VOLUME</stp>
        <stp>.SPX250620P5590</stp>
        <tr r="K114" s="2"/>
        <tr r="K114" s="2"/>
      </tp>
      <tp>
        <v>173</v>
        <stp/>
        <stp>VOLUME</stp>
        <stp>.SPX250919P5600</stp>
        <tr r="Q113" s="2"/>
        <tr r="Q113" s="2"/>
      </tp>
      <tp t="s">
        <v>27.76%</v>
        <stp/>
        <stp>IMPL_VOL</stp>
        <stp>.NDX250516C19400</stp>
        <tr r="EP179" s="1"/>
      </tp>
      <tp t="s">
        <v>25.81%</v>
        <stp/>
        <stp>IMPL_VOL</stp>
        <stp>.NDX250516C20400</stp>
        <tr r="EP139" s="1"/>
      </tp>
      <tp t="s">
        <v>27.81%</v>
        <stp/>
        <stp>IMPL_VOL</stp>
        <stp>.NDX250516C19425</stp>
        <tr r="EP178" s="1"/>
      </tp>
      <tp t="s">
        <v>25.72%</v>
        <stp/>
        <stp>IMPL_VOL</stp>
        <stp>.NDX250516C20425</stp>
        <tr r="EP138" s="1"/>
      </tp>
      <tp t="s">
        <v>27.83%</v>
        <stp/>
        <stp>IMPL_VOL</stp>
        <stp>.NDX250516C19450</stp>
        <tr r="EP177" s="1"/>
      </tp>
      <tp t="s">
        <v>25.65%</v>
        <stp/>
        <stp>IMPL_VOL</stp>
        <stp>.NDX250516C20450</stp>
        <tr r="EP137" s="1"/>
      </tp>
      <tp t="s">
        <v>27.85%</v>
        <stp/>
        <stp>IMPL_VOL</stp>
        <stp>.NDX250516C19475</stp>
        <tr r="EP176" s="1"/>
      </tp>
      <tp t="s">
        <v>30.15%</v>
        <stp/>
        <stp>IMPL_VOL</stp>
        <stp>.NDX250516P19425</stp>
        <tr r="EQ178" s="1"/>
      </tp>
      <tp t="s">
        <v>27.54%</v>
        <stp/>
        <stp>IMPL_VOL</stp>
        <stp>.NDX250516P20425</stp>
        <tr r="EQ138" s="1"/>
      </tp>
      <tp t="s">
        <v>30.17%</v>
        <stp/>
        <stp>IMPL_VOL</stp>
        <stp>.NDX250516P19400</stp>
        <tr r="EQ179" s="1"/>
      </tp>
      <tp t="s">
        <v>27.66%</v>
        <stp/>
        <stp>IMPL_VOL</stp>
        <stp>.NDX250516P20400</stp>
        <tr r="EQ139" s="1"/>
      </tp>
      <tp t="s">
        <v>29.99%</v>
        <stp/>
        <stp>IMPL_VOL</stp>
        <stp>.NDX250516P19475</stp>
        <tr r="EQ176" s="1"/>
      </tp>
      <tp t="s">
        <v>30.05%</v>
        <stp/>
        <stp>IMPL_VOL</stp>
        <stp>.NDX250516P19450</stp>
        <tr r="EQ177" s="1"/>
      </tp>
      <tp t="s">
        <v>27.65%</v>
        <stp/>
        <stp>IMPL_VOL</stp>
        <stp>.NDX250516P20450</stp>
        <tr r="EQ137" s="1"/>
      </tp>
      <tp t="s">
        <v>N/A</v>
        <stp/>
        <stp>VOLUME</stp>
        <stp>.SPX250620C5460</stp>
        <tr r="K127" s="2"/>
      </tp>
      <tp t="s">
        <v>N/A</v>
        <stp/>
        <stp>VOLUME</stp>
        <stp>.SPX250523C5450</stp>
        <tr r="H128" s="2"/>
      </tp>
      <tp t="s">
        <v>N/A</v>
        <stp/>
        <stp>VOLUME</stp>
        <stp>.SPX250815C5730</stp>
        <tr r="O100" s="2"/>
      </tp>
      <tp t="s">
        <v>N/A</v>
        <stp/>
        <stp>VOLUME</stp>
        <stp>.SPX251121C5470</stp>
        <tr r="U126" s="2"/>
      </tp>
      <tp t="s">
        <v>N/A</v>
        <stp/>
        <stp>VOLUME</stp>
        <stp>.SPX251017C5710</stp>
        <tr r="S102" s="2"/>
      </tp>
      <tp t="s">
        <v>N/A</v>
        <stp/>
        <stp>VOLUME</stp>
        <stp>.SPX251121P5470</stp>
        <tr r="U126" s="2"/>
      </tp>
      <tp t="s">
        <v>N/A</v>
        <stp/>
        <stp>VOLUME</stp>
        <stp>.SPX251017P5710</stp>
        <tr r="S102" s="2"/>
      </tp>
      <tp>
        <v>28</v>
        <stp/>
        <stp>VOLUME</stp>
        <stp>.SPX250620P5460</stp>
        <tr r="K127" s="2"/>
        <tr r="K127" s="2"/>
      </tp>
      <tp t="s">
        <v>N/A</v>
        <stp/>
        <stp>VOLUME</stp>
        <stp>.SPX250523P5450</stp>
        <tr r="H128" s="2"/>
      </tp>
      <tp>
        <v>12</v>
        <stp/>
        <stp>VOLUME</stp>
        <stp>.SPX250815P5730</stp>
        <tr r="O100" s="2"/>
        <tr r="O100" s="2"/>
      </tp>
      <tp>
        <v>1</v>
        <stp/>
        <stp>VOLUME</stp>
        <stp>.SPX250620C5470</stp>
        <tr r="K126" s="2"/>
        <tr r="K126" s="2"/>
      </tp>
      <tp t="s">
        <v>N/A</v>
        <stp/>
        <stp>VOLUME</stp>
        <stp>.SPX250523C5440</stp>
        <tr r="H129" s="2"/>
      </tp>
      <tp t="s">
        <v>N/A</v>
        <stp/>
        <stp>VOLUME</stp>
        <stp>.SPX250815C5720</stp>
        <tr r="O101" s="2"/>
      </tp>
      <tp t="s">
        <v>N/A</v>
        <stp/>
        <stp>VOLUME</stp>
        <stp>.SPX251121C5460</stp>
        <tr r="U127" s="2"/>
      </tp>
      <tp>
        <v>9</v>
        <stp/>
        <stp>VOLUME</stp>
        <stp>.SPX251017C5700</stp>
        <tr r="S103" s="2"/>
        <tr r="S103" s="2"/>
      </tp>
      <tp t="s">
        <v>N/A</v>
        <stp/>
        <stp>VOLUME</stp>
        <stp>.SPX251121P5460</stp>
        <tr r="U127" s="2"/>
      </tp>
      <tp>
        <v>1</v>
        <stp/>
        <stp>VOLUME</stp>
        <stp>.SPX251017P5700</stp>
        <tr r="S103" s="2"/>
        <tr r="S103" s="2"/>
      </tp>
      <tp>
        <v>20</v>
        <stp/>
        <stp>VOLUME</stp>
        <stp>.SPX250620P5470</stp>
        <tr r="K126" s="2"/>
        <tr r="K126" s="2"/>
      </tp>
      <tp t="s">
        <v>N/A</v>
        <stp/>
        <stp>VOLUME</stp>
        <stp>.SPX250523P5440</stp>
        <tr r="H129" s="2"/>
      </tp>
      <tp>
        <v>2</v>
        <stp/>
        <stp>VOLUME</stp>
        <stp>.SPX250815P5720</stp>
        <tr r="O101" s="2"/>
        <tr r="O101" s="2"/>
      </tp>
      <tp t="s">
        <v>N/A</v>
        <stp/>
        <stp>VOLUME</stp>
        <stp>.SPX250620C5440</stp>
        <tr r="K129" s="2"/>
      </tp>
      <tp t="s">
        <v>N/A</v>
        <stp/>
        <stp>VOLUME</stp>
        <stp>.SPX250523C5470</stp>
        <tr r="H126" s="2"/>
      </tp>
      <tp>
        <v>2</v>
        <stp/>
        <stp>VOLUME</stp>
        <stp>.SPX250815C5710</stp>
        <tr r="O102" s="2"/>
        <tr r="O102" s="2"/>
      </tp>
      <tp>
        <v>200</v>
        <stp/>
        <stp>VOLUME</stp>
        <stp>.SPX251121C5450</stp>
        <tr r="U128" s="2"/>
        <tr r="U128" s="2"/>
      </tp>
      <tp t="s">
        <v>N/A</v>
        <stp/>
        <stp>VOLUME</stp>
        <stp>.SPX251017C5730</stp>
        <tr r="S100" s="2"/>
      </tp>
      <tp>
        <v>2</v>
        <stp/>
        <stp>VOLUME</stp>
        <stp>.SPX251121P5450</stp>
        <tr r="U128" s="2"/>
        <tr r="U128" s="2"/>
      </tp>
      <tp t="s">
        <v>N/A</v>
        <stp/>
        <stp>VOLUME</stp>
        <stp>.SPX251017P5730</stp>
        <tr r="S100" s="2"/>
      </tp>
      <tp>
        <v>47</v>
        <stp/>
        <stp>VOLUME</stp>
        <stp>.SPX250620P5440</stp>
        <tr r="K129" s="2"/>
        <tr r="K129" s="2"/>
      </tp>
      <tp t="s">
        <v>N/A</v>
        <stp/>
        <stp>VOLUME</stp>
        <stp>.SPX250523P5470</stp>
        <tr r="H126" s="2"/>
      </tp>
      <tp>
        <v>2</v>
        <stp/>
        <stp>VOLUME</stp>
        <stp>.SPX250815P5710</stp>
        <tr r="O102" s="2"/>
        <tr r="O102" s="2"/>
      </tp>
      <tp>
        <v>37</v>
        <stp/>
        <stp>VOLUME</stp>
        <stp>.SPX250620C5450</stp>
        <tr r="K128" s="2"/>
        <tr r="K128" s="2"/>
      </tp>
      <tp t="s">
        <v>N/A</v>
        <stp/>
        <stp>VOLUME</stp>
        <stp>.SPX250523C5460</stp>
        <tr r="H127" s="2"/>
      </tp>
      <tp>
        <v>138</v>
        <stp/>
        <stp>VOLUME</stp>
        <stp>.SPX250815C5700</stp>
        <tr r="O103" s="2"/>
        <tr r="O103" s="2"/>
      </tp>
      <tp t="s">
        <v>N/A</v>
        <stp/>
        <stp>VOLUME</stp>
        <stp>.SPX251121C5440</stp>
        <tr r="U129" s="2"/>
      </tp>
      <tp t="s">
        <v>N/A</v>
        <stp/>
        <stp>VOLUME</stp>
        <stp>.SPX251017C5720</stp>
        <tr r="S101" s="2"/>
      </tp>
      <tp t="s">
        <v>N/A</v>
        <stp/>
        <stp>VOLUME</stp>
        <stp>.SPX251121P5440</stp>
        <tr r="U129" s="2"/>
      </tp>
      <tp t="s">
        <v>N/A</v>
        <stp/>
        <stp>VOLUME</stp>
        <stp>.SPX251017P5720</stp>
        <tr r="S101" s="2"/>
      </tp>
      <tp>
        <v>561</v>
        <stp/>
        <stp>VOLUME</stp>
        <stp>.SPX250620P5450</stp>
        <tr r="K128" s="2"/>
        <tr r="K128" s="2"/>
      </tp>
      <tp t="s">
        <v>N/A</v>
        <stp/>
        <stp>VOLUME</stp>
        <stp>.SPX250523P5460</stp>
        <tr r="H127" s="2"/>
      </tp>
      <tp>
        <v>6</v>
        <stp/>
        <stp>VOLUME</stp>
        <stp>.SPX250815P5700</stp>
        <tr r="O103" s="2"/>
        <tr r="O103" s="2"/>
      </tp>
      <tp t="s">
        <v>N/A</v>
        <stp/>
        <stp>VOLUME</stp>
        <stp>.SPX250620C5420</stp>
        <tr r="K131" s="2"/>
      </tp>
      <tp t="s">
        <v>N/A</v>
        <stp/>
        <stp>VOLUME</stp>
        <stp>.SPX250815C5770</stp>
        <tr r="O96" s="2"/>
      </tp>
      <tp t="s">
        <v>N/A</v>
        <stp/>
        <stp>VOLUME</stp>
        <stp>.SPX251121C5430</stp>
        <tr r="U130" s="2"/>
      </tp>
      <tp t="s">
        <v>N/A</v>
        <stp/>
        <stp>VOLUME</stp>
        <stp>.SPX251017C5750</stp>
        <tr r="S98" s="2"/>
      </tp>
      <tp t="s">
        <v>N/A</v>
        <stp/>
        <stp>VOLUME</stp>
        <stp>.SPX251121P5430</stp>
        <tr r="U130" s="2"/>
      </tp>
      <tp>
        <v>8</v>
        <stp/>
        <stp>VOLUME</stp>
        <stp>.SPX251017P5750</stp>
        <tr r="S98" s="2"/>
        <tr r="S98" s="2"/>
      </tp>
      <tp t="s">
        <v>N/A</v>
        <stp/>
        <stp>VOLUME</stp>
        <stp>.SPX250620P5420</stp>
        <tr r="K131" s="2"/>
      </tp>
      <tp>
        <v>17</v>
        <stp/>
        <stp>VOLUME</stp>
        <stp>.SPX250815P5770</stp>
        <tr r="O96" s="2"/>
        <tr r="O96" s="2"/>
      </tp>
      <tp>
        <v>1</v>
        <stp/>
        <stp>VOLUME</stp>
        <stp>.SPX250620C5430</stp>
        <tr r="K130" s="2"/>
        <tr r="K130" s="2"/>
      </tp>
      <tp t="s">
        <v>N/A</v>
        <stp/>
        <stp>VOLUME</stp>
        <stp>.SPX250815C5760</stp>
        <tr r="O97" s="2"/>
      </tp>
      <tp t="s">
        <v>N/A</v>
        <stp/>
        <stp>VOLUME</stp>
        <stp>.SPX251121C5420</stp>
        <tr r="U131" s="2"/>
      </tp>
      <tp t="s">
        <v>N/A</v>
        <stp/>
        <stp>VOLUME</stp>
        <stp>.SPX251017C5740</stp>
        <tr r="S99" s="2"/>
      </tp>
      <tp t="s">
        <v>N/A</v>
        <stp/>
        <stp>VOLUME</stp>
        <stp>.SPX251121P5420</stp>
        <tr r="U131" s="2"/>
      </tp>
      <tp t="s">
        <v>N/A</v>
        <stp/>
        <stp>VOLUME</stp>
        <stp>.SPX251017P5740</stp>
        <tr r="S99" s="2"/>
      </tp>
      <tp>
        <v>18</v>
        <stp/>
        <stp>VOLUME</stp>
        <stp>.SPX250620P5430</stp>
        <tr r="K130" s="2"/>
        <tr r="K130" s="2"/>
      </tp>
      <tp>
        <v>22</v>
        <stp/>
        <stp>VOLUME</stp>
        <stp>.SPX250815P5760</stp>
        <tr r="O97" s="2"/>
        <tr r="O97" s="2"/>
      </tp>
      <tp>
        <v>12</v>
        <stp/>
        <stp>VOLUME</stp>
        <stp>.SPX250718C5780</stp>
        <tr r="M95" s="2"/>
        <tr r="M95" s="2"/>
      </tp>
      <tp t="s">
        <v>N/A</v>
        <stp/>
        <stp>VOLUME</stp>
        <stp>.SPX250523C5430</stp>
        <tr r="H130" s="2"/>
      </tp>
      <tp t="s">
        <v>N/A</v>
        <stp/>
        <stp>VOLUME</stp>
        <stp>.SPX250919C5790</stp>
        <tr r="Q94" s="2"/>
      </tp>
      <tp>
        <v>143</v>
        <stp/>
        <stp>VOLUME</stp>
        <stp>.SPX250815C5750</stp>
        <tr r="O98" s="2"/>
        <tr r="O98" s="2"/>
      </tp>
      <tp t="s">
        <v>N/A</v>
        <stp/>
        <stp>VOLUME</stp>
        <stp>.SPX251219C5790</stp>
        <tr r="W94" s="2"/>
      </tp>
      <tp t="s">
        <v>N/A</v>
        <stp/>
        <stp>VOLUME</stp>
        <stp>.SPX251017C5770</stp>
        <tr r="S96" s="2"/>
      </tp>
      <tp t="s">
        <v>N/A</v>
        <stp/>
        <stp>VOLUME</stp>
        <stp>.SPX251219P5790</stp>
        <tr r="W94" s="2"/>
      </tp>
      <tp t="s">
        <v>N/A</v>
        <stp/>
        <stp>VOLUME</stp>
        <stp>.SPX251017P5770</stp>
        <tr r="S96" s="2"/>
      </tp>
      <tp t="s">
        <v>N/A</v>
        <stp/>
        <stp>VOLUME</stp>
        <stp>.SPX250718P5780</stp>
        <tr r="M95" s="2"/>
      </tp>
      <tp t="s">
        <v>N/A</v>
        <stp/>
        <stp>VOLUME</stp>
        <stp>.SPX250523P5430</stp>
        <tr r="H130" s="2"/>
      </tp>
      <tp>
        <v>1</v>
        <stp/>
        <stp>VOLUME</stp>
        <stp>.SPX250919P5790</stp>
        <tr r="Q94" s="2"/>
        <tr r="Q94" s="2"/>
      </tp>
      <tp>
        <v>1619</v>
        <stp/>
        <stp>VOLUME</stp>
        <stp>.SPX250815P5750</stp>
        <tr r="O98" s="2"/>
        <tr r="O98" s="2"/>
      </tp>
      <tp>
        <v>16</v>
        <stp/>
        <stp>VOLUME</stp>
        <stp>.SPX250718C5790</stp>
        <tr r="M94" s="2"/>
        <tr r="M94" s="2"/>
      </tp>
      <tp t="s">
        <v>N/A</v>
        <stp/>
        <stp>VOLUME</stp>
        <stp>.SPX250523C5420</stp>
        <tr r="H131" s="2"/>
      </tp>
      <tp>
        <v>12</v>
        <stp/>
        <stp>VOLUME</stp>
        <stp>.SPX250919C5780</stp>
        <tr r="Q95" s="2"/>
        <tr r="Q95" s="2"/>
      </tp>
      <tp t="s">
        <v>N/A</v>
        <stp/>
        <stp>VOLUME</stp>
        <stp>.SPX250815C5740</stp>
        <tr r="O99" s="2"/>
      </tp>
      <tp t="s">
        <v>N/A</v>
        <stp/>
        <stp>VOLUME</stp>
        <stp>.SPX251219C5780</stp>
        <tr r="W95" s="2"/>
      </tp>
      <tp t="s">
        <v>N/A</v>
        <stp/>
        <stp>VOLUME</stp>
        <stp>.SPX251017C5760</stp>
        <tr r="S97" s="2"/>
      </tp>
      <tp t="s">
        <v>N/A</v>
        <stp/>
        <stp>VOLUME</stp>
        <stp>.SPX251219P5780</stp>
        <tr r="W95" s="2"/>
      </tp>
      <tp t="s">
        <v>N/A</v>
        <stp/>
        <stp>VOLUME</stp>
        <stp>.SPX251017P5760</stp>
        <tr r="S97" s="2"/>
      </tp>
      <tp t="s">
        <v>N/A</v>
        <stp/>
        <stp>VOLUME</stp>
        <stp>.SPX250718P5790</stp>
        <tr r="M94" s="2"/>
      </tp>
      <tp t="s">
        <v>N/A</v>
        <stp/>
        <stp>VOLUME</stp>
        <stp>.SPX250523P5420</stp>
        <tr r="H131" s="2"/>
      </tp>
      <tp>
        <v>1</v>
        <stp/>
        <stp>VOLUME</stp>
        <stp>.SPX250919P5780</stp>
        <tr r="Q95" s="2"/>
        <tr r="Q95" s="2"/>
      </tp>
      <tp>
        <v>12</v>
        <stp/>
        <stp>VOLUME</stp>
        <stp>.SPX250815P5740</stp>
        <tr r="O99" s="2"/>
        <tr r="O99" s="2"/>
      </tp>
      <tp>
        <v>34</v>
        <stp/>
        <stp>VOLUME</stp>
        <stp>.SPX250718C5760</stp>
        <tr r="M97" s="2"/>
        <tr r="M97" s="2"/>
      </tp>
      <tp t="s">
        <v>N/A</v>
        <stp/>
        <stp>VOLUME</stp>
        <stp>.SPX250919C5770</stp>
        <tr r="Q96" s="2"/>
      </tp>
      <tp t="s">
        <v>N/A</v>
        <stp/>
        <stp>VOLUME</stp>
        <stp>.SPX251219C5770</stp>
        <tr r="W96" s="2"/>
      </tp>
      <tp t="s">
        <v>N/A</v>
        <stp/>
        <stp>VOLUME</stp>
        <stp>.SPX251017C5790</stp>
        <tr r="S94" s="2"/>
      </tp>
      <tp t="s">
        <v>N/A</v>
        <stp/>
        <stp>VOLUME</stp>
        <stp>.SPX251219P5770</stp>
        <tr r="W96" s="2"/>
      </tp>
      <tp t="s">
        <v>N/A</v>
        <stp/>
        <stp>VOLUME</stp>
        <stp>.SPX251017P5790</stp>
        <tr r="S94" s="2"/>
      </tp>
      <tp>
        <v>10</v>
        <stp/>
        <stp>VOLUME</stp>
        <stp>.SPX250718P5760</stp>
        <tr r="M97" s="2"/>
        <tr r="M97" s="2"/>
      </tp>
      <tp t="s">
        <v>N/A</v>
        <stp/>
        <stp>VOLUME</stp>
        <stp>.SPX250919P5770</stp>
        <tr r="Q96" s="2"/>
      </tp>
      <tp>
        <v>4</v>
        <stp/>
        <stp>VOLUME</stp>
        <stp>.SPX250718C5770</stp>
        <tr r="M96" s="2"/>
        <tr r="M96" s="2"/>
      </tp>
      <tp>
        <v>3</v>
        <stp/>
        <stp>VOLUME</stp>
        <stp>.SPX250919C5760</stp>
        <tr r="Q97" s="2"/>
        <tr r="Q97" s="2"/>
      </tp>
      <tp t="s">
        <v>N/A</v>
        <stp/>
        <stp>VOLUME</stp>
        <stp>.SPX251219C5760</stp>
        <tr r="W97" s="2"/>
      </tp>
      <tp t="s">
        <v>N/A</v>
        <stp/>
        <stp>VOLUME</stp>
        <stp>.SPX251017C5780</stp>
        <tr r="S95" s="2"/>
      </tp>
      <tp t="s">
        <v>N/A</v>
        <stp/>
        <stp>VOLUME</stp>
        <stp>.SPX251219P5760</stp>
        <tr r="W97" s="2"/>
      </tp>
      <tp t="s">
        <v>N/A</v>
        <stp/>
        <stp>VOLUME</stp>
        <stp>.SPX251017P5780</stp>
        <tr r="S95" s="2"/>
      </tp>
      <tp t="s">
        <v>N/A</v>
        <stp/>
        <stp>VOLUME</stp>
        <stp>.SPX250718P5770</stp>
        <tr r="M96" s="2"/>
      </tp>
      <tp t="s">
        <v>N/A</v>
        <stp/>
        <stp>VOLUME</stp>
        <stp>.SPX250919P5760</stp>
        <tr r="Q97" s="2"/>
      </tp>
      <tp>
        <v>34</v>
        <stp/>
        <stp>VOLUME</stp>
        <stp>.SPX250718C5740</stp>
        <tr r="M99" s="2"/>
        <tr r="M99" s="2"/>
      </tp>
      <tp>
        <v>209</v>
        <stp/>
        <stp>VOLUME</stp>
        <stp>.SPX250919C5750</stp>
        <tr r="Q98" s="2"/>
        <tr r="Q98" s="2"/>
      </tp>
      <tp t="s">
        <v>N/A</v>
        <stp/>
        <stp>VOLUME</stp>
        <stp>.SPX250815C5790</stp>
        <tr r="O94" s="2"/>
      </tp>
      <tp>
        <v>24</v>
        <stp/>
        <stp>VOLUME</stp>
        <stp>.SPX251219C5750</stp>
        <tr r="W98" s="2"/>
        <tr r="W98" s="2"/>
      </tp>
      <tp>
        <v>35</v>
        <stp/>
        <stp>VOLUME</stp>
        <stp>.SPX251219P5750</stp>
        <tr r="W98" s="2"/>
        <tr r="W98" s="2"/>
      </tp>
      <tp t="s">
        <v>N/A</v>
        <stp/>
        <stp>VOLUME</stp>
        <stp>.SPX250718P5740</stp>
        <tr r="M99" s="2"/>
      </tp>
      <tp>
        <v>9</v>
        <stp/>
        <stp>VOLUME</stp>
        <stp>.SPX250919P5750</stp>
        <tr r="Q98" s="2"/>
        <tr r="Q98" s="2"/>
      </tp>
      <tp>
        <v>6</v>
        <stp/>
        <stp>VOLUME</stp>
        <stp>.SPX250815P5790</stp>
        <tr r="O94" s="2"/>
        <tr r="O94" s="2"/>
      </tp>
      <tp>
        <v>74</v>
        <stp/>
        <stp>VOLUME</stp>
        <stp>.SPX250718C5750</stp>
        <tr r="M98" s="2"/>
        <tr r="M98" s="2"/>
      </tp>
      <tp t="s">
        <v>N/A</v>
        <stp/>
        <stp>VOLUME</stp>
        <stp>.SPX250919C5740</stp>
        <tr r="Q99" s="2"/>
      </tp>
      <tp t="s">
        <v>N/A</v>
        <stp/>
        <stp>VOLUME</stp>
        <stp>.SPX250815C5780</stp>
        <tr r="O95" s="2"/>
      </tp>
      <tp t="s">
        <v>N/A</v>
        <stp/>
        <stp>VOLUME</stp>
        <stp>.SPX251219C5740</stp>
        <tr r="W99" s="2"/>
      </tp>
      <tp t="s">
        <v>N/A</v>
        <stp/>
        <stp>VOLUME</stp>
        <stp>.SPX251219P5740</stp>
        <tr r="W99" s="2"/>
      </tp>
      <tp>
        <v>27</v>
        <stp/>
        <stp>VOLUME</stp>
        <stp>.SPX250718P5750</stp>
        <tr r="M98" s="2"/>
        <tr r="M98" s="2"/>
      </tp>
      <tp t="s">
        <v>N/A</v>
        <stp/>
        <stp>VOLUME</stp>
        <stp>.SPX250919P5740</stp>
        <tr r="Q99" s="2"/>
      </tp>
      <tp>
        <v>9</v>
        <stp/>
        <stp>VOLUME</stp>
        <stp>.SPX250815P5780</stp>
        <tr r="O95" s="2"/>
        <tr r="O95" s="2"/>
      </tp>
      <tp>
        <v>157</v>
        <stp/>
        <stp>VOLUME</stp>
        <stp>.SPX250718C5720</stp>
        <tr r="M101" s="2"/>
        <tr r="M101" s="2"/>
      </tp>
      <tp t="s">
        <v>N/A</v>
        <stp/>
        <stp>VOLUME</stp>
        <stp>.SPX250523C5490</stp>
        <tr r="H124" s="2"/>
      </tp>
      <tp>
        <v>1</v>
        <stp/>
        <stp>VOLUME</stp>
        <stp>.SPX250919C5730</stp>
        <tr r="Q100" s="2"/>
        <tr r="Q100" s="2"/>
      </tp>
      <tp t="s">
        <v>N/A</v>
        <stp/>
        <stp>VOLUME</stp>
        <stp>.SPX251219C5730</stp>
        <tr r="W100" s="2"/>
      </tp>
      <tp t="s">
        <v>N/A</v>
        <stp/>
        <stp>VOLUME</stp>
        <stp>.SPX251219P5730</stp>
        <tr r="W100" s="2"/>
      </tp>
      <tp>
        <v>68</v>
        <stp/>
        <stp>VOLUME</stp>
        <stp>.SPX250718P5720</stp>
        <tr r="M101" s="2"/>
        <tr r="M101" s="2"/>
      </tp>
      <tp t="s">
        <v>N/A</v>
        <stp/>
        <stp>VOLUME</stp>
        <stp>.SPX250523P5490</stp>
        <tr r="H124" s="2"/>
      </tp>
      <tp t="s">
        <v>N/A</v>
        <stp/>
        <stp>VOLUME</stp>
        <stp>.SPX250919P5730</stp>
        <tr r="Q100" s="2"/>
      </tp>
      <tp>
        <v>3</v>
        <stp/>
        <stp>VOLUME</stp>
        <stp>.SPX250718C5730</stp>
        <tr r="M100" s="2"/>
        <tr r="M100" s="2"/>
      </tp>
      <tp t="s">
        <v>N/A</v>
        <stp/>
        <stp>VOLUME</stp>
        <stp>.SPX250523C5480</stp>
        <tr r="H125" s="2"/>
      </tp>
      <tp>
        <v>2</v>
        <stp/>
        <stp>VOLUME</stp>
        <stp>.SPX250919C5720</stp>
        <tr r="Q101" s="2"/>
        <tr r="Q101" s="2"/>
      </tp>
      <tp t="s">
        <v>N/A</v>
        <stp/>
        <stp>VOLUME</stp>
        <stp>.SPX251219C5720</stp>
        <tr r="W101" s="2"/>
      </tp>
      <tp t="s">
        <v>N/A</v>
        <stp/>
        <stp>VOLUME</stp>
        <stp>.SPX251219P5720</stp>
        <tr r="W101" s="2"/>
      </tp>
      <tp>
        <v>85</v>
        <stp/>
        <stp>VOLUME</stp>
        <stp>.SPX250718P5730</stp>
        <tr r="M100" s="2"/>
        <tr r="M100" s="2"/>
      </tp>
      <tp t="s">
        <v>N/A</v>
        <stp/>
        <stp>VOLUME</stp>
        <stp>.SPX250523P5480</stp>
        <tr r="H125" s="2"/>
      </tp>
      <tp t="s">
        <v>N/A</v>
        <stp/>
        <stp>VOLUME</stp>
        <stp>.SPX250919P5720</stp>
        <tr r="Q101" s="2"/>
      </tp>
      <tp>
        <v>798</v>
        <stp/>
        <stp>VOLUME</stp>
        <stp>.SPX250718C5700</stp>
        <tr r="M103" s="2"/>
        <tr r="M103" s="2"/>
      </tp>
      <tp t="s">
        <v>N/A</v>
        <stp/>
        <stp>VOLUME</stp>
        <stp>.SPX250620C5480</stp>
        <tr r="K125" s="2"/>
      </tp>
      <tp t="s">
        <v>N/A</v>
        <stp/>
        <stp>VOLUME</stp>
        <stp>.SPX250919C5710</stp>
        <tr r="Q102" s="2"/>
      </tp>
      <tp t="s">
        <v>N/A</v>
        <stp/>
        <stp>VOLUME</stp>
        <stp>.SPX251219C5710</stp>
        <tr r="W102" s="2"/>
      </tp>
      <tp t="s">
        <v>N/A</v>
        <stp/>
        <stp>VOLUME</stp>
        <stp>.SPX251121C5490</stp>
        <tr r="U124" s="2"/>
      </tp>
      <tp t="s">
        <v>N/A</v>
        <stp/>
        <stp>VOLUME</stp>
        <stp>.SPX251219P5710</stp>
        <tr r="W102" s="2"/>
      </tp>
      <tp t="s">
        <v>N/A</v>
        <stp/>
        <stp>VOLUME</stp>
        <stp>.SPX251121P5490</stp>
        <tr r="U124" s="2"/>
      </tp>
      <tp>
        <v>857</v>
        <stp/>
        <stp>VOLUME</stp>
        <stp>.SPX250718P5700</stp>
        <tr r="M103" s="2"/>
        <tr r="M103" s="2"/>
      </tp>
      <tp>
        <v>5</v>
        <stp/>
        <stp>VOLUME</stp>
        <stp>.SPX250620P5480</stp>
        <tr r="K125" s="2"/>
        <tr r="K125" s="2"/>
      </tp>
      <tp>
        <v>6</v>
        <stp/>
        <stp>VOLUME</stp>
        <stp>.SPX250919P5710</stp>
        <tr r="Q102" s="2"/>
        <tr r="Q102" s="2"/>
      </tp>
      <tp>
        <v>122</v>
        <stp/>
        <stp>VOLUME</stp>
        <stp>.SPX250718C5710</stp>
        <tr r="M102" s="2"/>
        <tr r="M102" s="2"/>
      </tp>
      <tp>
        <v>1</v>
        <stp/>
        <stp>VOLUME</stp>
        <stp>.SPX250620C5490</stp>
        <tr r="K124" s="2"/>
        <tr r="K124" s="2"/>
      </tp>
      <tp>
        <v>41</v>
        <stp/>
        <stp>VOLUME</stp>
        <stp>.SPX250919C5700</stp>
        <tr r="Q103" s="2"/>
        <tr r="Q103" s="2"/>
      </tp>
      <tp>
        <v>102</v>
        <stp/>
        <stp>VOLUME</stp>
        <stp>.SPX251219C5700</stp>
        <tr r="W103" s="2"/>
        <tr r="W103" s="2"/>
      </tp>
      <tp t="s">
        <v>N/A</v>
        <stp/>
        <stp>VOLUME</stp>
        <stp>.SPX251121C5480</stp>
        <tr r="U125" s="2"/>
      </tp>
      <tp>
        <v>210</v>
        <stp/>
        <stp>VOLUME</stp>
        <stp>.SPX251219P5700</stp>
        <tr r="W103" s="2"/>
        <tr r="W103" s="2"/>
      </tp>
      <tp t="s">
        <v>N/A</v>
        <stp/>
        <stp>VOLUME</stp>
        <stp>.SPX251121P5480</stp>
        <tr r="U125" s="2"/>
      </tp>
      <tp>
        <v>34</v>
        <stp/>
        <stp>VOLUME</stp>
        <stp>.SPX250718P5710</stp>
        <tr r="M102" s="2"/>
        <tr r="M102" s="2"/>
      </tp>
      <tp>
        <v>2</v>
        <stp/>
        <stp>VOLUME</stp>
        <stp>.SPX250620P5490</stp>
        <tr r="K124" s="2"/>
        <tr r="K124" s="2"/>
      </tp>
      <tp>
        <v>5</v>
        <stp/>
        <stp>VOLUME</stp>
        <stp>.SPX250919P5700</stp>
        <tr r="Q103" s="2"/>
        <tr r="Q103" s="2"/>
      </tp>
      <tp t="s">
        <v>N/A</v>
        <stp/>
        <stp>IMPL_VOL</stp>
        <stp>.SPXW250509C5720</stp>
        <tr r="EN100" s="1"/>
      </tp>
      <tp t="s">
        <v>N/A</v>
        <stp/>
        <stp>IMPL_VOL</stp>
        <stp>.SPXW250509P5720</stp>
        <tr r="EO100" s="1"/>
      </tp>
      <tp t="s">
        <v>59.81%</v>
        <stp/>
        <stp>IMPL_VOL</stp>
        <stp>.SPXW250509C5730</stp>
        <tr r="EN99" s="1"/>
      </tp>
      <tp t="s">
        <v>91.07%</v>
        <stp/>
        <stp>IMPL_VOL</stp>
        <stp>.SPXW250509P5730</stp>
        <tr r="EO99" s="1"/>
      </tp>
      <tp t="s">
        <v>36.33%</v>
        <stp/>
        <stp>IMPL_VOL</stp>
        <stp>.SPXW250509C5700</stp>
        <tr r="EN102" s="1"/>
      </tp>
      <tp t="s">
        <v>58.23%</v>
        <stp/>
        <stp>IMPL_VOL</stp>
        <stp>.SPXW250509P5700</stp>
        <tr r="EO102" s="1"/>
      </tp>
      <tp t="s">
        <v>44.29%</v>
        <stp/>
        <stp>IMPL_VOL</stp>
        <stp>.SPXW250509C5710</stp>
        <tr r="EN101" s="1"/>
      </tp>
      <tp t="s">
        <v>69.48%</v>
        <stp/>
        <stp>IMPL_VOL</stp>
        <stp>.SPXW250509P5710</stp>
        <tr r="EO101" s="1"/>
      </tp>
      <tp t="s">
        <v>82.13%</v>
        <stp/>
        <stp>IMPL_VOL</stp>
        <stp>.SPXW250509C5760</stp>
        <tr r="EN96" s="1"/>
      </tp>
      <tp t="s">
        <v>23.93%</v>
        <stp/>
        <stp>IMPL_VOL</stp>
        <stp>.SPXW250516C5690</stp>
        <tr r="EP103" s="1"/>
      </tp>
      <tp t="s">
        <v>121.88%</v>
        <stp/>
        <stp>IMPL_VOL</stp>
        <stp>.SPXW250509P5760</stp>
        <tr r="EO96" s="1"/>
      </tp>
      <tp t="s">
        <v>22.67%</v>
        <stp/>
        <stp>IMPL_VOL</stp>
        <stp>.SPXW250516P5690</stp>
        <tr r="EQ103" s="1"/>
      </tp>
      <tp t="s">
        <v>89.44%</v>
        <stp/>
        <stp>IMPL_VOL</stp>
        <stp>.SPXW250509C5770</stp>
        <tr r="EN95" s="1"/>
      </tp>
      <tp t="s">
        <v>24.13%</v>
        <stp/>
        <stp>IMPL_VOL</stp>
        <stp>.SPXW250516C5680</stp>
        <tr r="EP104" s="1"/>
      </tp>
      <tp t="s">
        <v>125.65%</v>
        <stp/>
        <stp>IMPL_VOL</stp>
        <stp>.SPXW250509P5770</stp>
        <tr r="EO95" s="1"/>
      </tp>
      <tp t="s">
        <v>22.86%</v>
        <stp/>
        <stp>IMPL_VOL</stp>
        <stp>.SPXW250516P5680</stp>
        <tr r="EQ104" s="1"/>
      </tp>
      <tp t="s">
        <v>96.68%</v>
        <stp/>
        <stp>IMPL_VOL</stp>
        <stp>.SPXW250505C5780</stp>
        <tr r="EL94" s="1"/>
      </tp>
      <tp t="s">
        <v>67.44%</v>
        <stp/>
        <stp>IMPL_VOL</stp>
        <stp>.SPXW250509C5740</stp>
        <tr r="EN98" s="1"/>
      </tp>
      <tp t="s">
        <v>270.90%</v>
        <stp/>
        <stp>IMPL_VOL</stp>
        <stp>.SPXW250505P5780</stp>
        <tr r="EM94" s="1"/>
      </tp>
      <tp t="s">
        <v>101.52%</v>
        <stp/>
        <stp>IMPL_VOL</stp>
        <stp>.SPXW250509P5740</stp>
        <tr r="EO98" s="1"/>
      </tp>
      <tp t="s">
        <v>103.86%</v>
        <stp/>
        <stp>IMPL_VOL</stp>
        <stp>.SPXW250505C5790</stp>
        <tr r="EL93" s="1"/>
      </tp>
      <tp t="s">
        <v>74.81%</v>
        <stp/>
        <stp>IMPL_VOL</stp>
        <stp>.SPXW250509C5750</stp>
        <tr r="EN97" s="1"/>
      </tp>
      <tp t="s">
        <v>285.52%</v>
        <stp/>
        <stp>IMPL_VOL</stp>
        <stp>.SPXW250505P5790</stp>
        <tr r="EM93" s="1"/>
      </tp>
      <tp t="s">
        <v>111.78%</v>
        <stp/>
        <stp>IMPL_VOL</stp>
        <stp>.SPXW250509P5750</stp>
        <tr r="EO97" s="1"/>
      </tp>
      <tp t="s">
        <v>82.13%</v>
        <stp/>
        <stp>IMPL_VOL</stp>
        <stp>.SPXW250505C5760</stp>
        <tr r="EL96" s="1"/>
      </tp>
      <tp t="s">
        <v>24.70%</v>
        <stp/>
        <stp>IMPL_VOL</stp>
        <stp>.SPXW250516C5650</stp>
        <tr r="EP107" s="1"/>
      </tp>
      <tp t="s">
        <v>240.89%</v>
        <stp/>
        <stp>IMPL_VOL</stp>
        <stp>.SPXW250505P5760</stp>
        <tr r="EM96" s="1"/>
      </tp>
      <tp t="s">
        <v>23.44%</v>
        <stp/>
        <stp>IMPL_VOL</stp>
        <stp>.SPXW250516P5650</stp>
        <tr r="EQ107" s="1"/>
      </tp>
      <tp t="s">
        <v>89.44%</v>
        <stp/>
        <stp>IMPL_VOL</stp>
        <stp>.SPXW250505C5770</stp>
        <tr r="EL95" s="1"/>
      </tp>
      <tp t="s">
        <v>24.90%</v>
        <stp/>
        <stp>IMPL_VOL</stp>
        <stp>.SPXW250516C5640</stp>
        <tr r="EP108" s="1"/>
      </tp>
      <tp t="s">
        <v>256.03%</v>
        <stp/>
        <stp>IMPL_VOL</stp>
        <stp>.SPXW250505P5770</stp>
        <tr r="EM95" s="1"/>
      </tp>
      <tp t="s">
        <v>23.62%</v>
        <stp/>
        <stp>IMPL_VOL</stp>
        <stp>.SPXW250516P5640</stp>
        <tr r="EQ108" s="1"/>
      </tp>
      <tp t="s">
        <v>67.44%</v>
        <stp/>
        <stp>IMPL_VOL</stp>
        <stp>.SPXW250505C5740</stp>
        <tr r="EL98" s="1"/>
      </tp>
      <tp t="s">
        <v>96.68%</v>
        <stp/>
        <stp>IMPL_VOL</stp>
        <stp>.SPXW250509C5780</stp>
        <tr r="EN94" s="1"/>
      </tp>
      <tp t="s">
        <v>24.30%</v>
        <stp/>
        <stp>IMPL_VOL</stp>
        <stp>.SPXW250516C5670</stp>
        <tr r="EP105" s="1"/>
      </tp>
      <tp t="s">
        <v>209.63%</v>
        <stp/>
        <stp>IMPL_VOL</stp>
        <stp>.SPXW250505P5740</stp>
        <tr r="EM98" s="1"/>
      </tp>
      <tp t="s">
        <v>126.87%</v>
        <stp/>
        <stp>IMPL_VOL</stp>
        <stp>.SPXW250509P5780</stp>
        <tr r="EO94" s="1"/>
      </tp>
      <tp t="s">
        <v>23.07%</v>
        <stp/>
        <stp>IMPL_VOL</stp>
        <stp>.SPXW250516P5670</stp>
        <tr r="EQ105" s="1"/>
      </tp>
      <tp t="s">
        <v>74.81%</v>
        <stp/>
        <stp>IMPL_VOL</stp>
        <stp>.SPXW250505C5750</stp>
        <tr r="EL97" s="1"/>
      </tp>
      <tp t="s">
        <v>103.86%</v>
        <stp/>
        <stp>IMPL_VOL</stp>
        <stp>.SPXW250509C5790</stp>
        <tr r="EN93" s="1"/>
      </tp>
      <tp t="s">
        <v>24.49%</v>
        <stp/>
        <stp>IMPL_VOL</stp>
        <stp>.SPXW250516C5660</stp>
        <tr r="EP106" s="1"/>
      </tp>
      <tp t="s">
        <v>225.43%</v>
        <stp/>
        <stp>IMPL_VOL</stp>
        <stp>.SPXW250505P5750</stp>
        <tr r="EM97" s="1"/>
      </tp>
      <tp t="s">
        <v>132.22%</v>
        <stp/>
        <stp>IMPL_VOL</stp>
        <stp>.SPXW250509P5790</stp>
        <tr r="EO93" s="1"/>
      </tp>
      <tp t="s">
        <v>23.26%</v>
        <stp/>
        <stp>IMPL_VOL</stp>
        <stp>.SPXW250516P5660</stp>
        <tr r="EQ106" s="1"/>
      </tp>
      <tp t="s">
        <v>52.10%</v>
        <stp/>
        <stp>IMPL_VOL</stp>
        <stp>.SPXW250505C5720</stp>
        <tr r="EL100" s="1"/>
      </tp>
      <tp t="s">
        <v>25.46%</v>
        <stp/>
        <stp>IMPL_VOL</stp>
        <stp>.SPXW250516C5610</stp>
        <tr r="EP111" s="1"/>
      </tp>
      <tp t="s">
        <v>176.73%</v>
        <stp/>
        <stp>IMPL_VOL</stp>
        <stp>.SPXW250505P5720</stp>
        <tr r="EM100" s="1"/>
      </tp>
      <tp t="s">
        <v>24.17%</v>
        <stp/>
        <stp>IMPL_VOL</stp>
        <stp>.SPXW250516P5610</stp>
        <tr r="EQ111" s="1"/>
      </tp>
      <tp t="s">
        <v>59.81%</v>
        <stp/>
        <stp>IMPL_VOL</stp>
        <stp>.SPXW250505C5730</stp>
        <tr r="EL99" s="1"/>
      </tp>
      <tp t="s">
        <v>25.67%</v>
        <stp/>
        <stp>IMPL_VOL</stp>
        <stp>.SPXW250516C5600</stp>
        <tr r="EP112" s="1"/>
      </tp>
      <tp t="s">
        <v>193.42%</v>
        <stp/>
        <stp>IMPL_VOL</stp>
        <stp>.SPXW250505P5730</stp>
        <tr r="EM99" s="1"/>
      </tp>
      <tp t="s">
        <v>24.34%</v>
        <stp/>
        <stp>IMPL_VOL</stp>
        <stp>.SPXW250516P5600</stp>
        <tr r="EQ112" s="1"/>
      </tp>
      <tp t="s">
        <v>36.33%</v>
        <stp/>
        <stp>IMPL_VOL</stp>
        <stp>.SPXW250505C5700</stp>
        <tr r="EL102" s="1"/>
      </tp>
      <tp t="s">
        <v>25.08%</v>
        <stp/>
        <stp>IMPL_VOL</stp>
        <stp>.SPXW250516C5630</stp>
        <tr r="EP109" s="1"/>
      </tp>
      <tp t="s">
        <v>141.52%</v>
        <stp/>
        <stp>IMPL_VOL</stp>
        <stp>.SPXW250505P5700</stp>
        <tr r="EM102" s="1"/>
      </tp>
      <tp t="s">
        <v>23.83%</v>
        <stp/>
        <stp>IMPL_VOL</stp>
        <stp>.SPXW250516P5630</stp>
        <tr r="EQ109" s="1"/>
      </tp>
      <tp t="s">
        <v>44.29%</v>
        <stp/>
        <stp>IMPL_VOL</stp>
        <stp>.SPXW250505C5710</stp>
        <tr r="EL101" s="1"/>
      </tp>
      <tp t="s">
        <v>25.27%</v>
        <stp/>
        <stp>IMPL_VOL</stp>
        <stp>.SPXW250516C5620</stp>
        <tr r="EP110" s="1"/>
      </tp>
      <tp t="s">
        <v>163.27%</v>
        <stp/>
        <stp>IMPL_VOL</stp>
        <stp>.SPXW250505P5710</stp>
        <tr r="EM101" s="1"/>
      </tp>
      <tp t="s">
        <v>23.98%</v>
        <stp/>
        <stp>IMPL_VOL</stp>
        <stp>.SPXW250516P5620</stp>
        <tr r="EQ110" s="1"/>
      </tp>
      <tp t="s">
        <v>--</v>
        <stp/>
        <stp>IMPL_VOL</stp>
        <stp>.SPXW250509C5620</stp>
        <tr r="EN110" s="1"/>
      </tp>
      <tp t="s">
        <v>36.47%</v>
        <stp/>
        <stp>IMPL_VOL</stp>
        <stp>.SPXW250509P5620</stp>
        <tr r="EO110" s="1"/>
      </tp>
      <tp t="s">
        <v>--</v>
        <stp/>
        <stp>IMPL_VOL</stp>
        <stp>.SPXW250509C5630</stp>
        <tr r="EN109" s="1"/>
      </tp>
      <tp t="s">
        <v>28.16%</v>
        <stp/>
        <stp>IMPL_VOL</stp>
        <stp>.SPXW250509P5630</stp>
        <tr r="EO109" s="1"/>
      </tp>
      <tp t="s">
        <v>--</v>
        <stp/>
        <stp>IMPL_VOL</stp>
        <stp>.SPXW250509C5600</stp>
        <tr r="EN112" s="1"/>
      </tp>
      <tp t="s">
        <v>52.54%</v>
        <stp/>
        <stp>IMPL_VOL</stp>
        <stp>.SPXW250509P5600</stp>
        <tr r="EO112" s="1"/>
      </tp>
      <tp t="s">
        <v>--</v>
        <stp/>
        <stp>IMPL_VOL</stp>
        <stp>.SPXW250509C5610</stp>
        <tr r="EN111" s="1"/>
      </tp>
      <tp t="s">
        <v>44.56%</v>
        <stp/>
        <stp>IMPL_VOL</stp>
        <stp>.SPXW250509P5610</stp>
        <tr r="EO111" s="1"/>
      </tp>
      <tp t="s">
        <v>2.85%</v>
        <stp/>
        <stp>IMPL_VOL</stp>
        <stp>.SPXW250509C5660</stp>
        <tr r="EN106" s="1"/>
      </tp>
      <tp t="s">
        <v>22.09%</v>
        <stp/>
        <stp>IMPL_VOL</stp>
        <stp>.SPXW250516C5790</stp>
        <tr r="EP93" s="1"/>
      </tp>
      <tp t="s">
        <v>3.00%</v>
        <stp/>
        <stp>IMPL_VOL</stp>
        <stp>.SPXW250509P5660</stp>
        <tr r="EO106" s="1"/>
      </tp>
      <tp t="s">
        <v>20.55%</v>
        <stp/>
        <stp>IMPL_VOL</stp>
        <stp>.SPXW250516P5790</stp>
        <tr r="EQ93" s="1"/>
      </tp>
      <tp t="s">
        <v>10.85%</v>
        <stp/>
        <stp>IMPL_VOL</stp>
        <stp>.SPXW250509C5670</stp>
        <tr r="EN105" s="1"/>
      </tp>
      <tp t="s">
        <v>22.28%</v>
        <stp/>
        <stp>IMPL_VOL</stp>
        <stp>.SPXW250516C5780</stp>
        <tr r="EP94" s="1"/>
      </tp>
      <tp t="s">
        <v>21.37%</v>
        <stp/>
        <stp>IMPL_VOL</stp>
        <stp>.SPXW250509P5670</stp>
        <tr r="EO105" s="1"/>
      </tp>
      <tp t="s">
        <v>20.83%</v>
        <stp/>
        <stp>IMPL_VOL</stp>
        <stp>.SPXW250516P5780</stp>
        <tr r="EQ94" s="1"/>
      </tp>
      <tp t="s">
        <v>19.79%</v>
        <stp/>
        <stp>IMPL_VOL</stp>
        <stp>.SPXW250505C5680</stp>
        <tr r="EL104" s="1"/>
      </tp>
      <tp t="s">
        <v>35.61%</v>
        <stp/>
        <stp>IMPL_VOL</stp>
        <stp>.SPXW250509C5640</stp>
        <tr r="EN108" s="1"/>
      </tp>
      <tp t="s">
        <v>102.51%</v>
        <stp/>
        <stp>IMPL_VOL</stp>
        <stp>.SPXW250505P5680</stp>
        <tr r="EM104" s="1"/>
      </tp>
      <tp t="s">
        <v>19.73%</v>
        <stp/>
        <stp>IMPL_VOL</stp>
        <stp>.SPXW250509P5640</stp>
        <tr r="EO108" s="1"/>
      </tp>
      <tp t="s">
        <v>28.14%</v>
        <stp/>
        <stp>IMPL_VOL</stp>
        <stp>.SPXW250505C5690</stp>
        <tr r="EL103" s="1"/>
      </tp>
      <tp t="s">
        <v>15.16%</v>
        <stp/>
        <stp>IMPL_VOL</stp>
        <stp>.SPXW250509C5650</stp>
        <tr r="EN107" s="1"/>
      </tp>
      <tp t="s">
        <v>122.65%</v>
        <stp/>
        <stp>IMPL_VOL</stp>
        <stp>.SPXW250505P5690</stp>
        <tr r="EM103" s="1"/>
      </tp>
      <tp t="s">
        <v>10.73%</v>
        <stp/>
        <stp>IMPL_VOL</stp>
        <stp>.SPXW250509P5650</stp>
        <tr r="EO107" s="1"/>
      </tp>
      <tp t="s">
        <v>1.32%</v>
        <stp/>
        <stp>IMPL_VOL</stp>
        <stp>.SPXW250505C5660</stp>
        <tr r="EL106" s="1"/>
      </tp>
      <tp t="s">
        <v>22.81%</v>
        <stp/>
        <stp>IMPL_VOL</stp>
        <stp>.SPXW250516C5750</stp>
        <tr r="EP97" s="1"/>
      </tp>
      <tp t="s">
        <v>56.66%</v>
        <stp/>
        <stp>IMPL_VOL</stp>
        <stp>.SPXW250505P5660</stp>
        <tr r="EM106" s="1"/>
      </tp>
      <tp t="s">
        <v>21.54%</v>
        <stp/>
        <stp>IMPL_VOL</stp>
        <stp>.SPXW250516P5750</stp>
        <tr r="EQ97" s="1"/>
      </tp>
      <tp t="s">
        <v>10.85%</v>
        <stp/>
        <stp>IMPL_VOL</stp>
        <stp>.SPXW250505C5670</stp>
        <tr r="EL105" s="1"/>
      </tp>
      <tp t="s">
        <v>22.97%</v>
        <stp/>
        <stp>IMPL_VOL</stp>
        <stp>.SPXW250516C5740</stp>
        <tr r="EP98" s="1"/>
      </tp>
      <tp t="s">
        <v>80.43%</v>
        <stp/>
        <stp>IMPL_VOL</stp>
        <stp>.SPXW250505P5670</stp>
        <tr r="EM105" s="1"/>
      </tp>
      <tp t="s">
        <v>21.79%</v>
        <stp/>
        <stp>IMPL_VOL</stp>
        <stp>.SPXW250516P5740</stp>
        <tr r="EQ98" s="1"/>
      </tp>
      <tp t="s">
        <v>--</v>
        <stp/>
        <stp>IMPL_VOL</stp>
        <stp>.SPXW250505C5640</stp>
        <tr r="EL108" s="1"/>
      </tp>
      <tp t="s">
        <v>19.79%</v>
        <stp/>
        <stp>IMPL_VOL</stp>
        <stp>.SPXW250509C5680</stp>
        <tr r="EN104" s="1"/>
      </tp>
      <tp t="s">
        <v>22.42%</v>
        <stp/>
        <stp>IMPL_VOL</stp>
        <stp>.SPXW250516C5770</stp>
        <tr r="EP95" s="1"/>
      </tp>
      <tp t="s">
        <v>19.73%</v>
        <stp/>
        <stp>IMPL_VOL</stp>
        <stp>.SPXW250505P5640</stp>
        <tr r="EM108" s="1"/>
      </tp>
      <tp t="s">
        <v>--</v>
        <stp/>
        <stp>IMPL_VOL</stp>
        <stp>.SPXW250509P5680</stp>
        <tr r="EO104" s="1"/>
      </tp>
      <tp t="s">
        <v>21.08%</v>
        <stp/>
        <stp>IMPL_VOL</stp>
        <stp>.SPXW250516P5770</stp>
        <tr r="EQ95" s="1"/>
      </tp>
      <tp t="s">
        <v>--</v>
        <stp/>
        <stp>IMPL_VOL</stp>
        <stp>.SPXW250505C5650</stp>
        <tr r="EL107" s="1"/>
      </tp>
      <tp t="s">
        <v>28.14%</v>
        <stp/>
        <stp>IMPL_VOL</stp>
        <stp>.SPXW250509C5690</stp>
        <tr r="EN103" s="1"/>
      </tp>
      <tp t="s">
        <v>22.61%</v>
        <stp/>
        <stp>IMPL_VOL</stp>
        <stp>.SPXW250516C5760</stp>
        <tr r="EP96" s="1"/>
      </tp>
      <tp t="s">
        <v>20.08%</v>
        <stp/>
        <stp>IMPL_VOL</stp>
        <stp>.SPXW250505P5650</stp>
        <tr r="EM107" s="1"/>
      </tp>
      <tp t="s">
        <v>46.55%</v>
        <stp/>
        <stp>IMPL_VOL</stp>
        <stp>.SPXW250509P5690</stp>
        <tr r="EO103" s="1"/>
      </tp>
      <tp t="s">
        <v>21.30%</v>
        <stp/>
        <stp>IMPL_VOL</stp>
        <stp>.SPXW250516P5760</stp>
        <tr r="EQ96" s="1"/>
      </tp>
      <tp t="s">
        <v>--</v>
        <stp/>
        <stp>IMPL_VOL</stp>
        <stp>.SPXW250505C5620</stp>
        <tr r="EL110" s="1"/>
      </tp>
      <tp t="s">
        <v>23.55%</v>
        <stp/>
        <stp>IMPL_VOL</stp>
        <stp>.SPXW250516C5710</stp>
        <tr r="EP101" s="1"/>
      </tp>
      <tp t="s">
        <v>36.47%</v>
        <stp/>
        <stp>IMPL_VOL</stp>
        <stp>.SPXW250505P5620</stp>
        <tr r="EM110" s="1"/>
      </tp>
      <tp t="s">
        <v>22.23%</v>
        <stp/>
        <stp>IMPL_VOL</stp>
        <stp>.SPXW250516P5710</stp>
        <tr r="EQ101" s="1"/>
      </tp>
      <tp t="s">
        <v>--</v>
        <stp/>
        <stp>IMPL_VOL</stp>
        <stp>.SPXW250505C5630</stp>
        <tr r="EL109" s="1"/>
      </tp>
      <tp t="s">
        <v>23.73%</v>
        <stp/>
        <stp>IMPL_VOL</stp>
        <stp>.SPXW250516C5700</stp>
        <tr r="EP102" s="1"/>
      </tp>
      <tp t="s">
        <v>28.16%</v>
        <stp/>
        <stp>IMPL_VOL</stp>
        <stp>.SPXW250505P5630</stp>
        <tr r="EM109" s="1"/>
      </tp>
      <tp t="s">
        <v>22.44%</v>
        <stp/>
        <stp>IMPL_VOL</stp>
        <stp>.SPXW250516P5700</stp>
        <tr r="EQ102" s="1"/>
      </tp>
      <tp t="s">
        <v>--</v>
        <stp/>
        <stp>IMPL_VOL</stp>
        <stp>.SPXW250505C5600</stp>
        <tr r="EL112" s="1"/>
      </tp>
      <tp t="s">
        <v>23.17%</v>
        <stp/>
        <stp>IMPL_VOL</stp>
        <stp>.SPXW250516C5730</stp>
        <tr r="EP99" s="1"/>
      </tp>
      <tp t="s">
        <v>52.54%</v>
        <stp/>
        <stp>IMPL_VOL</stp>
        <stp>.SPXW250505P5600</stp>
        <tr r="EM112" s="1"/>
      </tp>
      <tp t="s">
        <v>21.80%</v>
        <stp/>
        <stp>IMPL_VOL</stp>
        <stp>.SPXW250516P5730</stp>
        <tr r="EQ99" s="1"/>
      </tp>
      <tp t="s">
        <v>--</v>
        <stp/>
        <stp>IMPL_VOL</stp>
        <stp>.SPXW250505C5610</stp>
        <tr r="EL111" s="1"/>
      </tp>
      <tp t="s">
        <v>23.35%</v>
        <stp/>
        <stp>IMPL_VOL</stp>
        <stp>.SPXW250516C5720</stp>
        <tr r="EP100" s="1"/>
      </tp>
      <tp t="s">
        <v>44.56%</v>
        <stp/>
        <stp>IMPL_VOL</stp>
        <stp>.SPXW250505P5610</stp>
        <tr r="EM111" s="1"/>
      </tp>
      <tp t="s">
        <v>22.03%</v>
        <stp/>
        <stp>IMPL_VOL</stp>
        <stp>.SPXW250516P5720</stp>
        <tr r="EQ100" s="1"/>
      </tp>
      <tp t="s">
        <v>138.09%</v>
        <stp/>
        <stp>IMPL_VOL</stp>
        <stp>.QQQ250505C502</stp>
        <tr r="EL45" s="1"/>
      </tp>
      <tp t="s">
        <v>562.85%</v>
        <stp/>
        <stp>IMPL_VOL</stp>
        <stp>.QQQ250505P502</stp>
        <tr r="EM45" s="1"/>
      </tp>
      <tp t="s">
        <v>129.37%</v>
        <stp/>
        <stp>IMPL_VOL</stp>
        <stp>.QQQ250505C501</stp>
        <tr r="EL46" s="1"/>
      </tp>
      <tp t="s">
        <v>542.08%</v>
        <stp/>
        <stp>IMPL_VOL</stp>
        <stp>.QQQ250505P501</stp>
        <tr r="EM46" s="1"/>
      </tp>
      <tp t="s">
        <v>120.57%</v>
        <stp/>
        <stp>IMPL_VOL</stp>
        <stp>.QQQ250505C500</stp>
        <tr r="EL47" s="1"/>
      </tp>
      <tp t="s">
        <v>544.00%</v>
        <stp/>
        <stp>IMPL_VOL</stp>
        <stp>.QQQ250505P500</stp>
        <tr r="EM47" s="1"/>
      </tp>
      <tp t="s">
        <v>138.09%</v>
        <stp/>
        <stp>IMPL_VOL</stp>
        <stp>.QQQ250509C502</stp>
        <tr r="EN45" s="1"/>
      </tp>
      <tp t="s">
        <v>--</v>
        <stp/>
        <stp>IMPL_VOL</stp>
        <stp>.QQQ250509P502</stp>
        <tr r="EO45" s="1"/>
      </tp>
      <tp t="s">
        <v>129.37%</v>
        <stp/>
        <stp>IMPL_VOL</stp>
        <stp>.QQQ250509C501</stp>
        <tr r="EN46" s="1"/>
      </tp>
      <tp t="s">
        <v>--</v>
        <stp/>
        <stp>IMPL_VOL</stp>
        <stp>.QQQ250509P501</stp>
        <tr r="EO46" s="1"/>
      </tp>
      <tp t="s">
        <v>120.57%</v>
        <stp/>
        <stp>IMPL_VOL</stp>
        <stp>.QQQ250509C500</stp>
        <tr r="EN47" s="1"/>
      </tp>
      <tp t="s">
        <v>--</v>
        <stp/>
        <stp>IMPL_VOL</stp>
        <stp>.QQQ250509P500</stp>
        <tr r="EO47" s="1"/>
      </tp>
      <tp t="s">
        <v>27.16%</v>
        <stp/>
        <stp>IMPL_VOL</stp>
        <stp>.QQQ250516C500</stp>
        <tr r="EP47" s="1"/>
      </tp>
      <tp t="s">
        <v>28.33%</v>
        <stp/>
        <stp>IMPL_VOL</stp>
        <stp>.QQQ250516P500</stp>
        <tr r="EQ47" s="1"/>
      </tp>
      <tp t="s">
        <v>27.03%</v>
        <stp/>
        <stp>IMPL_VOL</stp>
        <stp>.QQQ250516C501</stp>
        <tr r="EP46" s="1"/>
      </tp>
      <tp t="s">
        <v>26.61%</v>
        <stp/>
        <stp>IMPL_VOL</stp>
        <stp>.QQQ250516P501</stp>
        <tr r="EQ46" s="1"/>
      </tp>
      <tp t="s">
        <v>26.96%</v>
        <stp/>
        <stp>IMPL_VOL</stp>
        <stp>.QQQ250516C502</stp>
        <tr r="EP45" s="1"/>
      </tp>
      <tp t="s">
        <v>26.46%</v>
        <stp/>
        <stp>IMPL_VOL</stp>
        <stp>.QQQ250516P502</stp>
        <tr r="EQ45" s="1"/>
      </tp>
      <tp>
        <v>0.01</v>
        <stp/>
        <stp>ASK</stp>
        <stp>.SPY250505C567</stp>
        <tr r="DC19" s="1"/>
        <tr r="DC19" s="1"/>
      </tp>
      <tp>
        <v>4.13</v>
        <stp/>
        <stp>ASK</stp>
        <stp>.SPY250505P567</stp>
        <tr r="DD19" s="1"/>
        <tr r="DD19" s="1"/>
      </tp>
      <tp>
        <v>0.01</v>
        <stp/>
        <stp>ASK</stp>
        <stp>.SPY250505C566</stp>
        <tr r="DC20" s="1"/>
        <tr r="DC20" s="1"/>
      </tp>
      <tp>
        <v>3.09</v>
        <stp/>
        <stp>ASK</stp>
        <stp>.SPY250505P566</stp>
        <tr r="DD20" s="1"/>
        <tr r="DD20" s="1"/>
      </tp>
      <tp>
        <v>0.01</v>
        <stp/>
        <stp>ASK</stp>
        <stp>.SPY250505C565</stp>
        <tr r="DC21" s="1"/>
        <tr r="DC21" s="1"/>
      </tp>
      <tp>
        <v>2.0499999999999998</v>
        <stp/>
        <stp>ASK</stp>
        <stp>.SPY250505P565</stp>
        <tr r="DD21" s="1"/>
        <tr r="DD21" s="1"/>
      </tp>
      <tp>
        <v>0.02</v>
        <stp/>
        <stp>ASK</stp>
        <stp>.SPY250505C564</stp>
        <tr r="DC22" s="1"/>
        <tr r="DC22" s="1"/>
      </tp>
      <tp>
        <v>1.06</v>
        <stp/>
        <stp>ASK</stp>
        <stp>.SPY250505P564</stp>
        <tr r="DD22" s="1"/>
        <tr r="DD22" s="1"/>
      </tp>
      <tp>
        <v>0.2</v>
        <stp/>
        <stp>ASK</stp>
        <stp>.SPY250505C563</stp>
        <tr r="DC23" s="1"/>
        <tr r="DC23" s="1"/>
      </tp>
      <tp>
        <v>0.19</v>
        <stp/>
        <stp>ASK</stp>
        <stp>.SPY250505P563</stp>
        <tr r="DD23" s="1"/>
        <tr r="DD23" s="1"/>
      </tp>
      <tp>
        <v>1.08</v>
        <stp/>
        <stp>ASK</stp>
        <stp>.SPY250505C562</stp>
        <tr r="DC24" s="1"/>
        <tr r="DC24" s="1"/>
      </tp>
      <tp>
        <v>0.02</v>
        <stp/>
        <stp>ASK</stp>
        <stp>.SPY250505P562</stp>
        <tr r="DD24" s="1"/>
        <tr r="DD24" s="1"/>
      </tp>
      <tp>
        <v>2.08</v>
        <stp/>
        <stp>ASK</stp>
        <stp>.SPY250505C561</stp>
        <tr r="DC25" s="1"/>
        <tr r="DC25" s="1"/>
      </tp>
      <tp>
        <v>0.01</v>
        <stp/>
        <stp>ASK</stp>
        <stp>.SPY250505P561</stp>
        <tr r="DD25" s="1"/>
        <tr r="DD25" s="1"/>
      </tp>
      <tp>
        <v>4.0599999999999996</v>
        <stp/>
        <stp>ASK</stp>
        <stp>.SPY250505C560</stp>
        <tr r="DC26" s="1"/>
        <tr r="DC26" s="1"/>
      </tp>
      <tp>
        <v>0.01</v>
        <stp/>
        <stp>ASK</stp>
        <stp>.SPY250505P560</stp>
        <tr r="DD26" s="1"/>
        <tr r="DD26" s="1"/>
      </tp>
      <tp>
        <v>0.01</v>
        <stp/>
        <stp>ASK</stp>
        <stp>.SPY250505C569</stp>
        <tr r="DC17" s="1"/>
        <tr r="DC17" s="1"/>
      </tp>
      <tp>
        <v>6.98</v>
        <stp/>
        <stp>ASK</stp>
        <stp>.SPY250505P569</stp>
        <tr r="DD17" s="1"/>
        <tr r="DD17" s="1"/>
      </tp>
      <tp>
        <v>0.01</v>
        <stp/>
        <stp>ASK</stp>
        <stp>.SPY250505C568</stp>
        <tr r="DC18" s="1"/>
        <tr r="DC18" s="1"/>
      </tp>
      <tp>
        <v>5.98</v>
        <stp/>
        <stp>ASK</stp>
        <stp>.SPY250505P568</stp>
        <tr r="DD18" s="1"/>
        <tr r="DD18" s="1"/>
      </tp>
      <tp>
        <v>3.19</v>
        <stp/>
        <stp>BID</stp>
        <stp>.SPY250505C559</stp>
        <tr r="DE27" s="1"/>
        <tr r="DE27" s="1"/>
      </tp>
      <tp>
        <v>0</v>
        <stp/>
        <stp>BID</stp>
        <stp>.SPY250505P559</stp>
        <tr r="DF27" s="1"/>
        <tr r="DF27" s="1"/>
      </tp>
      <tp>
        <v>4.1399999999999997</v>
        <stp/>
        <stp>BID</stp>
        <stp>.SPY250505C558</stp>
        <tr r="DE28" s="1"/>
        <tr r="DE28" s="1"/>
      </tp>
      <tp>
        <v>0</v>
        <stp/>
        <stp>BID</stp>
        <stp>.SPY250505P558</stp>
        <tr r="DF28" s="1"/>
        <tr r="DF28" s="1"/>
      </tp>
      <tp>
        <v>7.19</v>
        <stp/>
        <stp>BID</stp>
        <stp>.SPY250505C555</stp>
        <tr r="DE31" s="1"/>
        <tr r="DE31" s="1"/>
      </tp>
      <tp>
        <v>0</v>
        <stp/>
        <stp>BID</stp>
        <stp>.SPY250505P555</stp>
        <tr r="DF31" s="1"/>
        <tr r="DF31" s="1"/>
      </tp>
      <tp>
        <v>8.19</v>
        <stp/>
        <stp>BID</stp>
        <stp>.SPY250505C554</stp>
        <tr r="DE32" s="1"/>
        <tr r="DE32" s="1"/>
      </tp>
      <tp>
        <v>0</v>
        <stp/>
        <stp>BID</stp>
        <stp>.SPY250505P554</stp>
        <tr r="DF32" s="1"/>
        <tr r="DF32" s="1"/>
      </tp>
      <tp>
        <v>5.18</v>
        <stp/>
        <stp>BID</stp>
        <stp>.SPY250505C557</stp>
        <tr r="DE29" s="1"/>
        <tr r="DE29" s="1"/>
      </tp>
      <tp>
        <v>0</v>
        <stp/>
        <stp>BID</stp>
        <stp>.SPY250505P557</stp>
        <tr r="DF29" s="1"/>
        <tr r="DF29" s="1"/>
      </tp>
      <tp>
        <v>6.19</v>
        <stp/>
        <stp>BID</stp>
        <stp>.SPY250505C556</stp>
        <tr r="DE30" s="1"/>
        <tr r="DE30" s="1"/>
      </tp>
      <tp>
        <v>0</v>
        <stp/>
        <stp>BID</stp>
        <stp>.SPY250505P556</stp>
        <tr r="DF30" s="1"/>
        <tr r="DF30" s="1"/>
      </tp>
      <tp>
        <v>10.97</v>
        <stp/>
        <stp>BID</stp>
        <stp>.SPY250505C551</stp>
        <tr r="DE35" s="1"/>
        <tr r="DE35" s="1"/>
      </tp>
      <tp>
        <v>0</v>
        <stp/>
        <stp>BID</stp>
        <stp>.SPY250505P551</stp>
        <tr r="DF35" s="1"/>
        <tr r="DF35" s="1"/>
      </tp>
      <tp>
        <v>12.19</v>
        <stp/>
        <stp>BID</stp>
        <stp>.SPY250505C550</stp>
        <tr r="DE36" s="1"/>
        <tr r="DE36" s="1"/>
      </tp>
      <tp>
        <v>0</v>
        <stp/>
        <stp>BID</stp>
        <stp>.SPY250505P550</stp>
        <tr r="DF36" s="1"/>
        <tr r="DF36" s="1"/>
      </tp>
      <tp>
        <v>9.19</v>
        <stp/>
        <stp>BID</stp>
        <stp>.SPY250505C553</stp>
        <tr r="DE33" s="1"/>
        <tr r="DE33" s="1"/>
      </tp>
      <tp>
        <v>0</v>
        <stp/>
        <stp>BID</stp>
        <stp>.SPY250505P553</stp>
        <tr r="DF33" s="1"/>
        <tr r="DF33" s="1"/>
      </tp>
      <tp>
        <v>10.19</v>
        <stp/>
        <stp>BID</stp>
        <stp>.SPY250505C552</stp>
        <tr r="DE34" s="1"/>
        <tr r="DE34" s="1"/>
      </tp>
      <tp>
        <v>0</v>
        <stp/>
        <stp>BID</stp>
        <stp>.SPY250505P552</stp>
        <tr r="DF34" s="1"/>
        <tr r="DF34" s="1"/>
      </tp>
      <tp>
        <v>0.01</v>
        <stp/>
        <stp>ASK</stp>
        <stp>.SPY250505C577</stp>
        <tr r="DC9" s="1"/>
        <tr r="DC9" s="1"/>
      </tp>
      <tp>
        <v>14.81</v>
        <stp/>
        <stp>ASK</stp>
        <stp>.SPY250505P577</stp>
        <tr r="DD9" s="1"/>
        <tr r="DD9" s="1"/>
      </tp>
      <tp>
        <v>0.01</v>
        <stp/>
        <stp>ASK</stp>
        <stp>.SPY250505C576</stp>
        <tr r="DC10" s="1"/>
        <tr r="DC10" s="1"/>
      </tp>
      <tp>
        <v>13.81</v>
        <stp/>
        <stp>ASK</stp>
        <stp>.SPY250505P576</stp>
        <tr r="DD10" s="1"/>
        <tr r="DD10" s="1"/>
      </tp>
      <tp>
        <v>0.01</v>
        <stp/>
        <stp>ASK</stp>
        <stp>.SPY250505C575</stp>
        <tr r="DC11" s="1"/>
        <tr r="DC11" s="1"/>
      </tp>
      <tp>
        <v>12.81</v>
        <stp/>
        <stp>ASK</stp>
        <stp>.SPY250505P575</stp>
        <tr r="DD11" s="1"/>
        <tr r="DD11" s="1"/>
      </tp>
      <tp>
        <v>0.01</v>
        <stp/>
        <stp>ASK</stp>
        <stp>.SPY250505C574</stp>
        <tr r="DC12" s="1"/>
        <tr r="DC12" s="1"/>
      </tp>
      <tp>
        <v>11.81</v>
        <stp/>
        <stp>ASK</stp>
        <stp>.SPY250505P574</stp>
        <tr r="DD12" s="1"/>
        <tr r="DD12" s="1"/>
      </tp>
      <tp>
        <v>0.01</v>
        <stp/>
        <stp>ASK</stp>
        <stp>.SPY250505C573</stp>
        <tr r="DC13" s="1"/>
        <tr r="DC13" s="1"/>
      </tp>
      <tp>
        <v>10.81</v>
        <stp/>
        <stp>ASK</stp>
        <stp>.SPY250505P573</stp>
        <tr r="DD13" s="1"/>
        <tr r="DD13" s="1"/>
      </tp>
      <tp>
        <v>0.01</v>
        <stp/>
        <stp>ASK</stp>
        <stp>.SPY250505C572</stp>
        <tr r="DC14" s="1"/>
        <tr r="DC14" s="1"/>
      </tp>
      <tp>
        <v>9.81</v>
        <stp/>
        <stp>ASK</stp>
        <stp>.SPY250505P572</stp>
        <tr r="DD14" s="1"/>
        <tr r="DD14" s="1"/>
      </tp>
      <tp>
        <v>0.01</v>
        <stp/>
        <stp>ASK</stp>
        <stp>.SPY250505C571</stp>
        <tr r="DC15" s="1"/>
        <tr r="DC15" s="1"/>
      </tp>
      <tp>
        <v>8.81</v>
        <stp/>
        <stp>ASK</stp>
        <stp>.SPY250505P571</stp>
        <tr r="DD15" s="1"/>
        <tr r="DD15" s="1"/>
      </tp>
      <tp>
        <v>0.01</v>
        <stp/>
        <stp>ASK</stp>
        <stp>.SPY250505C570</stp>
        <tr r="DC16" s="1"/>
        <tr r="DC16" s="1"/>
      </tp>
      <tp>
        <v>7.81</v>
        <stp/>
        <stp>ASK</stp>
        <stp>.SPY250505P570</stp>
        <tr r="DD16" s="1"/>
        <tr r="DD16" s="1"/>
      </tp>
      <tp>
        <v>0.01</v>
        <stp/>
        <stp>ASK</stp>
        <stp>.SPY250505C579</stp>
        <tr r="DC7" s="1"/>
        <tr r="DC7" s="1"/>
      </tp>
      <tp>
        <v>16.809999999999999</v>
        <stp/>
        <stp>ASK</stp>
        <stp>.SPY250505P579</stp>
        <tr r="DD7" s="1"/>
        <tr r="DD7" s="1"/>
      </tp>
      <tp>
        <v>0.01</v>
        <stp/>
        <stp>ASK</stp>
        <stp>.SPY250505C578</stp>
        <tr r="DC8" s="1"/>
        <tr r="DC8" s="1"/>
      </tp>
      <tp>
        <v>15.81</v>
        <stp/>
        <stp>ASK</stp>
        <stp>.SPY250505P578</stp>
        <tr r="DD8" s="1"/>
        <tr r="DD8" s="1"/>
      </tp>
      <tp>
        <v>13</v>
        <stp/>
        <stp>BID</stp>
        <stp>.SPY250505C549</stp>
        <tr r="DE37" s="1"/>
        <tr r="DE37" s="1"/>
      </tp>
      <tp>
        <v>0</v>
        <stp/>
        <stp>BID</stp>
        <stp>.SPY250505P549</stp>
        <tr r="DF37" s="1"/>
        <tr r="DF37" s="1"/>
      </tp>
      <tp>
        <v>14.01</v>
        <stp/>
        <stp>BID</stp>
        <stp>.SPY250505C548</stp>
        <tr r="DE38" s="1"/>
        <tr r="DE38" s="1"/>
      </tp>
      <tp>
        <v>0</v>
        <stp/>
        <stp>BID</stp>
        <stp>.SPY250505P548</stp>
        <tr r="DF38" s="1"/>
        <tr r="DF38" s="1"/>
      </tp>
      <tp>
        <v>15.24</v>
        <stp/>
        <stp>ASK</stp>
        <stp>.SPY250505C549</stp>
        <tr r="DC37" s="1"/>
        <tr r="DC37" s="1"/>
      </tp>
      <tp>
        <v>0.01</v>
        <stp/>
        <stp>ASK</stp>
        <stp>.SPY250505P549</stp>
        <tr r="DD37" s="1"/>
        <tr r="DD37" s="1"/>
      </tp>
      <tp>
        <v>16.239999999999998</v>
        <stp/>
        <stp>ASK</stp>
        <stp>.SPY250505C548</stp>
        <tr r="DC38" s="1"/>
        <tr r="DC38" s="1"/>
      </tp>
      <tp>
        <v>0.01</v>
        <stp/>
        <stp>ASK</stp>
        <stp>.SPY250505P548</stp>
        <tr r="DD38" s="1"/>
        <tr r="DD38" s="1"/>
      </tp>
      <tp>
        <v>0</v>
        <stp/>
        <stp>BID</stp>
        <stp>.SPY250505C579</stp>
        <tr r="DE7" s="1"/>
        <tr r="DE7" s="1"/>
      </tp>
      <tp>
        <v>14.76</v>
        <stp/>
        <stp>BID</stp>
        <stp>.SPY250505P579</stp>
        <tr r="DF7" s="1"/>
        <tr r="DF7" s="1"/>
      </tp>
      <tp>
        <v>0</v>
        <stp/>
        <stp>BID</stp>
        <stp>.SPY250505C578</stp>
        <tr r="DE8" s="1"/>
        <tr r="DE8" s="1"/>
      </tp>
      <tp>
        <v>13.76</v>
        <stp/>
        <stp>BID</stp>
        <stp>.SPY250505P578</stp>
        <tr r="DF8" s="1"/>
        <tr r="DF8" s="1"/>
      </tp>
      <tp>
        <v>0</v>
        <stp/>
        <stp>BID</stp>
        <stp>.SPY250505C575</stp>
        <tr r="DE11" s="1"/>
        <tr r="DE11" s="1"/>
      </tp>
      <tp>
        <v>10.93</v>
        <stp/>
        <stp>BID</stp>
        <stp>.SPY250505P575</stp>
        <tr r="DF11" s="1"/>
        <tr r="DF11" s="1"/>
      </tp>
      <tp>
        <v>0</v>
        <stp/>
        <stp>BID</stp>
        <stp>.SPY250505C574</stp>
        <tr r="DE12" s="1"/>
        <tr r="DE12" s="1"/>
      </tp>
      <tp>
        <v>9.93</v>
        <stp/>
        <stp>BID</stp>
        <stp>.SPY250505P574</stp>
        <tr r="DF12" s="1"/>
        <tr r="DF12" s="1"/>
      </tp>
      <tp>
        <v>0</v>
        <stp/>
        <stp>BID</stp>
        <stp>.SPY250505C577</stp>
        <tr r="DE9" s="1"/>
        <tr r="DE9" s="1"/>
      </tp>
      <tp>
        <v>12.76</v>
        <stp/>
        <stp>BID</stp>
        <stp>.SPY250505P577</stp>
        <tr r="DF9" s="1"/>
        <tr r="DF9" s="1"/>
      </tp>
      <tp>
        <v>0</v>
        <stp/>
        <stp>BID</stp>
        <stp>.SPY250505C576</stp>
        <tr r="DE10" s="1"/>
        <tr r="DE10" s="1"/>
      </tp>
      <tp>
        <v>11.76</v>
        <stp/>
        <stp>BID</stp>
        <stp>.SPY250505P576</stp>
        <tr r="DF10" s="1"/>
        <tr r="DF10" s="1"/>
      </tp>
      <tp>
        <v>0</v>
        <stp/>
        <stp>BID</stp>
        <stp>.SPY250505C571</stp>
        <tr r="DE15" s="1"/>
        <tr r="DE15" s="1"/>
      </tp>
      <tp>
        <v>6.93</v>
        <stp/>
        <stp>BID</stp>
        <stp>.SPY250505P571</stp>
        <tr r="DF15" s="1"/>
        <tr r="DF15" s="1"/>
      </tp>
      <tp>
        <v>0</v>
        <stp/>
        <stp>BID</stp>
        <stp>.SPY250505C570</stp>
        <tr r="DE16" s="1"/>
        <tr r="DE16" s="1"/>
      </tp>
      <tp>
        <v>5.97</v>
        <stp/>
        <stp>BID</stp>
        <stp>.SPY250505P570</stp>
        <tr r="DF16" s="1"/>
        <tr r="DF16" s="1"/>
      </tp>
      <tp>
        <v>0</v>
        <stp/>
        <stp>BID</stp>
        <stp>.SPY250505C573</stp>
        <tr r="DE13" s="1"/>
        <tr r="DE13" s="1"/>
      </tp>
      <tp>
        <v>8.93</v>
        <stp/>
        <stp>BID</stp>
        <stp>.SPY250505P573</stp>
        <tr r="DF13" s="1"/>
        <tr r="DF13" s="1"/>
      </tp>
      <tp>
        <v>0</v>
        <stp/>
        <stp>BID</stp>
        <stp>.SPY250505C572</stp>
        <tr r="DE14" s="1"/>
        <tr r="DE14" s="1"/>
      </tp>
      <tp>
        <v>7.93</v>
        <stp/>
        <stp>BID</stp>
        <stp>.SPY250505P572</stp>
        <tr r="DF14" s="1"/>
        <tr r="DF14" s="1"/>
      </tp>
      <tp>
        <v>7.05</v>
        <stp/>
        <stp>ASK</stp>
        <stp>.SPY250505C557</stp>
        <tr r="DC29" s="1"/>
        <tr r="DC29" s="1"/>
      </tp>
      <tp>
        <v>0.01</v>
        <stp/>
        <stp>ASK</stp>
        <stp>.SPY250505P557</stp>
        <tr r="DD29" s="1"/>
        <tr r="DD29" s="1"/>
      </tp>
      <tp>
        <v>8.07</v>
        <stp/>
        <stp>ASK</stp>
        <stp>.SPY250505C556</stp>
        <tr r="DC30" s="1"/>
        <tr r="DC30" s="1"/>
      </tp>
      <tp>
        <v>0.01</v>
        <stp/>
        <stp>ASK</stp>
        <stp>.SPY250505P556</stp>
        <tr r="DD30" s="1"/>
        <tr r="DD30" s="1"/>
      </tp>
      <tp>
        <v>9.07</v>
        <stp/>
        <stp>ASK</stp>
        <stp>.SPY250505C555</stp>
        <tr r="DC31" s="1"/>
        <tr r="DC31" s="1"/>
      </tp>
      <tp>
        <v>0.01</v>
        <stp/>
        <stp>ASK</stp>
        <stp>.SPY250505P555</stp>
        <tr r="DD31" s="1"/>
        <tr r="DD31" s="1"/>
      </tp>
      <tp>
        <v>10.07</v>
        <stp/>
        <stp>ASK</stp>
        <stp>.SPY250505C554</stp>
        <tr r="DC32" s="1"/>
        <tr r="DC32" s="1"/>
      </tp>
      <tp>
        <v>0.01</v>
        <stp/>
        <stp>ASK</stp>
        <stp>.SPY250505P554</stp>
        <tr r="DD32" s="1"/>
        <tr r="DD32" s="1"/>
      </tp>
      <tp>
        <v>11.04</v>
        <stp/>
        <stp>ASK</stp>
        <stp>.SPY250505C553</stp>
        <tr r="DC33" s="1"/>
        <tr r="DC33" s="1"/>
      </tp>
      <tp>
        <v>0.01</v>
        <stp/>
        <stp>ASK</stp>
        <stp>.SPY250505P553</stp>
        <tr r="DD33" s="1"/>
        <tr r="DD33" s="1"/>
      </tp>
      <tp>
        <v>12.07</v>
        <stp/>
        <stp>ASK</stp>
        <stp>.SPY250505C552</stp>
        <tr r="DC34" s="1"/>
        <tr r="DC34" s="1"/>
      </tp>
      <tp>
        <v>0.01</v>
        <stp/>
        <stp>ASK</stp>
        <stp>.SPY250505P552</stp>
        <tr r="DD34" s="1"/>
        <tr r="DD34" s="1"/>
      </tp>
      <tp>
        <v>13.04</v>
        <stp/>
        <stp>ASK</stp>
        <stp>.SPY250505C551</stp>
        <tr r="DC35" s="1"/>
        <tr r="DC35" s="1"/>
      </tp>
      <tp>
        <v>0.01</v>
        <stp/>
        <stp>ASK</stp>
        <stp>.SPY250505P551</stp>
        <tr r="DD35" s="1"/>
        <tr r="DD35" s="1"/>
      </tp>
      <tp>
        <v>13.1</v>
        <stp/>
        <stp>ASK</stp>
        <stp>.SPY250505C550</stp>
        <tr r="DC36" s="1"/>
        <tr r="DC36" s="1"/>
      </tp>
      <tp>
        <v>0.01</v>
        <stp/>
        <stp>ASK</stp>
        <stp>.SPY250505P550</stp>
        <tr r="DD36" s="1"/>
        <tr r="DD36" s="1"/>
      </tp>
      <tp>
        <v>5.05</v>
        <stp/>
        <stp>ASK</stp>
        <stp>.SPY250505C559</stp>
        <tr r="DC27" s="1"/>
        <tr r="DC27" s="1"/>
      </tp>
      <tp>
        <v>0.01</v>
        <stp/>
        <stp>ASK</stp>
        <stp>.SPY250505P559</stp>
        <tr r="DD27" s="1"/>
        <tr r="DD27" s="1"/>
      </tp>
      <tp>
        <v>6.05</v>
        <stp/>
        <stp>ASK</stp>
        <stp>.SPY250505C558</stp>
        <tr r="DC28" s="1"/>
        <tr r="DC28" s="1"/>
      </tp>
      <tp>
        <v>0.01</v>
        <stp/>
        <stp>ASK</stp>
        <stp>.SPY250505P558</stp>
        <tr r="DD28" s="1"/>
        <tr r="DD28" s="1"/>
      </tp>
      <tp>
        <v>0</v>
        <stp/>
        <stp>BID</stp>
        <stp>.SPY250505C569</stp>
        <tr r="DE17" s="1"/>
        <tr r="DE17" s="1"/>
      </tp>
      <tp>
        <v>5.04</v>
        <stp/>
        <stp>BID</stp>
        <stp>.SPY250505P569</stp>
        <tr r="DF17" s="1"/>
        <tr r="DF17" s="1"/>
      </tp>
      <tp>
        <v>0</v>
        <stp/>
        <stp>BID</stp>
        <stp>.SPY250505C568</stp>
        <tr r="DE18" s="1"/>
        <tr r="DE18" s="1"/>
      </tp>
      <tp>
        <v>4.09</v>
        <stp/>
        <stp>BID</stp>
        <stp>.SPY250505P568</stp>
        <tr r="DF18" s="1"/>
        <tr r="DF18" s="1"/>
      </tp>
      <tp>
        <v>0</v>
        <stp/>
        <stp>BID</stp>
        <stp>.SPY250505C565</stp>
        <tr r="DE21" s="1"/>
        <tr r="DE21" s="1"/>
      </tp>
      <tp>
        <v>1.92</v>
        <stp/>
        <stp>BID</stp>
        <stp>.SPY250505P565</stp>
        <tr r="DF21" s="1"/>
        <tr r="DF21" s="1"/>
      </tp>
      <tp>
        <v>0.01</v>
        <stp/>
        <stp>BID</stp>
        <stp>.SPY250505C564</stp>
        <tr r="DE22" s="1"/>
        <tr r="DE22" s="1"/>
      </tp>
      <tp>
        <v>0.94</v>
        <stp/>
        <stp>BID</stp>
        <stp>.SPY250505P564</stp>
        <tr r="DF22" s="1"/>
        <tr r="DF22" s="1"/>
      </tp>
      <tp>
        <v>0</v>
        <stp/>
        <stp>BID</stp>
        <stp>.SPY250505C567</stp>
        <tr r="DE19" s="1"/>
        <tr r="DE19" s="1"/>
      </tp>
      <tp>
        <v>3.67</v>
        <stp/>
        <stp>BID</stp>
        <stp>.SPY250505P567</stp>
        <tr r="DF19" s="1"/>
        <tr r="DF19" s="1"/>
      </tp>
      <tp>
        <v>0</v>
        <stp/>
        <stp>BID</stp>
        <stp>.SPY250505C566</stp>
        <tr r="DE20" s="1"/>
        <tr r="DE20" s="1"/>
      </tp>
      <tp>
        <v>2.7</v>
        <stp/>
        <stp>BID</stp>
        <stp>.SPY250505P566</stp>
        <tr r="DF20" s="1"/>
        <tr r="DF20" s="1"/>
      </tp>
      <tp>
        <v>1.94</v>
        <stp/>
        <stp>BID</stp>
        <stp>.SPY250505C561</stp>
        <tr r="DE25" s="1"/>
        <tr r="DE25" s="1"/>
      </tp>
      <tp>
        <v>0</v>
        <stp/>
        <stp>BID</stp>
        <stp>.SPY250505P561</stp>
        <tr r="DF25" s="1"/>
        <tr r="DF25" s="1"/>
      </tp>
      <tp>
        <v>2.15</v>
        <stp/>
        <stp>BID</stp>
        <stp>.SPY250505C560</stp>
        <tr r="DE26" s="1"/>
        <tr r="DE26" s="1"/>
      </tp>
      <tp>
        <v>0</v>
        <stp/>
        <stp>BID</stp>
        <stp>.SPY250505P560</stp>
        <tr r="DF26" s="1"/>
        <tr r="DF26" s="1"/>
      </tp>
      <tp>
        <v>0.18</v>
        <stp/>
        <stp>BID</stp>
        <stp>.SPY250505C563</stp>
        <tr r="DE23" s="1"/>
        <tr r="DE23" s="1"/>
      </tp>
      <tp>
        <v>0.18</v>
        <stp/>
        <stp>BID</stp>
        <stp>.SPY250505P563</stp>
        <tr r="DF23" s="1"/>
        <tr r="DF23" s="1"/>
      </tp>
      <tp>
        <v>0.96</v>
        <stp/>
        <stp>BID</stp>
        <stp>.SPY250505C562</stp>
        <tr r="DE24" s="1"/>
        <tr r="DE24" s="1"/>
      </tp>
      <tp>
        <v>0.01</v>
        <stp/>
        <stp>BID</stp>
        <stp>.SPY250505P562</stp>
        <tr r="DF24" s="1"/>
        <tr r="DF24" s="1"/>
      </tp>
      <tp>
        <v>0</v>
        <stp/>
        <stp>BID</stp>
        <stp>.SPY250505C581</stp>
        <tr r="DE5" s="1"/>
        <tr r="DE5" s="1"/>
      </tp>
      <tp>
        <v>16.760000000000002</v>
        <stp/>
        <stp>BID</stp>
        <stp>.SPY250505P581</stp>
        <tr r="DF5" s="1"/>
        <tr r="DF5" s="1"/>
      </tp>
      <tp>
        <v>0</v>
        <stp/>
        <stp>BID</stp>
        <stp>.SPY250505C580</stp>
        <tr r="DE6" s="1"/>
        <tr r="DE6" s="1"/>
      </tp>
      <tp>
        <v>15.76</v>
        <stp/>
        <stp>BID</stp>
        <stp>.SPY250505P580</stp>
        <tr r="DF6" s="1"/>
        <tr r="DF6" s="1"/>
      </tp>
      <tp>
        <v>0</v>
        <stp/>
        <stp>BID</stp>
        <stp>.SPY250505C582</stp>
        <tr r="DE4" s="1"/>
        <tr r="DE4" s="1"/>
      </tp>
      <tp>
        <v>17.77</v>
        <stp/>
        <stp>BID</stp>
        <stp>.SPY250505P582</stp>
        <tr r="DF4" s="1"/>
        <tr r="DF4" s="1"/>
      </tp>
      <tp>
        <v>0.01</v>
        <stp/>
        <stp>ASK</stp>
        <stp>.SPY250505C582</stp>
        <tr r="DC4" s="1"/>
        <tr r="DC4" s="1"/>
      </tp>
      <tp>
        <v>19.809999999999999</v>
        <stp/>
        <stp>ASK</stp>
        <stp>.SPY250505P582</stp>
        <tr r="DD4" s="1"/>
        <tr r="DD4" s="1"/>
      </tp>
      <tp>
        <v>0.01</v>
        <stp/>
        <stp>ASK</stp>
        <stp>.SPY250505C581</stp>
        <tr r="DC5" s="1"/>
        <tr r="DC5" s="1"/>
      </tp>
      <tp>
        <v>18.809999999999999</v>
        <stp/>
        <stp>ASK</stp>
        <stp>.SPY250505P581</stp>
        <tr r="DD5" s="1"/>
        <tr r="DD5" s="1"/>
      </tp>
      <tp>
        <v>0.01</v>
        <stp/>
        <stp>ASK</stp>
        <stp>.SPY250505C580</stp>
        <tr r="DC6" s="1"/>
        <tr r="DC6" s="1"/>
      </tp>
      <tp>
        <v>17.809999999999999</v>
        <stp/>
        <stp>ASK</stp>
        <stp>.SPY250505P580</stp>
        <tr r="DD6" s="1"/>
        <tr r="DD6" s="1"/>
      </tp>
      <tp t="s">
        <v>--</v>
        <stp/>
        <stp>IMPL_VOL</stp>
        <stp>.SPXW250509C5520</stp>
        <tr r="EN120" s="1"/>
      </tp>
      <tp t="s">
        <v>113.66%</v>
        <stp/>
        <stp>IMPL_VOL</stp>
        <stp>.SPXW250509P5520</stp>
        <tr r="EO120" s="1"/>
      </tp>
      <tp t="s">
        <v>--</v>
        <stp/>
        <stp>IMPL_VOL</stp>
        <stp>.SPXW250509C5530</stp>
        <tr r="EN119" s="1"/>
      </tp>
      <tp t="s">
        <v>106.16%</v>
        <stp/>
        <stp>IMPL_VOL</stp>
        <stp>.SPXW250509P5530</stp>
        <tr r="EO119" s="1"/>
      </tp>
      <tp t="s">
        <v>--</v>
        <stp/>
        <stp>IMPL_VOL</stp>
        <stp>.SPXW250509C5500</stp>
        <tr r="EN122" s="1"/>
      </tp>
      <tp t="s">
        <v>128.56%</v>
        <stp/>
        <stp>IMPL_VOL</stp>
        <stp>.SPXW250509P5500</stp>
        <tr r="EO122" s="1"/>
      </tp>
      <tp t="s">
        <v>--</v>
        <stp/>
        <stp>IMPL_VOL</stp>
        <stp>.SPXW250509C5510</stp>
        <tr r="EN121" s="1"/>
      </tp>
      <tp t="s">
        <v>121.12%</v>
        <stp/>
        <stp>IMPL_VOL</stp>
        <stp>.SPXW250509P5510</stp>
        <tr r="EO121" s="1"/>
      </tp>
      <tp t="s">
        <v>--</v>
        <stp/>
        <stp>IMPL_VOL</stp>
        <stp>.SPXW250509C5560</stp>
        <tr r="EN116" s="1"/>
      </tp>
      <tp t="s">
        <v>27.90%</v>
        <stp/>
        <stp>IMPL_VOL</stp>
        <stp>.SPXW250516C5490</stp>
        <tr r="EP123" s="1"/>
      </tp>
      <tp t="s">
        <v>83.48%</v>
        <stp/>
        <stp>IMPL_VOL</stp>
        <stp>.SPXW250509P5560</stp>
        <tr r="EO116" s="1"/>
      </tp>
      <tp t="s">
        <v>26.15%</v>
        <stp/>
        <stp>IMPL_VOL</stp>
        <stp>.SPXW250516P5490</stp>
        <tr r="EQ123" s="1"/>
      </tp>
      <tp t="s">
        <v>--</v>
        <stp/>
        <stp>IMPL_VOL</stp>
        <stp>.SPXW250509C5570</stp>
        <tr r="EN115" s="1"/>
      </tp>
      <tp t="s">
        <v>28.15%</v>
        <stp/>
        <stp>IMPL_VOL</stp>
        <stp>.SPXW250516C5480</stp>
        <tr r="EP124" s="1"/>
      </tp>
      <tp t="s">
        <v>75.90%</v>
        <stp/>
        <stp>IMPL_VOL</stp>
        <stp>.SPXW250509P5570</stp>
        <tr r="EO115" s="1"/>
      </tp>
      <tp t="s">
        <v>26.30%</v>
        <stp/>
        <stp>IMPL_VOL</stp>
        <stp>.SPXW250516P5480</stp>
        <tr r="EQ124" s="1"/>
      </tp>
      <tp t="s">
        <v>--</v>
        <stp/>
        <stp>IMPL_VOL</stp>
        <stp>.SPXW250505C5580</stp>
        <tr r="EL114" s="1"/>
      </tp>
      <tp t="s">
        <v>--</v>
        <stp/>
        <stp>IMPL_VOL</stp>
        <stp>.SPXW250509C5540</stp>
        <tr r="EN118" s="1"/>
      </tp>
      <tp t="s">
        <v>68.28%</v>
        <stp/>
        <stp>IMPL_VOL</stp>
        <stp>.SPXW250505P5580</stp>
        <tr r="EM114" s="1"/>
      </tp>
      <tp t="s">
        <v>98.64%</v>
        <stp/>
        <stp>IMPL_VOL</stp>
        <stp>.SPXW250509P5540</stp>
        <tr r="EO118" s="1"/>
      </tp>
      <tp t="s">
        <v>--</v>
        <stp/>
        <stp>IMPL_VOL</stp>
        <stp>.SPXW250505C5590</stp>
        <tr r="EL113" s="1"/>
      </tp>
      <tp t="s">
        <v>--</v>
        <stp/>
        <stp>IMPL_VOL</stp>
        <stp>.SPXW250509C5550</stp>
        <tr r="EN117" s="1"/>
      </tp>
      <tp t="s">
        <v>60.43%</v>
        <stp/>
        <stp>IMPL_VOL</stp>
        <stp>.SPXW250505P5590</stp>
        <tr r="EM113" s="1"/>
      </tp>
      <tp t="s">
        <v>91.08%</v>
        <stp/>
        <stp>IMPL_VOL</stp>
        <stp>.SPXW250509P5550</stp>
        <tr r="EO117" s="1"/>
      </tp>
      <tp t="s">
        <v>--</v>
        <stp/>
        <stp>IMPL_VOL</stp>
        <stp>.SPXW250505C5560</stp>
        <tr r="EL116" s="1"/>
      </tp>
      <tp t="s">
        <v>29.00%</v>
        <stp/>
        <stp>IMPL_VOL</stp>
        <stp>.SPXW250516C5450</stp>
        <tr r="EP127" s="1"/>
      </tp>
      <tp t="s">
        <v>83.48%</v>
        <stp/>
        <stp>IMPL_VOL</stp>
        <stp>.SPXW250505P5560</stp>
        <tr r="EM116" s="1"/>
      </tp>
      <tp t="s">
        <v>26.78%</v>
        <stp/>
        <stp>IMPL_VOL</stp>
        <stp>.SPXW250516P5450</stp>
        <tr r="EQ127" s="1"/>
      </tp>
      <tp t="s">
        <v>--</v>
        <stp/>
        <stp>IMPL_VOL</stp>
        <stp>.SPXW250505C5570</stp>
        <tr r="EL115" s="1"/>
      </tp>
      <tp t="s">
        <v>29.26%</v>
        <stp/>
        <stp>IMPL_VOL</stp>
        <stp>.SPXW250516C5440</stp>
        <tr r="EP128" s="1"/>
      </tp>
      <tp t="s">
        <v>75.90%</v>
        <stp/>
        <stp>IMPL_VOL</stp>
        <stp>.SPXW250505P5570</stp>
        <tr r="EM115" s="1"/>
      </tp>
      <tp t="s">
        <v>26.94%</v>
        <stp/>
        <stp>IMPL_VOL</stp>
        <stp>.SPXW250516P5440</stp>
        <tr r="EQ128" s="1"/>
      </tp>
      <tp t="s">
        <v>--</v>
        <stp/>
        <stp>IMPL_VOL</stp>
        <stp>.SPXW250505C5540</stp>
        <tr r="EL118" s="1"/>
      </tp>
      <tp t="s">
        <v>--</v>
        <stp/>
        <stp>IMPL_VOL</stp>
        <stp>.SPXW250509C5580</stp>
        <tr r="EN114" s="1"/>
      </tp>
      <tp t="s">
        <v>28.40%</v>
        <stp/>
        <stp>IMPL_VOL</stp>
        <stp>.SPXW250516C5470</stp>
        <tr r="EP125" s="1"/>
      </tp>
      <tp t="s">
        <v>98.64%</v>
        <stp/>
        <stp>IMPL_VOL</stp>
        <stp>.SPXW250505P5540</stp>
        <tr r="EM118" s="1"/>
      </tp>
      <tp t="s">
        <v>68.28%</v>
        <stp/>
        <stp>IMPL_VOL</stp>
        <stp>.SPXW250509P5580</stp>
        <tr r="EO114" s="1"/>
      </tp>
      <tp t="s">
        <v>26.45%</v>
        <stp/>
        <stp>IMPL_VOL</stp>
        <stp>.SPXW250516P5470</stp>
        <tr r="EQ125" s="1"/>
      </tp>
      <tp t="s">
        <v>--</v>
        <stp/>
        <stp>IMPL_VOL</stp>
        <stp>.SPXW250505C5550</stp>
        <tr r="EL117" s="1"/>
      </tp>
      <tp t="s">
        <v>--</v>
        <stp/>
        <stp>IMPL_VOL</stp>
        <stp>.SPXW250509C5590</stp>
        <tr r="EN113" s="1"/>
      </tp>
      <tp t="s">
        <v>27.95%</v>
        <stp/>
        <stp>IMPL_VOL</stp>
        <stp>.SPXW250516C5460</stp>
        <tr r="EP126" s="1"/>
      </tp>
      <tp t="s">
        <v>91.08%</v>
        <stp/>
        <stp>IMPL_VOL</stp>
        <stp>.SPXW250505P5550</stp>
        <tr r="EM117" s="1"/>
      </tp>
      <tp t="s">
        <v>60.43%</v>
        <stp/>
        <stp>IMPL_VOL</stp>
        <stp>.SPXW250509P5590</stp>
        <tr r="EO113" s="1"/>
      </tp>
      <tp t="s">
        <v>26.63%</v>
        <stp/>
        <stp>IMPL_VOL</stp>
        <stp>.SPXW250516P5460</stp>
        <tr r="EQ126" s="1"/>
      </tp>
      <tp t="s">
        <v>--</v>
        <stp/>
        <stp>IMPL_VOL</stp>
        <stp>.SPXW250505C5520</stp>
        <tr r="EL120" s="1"/>
      </tp>
      <tp t="s">
        <v>113.66%</v>
        <stp/>
        <stp>IMPL_VOL</stp>
        <stp>.SPXW250505P5520</stp>
        <tr r="EM120" s="1"/>
      </tp>
      <tp t="s">
        <v>--</v>
        <stp/>
        <stp>IMPL_VOL</stp>
        <stp>.SPXW250505C5530</stp>
        <tr r="EL119" s="1"/>
      </tp>
      <tp t="s">
        <v>106.16%</v>
        <stp/>
        <stp>IMPL_VOL</stp>
        <stp>.SPXW250505P5530</stp>
        <tr r="EM119" s="1"/>
      </tp>
      <tp t="s">
        <v>--</v>
        <stp/>
        <stp>IMPL_VOL</stp>
        <stp>.SPXW250505C5500</stp>
        <tr r="EL122" s="1"/>
      </tp>
      <tp t="s">
        <v>28.12%</v>
        <stp/>
        <stp>IMPL_VOL</stp>
        <stp>.SPXW250516C5430</stp>
        <tr r="EP129" s="1"/>
      </tp>
      <tp t="s">
        <v>128.56%</v>
        <stp/>
        <stp>IMPL_VOL</stp>
        <stp>.SPXW250505P5500</stp>
        <tr r="EM122" s="1"/>
      </tp>
      <tp t="s">
        <v>27.12%</v>
        <stp/>
        <stp>IMPL_VOL</stp>
        <stp>.SPXW250516P5430</stp>
        <tr r="EQ129" s="1"/>
      </tp>
      <tp t="s">
        <v>--</v>
        <stp/>
        <stp>IMPL_VOL</stp>
        <stp>.SPXW250505C5510</stp>
        <tr r="EL121" s="1"/>
      </tp>
      <tp t="s">
        <v>29.02%</v>
        <stp/>
        <stp>IMPL_VOL</stp>
        <stp>.SPXW250516C5420</stp>
        <tr r="EP130" s="1"/>
      </tp>
      <tp t="s">
        <v>121.12%</v>
        <stp/>
        <stp>IMPL_VOL</stp>
        <stp>.SPXW250505P5510</stp>
        <tr r="EM121" s="1"/>
      </tp>
      <tp t="s">
        <v>27.33%</v>
        <stp/>
        <stp>IMPL_VOL</stp>
        <stp>.SPXW250516P5420</stp>
        <tr r="EQ130" s="1"/>
      </tp>
      <tp t="s">
        <v>31.42%</v>
        <stp/>
        <stp>IMPL_VOL</stp>
        <stp>.QQQ250516C474</stp>
        <tr r="EP73" s="1"/>
      </tp>
      <tp t="s">
        <v>30.56%</v>
        <stp/>
        <stp>IMPL_VOL</stp>
        <stp>.QQQ250516P474</stp>
        <tr r="EQ73" s="1"/>
      </tp>
      <tp t="s">
        <v>31.09%</v>
        <stp/>
        <stp>IMPL_VOL</stp>
        <stp>.QQQ250516C475</stp>
        <tr r="EP72" s="1"/>
      </tp>
      <tp t="s">
        <v>30.47%</v>
        <stp/>
        <stp>IMPL_VOL</stp>
        <stp>.QQQ250516P475</stp>
        <tr r="EQ72" s="1"/>
      </tp>
      <tp t="s">
        <v>220.90%</v>
        <stp/>
        <stp>IMPL_VOL</stp>
        <stp>.QQQ250509C469</stp>
        <tr r="EN78" s="1"/>
      </tp>
      <tp t="s">
        <v>31.11%</v>
        <stp/>
        <stp>IMPL_VOL</stp>
        <stp>.QQQ250516C476</stp>
        <tr r="EP71" s="1"/>
      </tp>
      <tp t="s">
        <v>186.52%</v>
        <stp/>
        <stp>IMPL_VOL</stp>
        <stp>.QQQ250509P469</stp>
        <tr r="EO78" s="1"/>
      </tp>
      <tp t="s">
        <v>30.32%</v>
        <stp/>
        <stp>IMPL_VOL</stp>
        <stp>.QQQ250516P476</stp>
        <tr r="EQ71" s="1"/>
      </tp>
      <tp t="s">
        <v>231.35%</v>
        <stp/>
        <stp>IMPL_VOL</stp>
        <stp>.QQQ250509C468</stp>
        <tr r="EN79" s="1"/>
      </tp>
      <tp t="s">
        <v>30.89%</v>
        <stp/>
        <stp>IMPL_VOL</stp>
        <stp>.QQQ250516C477</stp>
        <tr r="EP70" s="1"/>
      </tp>
      <tp t="s">
        <v>195.62%</v>
        <stp/>
        <stp>IMPL_VOL</stp>
        <stp>.QQQ250509P468</stp>
        <tr r="EO79" s="1"/>
      </tp>
      <tp t="s">
        <v>30.19%</v>
        <stp/>
        <stp>IMPL_VOL</stp>
        <stp>.QQQ250516P477</stp>
        <tr r="EQ70" s="1"/>
      </tp>
      <tp t="s">
        <v>35.95%</v>
        <stp/>
        <stp>IMPL_VOL</stp>
        <stp>.QQQ250516C470</stp>
        <tr r="EP77" s="1"/>
      </tp>
      <tp t="s">
        <v>31.07%</v>
        <stp/>
        <stp>IMPL_VOL</stp>
        <stp>.QQQ250516P470</stp>
        <tr r="EQ77" s="1"/>
      </tp>
      <tp t="s">
        <v>31.30%</v>
        <stp/>
        <stp>IMPL_VOL</stp>
        <stp>.QQQ250516C471</stp>
        <tr r="EP76" s="1"/>
      </tp>
      <tp t="s">
        <v>30.96%</v>
        <stp/>
        <stp>IMPL_VOL</stp>
        <stp>.QQQ250516P471</stp>
        <tr r="EQ76" s="1"/>
      </tp>
      <tp t="s">
        <v>28.71%</v>
        <stp/>
        <stp>IMPL_VOL</stp>
        <stp>.QQQ250516C472</stp>
        <tr r="EP75" s="1"/>
      </tp>
      <tp t="s">
        <v>30.83%</v>
        <stp/>
        <stp>IMPL_VOL</stp>
        <stp>.QQQ250516P472</stp>
        <tr r="EQ75" s="1"/>
      </tp>
      <tp t="s">
        <v>31.81%</v>
        <stp/>
        <stp>IMPL_VOL</stp>
        <stp>.QQQ250516C473</stp>
        <tr r="EP74" s="1"/>
      </tp>
      <tp t="s">
        <v>30.71%</v>
        <stp/>
        <stp>IMPL_VOL</stp>
        <stp>.QQQ250516P473</stp>
        <tr r="EQ74" s="1"/>
      </tp>
      <tp t="s">
        <v>30.62%</v>
        <stp/>
        <stp>IMPL_VOL</stp>
        <stp>.QQQ250516C478</stp>
        <tr r="EP69" s="1"/>
      </tp>
      <tp t="s">
        <v>30.05%</v>
        <stp/>
        <stp>IMPL_VOL</stp>
        <stp>.QQQ250516P478</stp>
        <tr r="EQ69" s="1"/>
      </tp>
      <tp t="s">
        <v>30.51%</v>
        <stp/>
        <stp>IMPL_VOL</stp>
        <stp>.QQQ250516C479</stp>
        <tr r="EP68" s="1"/>
      </tp>
      <tp t="s">
        <v>29.91%</v>
        <stp/>
        <stp>IMPL_VOL</stp>
        <stp>.QQQ250516P479</stp>
        <tr r="EQ68" s="1"/>
      </tp>
      <tp t="s">
        <v>--</v>
        <stp/>
        <stp>IMPL_VOL</stp>
        <stp>.QQQ250505C469</stp>
        <tr r="EL78" s="1"/>
      </tp>
      <tp t="s">
        <v>186.52%</v>
        <stp/>
        <stp>IMPL_VOL</stp>
        <stp>.QQQ250505P469</stp>
        <tr r="EM78" s="1"/>
      </tp>
      <tp t="s">
        <v>--</v>
        <stp/>
        <stp>IMPL_VOL</stp>
        <stp>.QQQ250505C468</stp>
        <tr r="EL79" s="1"/>
      </tp>
      <tp t="s">
        <v>195.62%</v>
        <stp/>
        <stp>IMPL_VOL</stp>
        <stp>.QQQ250505P468</stp>
        <tr r="EM79" s="1"/>
      </tp>
      <tp t="s">
        <v>--</v>
        <stp/>
        <stp>IMPL_VOL</stp>
        <stp>.QQQ250505C477</stp>
        <tr r="EL70" s="1"/>
      </tp>
      <tp t="s">
        <v>112.78%</v>
        <stp/>
        <stp>IMPL_VOL</stp>
        <stp>.QQQ250505P477</stp>
        <tr r="EM70" s="1"/>
      </tp>
      <tp t="s">
        <v>--</v>
        <stp/>
        <stp>IMPL_VOL</stp>
        <stp>.QQQ250505C476</stp>
        <tr r="EL71" s="1"/>
      </tp>
      <tp t="s">
        <v>122.12%</v>
        <stp/>
        <stp>IMPL_VOL</stp>
        <stp>.QQQ250505P476</stp>
        <tr r="EM71" s="1"/>
      </tp>
      <tp t="s">
        <v>--</v>
        <stp/>
        <stp>IMPL_VOL</stp>
        <stp>.QQQ250505C475</stp>
        <tr r="EL72" s="1"/>
      </tp>
      <tp t="s">
        <v>110.22%</v>
        <stp/>
        <stp>IMPL_VOL</stp>
        <stp>.QQQ250509C479</stp>
        <tr r="EN68" s="1"/>
      </tp>
      <tp t="s">
        <v>131.42%</v>
        <stp/>
        <stp>IMPL_VOL</stp>
        <stp>.QQQ250505P475</stp>
        <tr r="EM72" s="1"/>
      </tp>
      <tp t="s">
        <v>93.92%</v>
        <stp/>
        <stp>IMPL_VOL</stp>
        <stp>.QQQ250509P479</stp>
        <tr r="EO68" s="1"/>
      </tp>
      <tp t="s">
        <v>--</v>
        <stp/>
        <stp>IMPL_VOL</stp>
        <stp>.QQQ250505C474</stp>
        <tr r="EL73" s="1"/>
      </tp>
      <tp t="s">
        <v>128.70%</v>
        <stp/>
        <stp>IMPL_VOL</stp>
        <stp>.QQQ250509C478</stp>
        <tr r="EN69" s="1"/>
      </tp>
      <tp t="s">
        <v>140.67%</v>
        <stp/>
        <stp>IMPL_VOL</stp>
        <stp>.QQQ250505P474</stp>
        <tr r="EM73" s="1"/>
      </tp>
      <tp t="s">
        <v>103.38%</v>
        <stp/>
        <stp>IMPL_VOL</stp>
        <stp>.QQQ250509P478</stp>
        <tr r="EO69" s="1"/>
      </tp>
      <tp t="s">
        <v>--</v>
        <stp/>
        <stp>IMPL_VOL</stp>
        <stp>.QQQ250505C473</stp>
        <tr r="EL74" s="1"/>
      </tp>
      <tp t="s">
        <v>149.90%</v>
        <stp/>
        <stp>IMPL_VOL</stp>
        <stp>.QQQ250505P473</stp>
        <tr r="EM74" s="1"/>
      </tp>
      <tp t="s">
        <v>--</v>
        <stp/>
        <stp>IMPL_VOL</stp>
        <stp>.QQQ250505C472</stp>
        <tr r="EL75" s="1"/>
      </tp>
      <tp t="s">
        <v>159.09%</v>
        <stp/>
        <stp>IMPL_VOL</stp>
        <stp>.QQQ250505P472</stp>
        <tr r="EM75" s="1"/>
      </tp>
      <tp t="s">
        <v>--</v>
        <stp/>
        <stp>IMPL_VOL</stp>
        <stp>.QQQ250505C471</stp>
        <tr r="EL76" s="1"/>
      </tp>
      <tp t="s">
        <v>168.26%</v>
        <stp/>
        <stp>IMPL_VOL</stp>
        <stp>.QQQ250505P471</stp>
        <tr r="EM76" s="1"/>
      </tp>
      <tp t="s">
        <v>--</v>
        <stp/>
        <stp>IMPL_VOL</stp>
        <stp>.QQQ250505C470</stp>
        <tr r="EL77" s="1"/>
      </tp>
      <tp t="s">
        <v>177.40%</v>
        <stp/>
        <stp>IMPL_VOL</stp>
        <stp>.QQQ250505P470</stp>
        <tr r="EM77" s="1"/>
      </tp>
      <tp t="s">
        <v>178.76%</v>
        <stp/>
        <stp>IMPL_VOL</stp>
        <stp>.QQQ250509C473</stp>
        <tr r="EN74" s="1"/>
      </tp>
      <tp t="s">
        <v>149.90%</v>
        <stp/>
        <stp>IMPL_VOL</stp>
        <stp>.QQQ250509P473</stp>
        <tr r="EO74" s="1"/>
      </tp>
      <tp t="s">
        <v>189.35%</v>
        <stp/>
        <stp>IMPL_VOL</stp>
        <stp>.QQQ250509C472</stp>
        <tr r="EN75" s="1"/>
      </tp>
      <tp t="s">
        <v>159.09%</v>
        <stp/>
        <stp>IMPL_VOL</stp>
        <stp>.QQQ250509P472</stp>
        <tr r="EO75" s="1"/>
      </tp>
      <tp t="s">
        <v>199.90%</v>
        <stp/>
        <stp>IMPL_VOL</stp>
        <stp>.QQQ250509C471</stp>
        <tr r="EN76" s="1"/>
      </tp>
      <tp t="s">
        <v>168.26%</v>
        <stp/>
        <stp>IMPL_VOL</stp>
        <stp>.QQQ250509P471</stp>
        <tr r="EO76" s="1"/>
      </tp>
      <tp t="s">
        <v>210.42%</v>
        <stp/>
        <stp>IMPL_VOL</stp>
        <stp>.QQQ250509C470</stp>
        <tr r="EN77" s="1"/>
      </tp>
      <tp t="s">
        <v>177.40%</v>
        <stp/>
        <stp>IMPL_VOL</stp>
        <stp>.QQQ250509P470</stp>
        <tr r="EO77" s="1"/>
      </tp>
      <tp t="s">
        <v>135.86%</v>
        <stp/>
        <stp>IMPL_VOL</stp>
        <stp>.QQQ250509C477</stp>
        <tr r="EN70" s="1"/>
      </tp>
      <tp t="s">
        <v>33.11%</v>
        <stp/>
        <stp>IMPL_VOL</stp>
        <stp>.QQQ250516C468</stp>
        <tr r="EP79" s="1"/>
      </tp>
      <tp t="s">
        <v>112.78%</v>
        <stp/>
        <stp>IMPL_VOL</stp>
        <stp>.QQQ250509P477</stp>
        <tr r="EO70" s="1"/>
      </tp>
      <tp t="s">
        <v>31.33%</v>
        <stp/>
        <stp>IMPL_VOL</stp>
        <stp>.QQQ250516P468</stp>
        <tr r="EQ79" s="1"/>
      </tp>
      <tp t="s">
        <v>151.02%</v>
        <stp/>
        <stp>IMPL_VOL</stp>
        <stp>.QQQ250509C476</stp>
        <tr r="EN71" s="1"/>
      </tp>
      <tp t="s">
        <v>33.56%</v>
        <stp/>
        <stp>IMPL_VOL</stp>
        <stp>.QQQ250516C469</stp>
        <tr r="EP78" s="1"/>
      </tp>
      <tp t="s">
        <v>122.12%</v>
        <stp/>
        <stp>IMPL_VOL</stp>
        <stp>.QQQ250509P476</stp>
        <tr r="EO71" s="1"/>
      </tp>
      <tp t="s">
        <v>31.21%</v>
        <stp/>
        <stp>IMPL_VOL</stp>
        <stp>.QQQ250516P469</stp>
        <tr r="EQ78" s="1"/>
      </tp>
      <tp t="s">
        <v>--</v>
        <stp/>
        <stp>IMPL_VOL</stp>
        <stp>.QQQ250505C479</stp>
        <tr r="EL68" s="1"/>
      </tp>
      <tp t="s">
        <v>162.06%</v>
        <stp/>
        <stp>IMPL_VOL</stp>
        <stp>.QQQ250509C475</stp>
        <tr r="EN72" s="1"/>
      </tp>
      <tp t="s">
        <v>93.92%</v>
        <stp/>
        <stp>IMPL_VOL</stp>
        <stp>.QQQ250505P479</stp>
        <tr r="EM68" s="1"/>
      </tp>
      <tp t="s">
        <v>131.42%</v>
        <stp/>
        <stp>IMPL_VOL</stp>
        <stp>.QQQ250509P475</stp>
        <tr r="EO72" s="1"/>
      </tp>
      <tp t="s">
        <v>--</v>
        <stp/>
        <stp>IMPL_VOL</stp>
        <stp>.QQQ250505C478</stp>
        <tr r="EL69" s="1"/>
      </tp>
      <tp t="s">
        <v>168.13%</v>
        <stp/>
        <stp>IMPL_VOL</stp>
        <stp>.QQQ250509C474</stp>
        <tr r="EN73" s="1"/>
      </tp>
      <tp t="s">
        <v>103.38%</v>
        <stp/>
        <stp>IMPL_VOL</stp>
        <stp>.QQQ250505P478</stp>
        <tr r="EM69" s="1"/>
      </tp>
      <tp t="s">
        <v>140.67%</v>
        <stp/>
        <stp>IMPL_VOL</stp>
        <stp>.QQQ250509P474</stp>
        <tr r="EO73" s="1"/>
      </tp>
      <tp t="s">
        <v>--</v>
        <stp/>
        <stp>IMPL_VOL</stp>
        <stp>.QQQ250505C487</stp>
        <tr r="EL60" s="1"/>
      </tp>
      <tp t="s">
        <v>28.03%</v>
        <stp/>
        <stp>IMPL_VOL</stp>
        <stp>.QQQ250516C494</stp>
        <tr r="EP53" s="1"/>
      </tp>
      <tp t="s">
        <v>144.61%</v>
        <stp/>
        <stp>IMPL_VOL</stp>
        <stp>.QQQ250505P487</stp>
        <tr r="EM60" s="1"/>
      </tp>
      <tp t="s">
        <v>27.59%</v>
        <stp/>
        <stp>IMPL_VOL</stp>
        <stp>.QQQ250516P494</stp>
        <tr r="EQ53" s="1"/>
      </tp>
      <tp t="s">
        <v>--</v>
        <stp/>
        <stp>IMPL_VOL</stp>
        <stp>.QQQ250505C486</stp>
        <tr r="EL61" s="1"/>
      </tp>
      <tp t="s">
        <v>27.85%</v>
        <stp/>
        <stp>IMPL_VOL</stp>
        <stp>.QQQ250516C495</stp>
        <tr r="EP52" s="1"/>
      </tp>
      <tp t="s">
        <v>106.02%</v>
        <stp/>
        <stp>IMPL_VOL</stp>
        <stp>.QQQ250505P486</stp>
        <tr r="EM61" s="1"/>
      </tp>
      <tp t="s">
        <v>27.44%</v>
        <stp/>
        <stp>IMPL_VOL</stp>
        <stp>.QQQ250516P495</stp>
        <tr r="EQ52" s="1"/>
      </tp>
      <tp t="s">
        <v>--</v>
        <stp/>
        <stp>IMPL_VOL</stp>
        <stp>.QQQ250505C485</stp>
        <tr r="EL62" s="1"/>
      </tp>
      <tp t="s">
        <v>14.83%</v>
        <stp/>
        <stp>IMPL_VOL</stp>
        <stp>.QQQ250509C489</stp>
        <tr r="EN58" s="1"/>
      </tp>
      <tp t="s">
        <v>27.69%</v>
        <stp/>
        <stp>IMPL_VOL</stp>
        <stp>.QQQ250516C496</stp>
        <tr r="EP51" s="1"/>
      </tp>
      <tp t="s">
        <v>72.01%</v>
        <stp/>
        <stp>IMPL_VOL</stp>
        <stp>.QQQ250505P485</stp>
        <tr r="EM62" s="1"/>
      </tp>
      <tp t="s">
        <v>19.73%</v>
        <stp/>
        <stp>IMPL_VOL</stp>
        <stp>.QQQ250509P489</stp>
        <tr r="EO58" s="1"/>
      </tp>
      <tp t="s">
        <v>27.32%</v>
        <stp/>
        <stp>IMPL_VOL</stp>
        <stp>.QQQ250516P496</stp>
        <tr r="EQ51" s="1"/>
      </tp>
      <tp t="s">
        <v>--</v>
        <stp/>
        <stp>IMPL_VOL</stp>
        <stp>.QQQ250505C484</stp>
        <tr r="EL63" s="1"/>
      </tp>
      <tp t="s">
        <v>14.43%</v>
        <stp/>
        <stp>IMPL_VOL</stp>
        <stp>.QQQ250509C488</stp>
        <tr r="EN59" s="1"/>
      </tp>
      <tp t="s">
        <v>27.57%</v>
        <stp/>
        <stp>IMPL_VOL</stp>
        <stp>.QQQ250516C497</stp>
        <tr r="EP50" s="1"/>
      </tp>
      <tp t="s">
        <v>56.95%</v>
        <stp/>
        <stp>IMPL_VOL</stp>
        <stp>.QQQ250505P484</stp>
        <tr r="EM63" s="1"/>
      </tp>
      <tp t="s">
        <v>12.44%</v>
        <stp/>
        <stp>IMPL_VOL</stp>
        <stp>.QQQ250509P488</stp>
        <tr r="EO59" s="1"/>
      </tp>
      <tp t="s">
        <v>27.78%</v>
        <stp/>
        <stp>IMPL_VOL</stp>
        <stp>.QQQ250516P497</stp>
        <tr r="EQ50" s="1"/>
      </tp>
      <tp t="s">
        <v>--</v>
        <stp/>
        <stp>IMPL_VOL</stp>
        <stp>.QQQ250505C483</stp>
        <tr r="EL64" s="1"/>
      </tp>
      <tp t="s">
        <v>28.64%</v>
        <stp/>
        <stp>IMPL_VOL</stp>
        <stp>.QQQ250516C490</stp>
        <tr r="EP57" s="1"/>
      </tp>
      <tp t="s">
        <v>55.19%</v>
        <stp/>
        <stp>IMPL_VOL</stp>
        <stp>.QQQ250505P483</stp>
        <tr r="EM64" s="1"/>
      </tp>
      <tp t="s">
        <v>28.17%</v>
        <stp/>
        <stp>IMPL_VOL</stp>
        <stp>.QQQ250516P490</stp>
        <tr r="EQ57" s="1"/>
      </tp>
      <tp t="s">
        <v>--</v>
        <stp/>
        <stp>IMPL_VOL</stp>
        <stp>.QQQ250505C482</stp>
        <tr r="EL65" s="1"/>
      </tp>
      <tp t="s">
        <v>28.49%</v>
        <stp/>
        <stp>IMPL_VOL</stp>
        <stp>.QQQ250516C491</stp>
        <tr r="EP56" s="1"/>
      </tp>
      <tp t="s">
        <v>65.05%</v>
        <stp/>
        <stp>IMPL_VOL</stp>
        <stp>.QQQ250505P482</stp>
        <tr r="EM65" s="1"/>
      </tp>
      <tp t="s">
        <v>28.02%</v>
        <stp/>
        <stp>IMPL_VOL</stp>
        <stp>.QQQ250516P491</stp>
        <tr r="EQ56" s="1"/>
      </tp>
      <tp t="s">
        <v>--</v>
        <stp/>
        <stp>IMPL_VOL</stp>
        <stp>.QQQ250505C481</stp>
        <tr r="EL66" s="1"/>
      </tp>
      <tp t="s">
        <v>28.33%</v>
        <stp/>
        <stp>IMPL_VOL</stp>
        <stp>.QQQ250516C492</stp>
        <tr r="EP55" s="1"/>
      </tp>
      <tp t="s">
        <v>74.78%</v>
        <stp/>
        <stp>IMPL_VOL</stp>
        <stp>.QQQ250505P481</stp>
        <tr r="EM66" s="1"/>
      </tp>
      <tp t="s">
        <v>27.92%</v>
        <stp/>
        <stp>IMPL_VOL</stp>
        <stp>.QQQ250516P492</stp>
        <tr r="EQ55" s="1"/>
      </tp>
      <tp t="s">
        <v>--</v>
        <stp/>
        <stp>IMPL_VOL</stp>
        <stp>.QQQ250505C480</stp>
        <tr r="EL67" s="1"/>
      </tp>
      <tp t="s">
        <v>28.19%</v>
        <stp/>
        <stp>IMPL_VOL</stp>
        <stp>.QQQ250516C493</stp>
        <tr r="EP54" s="1"/>
      </tp>
      <tp t="s">
        <v>84.39%</v>
        <stp/>
        <stp>IMPL_VOL</stp>
        <stp>.QQQ250505P480</stp>
        <tr r="EM67" s="1"/>
      </tp>
      <tp t="s">
        <v>27.74%</v>
        <stp/>
        <stp>IMPL_VOL</stp>
        <stp>.QQQ250516P493</stp>
        <tr r="EQ54" s="1"/>
      </tp>
      <tp t="s">
        <v>66.18%</v>
        <stp/>
        <stp>IMPL_VOL</stp>
        <stp>.QQQ250509C483</stp>
        <tr r="EN64" s="1"/>
      </tp>
      <tp t="s">
        <v>55.19%</v>
        <stp/>
        <stp>IMPL_VOL</stp>
        <stp>.QQQ250509P483</stp>
        <tr r="EO64" s="1"/>
      </tp>
      <tp t="s">
        <v>80.30%</v>
        <stp/>
        <stp>IMPL_VOL</stp>
        <stp>.QQQ250509C482</stp>
        <tr r="EN65" s="1"/>
      </tp>
      <tp t="s">
        <v>65.05%</v>
        <stp/>
        <stp>IMPL_VOL</stp>
        <stp>.QQQ250509P482</stp>
        <tr r="EO65" s="1"/>
      </tp>
      <tp t="s">
        <v>91.78%</v>
        <stp/>
        <stp>IMPL_VOL</stp>
        <stp>.QQQ250509C481</stp>
        <tr r="EN66" s="1"/>
      </tp>
      <tp t="s">
        <v>74.78%</v>
        <stp/>
        <stp>IMPL_VOL</stp>
        <stp>.QQQ250509P481</stp>
        <tr r="EO66" s="1"/>
      </tp>
      <tp t="s">
        <v>103.11%</v>
        <stp/>
        <stp>IMPL_VOL</stp>
        <stp>.QQQ250509C480</stp>
        <tr r="EN67" s="1"/>
      </tp>
      <tp t="s">
        <v>84.39%</v>
        <stp/>
        <stp>IMPL_VOL</stp>
        <stp>.QQQ250509P480</stp>
        <tr r="EO67" s="1"/>
      </tp>
      <tp t="s">
        <v>--</v>
        <stp/>
        <stp>IMPL_VOL</stp>
        <stp>.QQQ250509C487</stp>
        <tr r="EN60" s="1"/>
      </tp>
      <tp t="s">
        <v>27.41%</v>
        <stp/>
        <stp>IMPL_VOL</stp>
        <stp>.QQQ250516C498</stp>
        <tr r="EP49" s="1"/>
      </tp>
      <tp t="s">
        <v>16.05%</v>
        <stp/>
        <stp>IMPL_VOL</stp>
        <stp>.QQQ250509P487</stp>
        <tr r="EO60" s="1"/>
      </tp>
      <tp t="s">
        <v>27.49%</v>
        <stp/>
        <stp>IMPL_VOL</stp>
        <stp>.QQQ250516P498</stp>
        <tr r="EQ49" s="1"/>
      </tp>
      <tp t="s">
        <v>37.95%</v>
        <stp/>
        <stp>IMPL_VOL</stp>
        <stp>.QQQ250509C486</stp>
        <tr r="EN61" s="1"/>
      </tp>
      <tp t="s">
        <v>27.34%</v>
        <stp/>
        <stp>IMPL_VOL</stp>
        <stp>.QQQ250516C499</stp>
        <tr r="EP48" s="1"/>
      </tp>
      <tp t="s">
        <v>24.28%</v>
        <stp/>
        <stp>IMPL_VOL</stp>
        <stp>.QQQ250509P486</stp>
        <tr r="EO61" s="1"/>
      </tp>
      <tp t="s">
        <v>27.22%</v>
        <stp/>
        <stp>IMPL_VOL</stp>
        <stp>.QQQ250516P499</stp>
        <tr r="EQ48" s="1"/>
      </tp>
      <tp t="s">
        <v>14.83%</v>
        <stp/>
        <stp>IMPL_VOL</stp>
        <stp>.QQQ250505C489</stp>
        <tr r="EL58" s="1"/>
      </tp>
      <tp t="s">
        <v>44.43%</v>
        <stp/>
        <stp>IMPL_VOL</stp>
        <stp>.QQQ250509C485</stp>
        <tr r="EN62" s="1"/>
      </tp>
      <tp t="s">
        <v>217.90%</v>
        <stp/>
        <stp>IMPL_VOL</stp>
        <stp>.QQQ250505P489</stp>
        <tr r="EM58" s="1"/>
      </tp>
      <tp t="s">
        <v>34.89%</v>
        <stp/>
        <stp>IMPL_VOL</stp>
        <stp>.QQQ250509P485</stp>
        <tr r="EO62" s="1"/>
      </tp>
      <tp t="s">
        <v>1.96%</v>
        <stp/>
        <stp>IMPL_VOL</stp>
        <stp>.QQQ250505C488</stp>
        <tr r="EL59" s="1"/>
      </tp>
      <tp t="s">
        <v>52.08%</v>
        <stp/>
        <stp>IMPL_VOL</stp>
        <stp>.QQQ250509C484</stp>
        <tr r="EN63" s="1"/>
      </tp>
      <tp t="s">
        <v>183.00%</v>
        <stp/>
        <stp>IMPL_VOL</stp>
        <stp>.QQQ250505P488</stp>
        <tr r="EM59" s="1"/>
      </tp>
      <tp t="s">
        <v>45.16%</v>
        <stp/>
        <stp>IMPL_VOL</stp>
        <stp>.QQQ250509P484</stp>
        <tr r="EO63" s="1"/>
      </tp>
      <tp t="s">
        <v>93.66%</v>
        <stp/>
        <stp>IMPL_VOL</stp>
        <stp>.QQQ250505C497</stp>
        <tr r="EL50" s="1"/>
      </tp>
      <tp t="s">
        <v>29.70%</v>
        <stp/>
        <stp>IMPL_VOL</stp>
        <stp>.QQQ250516C484</stp>
        <tr r="EP63" s="1"/>
      </tp>
      <tp t="s">
        <v>446.24%</v>
        <stp/>
        <stp>IMPL_VOL</stp>
        <stp>.QQQ250505P497</stp>
        <tr r="EM50" s="1"/>
      </tp>
      <tp t="s">
        <v>29.15%</v>
        <stp/>
        <stp>IMPL_VOL</stp>
        <stp>.QQQ250516P484</stp>
        <tr r="EQ63" s="1"/>
      </tp>
      <tp t="s">
        <v>84.49%</v>
        <stp/>
        <stp>IMPL_VOL</stp>
        <stp>.QQQ250505C496</stp>
        <tr r="EL51" s="1"/>
      </tp>
      <tp t="s">
        <v>29.54%</v>
        <stp/>
        <stp>IMPL_VOL</stp>
        <stp>.QQQ250516C485</stp>
        <tr r="EP62" s="1"/>
      </tp>
      <tp t="s">
        <v>392.42%</v>
        <stp/>
        <stp>IMPL_VOL</stp>
        <stp>.QQQ250505P496</stp>
        <tr r="EM51" s="1"/>
      </tp>
      <tp t="s">
        <v>29.00%</v>
        <stp/>
        <stp>IMPL_VOL</stp>
        <stp>.QQQ250516P485</stp>
        <tr r="EQ62" s="1"/>
      </tp>
      <tp t="s">
        <v>75.20%</v>
        <stp/>
        <stp>IMPL_VOL</stp>
        <stp>.QQQ250505C495</stp>
        <tr r="EL52" s="1"/>
      </tp>
      <tp t="s">
        <v>111.69%</v>
        <stp/>
        <stp>IMPL_VOL</stp>
        <stp>.QQQ250509C499</stp>
        <tr r="EN48" s="1"/>
      </tp>
      <tp t="s">
        <v>29.39%</v>
        <stp/>
        <stp>IMPL_VOL</stp>
        <stp>.QQQ250516C486</stp>
        <tr r="EP61" s="1"/>
      </tp>
      <tp t="s">
        <v>413.06%</v>
        <stp/>
        <stp>IMPL_VOL</stp>
        <stp>.QQQ250505P495</stp>
        <tr r="EM52" s="1"/>
      </tp>
      <tp t="s">
        <v>--</v>
        <stp/>
        <stp>IMPL_VOL</stp>
        <stp>.QQQ250509P499</stp>
        <tr r="EO48" s="1"/>
      </tp>
      <tp t="s">
        <v>28.83%</v>
        <stp/>
        <stp>IMPL_VOL</stp>
        <stp>.QQQ250516P486</stp>
        <tr r="EQ61" s="1"/>
      </tp>
      <tp t="s">
        <v>65.77%</v>
        <stp/>
        <stp>IMPL_VOL</stp>
        <stp>.QQQ250505C494</stp>
        <tr r="EL53" s="1"/>
      </tp>
      <tp t="s">
        <v>102.72%</v>
        <stp/>
        <stp>IMPL_VOL</stp>
        <stp>.QQQ250509C498</stp>
        <tr r="EN49" s="1"/>
      </tp>
      <tp t="s">
        <v>29.20%</v>
        <stp/>
        <stp>IMPL_VOL</stp>
        <stp>.QQQ250516C487</stp>
        <tr r="EP60" s="1"/>
      </tp>
      <tp t="s">
        <v>384.84%</v>
        <stp/>
        <stp>IMPL_VOL</stp>
        <stp>.QQQ250505P494</stp>
        <tr r="EM53" s="1"/>
      </tp>
      <tp t="s">
        <v>--</v>
        <stp/>
        <stp>IMPL_VOL</stp>
        <stp>.QQQ250509P498</stp>
        <tr r="EO49" s="1"/>
      </tp>
      <tp t="s">
        <v>28.67%</v>
        <stp/>
        <stp>IMPL_VOL</stp>
        <stp>.QQQ250516P487</stp>
        <tr r="EQ60" s="1"/>
      </tp>
      <tp t="s">
        <v>56.17%</v>
        <stp/>
        <stp>IMPL_VOL</stp>
        <stp>.QQQ250505C493</stp>
        <tr r="EL54" s="1"/>
      </tp>
      <tp t="s">
        <v>30.46%</v>
        <stp/>
        <stp>IMPL_VOL</stp>
        <stp>.QQQ250516C480</stp>
        <tr r="EP67" s="1"/>
      </tp>
      <tp t="s">
        <v>364.04%</v>
        <stp/>
        <stp>IMPL_VOL</stp>
        <stp>.QQQ250505P493</stp>
        <tr r="EM54" s="1"/>
      </tp>
      <tp t="s">
        <v>29.76%</v>
        <stp/>
        <stp>IMPL_VOL</stp>
        <stp>.QQQ250516P480</stp>
        <tr r="EQ67" s="1"/>
      </tp>
      <tp t="s">
        <v>46.37%</v>
        <stp/>
        <stp>IMPL_VOL</stp>
        <stp>.QQQ250505C492</stp>
        <tr r="EL55" s="1"/>
      </tp>
      <tp t="s">
        <v>30.22%</v>
        <stp/>
        <stp>IMPL_VOL</stp>
        <stp>.QQQ250516C481</stp>
        <tr r="EP66" s="1"/>
      </tp>
      <tp t="s">
        <v>334.33%</v>
        <stp/>
        <stp>IMPL_VOL</stp>
        <stp>.QQQ250505P492</stp>
        <tr r="EM55" s="1"/>
      </tp>
      <tp t="s">
        <v>29.63%</v>
        <stp/>
        <stp>IMPL_VOL</stp>
        <stp>.QQQ250516P481</stp>
        <tr r="EQ66" s="1"/>
      </tp>
      <tp t="s">
        <v>36.30%</v>
        <stp/>
        <stp>IMPL_VOL</stp>
        <stp>.QQQ250505C491</stp>
        <tr r="EL56" s="1"/>
      </tp>
      <tp t="s">
        <v>30.05%</v>
        <stp/>
        <stp>IMPL_VOL</stp>
        <stp>.QQQ250516C482</stp>
        <tr r="EP65" s="1"/>
      </tp>
      <tp t="s">
        <v>307.58%</v>
        <stp/>
        <stp>IMPL_VOL</stp>
        <stp>.QQQ250505P491</stp>
        <tr r="EM56" s="1"/>
      </tp>
      <tp t="s">
        <v>29.48%</v>
        <stp/>
        <stp>IMPL_VOL</stp>
        <stp>.QQQ250516P482</stp>
        <tr r="EQ65" s="1"/>
      </tp>
      <tp t="s">
        <v>25.87%</v>
        <stp/>
        <stp>IMPL_VOL</stp>
        <stp>.QQQ250505C490</stp>
        <tr r="EL57" s="1"/>
      </tp>
      <tp t="s">
        <v>29.90%</v>
        <stp/>
        <stp>IMPL_VOL</stp>
        <stp>.QQQ250516C483</stp>
        <tr r="EP64" s="1"/>
      </tp>
      <tp t="s">
        <v>243.71%</v>
        <stp/>
        <stp>IMPL_VOL</stp>
        <stp>.QQQ250505P490</stp>
        <tr r="EM57" s="1"/>
      </tp>
      <tp t="s">
        <v>29.32%</v>
        <stp/>
        <stp>IMPL_VOL</stp>
        <stp>.QQQ250516P483</stp>
        <tr r="EQ64" s="1"/>
      </tp>
      <tp t="s">
        <v>56.17%</v>
        <stp/>
        <stp>IMPL_VOL</stp>
        <stp>.QQQ250509C493</stp>
        <tr r="EN54" s="1"/>
      </tp>
      <tp t="s">
        <v>--</v>
        <stp/>
        <stp>IMPL_VOL</stp>
        <stp>.QQQ250509P493</stp>
        <tr r="EO54" s="1"/>
      </tp>
      <tp t="s">
        <v>46.37%</v>
        <stp/>
        <stp>IMPL_VOL</stp>
        <stp>.QQQ250509C492</stp>
        <tr r="EN55" s="1"/>
      </tp>
      <tp t="s">
        <v>--</v>
        <stp/>
        <stp>IMPL_VOL</stp>
        <stp>.QQQ250509P492</stp>
        <tr r="EO55" s="1"/>
      </tp>
      <tp t="s">
        <v>36.30%</v>
        <stp/>
        <stp>IMPL_VOL</stp>
        <stp>.QQQ250509C491</stp>
        <tr r="EN56" s="1"/>
      </tp>
      <tp t="s">
        <v>58.34%</v>
        <stp/>
        <stp>IMPL_VOL</stp>
        <stp>.QQQ250509P491</stp>
        <tr r="EO56" s="1"/>
      </tp>
      <tp t="s">
        <v>25.87%</v>
        <stp/>
        <stp>IMPL_VOL</stp>
        <stp>.QQQ250509C490</stp>
        <tr r="EN57" s="1"/>
      </tp>
      <tp t="s">
        <v>53.27%</v>
        <stp/>
        <stp>IMPL_VOL</stp>
        <stp>.QQQ250509P490</stp>
        <tr r="EO57" s="1"/>
      </tp>
      <tp t="s">
        <v>93.66%</v>
        <stp/>
        <stp>IMPL_VOL</stp>
        <stp>.QQQ250509C497</stp>
        <tr r="EN50" s="1"/>
      </tp>
      <tp t="s">
        <v>29.02%</v>
        <stp/>
        <stp>IMPL_VOL</stp>
        <stp>.QQQ250516C488</stp>
        <tr r="EP59" s="1"/>
      </tp>
      <tp t="s">
        <v>--</v>
        <stp/>
        <stp>IMPL_VOL</stp>
        <stp>.QQQ250509P497</stp>
        <tr r="EO50" s="1"/>
      </tp>
      <tp t="s">
        <v>28.52%</v>
        <stp/>
        <stp>IMPL_VOL</stp>
        <stp>.QQQ250516P488</stp>
        <tr r="EQ59" s="1"/>
      </tp>
      <tp t="s">
        <v>84.49%</v>
        <stp/>
        <stp>IMPL_VOL</stp>
        <stp>.QQQ250509C496</stp>
        <tr r="EN51" s="1"/>
      </tp>
      <tp t="s">
        <v>28.85%</v>
        <stp/>
        <stp>IMPL_VOL</stp>
        <stp>.QQQ250516C489</stp>
        <tr r="EP58" s="1"/>
      </tp>
      <tp t="s">
        <v>--</v>
        <stp/>
        <stp>IMPL_VOL</stp>
        <stp>.QQQ250509P496</stp>
        <tr r="EO51" s="1"/>
      </tp>
      <tp t="s">
        <v>28.34%</v>
        <stp/>
        <stp>IMPL_VOL</stp>
        <stp>.QQQ250516P489</stp>
        <tr r="EQ58" s="1"/>
      </tp>
      <tp t="s">
        <v>111.69%</v>
        <stp/>
        <stp>IMPL_VOL</stp>
        <stp>.QQQ250505C499</stp>
        <tr r="EL48" s="1"/>
      </tp>
      <tp t="s">
        <v>75.20%</v>
        <stp/>
        <stp>IMPL_VOL</stp>
        <stp>.QQQ250509C495</stp>
        <tr r="EN52" s="1"/>
      </tp>
      <tp t="s">
        <v>499.47%</v>
        <stp/>
        <stp>IMPL_VOL</stp>
        <stp>.QQQ250505P499</stp>
        <tr r="EM48" s="1"/>
      </tp>
      <tp t="s">
        <v>--</v>
        <stp/>
        <stp>IMPL_VOL</stp>
        <stp>.QQQ250509P495</stp>
        <tr r="EO52" s="1"/>
      </tp>
      <tp t="s">
        <v>102.72%</v>
        <stp/>
        <stp>IMPL_VOL</stp>
        <stp>.QQQ250505C498</stp>
        <tr r="EL49" s="1"/>
      </tp>
      <tp t="s">
        <v>65.77%</v>
        <stp/>
        <stp>IMPL_VOL</stp>
        <stp>.QQQ250509C494</stp>
        <tr r="EN53" s="1"/>
      </tp>
      <tp t="s">
        <v>436.24%</v>
        <stp/>
        <stp>IMPL_VOL</stp>
        <stp>.QQQ250505P498</stp>
        <tr r="EM49" s="1"/>
      </tp>
      <tp t="s">
        <v>--</v>
        <stp/>
        <stp>IMPL_VOL</stp>
        <stp>.QQQ250509P494</stp>
        <tr r="EO53" s="1"/>
      </tp>
      <tp t="s">
        <v>282.55%</v>
        <stp/>
        <stp>IMPL_VOL</stp>
        <stp>.SPXW250509C5420</stp>
        <tr r="EN130" s="1"/>
      </tp>
      <tp t="s">
        <v>187.95%</v>
        <stp/>
        <stp>IMPL_VOL</stp>
        <stp>.SPXW250509P5420</stp>
        <tr r="EO130" s="1"/>
      </tp>
      <tp t="s">
        <v>272.31%</v>
        <stp/>
        <stp>IMPL_VOL</stp>
        <stp>.SPXW250509C5430</stp>
        <tr r="EN129" s="1"/>
      </tp>
      <tp t="s">
        <v>180.59%</v>
        <stp/>
        <stp>IMPL_VOL</stp>
        <stp>.SPXW250509P5430</stp>
        <tr r="EO129" s="1"/>
      </tp>
      <tp t="s">
        <v>--</v>
        <stp/>
        <stp>IMPL_VOL</stp>
        <stp>.SPXW250509C5460</stp>
        <tr r="EN126" s="1"/>
      </tp>
      <tp t="s">
        <v>25.88%</v>
        <stp/>
        <stp>IMPL_VOL</stp>
        <stp>.SPXW250516C5590</stp>
        <tr r="EP113" s="1"/>
      </tp>
      <tp t="s">
        <v>158.47%</v>
        <stp/>
        <stp>IMPL_VOL</stp>
        <stp>.SPXW250509P5460</stp>
        <tr r="EO126" s="1"/>
      </tp>
      <tp t="s">
        <v>24.51%</v>
        <stp/>
        <stp>IMPL_VOL</stp>
        <stp>.SPXW250516P5590</stp>
        <tr r="EQ113" s="1"/>
      </tp>
      <tp t="s">
        <v>--</v>
        <stp/>
        <stp>IMPL_VOL</stp>
        <stp>.SPXW250509C5470</stp>
        <tr r="EN125" s="1"/>
      </tp>
      <tp t="s">
        <v>25.96%</v>
        <stp/>
        <stp>IMPL_VOL</stp>
        <stp>.SPXW250516C5580</stp>
        <tr r="EP114" s="1"/>
      </tp>
      <tp t="s">
        <v>151.08%</v>
        <stp/>
        <stp>IMPL_VOL</stp>
        <stp>.SPXW250509P5470</stp>
        <tr r="EO125" s="1"/>
      </tp>
      <tp t="s">
        <v>24.70%</v>
        <stp/>
        <stp>IMPL_VOL</stp>
        <stp>.SPXW250516P5580</stp>
        <tr r="EQ114" s="1"/>
      </tp>
      <tp t="s">
        <v>--</v>
        <stp/>
        <stp>IMPL_VOL</stp>
        <stp>.SPXW250505C5480</stp>
        <tr r="EL124" s="1"/>
      </tp>
      <tp t="s">
        <v>262.04%</v>
        <stp/>
        <stp>IMPL_VOL</stp>
        <stp>.SPXW250509C5440</stp>
        <tr r="EN128" s="1"/>
      </tp>
      <tp t="s">
        <v>143.67%</v>
        <stp/>
        <stp>IMPL_VOL</stp>
        <stp>.SPXW250505P5480</stp>
        <tr r="EM124" s="1"/>
      </tp>
      <tp t="s">
        <v>173.23%</v>
        <stp/>
        <stp>IMPL_VOL</stp>
        <stp>.SPXW250509P5440</stp>
        <tr r="EO128" s="1"/>
      </tp>
      <tp t="s">
        <v>--</v>
        <stp/>
        <stp>IMPL_VOL</stp>
        <stp>.SPXW250505C5490</stp>
        <tr r="EL123" s="1"/>
      </tp>
      <tp t="s">
        <v>--</v>
        <stp/>
        <stp>IMPL_VOL</stp>
        <stp>.SPXW250509C5450</stp>
        <tr r="EN127" s="1"/>
      </tp>
      <tp t="s">
        <v>136.24%</v>
        <stp/>
        <stp>IMPL_VOL</stp>
        <stp>.SPXW250505P5490</stp>
        <tr r="EM123" s="1"/>
      </tp>
      <tp t="s">
        <v>165.86%</v>
        <stp/>
        <stp>IMPL_VOL</stp>
        <stp>.SPXW250509P5450</stp>
        <tr r="EO127" s="1"/>
      </tp>
      <tp t="s">
        <v>--</v>
        <stp/>
        <stp>IMPL_VOL</stp>
        <stp>.SPXW250505C5460</stp>
        <tr r="EL126" s="1"/>
      </tp>
      <tp t="s">
        <v>26.53%</v>
        <stp/>
        <stp>IMPL_VOL</stp>
        <stp>.SPXW250516C5550</stp>
        <tr r="EP117" s="1"/>
      </tp>
      <tp t="s">
        <v>158.47%</v>
        <stp/>
        <stp>IMPL_VOL</stp>
        <stp>.SPXW250505P5460</stp>
        <tr r="EM126" s="1"/>
      </tp>
      <tp t="s">
        <v>25.20%</v>
        <stp/>
        <stp>IMPL_VOL</stp>
        <stp>.SPXW250516P5550</stp>
        <tr r="EQ117" s="1"/>
      </tp>
      <tp t="s">
        <v>--</v>
        <stp/>
        <stp>IMPL_VOL</stp>
        <stp>.SPXW250505C5470</stp>
        <tr r="EL125" s="1"/>
      </tp>
      <tp t="s">
        <v>26.74%</v>
        <stp/>
        <stp>IMPL_VOL</stp>
        <stp>.SPXW250516C5540</stp>
        <tr r="EP118" s="1"/>
      </tp>
      <tp t="s">
        <v>151.08%</v>
        <stp/>
        <stp>IMPL_VOL</stp>
        <stp>.SPXW250505P5470</stp>
        <tr r="EM125" s="1"/>
      </tp>
      <tp t="s">
        <v>25.36%</v>
        <stp/>
        <stp>IMPL_VOL</stp>
        <stp>.SPXW250516P5540</stp>
        <tr r="EQ118" s="1"/>
      </tp>
      <tp t="s">
        <v>--</v>
        <stp/>
        <stp>IMPL_VOL</stp>
        <stp>.SPXW250505C5440</stp>
        <tr r="EL128" s="1"/>
      </tp>
      <tp t="s">
        <v>--</v>
        <stp/>
        <stp>IMPL_VOL</stp>
        <stp>.SPXW250509C5480</stp>
        <tr r="EN124" s="1"/>
      </tp>
      <tp t="s">
        <v>26.13%</v>
        <stp/>
        <stp>IMPL_VOL</stp>
        <stp>.SPXW250516C5570</stp>
        <tr r="EP115" s="1"/>
      </tp>
      <tp t="s">
        <v>173.23%</v>
        <stp/>
        <stp>IMPL_VOL</stp>
        <stp>.SPXW250505P5440</stp>
        <tr r="EM128" s="1"/>
      </tp>
      <tp t="s">
        <v>143.67%</v>
        <stp/>
        <stp>IMPL_VOL</stp>
        <stp>.SPXW250509P5480</stp>
        <tr r="EO124" s="1"/>
      </tp>
      <tp t="s">
        <v>24.87%</v>
        <stp/>
        <stp>IMPL_VOL</stp>
        <stp>.SPXW250516P5570</stp>
        <tr r="EQ115" s="1"/>
      </tp>
      <tp t="s">
        <v>--</v>
        <stp/>
        <stp>IMPL_VOL</stp>
        <stp>.SPXW250505C5450</stp>
        <tr r="EL127" s="1"/>
      </tp>
      <tp t="s">
        <v>--</v>
        <stp/>
        <stp>IMPL_VOL</stp>
        <stp>.SPXW250509C5490</stp>
        <tr r="EN123" s="1"/>
      </tp>
      <tp t="s">
        <v>26.35%</v>
        <stp/>
        <stp>IMPL_VOL</stp>
        <stp>.SPXW250516C5560</stp>
        <tr r="EP116" s="1"/>
      </tp>
      <tp t="s">
        <v>165.86%</v>
        <stp/>
        <stp>IMPL_VOL</stp>
        <stp>.SPXW250505P5450</stp>
        <tr r="EM127" s="1"/>
      </tp>
      <tp t="s">
        <v>136.24%</v>
        <stp/>
        <stp>IMPL_VOL</stp>
        <stp>.SPXW250509P5490</stp>
        <tr r="EO123" s="1"/>
      </tp>
      <tp t="s">
        <v>25.03%</v>
        <stp/>
        <stp>IMPL_VOL</stp>
        <stp>.SPXW250516P5560</stp>
        <tr r="EQ116" s="1"/>
      </tp>
      <tp t="s">
        <v>--</v>
        <stp/>
        <stp>IMPL_VOL</stp>
        <stp>.SPXW250505C5420</stp>
        <tr r="EL130" s="1"/>
      </tp>
      <tp t="s">
        <v>27.45%</v>
        <stp/>
        <stp>IMPL_VOL</stp>
        <stp>.SPXW250516C5510</stp>
        <tr r="EP121" s="1"/>
      </tp>
      <tp t="s">
        <v>187.95%</v>
        <stp/>
        <stp>IMPL_VOL</stp>
        <stp>.SPXW250505P5420</stp>
        <tr r="EM130" s="1"/>
      </tp>
      <tp t="s">
        <v>25.84%</v>
        <stp/>
        <stp>IMPL_VOL</stp>
        <stp>.SPXW250516P5510</stp>
        <tr r="EQ121" s="1"/>
      </tp>
      <tp t="s">
        <v>--</v>
        <stp/>
        <stp>IMPL_VOL</stp>
        <stp>.SPXW250505C5430</stp>
        <tr r="EL129" s="1"/>
      </tp>
      <tp t="s">
        <v>27.65%</v>
        <stp/>
        <stp>IMPL_VOL</stp>
        <stp>.SPXW250516C5500</stp>
        <tr r="EP122" s="1"/>
      </tp>
      <tp t="s">
        <v>180.59%</v>
        <stp/>
        <stp>IMPL_VOL</stp>
        <stp>.SPXW250505P5430</stp>
        <tr r="EM129" s="1"/>
      </tp>
      <tp t="s">
        <v>25.99%</v>
        <stp/>
        <stp>IMPL_VOL</stp>
        <stp>.SPXW250516P5500</stp>
        <tr r="EQ122" s="1"/>
      </tp>
      <tp t="s">
        <v>27.01%</v>
        <stp/>
        <stp>IMPL_VOL</stp>
        <stp>.SPXW250516C5530</stp>
        <tr r="EP119" s="1"/>
      </tp>
      <tp t="s">
        <v>25.55%</v>
        <stp/>
        <stp>IMPL_VOL</stp>
        <stp>.SPXW250516P5530</stp>
        <tr r="EQ119" s="1"/>
      </tp>
      <tp t="s">
        <v>27.19%</v>
        <stp/>
        <stp>IMPL_VOL</stp>
        <stp>.SPXW250516C5520</stp>
        <tr r="EP120" s="1"/>
      </tp>
      <tp t="s">
        <v>25.68%</v>
        <stp/>
        <stp>IMPL_VOL</stp>
        <stp>.SPXW250516P5520</stp>
        <tr r="EQ120" s="1"/>
      </tp>
      <tp>
        <v>12</v>
        <stp/>
        <stp>OPEN_INT</stp>
        <stp>.QQQ250505P502</stp>
        <tr r="AT45" s="1"/>
        <tr r="AT45" s="1"/>
      </tp>
      <tp>
        <v>965</v>
        <stp/>
        <stp>OPEN_INT</stp>
        <stp>.QQQ250505C502</stp>
        <tr r="AS45" s="1"/>
        <tr r="AS45" s="1"/>
      </tp>
      <tp>
        <v>0</v>
        <stp/>
        <stp>OPEN_INT</stp>
        <stp>.QQQ250505P501</stp>
        <tr r="AT46" s="1"/>
        <tr r="AT46" s="1"/>
      </tp>
      <tp>
        <v>1342</v>
        <stp/>
        <stp>OPEN_INT</stp>
        <stp>.QQQ250505C501</stp>
        <tr r="AS46" s="1"/>
        <tr r="AS46" s="1"/>
      </tp>
      <tp>
        <v>52</v>
        <stp/>
        <stp>OPEN_INT</stp>
        <stp>.QQQ250505P500</stp>
        <tr r="AT47" s="1"/>
        <tr r="AT47" s="1"/>
      </tp>
      <tp>
        <v>9506</v>
        <stp/>
        <stp>OPEN_INT</stp>
        <stp>.QQQ250505C500</stp>
        <tr r="AS47" s="1"/>
        <tr r="AS47" s="1"/>
      </tp>
      <tp>
        <v>1</v>
        <stp/>
        <stp>OPEN_INT</stp>
        <stp>.QQQ250509P502</stp>
        <tr r="AV45" s="1"/>
        <tr r="AV45" s="1"/>
      </tp>
      <tp>
        <v>1808</v>
        <stp/>
        <stp>OPEN_INT</stp>
        <stp>.QQQ250509C502</stp>
        <tr r="AU45" s="1"/>
        <tr r="AU45" s="1"/>
      </tp>
      <tp>
        <v>18</v>
        <stp/>
        <stp>OPEN_INT</stp>
        <stp>.QQQ250509P501</stp>
        <tr r="AV46" s="1"/>
        <tr r="AV46" s="1"/>
      </tp>
      <tp>
        <v>2358</v>
        <stp/>
        <stp>OPEN_INT</stp>
        <stp>.QQQ250509C501</stp>
        <tr r="AU46" s="1"/>
        <tr r="AU46" s="1"/>
      </tp>
      <tp>
        <v>98</v>
        <stp/>
        <stp>OPEN_INT</stp>
        <stp>.QQQ250509P500</stp>
        <tr r="AV47" s="1"/>
        <tr r="AV47" s="1"/>
      </tp>
      <tp>
        <v>13017</v>
        <stp/>
        <stp>OPEN_INT</stp>
        <stp>.QQQ250509C500</stp>
        <tr r="AU47" s="1"/>
        <tr r="AU47" s="1"/>
      </tp>
      <tp>
        <v>3037</v>
        <stp/>
        <stp>OPEN_INT</stp>
        <stp>.QQQ250516P500</stp>
        <tr r="AX47" s="1"/>
        <tr r="AX47" s="1"/>
      </tp>
      <tp>
        <v>55098</v>
        <stp/>
        <stp>OPEN_INT</stp>
        <stp>.QQQ250516C500</stp>
        <tr r="AW47" s="1"/>
        <tr r="AW47" s="1"/>
      </tp>
      <tp>
        <v>29</v>
        <stp/>
        <stp>OPEN_INT</stp>
        <stp>.QQQ250516P501</stp>
        <tr r="AX46" s="1"/>
        <tr r="AX46" s="1"/>
      </tp>
      <tp>
        <v>2599</v>
        <stp/>
        <stp>OPEN_INT</stp>
        <stp>.QQQ250516C501</stp>
        <tr r="AW46" s="1"/>
        <tr r="AW46" s="1"/>
      </tp>
      <tp>
        <v>116</v>
        <stp/>
        <stp>OPEN_INT</stp>
        <stp>.QQQ250516P502</stp>
        <tr r="AX45" s="1"/>
        <tr r="AX45" s="1"/>
      </tp>
      <tp>
        <v>3358</v>
        <stp/>
        <stp>OPEN_INT</stp>
        <stp>.QQQ250516C502</stp>
        <tr r="AW45" s="1"/>
        <tr r="AW45" s="1"/>
      </tp>
      <tp>
        <v>30239</v>
        <stp/>
        <stp>OPEN_INT</stp>
        <stp>.QQQ250516P470</stp>
        <tr r="AX77" s="1"/>
        <tr r="AX77" s="1"/>
      </tp>
      <tp>
        <v>34931</v>
        <stp/>
        <stp>OPEN_INT</stp>
        <stp>.QQQ250516C470</stp>
        <tr r="AW77" s="1"/>
        <tr r="AW77" s="1"/>
      </tp>
      <tp>
        <v>994</v>
        <stp/>
        <stp>OPEN_INT</stp>
        <stp>.QQQ250516P471</stp>
        <tr r="AX76" s="1"/>
        <tr r="AX76" s="1"/>
      </tp>
      <tp>
        <v>45</v>
        <stp/>
        <stp>OPEN_INT</stp>
        <stp>.QQQ250516C471</stp>
        <tr r="AW76" s="1"/>
        <tr r="AW76" s="1"/>
      </tp>
      <tp>
        <v>1251</v>
        <stp/>
        <stp>OPEN_INT</stp>
        <stp>.QQQ250516P472</stp>
        <tr r="AX75" s="1"/>
        <tr r="AX75" s="1"/>
      </tp>
      <tp>
        <v>122</v>
        <stp/>
        <stp>OPEN_INT</stp>
        <stp>.QQQ250516C472</stp>
        <tr r="AW75" s="1"/>
        <tr r="AW75" s="1"/>
      </tp>
      <tp>
        <v>1069</v>
        <stp/>
        <stp>OPEN_INT</stp>
        <stp>.QQQ250516P473</stp>
        <tr r="AX74" s="1"/>
        <tr r="AX74" s="1"/>
      </tp>
      <tp>
        <v>21</v>
        <stp/>
        <stp>OPEN_INT</stp>
        <stp>.QQQ250516C473</stp>
        <tr r="AW74" s="1"/>
        <tr r="AW74" s="1"/>
      </tp>
      <tp>
        <v>388</v>
        <stp/>
        <stp>OPEN_INT</stp>
        <stp>.QQQ250516P474</stp>
        <tr r="AX73" s="1"/>
        <tr r="AX73" s="1"/>
      </tp>
      <tp>
        <v>96</v>
        <stp/>
        <stp>OPEN_INT</stp>
        <stp>.QQQ250516C474</stp>
        <tr r="AW73" s="1"/>
        <tr r="AW73" s="1"/>
      </tp>
      <tp>
        <v>21581</v>
        <stp/>
        <stp>OPEN_INT</stp>
        <stp>.QQQ250516P475</stp>
        <tr r="AX72" s="1"/>
        <tr r="AX72" s="1"/>
      </tp>
      <tp>
        <v>28347</v>
        <stp/>
        <stp>OPEN_INT</stp>
        <stp>.QQQ250516C475</stp>
        <tr r="AW72" s="1"/>
        <tr r="AW72" s="1"/>
      </tp>
      <tp>
        <v>2453</v>
        <stp/>
        <stp>OPEN_INT</stp>
        <stp>.QQQ250509P469</stp>
        <tr r="AV78" s="1"/>
        <tr r="AV78" s="1"/>
      </tp>
      <tp>
        <v>706</v>
        <stp/>
        <stp>OPEN_INT</stp>
        <stp>.QQQ250516P476</stp>
        <tr r="AX71" s="1"/>
        <tr r="AX71" s="1"/>
      </tp>
      <tp>
        <v>665</v>
        <stp/>
        <stp>OPEN_INT</stp>
        <stp>.QQQ250509C469</stp>
        <tr r="AU78" s="1"/>
        <tr r="AU78" s="1"/>
      </tp>
      <tp>
        <v>148</v>
        <stp/>
        <stp>OPEN_INT</stp>
        <stp>.QQQ250516C476</stp>
        <tr r="AW71" s="1"/>
        <tr r="AW71" s="1"/>
      </tp>
      <tp>
        <v>2215</v>
        <stp/>
        <stp>OPEN_INT</stp>
        <stp>.QQQ250509P468</stp>
        <tr r="AV79" s="1"/>
        <tr r="AV79" s="1"/>
      </tp>
      <tp>
        <v>1752</v>
        <stp/>
        <stp>OPEN_INT</stp>
        <stp>.QQQ250516P477</stp>
        <tr r="AX70" s="1"/>
        <tr r="AX70" s="1"/>
      </tp>
      <tp>
        <v>980</v>
        <stp/>
        <stp>OPEN_INT</stp>
        <stp>.QQQ250509C468</stp>
        <tr r="AU79" s="1"/>
        <tr r="AU79" s="1"/>
      </tp>
      <tp>
        <v>101</v>
        <stp/>
        <stp>OPEN_INT</stp>
        <stp>.QQQ250516C477</stp>
        <tr r="AW70" s="1"/>
        <tr r="AW70" s="1"/>
      </tp>
      <tp>
        <v>871</v>
        <stp/>
        <stp>OPEN_INT</stp>
        <stp>.QQQ250516P478</stp>
        <tr r="AX69" s="1"/>
        <tr r="AX69" s="1"/>
      </tp>
      <tp>
        <v>428</v>
        <stp/>
        <stp>OPEN_INT</stp>
        <stp>.QQQ250516C478</stp>
        <tr r="AW69" s="1"/>
        <tr r="AW69" s="1"/>
      </tp>
      <tp>
        <v>1094</v>
        <stp/>
        <stp>OPEN_INT</stp>
        <stp>.QQQ250516P479</stp>
        <tr r="AX68" s="1"/>
        <tr r="AX68" s="1"/>
      </tp>
      <tp>
        <v>207</v>
        <stp/>
        <stp>OPEN_INT</stp>
        <stp>.QQQ250516C479</stp>
        <tr r="AW68" s="1"/>
        <tr r="AW68" s="1"/>
      </tp>
      <tp>
        <v>622</v>
        <stp/>
        <stp>OPEN_INT</stp>
        <stp>.QQQ250505P469</stp>
        <tr r="AT78" s="1"/>
        <tr r="AT78" s="1"/>
      </tp>
      <tp>
        <v>273</v>
        <stp/>
        <stp>OPEN_INT</stp>
        <stp>.QQQ250505C469</stp>
        <tr r="AS78" s="1"/>
        <tr r="AS78" s="1"/>
      </tp>
      <tp>
        <v>856</v>
        <stp/>
        <stp>OPEN_INT</stp>
        <stp>.QQQ250505P468</stp>
        <tr r="AT79" s="1"/>
        <tr r="AT79" s="1"/>
      </tp>
      <tp>
        <v>552</v>
        <stp/>
        <stp>OPEN_INT</stp>
        <stp>.QQQ250505C468</stp>
        <tr r="AS79" s="1"/>
        <tr r="AS79" s="1"/>
      </tp>
      <tp>
        <v>2174</v>
        <stp/>
        <stp>OPEN_INT</stp>
        <stp>.QQQ250505P473</stp>
        <tr r="AT74" s="1"/>
        <tr r="AT74" s="1"/>
      </tp>
      <tp>
        <v>519</v>
        <stp/>
        <stp>OPEN_INT</stp>
        <stp>.QQQ250505C473</stp>
        <tr r="AS74" s="1"/>
        <tr r="AS74" s="1"/>
      </tp>
      <tp>
        <v>1638</v>
        <stp/>
        <stp>OPEN_INT</stp>
        <stp>.QQQ250505P472</stp>
        <tr r="AT75" s="1"/>
        <tr r="AT75" s="1"/>
      </tp>
      <tp>
        <v>454</v>
        <stp/>
        <stp>OPEN_INT</stp>
        <stp>.QQQ250505C472</stp>
        <tr r="AS75" s="1"/>
        <tr r="AS75" s="1"/>
      </tp>
      <tp>
        <v>900</v>
        <stp/>
        <stp>OPEN_INT</stp>
        <stp>.QQQ250505P471</stp>
        <tr r="AT76" s="1"/>
        <tr r="AT76" s="1"/>
      </tp>
      <tp>
        <v>693</v>
        <stp/>
        <stp>OPEN_INT</stp>
        <stp>.QQQ250505C471</stp>
        <tr r="AS76" s="1"/>
        <tr r="AS76" s="1"/>
      </tp>
      <tp>
        <v>14119</v>
        <stp/>
        <stp>OPEN_INT</stp>
        <stp>.QQQ250505P470</stp>
        <tr r="AT77" s="1"/>
        <tr r="AT77" s="1"/>
      </tp>
      <tp>
        <v>3358</v>
        <stp/>
        <stp>OPEN_INT</stp>
        <stp>.QQQ250505C470</stp>
        <tr r="AS77" s="1"/>
        <tr r="AS77" s="1"/>
      </tp>
      <tp>
        <v>1228</v>
        <stp/>
        <stp>OPEN_INT</stp>
        <stp>.QQQ250505P477</stp>
        <tr r="AT70" s="1"/>
        <tr r="AT70" s="1"/>
      </tp>
      <tp>
        <v>823</v>
        <stp/>
        <stp>OPEN_INT</stp>
        <stp>.QQQ250505C477</stp>
        <tr r="AS70" s="1"/>
        <tr r="AS70" s="1"/>
      </tp>
      <tp>
        <v>2282</v>
        <stp/>
        <stp>OPEN_INT</stp>
        <stp>.QQQ250505P476</stp>
        <tr r="AT71" s="1"/>
        <tr r="AT71" s="1"/>
      </tp>
      <tp>
        <v>1053</v>
        <stp/>
        <stp>OPEN_INT</stp>
        <stp>.QQQ250505C476</stp>
        <tr r="AS71" s="1"/>
        <tr r="AS71" s="1"/>
      </tp>
      <tp>
        <v>9237</v>
        <stp/>
        <stp>OPEN_INT</stp>
        <stp>.QQQ250505P475</stp>
        <tr r="AT72" s="1"/>
        <tr r="AT72" s="1"/>
      </tp>
      <tp>
        <v>3048</v>
        <stp/>
        <stp>OPEN_INT</stp>
        <stp>.QQQ250509P479</stp>
        <tr r="AV68" s="1"/>
        <tr r="AV68" s="1"/>
      </tp>
      <tp>
        <v>6654</v>
        <stp/>
        <stp>OPEN_INT</stp>
        <stp>.QQQ250505C475</stp>
        <tr r="AS72" s="1"/>
        <tr r="AS72" s="1"/>
      </tp>
      <tp>
        <v>792</v>
        <stp/>
        <stp>OPEN_INT</stp>
        <stp>.QQQ250509C479</stp>
        <tr r="AU68" s="1"/>
        <tr r="AU68" s="1"/>
      </tp>
      <tp>
        <v>1087</v>
        <stp/>
        <stp>OPEN_INT</stp>
        <stp>.QQQ250505P474</stp>
        <tr r="AT73" s="1"/>
        <tr r="AT73" s="1"/>
      </tp>
      <tp>
        <v>3298</v>
        <stp/>
        <stp>OPEN_INT</stp>
        <stp>.QQQ250509P478</stp>
        <tr r="AV69" s="1"/>
        <tr r="AV69" s="1"/>
      </tp>
      <tp>
        <v>688</v>
        <stp/>
        <stp>OPEN_INT</stp>
        <stp>.QQQ250505C474</stp>
        <tr r="AS73" s="1"/>
        <tr r="AS73" s="1"/>
      </tp>
      <tp>
        <v>1013</v>
        <stp/>
        <stp>OPEN_INT</stp>
        <stp>.QQQ250509C478</stp>
        <tr r="AU69" s="1"/>
        <tr r="AU69" s="1"/>
      </tp>
      <tp>
        <v>2155</v>
        <stp/>
        <stp>OPEN_INT</stp>
        <stp>.QQQ250509P477</stp>
        <tr r="AV70" s="1"/>
        <tr r="AV70" s="1"/>
      </tp>
      <tp>
        <v>1848</v>
        <stp/>
        <stp>OPEN_INT</stp>
        <stp>.QQQ250516P468</stp>
        <tr r="AX79" s="1"/>
        <tr r="AX79" s="1"/>
      </tp>
      <tp>
        <v>926</v>
        <stp/>
        <stp>OPEN_INT</stp>
        <stp>.QQQ250509C477</stp>
        <tr r="AU70" s="1"/>
        <tr r="AU70" s="1"/>
      </tp>
      <tp>
        <v>1737</v>
        <stp/>
        <stp>OPEN_INT</stp>
        <stp>.QQQ250516C468</stp>
        <tr r="AW79" s="1"/>
        <tr r="AW79" s="1"/>
      </tp>
      <tp>
        <v>3056</v>
        <stp/>
        <stp>OPEN_INT</stp>
        <stp>.QQQ250509P476</stp>
        <tr r="AV71" s="1"/>
        <tr r="AV71" s="1"/>
      </tp>
      <tp>
        <v>1968</v>
        <stp/>
        <stp>OPEN_INT</stp>
        <stp>.QQQ250516P469</stp>
        <tr r="AX78" s="1"/>
        <tr r="AX78" s="1"/>
      </tp>
      <tp>
        <v>718</v>
        <stp/>
        <stp>OPEN_INT</stp>
        <stp>.QQQ250509C476</stp>
        <tr r="AU71" s="1"/>
        <tr r="AU71" s="1"/>
      </tp>
      <tp>
        <v>967</v>
        <stp/>
        <stp>OPEN_INT</stp>
        <stp>.QQQ250516C469</stp>
        <tr r="AW78" s="1"/>
        <tr r="AW78" s="1"/>
      </tp>
      <tp>
        <v>2434</v>
        <stp/>
        <stp>OPEN_INT</stp>
        <stp>.QQQ250505P479</stp>
        <tr r="AT68" s="1"/>
        <tr r="AT68" s="1"/>
      </tp>
      <tp>
        <v>6907</v>
        <stp/>
        <stp>OPEN_INT</stp>
        <stp>.QQQ250509P475</stp>
        <tr r="AV72" s="1"/>
        <tr r="AV72" s="1"/>
      </tp>
      <tp>
        <v>861</v>
        <stp/>
        <stp>OPEN_INT</stp>
        <stp>.QQQ250505C479</stp>
        <tr r="AS68" s="1"/>
        <tr r="AS68" s="1"/>
      </tp>
      <tp>
        <v>3656</v>
        <stp/>
        <stp>OPEN_INT</stp>
        <stp>.QQQ250509C475</stp>
        <tr r="AU72" s="1"/>
        <tr r="AU72" s="1"/>
      </tp>
      <tp>
        <v>2728</v>
        <stp/>
        <stp>OPEN_INT</stp>
        <stp>.QQQ250505P478</stp>
        <tr r="AT69" s="1"/>
        <tr r="AT69" s="1"/>
      </tp>
      <tp>
        <v>2515</v>
        <stp/>
        <stp>OPEN_INT</stp>
        <stp>.QQQ250509P474</stp>
        <tr r="AV73" s="1"/>
        <tr r="AV73" s="1"/>
      </tp>
      <tp>
        <v>577</v>
        <stp/>
        <stp>OPEN_INT</stp>
        <stp>.QQQ250505C478</stp>
        <tr r="AS69" s="1"/>
        <tr r="AS69" s="1"/>
      </tp>
      <tp>
        <v>448</v>
        <stp/>
        <stp>OPEN_INT</stp>
        <stp>.QQQ250509C474</stp>
        <tr r="AU73" s="1"/>
        <tr r="AU73" s="1"/>
      </tp>
      <tp>
        <v>3635</v>
        <stp/>
        <stp>OPEN_INT</stp>
        <stp>.QQQ250509P473</stp>
        <tr r="AV74" s="1"/>
        <tr r="AV74" s="1"/>
      </tp>
      <tp>
        <v>1362</v>
        <stp/>
        <stp>OPEN_INT</stp>
        <stp>.QQQ250509C473</stp>
        <tr r="AU74" s="1"/>
        <tr r="AU74" s="1"/>
      </tp>
      <tp>
        <v>2166</v>
        <stp/>
        <stp>OPEN_INT</stp>
        <stp>.QQQ250509P472</stp>
        <tr r="AV75" s="1"/>
        <tr r="AV75" s="1"/>
      </tp>
      <tp>
        <v>1137</v>
        <stp/>
        <stp>OPEN_INT</stp>
        <stp>.QQQ250509C472</stp>
        <tr r="AU75" s="1"/>
        <tr r="AU75" s="1"/>
      </tp>
      <tp>
        <v>2481</v>
        <stp/>
        <stp>OPEN_INT</stp>
        <stp>.QQQ250509P471</stp>
        <tr r="AV76" s="1"/>
        <tr r="AV76" s="1"/>
      </tp>
      <tp>
        <v>1098</v>
        <stp/>
        <stp>OPEN_INT</stp>
        <stp>.QQQ250509C471</stp>
        <tr r="AU76" s="1"/>
        <tr r="AU76" s="1"/>
      </tp>
      <tp>
        <v>10957</v>
        <stp/>
        <stp>OPEN_INT</stp>
        <stp>.QQQ250509P470</stp>
        <tr r="AV77" s="1"/>
        <tr r="AV77" s="1"/>
      </tp>
      <tp>
        <v>3191</v>
        <stp/>
        <stp>OPEN_INT</stp>
        <stp>.QQQ250509C470</stp>
        <tr r="AU77" s="1"/>
        <tr r="AU77" s="1"/>
      </tp>
      <tp>
        <v>3630</v>
        <stp/>
        <stp>OPEN_INT</stp>
        <stp>.QQQ250505P483</stp>
        <tr r="AT64" s="1"/>
        <tr r="AT64" s="1"/>
      </tp>
      <tp>
        <v>14293</v>
        <stp/>
        <stp>OPEN_INT</stp>
        <stp>.QQQ250516P490</stp>
        <tr r="AX57" s="1"/>
        <tr r="AX57" s="1"/>
      </tp>
      <tp>
        <v>936</v>
        <stp/>
        <stp>OPEN_INT</stp>
        <stp>.QQQ250505C483</stp>
        <tr r="AS64" s="1"/>
        <tr r="AS64" s="1"/>
      </tp>
      <tp>
        <v>64740</v>
        <stp/>
        <stp>OPEN_INT</stp>
        <stp>.QQQ250516C490</stp>
        <tr r="AW57" s="1"/>
        <tr r="AW57" s="1"/>
      </tp>
      <tp>
        <v>3325</v>
        <stp/>
        <stp>OPEN_INT</stp>
        <stp>.QQQ250505P482</stp>
        <tr r="AT65" s="1"/>
        <tr r="AT65" s="1"/>
      </tp>
      <tp>
        <v>299</v>
        <stp/>
        <stp>OPEN_INT</stp>
        <stp>.QQQ250516P491</stp>
        <tr r="AX56" s="1"/>
        <tr r="AX56" s="1"/>
      </tp>
      <tp>
        <v>766</v>
        <stp/>
        <stp>OPEN_INT</stp>
        <stp>.QQQ250505C482</stp>
        <tr r="AS65" s="1"/>
        <tr r="AS65" s="1"/>
      </tp>
      <tp>
        <v>787</v>
        <stp/>
        <stp>OPEN_INT</stp>
        <stp>.QQQ250516C491</stp>
        <tr r="AW56" s="1"/>
        <tr r="AW56" s="1"/>
      </tp>
      <tp>
        <v>2822</v>
        <stp/>
        <stp>OPEN_INT</stp>
        <stp>.QQQ250505P481</stp>
        <tr r="AT66" s="1"/>
        <tr r="AT66" s="1"/>
      </tp>
      <tp>
        <v>588</v>
        <stp/>
        <stp>OPEN_INT</stp>
        <stp>.QQQ250516P492</stp>
        <tr r="AX55" s="1"/>
        <tr r="AX55" s="1"/>
      </tp>
      <tp>
        <v>545</v>
        <stp/>
        <stp>OPEN_INT</stp>
        <stp>.QQQ250505C481</stp>
        <tr r="AS66" s="1"/>
        <tr r="AS66" s="1"/>
      </tp>
      <tp>
        <v>1025</v>
        <stp/>
        <stp>OPEN_INT</stp>
        <stp>.QQQ250516C492</stp>
        <tr r="AW55" s="1"/>
        <tr r="AW55" s="1"/>
      </tp>
      <tp>
        <v>11700</v>
        <stp/>
        <stp>OPEN_INT</stp>
        <stp>.QQQ250505P480</stp>
        <tr r="AT67" s="1"/>
        <tr r="AT67" s="1"/>
      </tp>
      <tp>
        <v>108</v>
        <stp/>
        <stp>OPEN_INT</stp>
        <stp>.QQQ250516P493</stp>
        <tr r="AX54" s="1"/>
        <tr r="AX54" s="1"/>
      </tp>
      <tp>
        <v>2145</v>
        <stp/>
        <stp>OPEN_INT</stp>
        <stp>.QQQ250505C480</stp>
        <tr r="AS67" s="1"/>
        <tr r="AS67" s="1"/>
      </tp>
      <tp>
        <v>728</v>
        <stp/>
        <stp>OPEN_INT</stp>
        <stp>.QQQ250516C493</stp>
        <tr r="AW54" s="1"/>
        <tr r="AW54" s="1"/>
      </tp>
      <tp>
        <v>4271</v>
        <stp/>
        <stp>OPEN_INT</stp>
        <stp>.QQQ250505P487</stp>
        <tr r="AT60" s="1"/>
        <tr r="AT60" s="1"/>
      </tp>
      <tp>
        <v>110</v>
        <stp/>
        <stp>OPEN_INT</stp>
        <stp>.QQQ250516P494</stp>
        <tr r="AX53" s="1"/>
        <tr r="AX53" s="1"/>
      </tp>
      <tp>
        <v>1132</v>
        <stp/>
        <stp>OPEN_INT</stp>
        <stp>.QQQ250505C487</stp>
        <tr r="AS60" s="1"/>
        <tr r="AS60" s="1"/>
      </tp>
      <tp>
        <v>449</v>
        <stp/>
        <stp>OPEN_INT</stp>
        <stp>.QQQ250516C494</stp>
        <tr r="AW53" s="1"/>
        <tr r="AW53" s="1"/>
      </tp>
      <tp>
        <v>2896</v>
        <stp/>
        <stp>OPEN_INT</stp>
        <stp>.QQQ250505P486</stp>
        <tr r="AT61" s="1"/>
        <tr r="AT61" s="1"/>
      </tp>
      <tp>
        <v>2488</v>
        <stp/>
        <stp>OPEN_INT</stp>
        <stp>.QQQ250516P495</stp>
        <tr r="AX52" s="1"/>
        <tr r="AX52" s="1"/>
      </tp>
      <tp>
        <v>1247</v>
        <stp/>
        <stp>OPEN_INT</stp>
        <stp>.QQQ250505C486</stp>
        <tr r="AS61" s="1"/>
        <tr r="AS61" s="1"/>
      </tp>
      <tp>
        <v>38799</v>
        <stp/>
        <stp>OPEN_INT</stp>
        <stp>.QQQ250516C495</stp>
        <tr r="AW52" s="1"/>
        <tr r="AW52" s="1"/>
      </tp>
      <tp>
        <v>18089</v>
        <stp/>
        <stp>OPEN_INT</stp>
        <stp>.QQQ250505P485</stp>
        <tr r="AT62" s="1"/>
        <tr r="AT62" s="1"/>
      </tp>
      <tp>
        <v>3345</v>
        <stp/>
        <stp>OPEN_INT</stp>
        <stp>.QQQ250509P489</stp>
        <tr r="AV58" s="1"/>
        <tr r="AV58" s="1"/>
      </tp>
      <tp>
        <v>48</v>
        <stp/>
        <stp>OPEN_INT</stp>
        <stp>.QQQ250516P496</stp>
        <tr r="AX51" s="1"/>
        <tr r="AX51" s="1"/>
      </tp>
      <tp>
        <v>19861</v>
        <stp/>
        <stp>OPEN_INT</stp>
        <stp>.QQQ250505C485</stp>
        <tr r="AS62" s="1"/>
        <tr r="AS62" s="1"/>
      </tp>
      <tp>
        <v>992</v>
        <stp/>
        <stp>OPEN_INT</stp>
        <stp>.QQQ250516C496</stp>
        <tr r="AW51" s="1"/>
        <tr r="AW51" s="1"/>
      </tp>
      <tp>
        <v>3678</v>
        <stp/>
        <stp>OPEN_INT</stp>
        <stp>.QQQ250505P484</stp>
        <tr r="AT63" s="1"/>
        <tr r="AT63" s="1"/>
      </tp>
      <tp>
        <v>3490</v>
        <stp/>
        <stp>OPEN_INT</stp>
        <stp>.QQQ250509P488</stp>
        <tr r="AV59" s="1"/>
        <tr r="AV59" s="1"/>
      </tp>
      <tp>
        <v>76</v>
        <stp/>
        <stp>OPEN_INT</stp>
        <stp>.QQQ250516P497</stp>
        <tr r="AX50" s="1"/>
        <tr r="AX50" s="1"/>
      </tp>
      <tp>
        <v>1302</v>
        <stp/>
        <stp>OPEN_INT</stp>
        <stp>.QQQ250505C484</stp>
        <tr r="AS63" s="1"/>
        <tr r="AS63" s="1"/>
      </tp>
      <tp>
        <v>2815</v>
        <stp/>
        <stp>OPEN_INT</stp>
        <stp>.QQQ250509C488</stp>
        <tr r="AU59" s="1"/>
        <tr r="AU59" s="1"/>
      </tp>
      <tp>
        <v>808</v>
        <stp/>
        <stp>OPEN_INT</stp>
        <stp>.QQQ250516C497</stp>
        <tr r="AW50" s="1"/>
        <tr r="AW50" s="1"/>
      </tp>
      <tp>
        <v>2257</v>
        <stp/>
        <stp>OPEN_INT</stp>
        <stp>.QQQ250509P487</stp>
        <tr r="AV60" s="1"/>
        <tr r="AV60" s="1"/>
      </tp>
      <tp>
        <v>35</v>
        <stp/>
        <stp>OPEN_INT</stp>
        <stp>.QQQ250516P498</stp>
        <tr r="AX49" s="1"/>
        <tr r="AX49" s="1"/>
      </tp>
      <tp>
        <v>2634</v>
        <stp/>
        <stp>OPEN_INT</stp>
        <stp>.QQQ250509C487</stp>
        <tr r="AU60" s="1"/>
        <tr r="AU60" s="1"/>
      </tp>
      <tp>
        <v>1535</v>
        <stp/>
        <stp>OPEN_INT</stp>
        <stp>.QQQ250516C498</stp>
        <tr r="AW49" s="1"/>
        <tr r="AW49" s="1"/>
      </tp>
      <tp>
        <v>3636</v>
        <stp/>
        <stp>OPEN_INT</stp>
        <stp>.QQQ250509P486</stp>
        <tr r="AV61" s="1"/>
        <tr r="AV61" s="1"/>
      </tp>
      <tp>
        <v>3</v>
        <stp/>
        <stp>OPEN_INT</stp>
        <stp>.QQQ250516P499</stp>
        <tr r="AX48" s="1"/>
        <tr r="AX48" s="1"/>
      </tp>
      <tp>
        <v>2181</v>
        <stp/>
        <stp>OPEN_INT</stp>
        <stp>.QQQ250509C486</stp>
        <tr r="AU61" s="1"/>
        <tr r="AU61" s="1"/>
      </tp>
      <tp>
        <v>784</v>
        <stp/>
        <stp>OPEN_INT</stp>
        <stp>.QQQ250516C499</stp>
        <tr r="AW48" s="1"/>
        <tr r="AW48" s="1"/>
      </tp>
      <tp>
        <v>1614</v>
        <stp/>
        <stp>OPEN_INT</stp>
        <stp>.QQQ250505P489</stp>
        <tr r="AT58" s="1"/>
        <tr r="AT58" s="1"/>
      </tp>
      <tp>
        <v>12569</v>
        <stp/>
        <stp>OPEN_INT</stp>
        <stp>.QQQ250509P485</stp>
        <tr r="AV62" s="1"/>
        <tr r="AV62" s="1"/>
      </tp>
      <tp>
        <v>2390</v>
        <stp/>
        <stp>OPEN_INT</stp>
        <stp>.QQQ250505C489</stp>
        <tr r="AS58" s="1"/>
        <tr r="AS58" s="1"/>
      </tp>
      <tp>
        <v>7560</v>
        <stp/>
        <stp>OPEN_INT</stp>
        <stp>.QQQ250509C485</stp>
        <tr r="AU62" s="1"/>
        <tr r="AU62" s="1"/>
      </tp>
      <tp>
        <v>3699</v>
        <stp/>
        <stp>OPEN_INT</stp>
        <stp>.QQQ250505P488</stp>
        <tr r="AT59" s="1"/>
        <tr r="AT59" s="1"/>
      </tp>
      <tp>
        <v>8332</v>
        <stp/>
        <stp>OPEN_INT</stp>
        <stp>.QQQ250509P484</stp>
        <tr r="AV63" s="1"/>
        <tr r="AV63" s="1"/>
      </tp>
      <tp>
        <v>2371</v>
        <stp/>
        <stp>OPEN_INT</stp>
        <stp>.QQQ250505C488</stp>
        <tr r="AS59" s="1"/>
        <tr r="AS59" s="1"/>
      </tp>
      <tp>
        <v>1773</v>
        <stp/>
        <stp>OPEN_INT</stp>
        <stp>.QQQ250509C484</stp>
        <tr r="AU63" s="1"/>
        <tr r="AU63" s="1"/>
      </tp>
      <tp>
        <v>4053</v>
        <stp/>
        <stp>OPEN_INT</stp>
        <stp>.QQQ250509P483</stp>
        <tr r="AV64" s="1"/>
        <tr r="AV64" s="1"/>
      </tp>
      <tp>
        <v>1801</v>
        <stp/>
        <stp>OPEN_INT</stp>
        <stp>.QQQ250509C483</stp>
        <tr r="AU64" s="1"/>
        <tr r="AU64" s="1"/>
      </tp>
      <tp>
        <v>4716</v>
        <stp/>
        <stp>OPEN_INT</stp>
        <stp>.QQQ250509P482</stp>
        <tr r="AV65" s="1"/>
        <tr r="AV65" s="1"/>
      </tp>
      <tp>
        <v>2461</v>
        <stp/>
        <stp>OPEN_INT</stp>
        <stp>.QQQ250509C482</stp>
        <tr r="AU65" s="1"/>
        <tr r="AU65" s="1"/>
      </tp>
      <tp>
        <v>2552</v>
        <stp/>
        <stp>OPEN_INT</stp>
        <stp>.QQQ250509P481</stp>
        <tr r="AV66" s="1"/>
        <tr r="AV66" s="1"/>
      </tp>
      <tp>
        <v>1987</v>
        <stp/>
        <stp>OPEN_INT</stp>
        <stp>.QQQ250509C481</stp>
        <tr r="AU66" s="1"/>
        <tr r="AU66" s="1"/>
      </tp>
      <tp>
        <v>10827</v>
        <stp/>
        <stp>OPEN_INT</stp>
        <stp>.QQQ250509P480</stp>
        <tr r="AV67" s="1"/>
        <tr r="AV67" s="1"/>
      </tp>
      <tp>
        <v>3923</v>
        <stp/>
        <stp>OPEN_INT</stp>
        <stp>.QQQ250509C480</stp>
        <tr r="AU67" s="1"/>
        <tr r="AU67" s="1"/>
      </tp>
      <tp>
        <v>253</v>
        <stp/>
        <stp>OPEN_INT</stp>
        <stp>.QQQ250505P493</stp>
        <tr r="AT54" s="1"/>
        <tr r="AT54" s="1"/>
      </tp>
      <tp>
        <v>27312</v>
        <stp/>
        <stp>OPEN_INT</stp>
        <stp>.QQQ250516P480</stp>
        <tr r="AX67" s="1"/>
        <tr r="AX67" s="1"/>
      </tp>
      <tp>
        <v>2109</v>
        <stp/>
        <stp>OPEN_INT</stp>
        <stp>.QQQ250505C493</stp>
        <tr r="AS54" s="1"/>
        <tr r="AS54" s="1"/>
      </tp>
      <tp>
        <v>29641</v>
        <stp/>
        <stp>OPEN_INT</stp>
        <stp>.QQQ250516C480</stp>
        <tr r="AW67" s="1"/>
        <tr r="AW67" s="1"/>
      </tp>
      <tp>
        <v>356</v>
        <stp/>
        <stp>OPEN_INT</stp>
        <stp>.QQQ250505P492</stp>
        <tr r="AT55" s="1"/>
        <tr r="AT55" s="1"/>
      </tp>
      <tp>
        <v>773</v>
        <stp/>
        <stp>OPEN_INT</stp>
        <stp>.QQQ250516P481</stp>
        <tr r="AX66" s="1"/>
        <tr r="AX66" s="1"/>
      </tp>
      <tp>
        <v>3438</v>
        <stp/>
        <stp>OPEN_INT</stp>
        <stp>.QQQ250505C492</stp>
        <tr r="AS55" s="1"/>
        <tr r="AS55" s="1"/>
      </tp>
      <tp>
        <v>584</v>
        <stp/>
        <stp>OPEN_INT</stp>
        <stp>.QQQ250516C481</stp>
        <tr r="AW66" s="1"/>
        <tr r="AW66" s="1"/>
      </tp>
      <tp>
        <v>810</v>
        <stp/>
        <stp>OPEN_INT</stp>
        <stp>.QQQ250505P491</stp>
        <tr r="AT56" s="1"/>
        <tr r="AT56" s="1"/>
      </tp>
      <tp>
        <v>647</v>
        <stp/>
        <stp>OPEN_INT</stp>
        <stp>.QQQ250516P482</stp>
        <tr r="AX65" s="1"/>
        <tr r="AX65" s="1"/>
      </tp>
      <tp>
        <v>3038</v>
        <stp/>
        <stp>OPEN_INT</stp>
        <stp>.QQQ250505C491</stp>
        <tr r="AS56" s="1"/>
        <tr r="AS56" s="1"/>
      </tp>
      <tp>
        <v>578</v>
        <stp/>
        <stp>OPEN_INT</stp>
        <stp>.QQQ250516C482</stp>
        <tr r="AW65" s="1"/>
        <tr r="AW65" s="1"/>
      </tp>
      <tp>
        <v>5738</v>
        <stp/>
        <stp>OPEN_INT</stp>
        <stp>.QQQ250505P490</stp>
        <tr r="AT57" s="1"/>
        <tr r="AT57" s="1"/>
      </tp>
      <tp>
        <v>1856</v>
        <stp/>
        <stp>OPEN_INT</stp>
        <stp>.QQQ250516P483</stp>
        <tr r="AX64" s="1"/>
        <tr r="AX64" s="1"/>
      </tp>
      <tp>
        <v>12361</v>
        <stp/>
        <stp>OPEN_INT</stp>
        <stp>.QQQ250505C490</stp>
        <tr r="AS57" s="1"/>
        <tr r="AS57" s="1"/>
      </tp>
      <tp>
        <v>687</v>
        <stp/>
        <stp>OPEN_INT</stp>
        <stp>.QQQ250516C483</stp>
        <tr r="AW64" s="1"/>
        <tr r="AW64" s="1"/>
      </tp>
      <tp>
        <v>35</v>
        <stp/>
        <stp>OPEN_INT</stp>
        <stp>.QQQ250505P497</stp>
        <tr r="AT50" s="1"/>
        <tr r="AT50" s="1"/>
      </tp>
      <tp>
        <v>1518</v>
        <stp/>
        <stp>OPEN_INT</stp>
        <stp>.QQQ250516P484</stp>
        <tr r="AX63" s="1"/>
        <tr r="AX63" s="1"/>
      </tp>
      <tp>
        <v>1882</v>
        <stp/>
        <stp>OPEN_INT</stp>
        <stp>.QQQ250505C497</stp>
        <tr r="AS50" s="1"/>
        <tr r="AS50" s="1"/>
      </tp>
      <tp>
        <v>1519</v>
        <stp/>
        <stp>OPEN_INT</stp>
        <stp>.QQQ250516C484</stp>
        <tr r="AW63" s="1"/>
        <tr r="AW63" s="1"/>
      </tp>
      <tp>
        <v>35</v>
        <stp/>
        <stp>OPEN_INT</stp>
        <stp>.QQQ250505P496</stp>
        <tr r="AT51" s="1"/>
        <tr r="AT51" s="1"/>
      </tp>
      <tp>
        <v>12419</v>
        <stp/>
        <stp>OPEN_INT</stp>
        <stp>.QQQ250516P485</stp>
        <tr r="AX62" s="1"/>
        <tr r="AX62" s="1"/>
      </tp>
      <tp>
        <v>1683</v>
        <stp/>
        <stp>OPEN_INT</stp>
        <stp>.QQQ250505C496</stp>
        <tr r="AS51" s="1"/>
        <tr r="AS51" s="1"/>
      </tp>
      <tp>
        <v>27338</v>
        <stp/>
        <stp>OPEN_INT</stp>
        <stp>.QQQ250516C485</stp>
        <tr r="AW62" s="1"/>
        <tr r="AW62" s="1"/>
      </tp>
      <tp>
        <v>116</v>
        <stp/>
        <stp>OPEN_INT</stp>
        <stp>.QQQ250505P495</stp>
        <tr r="AT52" s="1"/>
        <tr r="AT52" s="1"/>
      </tp>
      <tp>
        <v>47</v>
        <stp/>
        <stp>OPEN_INT</stp>
        <stp>.QQQ250509P499</stp>
        <tr r="AV48" s="1"/>
        <tr r="AV48" s="1"/>
      </tp>
      <tp>
        <v>590</v>
        <stp/>
        <stp>OPEN_INT</stp>
        <stp>.QQQ250516P486</stp>
        <tr r="AX61" s="1"/>
        <tr r="AX61" s="1"/>
      </tp>
      <tp>
        <v>6395</v>
        <stp/>
        <stp>OPEN_INT</stp>
        <stp>.QQQ250505C495</stp>
        <tr r="AS52" s="1"/>
        <tr r="AS52" s="1"/>
      </tp>
      <tp>
        <v>2492</v>
        <stp/>
        <stp>OPEN_INT</stp>
        <stp>.QQQ250509C499</stp>
        <tr r="AU48" s="1"/>
        <tr r="AU48" s="1"/>
      </tp>
      <tp>
        <v>638</v>
        <stp/>
        <stp>OPEN_INT</stp>
        <stp>.QQQ250516C486</stp>
        <tr r="AW61" s="1"/>
        <tr r="AW61" s="1"/>
      </tp>
      <tp>
        <v>63</v>
        <stp/>
        <stp>OPEN_INT</stp>
        <stp>.QQQ250505P494</stp>
        <tr r="AT53" s="1"/>
        <tr r="AT53" s="1"/>
      </tp>
      <tp>
        <v>64</v>
        <stp/>
        <stp>OPEN_INT</stp>
        <stp>.QQQ250509P498</stp>
        <tr r="AV49" s="1"/>
        <tr r="AV49" s="1"/>
      </tp>
      <tp>
        <v>713</v>
        <stp/>
        <stp>OPEN_INT</stp>
        <stp>.QQQ250516P487</stp>
        <tr r="AX60" s="1"/>
        <tr r="AX60" s="1"/>
      </tp>
      <tp>
        <v>1900</v>
        <stp/>
        <stp>OPEN_INT</stp>
        <stp>.QQQ250505C494</stp>
        <tr r="AS53" s="1"/>
        <tr r="AS53" s="1"/>
      </tp>
      <tp>
        <v>2562</v>
        <stp/>
        <stp>OPEN_INT</stp>
        <stp>.QQQ250509C498</stp>
        <tr r="AU49" s="1"/>
        <tr r="AU49" s="1"/>
      </tp>
      <tp>
        <v>757</v>
        <stp/>
        <stp>OPEN_INT</stp>
        <stp>.QQQ250516C487</stp>
        <tr r="AW60" s="1"/>
        <tr r="AW60" s="1"/>
      </tp>
      <tp>
        <v>280</v>
        <stp/>
        <stp>OPEN_INT</stp>
        <stp>.QQQ250509P497</stp>
        <tr r="AV50" s="1"/>
        <tr r="AV50" s="1"/>
      </tp>
      <tp>
        <v>1008</v>
        <stp/>
        <stp>OPEN_INT</stp>
        <stp>.QQQ250516P488</stp>
        <tr r="AX59" s="1"/>
        <tr r="AX59" s="1"/>
      </tp>
      <tp>
        <v>3438</v>
        <stp/>
        <stp>OPEN_INT</stp>
        <stp>.QQQ250509C497</stp>
        <tr r="AU50" s="1"/>
        <tr r="AU50" s="1"/>
      </tp>
      <tp>
        <v>1483</v>
        <stp/>
        <stp>OPEN_INT</stp>
        <stp>.QQQ250516C488</stp>
        <tr r="AW59" s="1"/>
        <tr r="AW59" s="1"/>
      </tp>
      <tp>
        <v>226</v>
        <stp/>
        <stp>OPEN_INT</stp>
        <stp>.QQQ250509P496</stp>
        <tr r="AV51" s="1"/>
        <tr r="AV51" s="1"/>
      </tp>
      <tp>
        <v>336</v>
        <stp/>
        <stp>OPEN_INT</stp>
        <stp>.QQQ250516P489</stp>
        <tr r="AX58" s="1"/>
        <tr r="AX58" s="1"/>
      </tp>
      <tp>
        <v>2517</v>
        <stp/>
        <stp>OPEN_INT</stp>
        <stp>.QQQ250509C496</stp>
        <tr r="AU51" s="1"/>
        <tr r="AU51" s="1"/>
      </tp>
      <tp>
        <v>631</v>
        <stp/>
        <stp>OPEN_INT</stp>
        <stp>.QQQ250516C489</stp>
        <tr r="AW58" s="1"/>
        <tr r="AW58" s="1"/>
      </tp>
      <tp>
        <v>31</v>
        <stp/>
        <stp>OPEN_INT</stp>
        <stp>.QQQ250505P499</stp>
        <tr r="AT48" s="1"/>
        <tr r="AT48" s="1"/>
      </tp>
      <tp>
        <v>1634</v>
        <stp/>
        <stp>OPEN_INT</stp>
        <stp>.QQQ250509P495</stp>
        <tr r="AV52" s="1"/>
        <tr r="AV52" s="1"/>
      </tp>
      <tp>
        <v>2936</v>
        <stp/>
        <stp>OPEN_INT</stp>
        <stp>.QQQ250505C499</stp>
        <tr r="AS48" s="1"/>
        <tr r="AS48" s="1"/>
      </tp>
      <tp>
        <v>10961</v>
        <stp/>
        <stp>OPEN_INT</stp>
        <stp>.QQQ250509C495</stp>
        <tr r="AU52" s="1"/>
        <tr r="AU52" s="1"/>
      </tp>
      <tp>
        <v>132</v>
        <stp/>
        <stp>OPEN_INT</stp>
        <stp>.QQQ250505P498</stp>
        <tr r="AT49" s="1"/>
        <tr r="AT49" s="1"/>
      </tp>
      <tp>
        <v>371</v>
        <stp/>
        <stp>OPEN_INT</stp>
        <stp>.QQQ250509P494</stp>
        <tr r="AV53" s="1"/>
        <tr r="AV53" s="1"/>
      </tp>
      <tp>
        <v>1611</v>
        <stp/>
        <stp>OPEN_INT</stp>
        <stp>.QQQ250505C498</stp>
        <tr r="AS49" s="1"/>
        <tr r="AS49" s="1"/>
      </tp>
      <tp>
        <v>3016</v>
        <stp/>
        <stp>OPEN_INT</stp>
        <stp>.QQQ250509C494</stp>
        <tr r="AU53" s="1"/>
        <tr r="AU53" s="1"/>
      </tp>
      <tp>
        <v>670</v>
        <stp/>
        <stp>OPEN_INT</stp>
        <stp>.QQQ250509P493</stp>
        <tr r="AV54" s="1"/>
        <tr r="AV54" s="1"/>
      </tp>
      <tp>
        <v>6093</v>
        <stp/>
        <stp>OPEN_INT</stp>
        <stp>.QQQ250509C493</stp>
        <tr r="AU54" s="1"/>
        <tr r="AU54" s="1"/>
      </tp>
      <tp>
        <v>2292</v>
        <stp/>
        <stp>OPEN_INT</stp>
        <stp>.QQQ250509P492</stp>
        <tr r="AV55" s="1"/>
        <tr r="AV55" s="1"/>
      </tp>
      <tp>
        <v>5394</v>
        <stp/>
        <stp>OPEN_INT</stp>
        <stp>.QQQ250509C492</stp>
        <tr r="AU55" s="1"/>
        <tr r="AU55" s="1"/>
      </tp>
      <tp>
        <v>1929</v>
        <stp/>
        <stp>OPEN_INT</stp>
        <stp>.QQQ250509P491</stp>
        <tr r="AV56" s="1"/>
        <tr r="AV56" s="1"/>
      </tp>
      <tp>
        <v>4571</v>
        <stp/>
        <stp>OPEN_INT</stp>
        <stp>.QQQ250509C491</stp>
        <tr r="AU56" s="1"/>
        <tr r="AU56" s="1"/>
      </tp>
      <tp>
        <v>5316</v>
        <stp/>
        <stp>OPEN_INT</stp>
        <stp>.QQQ250509P490</stp>
        <tr r="AV57" s="1"/>
        <tr r="AV57" s="1"/>
      </tp>
      <tp>
        <v>10598</v>
        <stp/>
        <stp>OPEN_INT</stp>
        <stp>.QQQ250509C490</stp>
        <tr r="AU57" s="1"/>
        <tr r="AU57" s="1"/>
      </tp>
      <tp>
        <v>58</v>
        <stp/>
        <stp>OPEN_INT</stp>
        <stp>.NDX250516P19900</stp>
        <tr r="AX159" s="1"/>
        <tr r="AX159" s="1"/>
      </tp>
      <tp>
        <v>5</v>
        <stp/>
        <stp>OPEN_INT</stp>
        <stp>.NDX250516P19925</stp>
        <tr r="AX158" s="1"/>
        <tr r="AX158" s="1"/>
      </tp>
      <tp>
        <v>7</v>
        <stp/>
        <stp>OPEN_INT</stp>
        <stp>.NDX250516P19950</stp>
        <tr r="AX157" s="1"/>
        <tr r="AX157" s="1"/>
      </tp>
      <tp>
        <v>10</v>
        <stp/>
        <stp>OPEN_INT</stp>
        <stp>.NDX250516P19975</stp>
        <tr r="AX156" s="1"/>
        <tr r="AX156" s="1"/>
      </tp>
      <tp>
        <v>13</v>
        <stp/>
        <stp>OPEN_INT</stp>
        <stp>.NDX250516C19925</stp>
        <tr r="AW158" s="1"/>
        <tr r="AW158" s="1"/>
      </tp>
      <tp>
        <v>54</v>
        <stp/>
        <stp>OPEN_INT</stp>
        <stp>.NDX250516C19900</stp>
        <tr r="AW159" s="1"/>
        <tr r="AW159" s="1"/>
      </tp>
      <tp>
        <v>16</v>
        <stp/>
        <stp>OPEN_INT</stp>
        <stp>.NDX250516C19975</stp>
        <tr r="AW156" s="1"/>
        <tr r="AW156" s="1"/>
      </tp>
      <tp>
        <v>28</v>
        <stp/>
        <stp>OPEN_INT</stp>
        <stp>.NDX250516C19950</stp>
        <tr r="AW157" s="1"/>
        <tr r="AW157" s="1"/>
      </tp>
      <tp>
        <v>28</v>
        <stp/>
        <stp>OPEN_INT</stp>
        <stp>.NDX250516P19800</stp>
        <tr r="AX163" s="1"/>
        <tr r="AX163" s="1"/>
      </tp>
      <tp>
        <v>28</v>
        <stp/>
        <stp>OPEN_INT</stp>
        <stp>.NDX250516P19825</stp>
        <tr r="AX162" s="1"/>
        <tr r="AX162" s="1"/>
      </tp>
      <tp>
        <v>7</v>
        <stp/>
        <stp>OPEN_INT</stp>
        <stp>.NDX250516P19850</stp>
        <tr r="AX161" s="1"/>
        <tr r="AX161" s="1"/>
      </tp>
      <tp>
        <v>8</v>
        <stp/>
        <stp>OPEN_INT</stp>
        <stp>.NDX250516P19875</stp>
        <tr r="AX160" s="1"/>
        <tr r="AX160" s="1"/>
      </tp>
      <tp>
        <v>32</v>
        <stp/>
        <stp>OPEN_INT</stp>
        <stp>.NDX250516C19825</stp>
        <tr r="AW162" s="1"/>
        <tr r="AW162" s="1"/>
      </tp>
      <tp>
        <v>34</v>
        <stp/>
        <stp>OPEN_INT</stp>
        <stp>.NDX250516C19800</stp>
        <tr r="AW163" s="1"/>
        <tr r="AW163" s="1"/>
      </tp>
      <tp>
        <v>14</v>
        <stp/>
        <stp>OPEN_INT</stp>
        <stp>.NDX250516C19875</stp>
        <tr r="AW160" s="1"/>
        <tr r="AW160" s="1"/>
      </tp>
      <tp>
        <v>24</v>
        <stp/>
        <stp>OPEN_INT</stp>
        <stp>.NDX250516C19850</stp>
        <tr r="AW161" s="1"/>
        <tr r="AW161" s="1"/>
      </tp>
      <tp>
        <v>48</v>
        <stp/>
        <stp>OPEN_INT</stp>
        <stp>.NDX250516P19700</stp>
        <tr r="AX167" s="1"/>
        <tr r="AX167" s="1"/>
      </tp>
      <tp>
        <v>27</v>
        <stp/>
        <stp>OPEN_INT</stp>
        <stp>.NDX250516P19725</stp>
        <tr r="AX166" s="1"/>
        <tr r="AX166" s="1"/>
      </tp>
      <tp>
        <v>15</v>
        <stp/>
        <stp>OPEN_INT</stp>
        <stp>.NDX250516P19750</stp>
        <tr r="AX165" s="1"/>
        <tr r="AX165" s="1"/>
      </tp>
      <tp>
        <v>10</v>
        <stp/>
        <stp>OPEN_INT</stp>
        <stp>.NDX250516P19775</stp>
        <tr r="AX164" s="1"/>
        <tr r="AX164" s="1"/>
      </tp>
      <tp>
        <v>43</v>
        <stp/>
        <stp>OPEN_INT</stp>
        <stp>.NDX250516C19725</stp>
        <tr r="AW166" s="1"/>
        <tr r="AW166" s="1"/>
      </tp>
      <tp>
        <v>37</v>
        <stp/>
        <stp>OPEN_INT</stp>
        <stp>.NDX250516C19700</stp>
        <tr r="AW167" s="1"/>
        <tr r="AW167" s="1"/>
      </tp>
      <tp>
        <v>22</v>
        <stp/>
        <stp>OPEN_INT</stp>
        <stp>.NDX250516C19775</stp>
        <tr r="AW164" s="1"/>
        <tr r="AW164" s="1"/>
      </tp>
      <tp>
        <v>71</v>
        <stp/>
        <stp>OPEN_INT</stp>
        <stp>.NDX250516C19750</stp>
        <tr r="AW165" s="1"/>
        <tr r="AW165" s="1"/>
      </tp>
      <tp>
        <v>55</v>
        <stp/>
        <stp>OPEN_INT</stp>
        <stp>.NDX250516P19600</stp>
        <tr r="AX171" s="1"/>
        <tr r="AX171" s="1"/>
      </tp>
      <tp>
        <v>8</v>
        <stp/>
        <stp>OPEN_INT</stp>
        <stp>.NDX250516P19625</stp>
        <tr r="AX170" s="1"/>
        <tr r="AX170" s="1"/>
      </tp>
      <tp>
        <v>21</v>
        <stp/>
        <stp>OPEN_INT</stp>
        <stp>.NDX250516P19650</stp>
        <tr r="AX169" s="1"/>
        <tr r="AX169" s="1"/>
      </tp>
      <tp>
        <v>12</v>
        <stp/>
        <stp>OPEN_INT</stp>
        <stp>.NDX250516P19675</stp>
        <tr r="AX168" s="1"/>
        <tr r="AX168" s="1"/>
      </tp>
      <tp>
        <v>28</v>
        <stp/>
        <stp>OPEN_INT</stp>
        <stp>.NDX250516C19625</stp>
        <tr r="AW170" s="1"/>
        <tr r="AW170" s="1"/>
      </tp>
      <tp>
        <v>58</v>
        <stp/>
        <stp>OPEN_INT</stp>
        <stp>.NDX250516C19600</stp>
        <tr r="AW171" s="1"/>
        <tr r="AW171" s="1"/>
      </tp>
      <tp>
        <v>8</v>
        <stp/>
        <stp>OPEN_INT</stp>
        <stp>.NDX250516C19675</stp>
        <tr r="AW168" s="1"/>
        <tr r="AW168" s="1"/>
      </tp>
      <tp>
        <v>10</v>
        <stp/>
        <stp>OPEN_INT</stp>
        <stp>.NDX250516C19650</stp>
        <tr r="AW169" s="1"/>
        <tr r="AW169" s="1"/>
      </tp>
      <tp>
        <v>97</v>
        <stp/>
        <stp>OPEN_INT</stp>
        <stp>.NDX250516P19500</stp>
        <tr r="AX175" s="1"/>
        <tr r="AX175" s="1"/>
      </tp>
      <tp>
        <v>3</v>
        <stp/>
        <stp>OPEN_INT</stp>
        <stp>.NDX250516P19525</stp>
        <tr r="AX174" s="1"/>
        <tr r="AX174" s="1"/>
      </tp>
      <tp>
        <v>41</v>
        <stp/>
        <stp>OPEN_INT</stp>
        <stp>.NDX250516P19550</stp>
        <tr r="AX173" s="1"/>
        <tr r="AX173" s="1"/>
      </tp>
      <tp>
        <v>8</v>
        <stp/>
        <stp>OPEN_INT</stp>
        <stp>.NDX250516P19575</stp>
        <tr r="AX172" s="1"/>
        <tr r="AX172" s="1"/>
      </tp>
      <tp>
        <v>22</v>
        <stp/>
        <stp>OPEN_INT</stp>
        <stp>.NDX250516C19525</stp>
        <tr r="AW174" s="1"/>
        <tr r="AW174" s="1"/>
      </tp>
      <tp>
        <v>81</v>
        <stp/>
        <stp>OPEN_INT</stp>
        <stp>.NDX250516C19500</stp>
        <tr r="AW175" s="1"/>
        <tr r="AW175" s="1"/>
      </tp>
      <tp t="s">
        <v>--</v>
        <stp/>
        <stp>IMPL_VOL</stp>
        <stp>.SPY250509C549</stp>
        <tr r="EN37" s="1"/>
      </tp>
      <tp t="s">
        <v>24.75%</v>
        <stp/>
        <stp>IMPL_VOL</stp>
        <stp>.SPY250516C556</stp>
        <tr r="EP30" s="1"/>
      </tp>
      <tp t="s">
        <v>136.17%</v>
        <stp/>
        <stp>IMPL_VOL</stp>
        <stp>.SPY250509P549</stp>
        <tr r="EO37" s="1"/>
      </tp>
      <tp t="s">
        <v>25.80%</v>
        <stp/>
        <stp>IMPL_VOL</stp>
        <stp>.SPY250516P556</stp>
        <tr r="EQ30" s="1"/>
      </tp>
      <tp t="s">
        <v>--</v>
        <stp/>
        <stp>IMPL_VOL</stp>
        <stp>.SPY250509C548</stp>
        <tr r="EN38" s="1"/>
      </tp>
      <tp t="s">
        <v>24.62%</v>
        <stp/>
        <stp>IMPL_VOL</stp>
        <stp>.SPY250516C557</stp>
        <tr r="EP29" s="1"/>
      </tp>
      <tp t="s">
        <v>144.06%</v>
        <stp/>
        <stp>IMPL_VOL</stp>
        <stp>.SPY250509P548</stp>
        <tr r="EO38" s="1"/>
      </tp>
      <tp t="s">
        <v>25.68%</v>
        <stp/>
        <stp>IMPL_VOL</stp>
        <stp>.SPY250516P557</stp>
        <tr r="EQ29" s="1"/>
      </tp>
      <tp t="s">
        <v>24.94%</v>
        <stp/>
        <stp>IMPL_VOL</stp>
        <stp>.SPY250516C554</stp>
        <tr r="EP32" s="1"/>
      </tp>
      <tp t="s">
        <v>26.10%</v>
        <stp/>
        <stp>IMPL_VOL</stp>
        <stp>.SPY250516P554</stp>
        <tr r="EQ32" s="1"/>
      </tp>
      <tp t="s">
        <v>24.87%</v>
        <stp/>
        <stp>IMPL_VOL</stp>
        <stp>.SPY250516C555</stp>
        <tr r="EP31" s="1"/>
      </tp>
      <tp t="s">
        <v>25.94%</v>
        <stp/>
        <stp>IMPL_VOL</stp>
        <stp>.SPY250516P555</stp>
        <tr r="EQ31" s="1"/>
      </tp>
      <tp t="s">
        <v>25.13%</v>
        <stp/>
        <stp>IMPL_VOL</stp>
        <stp>.SPY250516C552</stp>
        <tr r="EP34" s="1"/>
      </tp>
      <tp t="s">
        <v>26.36%</v>
        <stp/>
        <stp>IMPL_VOL</stp>
        <stp>.SPY250516P552</stp>
        <tr r="EQ34" s="1"/>
      </tp>
      <tp t="s">
        <v>25.06%</v>
        <stp/>
        <stp>IMPL_VOL</stp>
        <stp>.SPY250516C553</stp>
        <tr r="EP33" s="1"/>
      </tp>
      <tp t="s">
        <v>26.22%</v>
        <stp/>
        <stp>IMPL_VOL</stp>
        <stp>.SPY250516P553</stp>
        <tr r="EQ33" s="1"/>
      </tp>
      <tp t="s">
        <v>25.29%</v>
        <stp/>
        <stp>IMPL_VOL</stp>
        <stp>.SPY250516C550</stp>
        <tr r="EP36" s="1"/>
      </tp>
      <tp t="s">
        <v>26.70%</v>
        <stp/>
        <stp>IMPL_VOL</stp>
        <stp>.SPY250516P550</stp>
        <tr r="EQ36" s="1"/>
      </tp>
      <tp t="s">
        <v>25.19%</v>
        <stp/>
        <stp>IMPL_VOL</stp>
        <stp>.SPY250516C551</stp>
        <tr r="EP35" s="1"/>
      </tp>
      <tp t="s">
        <v>26.53%</v>
        <stp/>
        <stp>IMPL_VOL</stp>
        <stp>.SPY250516P551</stp>
        <tr r="EQ35" s="1"/>
      </tp>
      <tp t="s">
        <v>--</v>
        <stp/>
        <stp>IMPL_VOL</stp>
        <stp>.SPY250505C549</stp>
        <tr r="EL37" s="1"/>
      </tp>
      <tp t="s">
        <v>136.17%</v>
        <stp/>
        <stp>IMPL_VOL</stp>
        <stp>.SPY250505P549</stp>
        <tr r="EM37" s="1"/>
      </tp>
      <tp t="s">
        <v>--</v>
        <stp/>
        <stp>IMPL_VOL</stp>
        <stp>.SPY250505C548</stp>
        <tr r="EL38" s="1"/>
      </tp>
      <tp t="s">
        <v>144.06%</v>
        <stp/>
        <stp>IMPL_VOL</stp>
        <stp>.SPY250505P548</stp>
        <tr r="EM38" s="1"/>
      </tp>
      <tp t="s">
        <v>24.51%</v>
        <stp/>
        <stp>IMPL_VOL</stp>
        <stp>.SPY250516C558</stp>
        <tr r="EP28" s="1"/>
      </tp>
      <tp t="s">
        <v>25.54%</v>
        <stp/>
        <stp>IMPL_VOL</stp>
        <stp>.SPY250516P558</stp>
        <tr r="EQ28" s="1"/>
      </tp>
      <tp t="s">
        <v>24.38%</v>
        <stp/>
        <stp>IMPL_VOL</stp>
        <stp>.SPY250516C559</stp>
        <tr r="EP27" s="1"/>
      </tp>
      <tp t="s">
        <v>25.40%</v>
        <stp/>
        <stp>IMPL_VOL</stp>
        <stp>.SPY250516P559</stp>
        <tr r="EQ27" s="1"/>
      </tp>
      <tp>
        <v>16</v>
        <stp/>
        <stp>OPEN_INT</stp>
        <stp>.NDX250516C19575</stp>
        <tr r="AW172" s="1"/>
        <tr r="AW172" s="1"/>
      </tp>
      <tp t="s">
        <v>--</v>
        <stp/>
        <stp>IMPL_VOL</stp>
        <stp>.SPY250505C555</stp>
        <tr r="EL31" s="1"/>
      </tp>
      <tp t="s">
        <v>--</v>
        <stp/>
        <stp>IMPL_VOL</stp>
        <stp>.SPY250509C559</stp>
        <tr r="EN27" s="1"/>
      </tp>
      <tp t="s">
        <v>88.21%</v>
        <stp/>
        <stp>IMPL_VOL</stp>
        <stp>.SPY250505P555</stp>
        <tr r="EM31" s="1"/>
      </tp>
      <tp t="s">
        <v>55.14%</v>
        <stp/>
        <stp>IMPL_VOL</stp>
        <stp>.SPY250509P559</stp>
        <tr r="EO27" s="1"/>
      </tp>
      <tp t="s">
        <v>--</v>
        <stp/>
        <stp>IMPL_VOL</stp>
        <stp>.SPY250505C554</stp>
        <tr r="EL32" s="1"/>
      </tp>
      <tp t="s">
        <v>--</v>
        <stp/>
        <stp>IMPL_VOL</stp>
        <stp>.SPY250509C558</stp>
        <tr r="EN28" s="1"/>
      </tp>
      <tp t="s">
        <v>96.31%</v>
        <stp/>
        <stp>IMPL_VOL</stp>
        <stp>.SPY250505P554</stp>
        <tr r="EM32" s="1"/>
      </tp>
      <tp t="s">
        <v>63.53%</v>
        <stp/>
        <stp>IMPL_VOL</stp>
        <stp>.SPY250509P558</stp>
        <tr r="EO28" s="1"/>
      </tp>
      <tp t="s">
        <v>--</v>
        <stp/>
        <stp>IMPL_VOL</stp>
        <stp>.SPY250505C557</stp>
        <tr r="EL29" s="1"/>
      </tp>
      <tp t="s">
        <v>71.83%</v>
        <stp/>
        <stp>IMPL_VOL</stp>
        <stp>.SPY250505P557</stp>
        <tr r="EM29" s="1"/>
      </tp>
      <tp t="s">
        <v>--</v>
        <stp/>
        <stp>IMPL_VOL</stp>
        <stp>.SPY250505C556</stp>
        <tr r="EL30" s="1"/>
      </tp>
      <tp t="s">
        <v>80.05%</v>
        <stp/>
        <stp>IMPL_VOL</stp>
        <stp>.SPY250505P556</stp>
        <tr r="EM30" s="1"/>
      </tp>
      <tp t="s">
        <v>--</v>
        <stp/>
        <stp>IMPL_VOL</stp>
        <stp>.SPY250505C551</stp>
        <tr r="EL35" s="1"/>
      </tp>
      <tp t="s">
        <v>120.33%</v>
        <stp/>
        <stp>IMPL_VOL</stp>
        <stp>.SPY250505P551</stp>
        <tr r="EM35" s="1"/>
      </tp>
      <tp t="s">
        <v>--</v>
        <stp/>
        <stp>IMPL_VOL</stp>
        <stp>.SPY250505C550</stp>
        <tr r="EL36" s="1"/>
      </tp>
      <tp t="s">
        <v>128.27%</v>
        <stp/>
        <stp>IMPL_VOL</stp>
        <stp>.SPY250505P550</stp>
        <tr r="EM36" s="1"/>
      </tp>
      <tp t="s">
        <v>--</v>
        <stp/>
        <stp>IMPL_VOL</stp>
        <stp>.SPY250505C553</stp>
        <tr r="EL33" s="1"/>
      </tp>
      <tp t="s">
        <v>104.36%</v>
        <stp/>
        <stp>IMPL_VOL</stp>
        <stp>.SPY250505P553</stp>
        <tr r="EM33" s="1"/>
      </tp>
      <tp t="s">
        <v>--</v>
        <stp/>
        <stp>IMPL_VOL</stp>
        <stp>.SPY250505C552</stp>
        <tr r="EL34" s="1"/>
      </tp>
      <tp t="s">
        <v>112.36%</v>
        <stp/>
        <stp>IMPL_VOL</stp>
        <stp>.SPY250505P552</stp>
        <tr r="EM34" s="1"/>
      </tp>
      <tp t="s">
        <v>--</v>
        <stp/>
        <stp>IMPL_VOL</stp>
        <stp>.SPY250509C551</stp>
        <tr r="EN35" s="1"/>
      </tp>
      <tp t="s">
        <v>120.33%</v>
        <stp/>
        <stp>IMPL_VOL</stp>
        <stp>.SPY250509P551</stp>
        <tr r="EO35" s="1"/>
      </tp>
      <tp t="s">
        <v>--</v>
        <stp/>
        <stp>IMPL_VOL</stp>
        <stp>.SPY250509C550</stp>
        <tr r="EN36" s="1"/>
      </tp>
      <tp t="s">
        <v>128.27%</v>
        <stp/>
        <stp>IMPL_VOL</stp>
        <stp>.SPY250509P550</stp>
        <tr r="EO36" s="1"/>
      </tp>
      <tp t="s">
        <v>--</v>
        <stp/>
        <stp>IMPL_VOL</stp>
        <stp>.SPY250509C553</stp>
        <tr r="EN33" s="1"/>
      </tp>
      <tp t="s">
        <v>104.36%</v>
        <stp/>
        <stp>IMPL_VOL</stp>
        <stp>.SPY250509P553</stp>
        <tr r="EO33" s="1"/>
      </tp>
      <tp t="s">
        <v>--</v>
        <stp/>
        <stp>IMPL_VOL</stp>
        <stp>.SPY250509C552</stp>
        <tr r="EN34" s="1"/>
      </tp>
      <tp t="s">
        <v>112.36%</v>
        <stp/>
        <stp>IMPL_VOL</stp>
        <stp>.SPY250509P552</stp>
        <tr r="EO34" s="1"/>
      </tp>
      <tp t="s">
        <v>--</v>
        <stp/>
        <stp>IMPL_VOL</stp>
        <stp>.SPY250505C559</stp>
        <tr r="EL27" s="1"/>
      </tp>
      <tp t="s">
        <v>--</v>
        <stp/>
        <stp>IMPL_VOL</stp>
        <stp>.SPY250509C555</stp>
        <tr r="EN31" s="1"/>
      </tp>
      <tp t="s">
        <v>55.14%</v>
        <stp/>
        <stp>IMPL_VOL</stp>
        <stp>.SPY250505P559</stp>
        <tr r="EM27" s="1"/>
      </tp>
      <tp t="s">
        <v>88.21%</v>
        <stp/>
        <stp>IMPL_VOL</stp>
        <stp>.SPY250509P555</stp>
        <tr r="EO31" s="1"/>
      </tp>
      <tp t="s">
        <v>--</v>
        <stp/>
        <stp>IMPL_VOL</stp>
        <stp>.SPY250505C558</stp>
        <tr r="EL28" s="1"/>
      </tp>
      <tp t="s">
        <v>--</v>
        <stp/>
        <stp>IMPL_VOL</stp>
        <stp>.SPY250509C554</stp>
        <tr r="EN32" s="1"/>
      </tp>
      <tp t="s">
        <v>63.53%</v>
        <stp/>
        <stp>IMPL_VOL</stp>
        <stp>.SPY250505P558</stp>
        <tr r="EM28" s="1"/>
      </tp>
      <tp t="s">
        <v>96.31%</v>
        <stp/>
        <stp>IMPL_VOL</stp>
        <stp>.SPY250509P554</stp>
        <tr r="EO32" s="1"/>
      </tp>
      <tp t="s">
        <v>--</v>
        <stp/>
        <stp>IMPL_VOL</stp>
        <stp>.SPY250509C557</stp>
        <tr r="EN29" s="1"/>
      </tp>
      <tp t="s">
        <v>25.46%</v>
        <stp/>
        <stp>IMPL_VOL</stp>
        <stp>.SPY250516C548</stp>
        <tr r="EP38" s="1"/>
      </tp>
      <tp t="s">
        <v>71.83%</v>
        <stp/>
        <stp>IMPL_VOL</stp>
        <stp>.SPY250509P557</stp>
        <tr r="EO29" s="1"/>
      </tp>
      <tp t="s">
        <v>26.92%</v>
        <stp/>
        <stp>IMPL_VOL</stp>
        <stp>.SPY250516P548</stp>
        <tr r="EQ38" s="1"/>
      </tp>
      <tp t="s">
        <v>--</v>
        <stp/>
        <stp>IMPL_VOL</stp>
        <stp>.SPY250509C556</stp>
        <tr r="EN30" s="1"/>
      </tp>
      <tp t="s">
        <v>25.34%</v>
        <stp/>
        <stp>IMPL_VOL</stp>
        <stp>.SPY250516C549</stp>
        <tr r="EP37" s="1"/>
      </tp>
      <tp t="s">
        <v>80.05%</v>
        <stp/>
        <stp>IMPL_VOL</stp>
        <stp>.SPY250509P556</stp>
        <tr r="EO30" s="1"/>
      </tp>
      <tp t="s">
        <v>26.76%</v>
        <stp/>
        <stp>IMPL_VOL</stp>
        <stp>.SPY250516P549</stp>
        <tr r="EQ37" s="1"/>
      </tp>
      <tp t="s">
        <v>3.30%</v>
        <stp/>
        <stp>IMPL_VOL</stp>
        <stp>.SPY250505C565</stp>
        <tr r="EL21" s="1"/>
      </tp>
      <tp t="s">
        <v>41.11%</v>
        <stp/>
        <stp>IMPL_VOL</stp>
        <stp>.SPY250509C569</stp>
        <tr r="EN17" s="1"/>
      </tp>
      <tp t="s">
        <v>22.00%</v>
        <stp/>
        <stp>IMPL_VOL</stp>
        <stp>.SPY250516C576</stp>
        <tr r="EP10" s="1"/>
      </tp>
      <tp t="s">
        <v>110.69%</v>
        <stp/>
        <stp>IMPL_VOL</stp>
        <stp>.SPY250505P565</stp>
        <tr r="EM21" s="1"/>
      </tp>
      <tp t="s">
        <v>107.12%</v>
        <stp/>
        <stp>IMPL_VOL</stp>
        <stp>.SPY250509P569</stp>
        <tr r="EO17" s="1"/>
      </tp>
      <tp t="s">
        <v>23.60%</v>
        <stp/>
        <stp>IMPL_VOL</stp>
        <stp>.SPY250516P576</stp>
        <tr r="EQ10" s="1"/>
      </tp>
      <tp t="s">
        <v>--</v>
        <stp/>
        <stp>IMPL_VOL</stp>
        <stp>.SPY250505C564</stp>
        <tr r="EL22" s="1"/>
      </tp>
      <tp t="s">
        <v>32.44%</v>
        <stp/>
        <stp>IMPL_VOL</stp>
        <stp>.SPY250509C568</stp>
        <tr r="EN18" s="1"/>
      </tp>
      <tp t="s">
        <v>21.84%</v>
        <stp/>
        <stp>IMPL_VOL</stp>
        <stp>.SPY250516C577</stp>
        <tr r="EP9" s="1"/>
      </tp>
      <tp t="s">
        <v>80.18%</v>
        <stp/>
        <stp>IMPL_VOL</stp>
        <stp>.SPY250505P564</stp>
        <tr r="EM22" s="1"/>
      </tp>
      <tp t="s">
        <v>92.36%</v>
        <stp/>
        <stp>IMPL_VOL</stp>
        <stp>.SPY250509P568</stp>
        <tr r="EO18" s="1"/>
      </tp>
      <tp t="s">
        <v>23.54%</v>
        <stp/>
        <stp>IMPL_VOL</stp>
        <stp>.SPY250516P577</stp>
        <tr r="EQ9" s="1"/>
      </tp>
      <tp t="s">
        <v>23.46%</v>
        <stp/>
        <stp>IMPL_VOL</stp>
        <stp>.SPY250505C567</stp>
        <tr r="EL19" s="1"/>
      </tp>
      <tp t="s">
        <v>22.28%</v>
        <stp/>
        <stp>IMPL_VOL</stp>
        <stp>.SPY250516C574</stp>
        <tr r="EP12" s="1"/>
      </tp>
      <tp t="s">
        <v>155.85%</v>
        <stp/>
        <stp>IMPL_VOL</stp>
        <stp>.SPY250505P567</stp>
        <tr r="EM19" s="1"/>
      </tp>
      <tp t="s">
        <v>23.66%</v>
        <stp/>
        <stp>IMPL_VOL</stp>
        <stp>.SPY250516P574</stp>
        <tr r="EQ12" s="1"/>
      </tp>
      <tp t="s">
        <v>14.00%</v>
        <stp/>
        <stp>IMPL_VOL</stp>
        <stp>.SPY250505C566</stp>
        <tr r="EL20" s="1"/>
      </tp>
      <tp t="s">
        <v>22.13%</v>
        <stp/>
        <stp>IMPL_VOL</stp>
        <stp>.SPY250516C575</stp>
        <tr r="EP11" s="1"/>
      </tp>
      <tp t="s">
        <v>131.78%</v>
        <stp/>
        <stp>IMPL_VOL</stp>
        <stp>.SPY250505P566</stp>
        <tr r="EM20" s="1"/>
      </tp>
      <tp t="s">
        <v>23.65%</v>
        <stp/>
        <stp>IMPL_VOL</stp>
        <stp>.SPY250516P575</stp>
        <tr r="EQ11" s="1"/>
      </tp>
      <tp t="s">
        <v>--</v>
        <stp/>
        <stp>IMPL_VOL</stp>
        <stp>.SPY250505C561</stp>
        <tr r="EL25" s="1"/>
      </tp>
      <tp t="s">
        <v>22.59%</v>
        <stp/>
        <stp>IMPL_VOL</stp>
        <stp>.SPY250516C572</stp>
        <tr r="EP14" s="1"/>
      </tp>
      <tp t="s">
        <v>37.94%</v>
        <stp/>
        <stp>IMPL_VOL</stp>
        <stp>.SPY250505P561</stp>
        <tr r="EM25" s="1"/>
      </tp>
      <tp t="s">
        <v>23.83%</v>
        <stp/>
        <stp>IMPL_VOL</stp>
        <stp>.SPY250516P572</stp>
        <tr r="EQ14" s="1"/>
      </tp>
      <tp t="s">
        <v>--</v>
        <stp/>
        <stp>IMPL_VOL</stp>
        <stp>.SPY250505C560</stp>
        <tr r="EL26" s="1"/>
      </tp>
      <tp t="s">
        <v>22.45%</v>
        <stp/>
        <stp>IMPL_VOL</stp>
        <stp>.SPY250516C573</stp>
        <tr r="EP13" s="1"/>
      </tp>
      <tp t="s">
        <v>46.62%</v>
        <stp/>
        <stp>IMPL_VOL</stp>
        <stp>.SPY250505P560</stp>
        <tr r="EM26" s="1"/>
      </tp>
      <tp t="s">
        <v>23.76%</v>
        <stp/>
        <stp>IMPL_VOL</stp>
        <stp>.SPY250516P573</stp>
        <tr r="EQ13" s="1"/>
      </tp>
      <tp t="s">
        <v>--</v>
        <stp/>
        <stp>IMPL_VOL</stp>
        <stp>.SPY250505C563</stp>
        <tr r="EL23" s="1"/>
      </tp>
      <tp t="s">
        <v>22.90%</v>
        <stp/>
        <stp>IMPL_VOL</stp>
        <stp>.SPY250516C570</stp>
        <tr r="EP16" s="1"/>
      </tp>
      <tp t="s">
        <v>45.58%</v>
        <stp/>
        <stp>IMPL_VOL</stp>
        <stp>.SPY250505P563</stp>
        <tr r="EM23" s="1"/>
      </tp>
      <tp t="s">
        <v>24.05%</v>
        <stp/>
        <stp>IMPL_VOL</stp>
        <stp>.SPY250516P570</stp>
        <tr r="EQ16" s="1"/>
      </tp>
      <tp t="s">
        <v>--</v>
        <stp/>
        <stp>IMPL_VOL</stp>
        <stp>.SPY250505C562</stp>
        <tr r="EL24" s="1"/>
      </tp>
      <tp t="s">
        <v>22.76%</v>
        <stp/>
        <stp>IMPL_VOL</stp>
        <stp>.SPY250516C571</stp>
        <tr r="EP15" s="1"/>
      </tp>
      <tp t="s">
        <v>34.17%</v>
        <stp/>
        <stp>IMPL_VOL</stp>
        <stp>.SPY250505P562</stp>
        <tr r="EM24" s="1"/>
      </tp>
      <tp t="s">
        <v>23.91%</v>
        <stp/>
        <stp>IMPL_VOL</stp>
        <stp>.SPY250516P571</stp>
        <tr r="EQ15" s="1"/>
      </tp>
      <tp t="s">
        <v>--</v>
        <stp/>
        <stp>IMPL_VOL</stp>
        <stp>.SPY250509C561</stp>
        <tr r="EN25" s="1"/>
      </tp>
      <tp t="s">
        <v>37.94%</v>
        <stp/>
        <stp>IMPL_VOL</stp>
        <stp>.SPY250509P561</stp>
        <tr r="EO25" s="1"/>
      </tp>
      <tp t="s">
        <v>--</v>
        <stp/>
        <stp>IMPL_VOL</stp>
        <stp>.SPY250509C560</stp>
        <tr r="EN26" s="1"/>
      </tp>
      <tp t="s">
        <v>46.62%</v>
        <stp/>
        <stp>IMPL_VOL</stp>
        <stp>.SPY250509P560</stp>
        <tr r="EO26" s="1"/>
      </tp>
      <tp t="s">
        <v>--</v>
        <stp/>
        <stp>IMPL_VOL</stp>
        <stp>.SPY250509C563</stp>
        <tr r="EN23" s="1"/>
      </tp>
      <tp t="s">
        <v>19.84%</v>
        <stp/>
        <stp>IMPL_VOL</stp>
        <stp>.SPY250509P563</stp>
        <tr r="EO23" s="1"/>
      </tp>
      <tp t="s">
        <v>--</v>
        <stp/>
        <stp>IMPL_VOL</stp>
        <stp>.SPY250509C562</stp>
        <tr r="EN24" s="1"/>
      </tp>
      <tp t="s">
        <v>29.05%</v>
        <stp/>
        <stp>IMPL_VOL</stp>
        <stp>.SPY250509P562</stp>
        <tr r="EO24" s="1"/>
      </tp>
      <tp t="s">
        <v>41.11%</v>
        <stp/>
        <stp>IMPL_VOL</stp>
        <stp>.SPY250505C569</stp>
        <tr r="EL17" s="1"/>
      </tp>
      <tp t="s">
        <v>4.51%</v>
        <stp/>
        <stp>IMPL_VOL</stp>
        <stp>.SPY250509C565</stp>
        <tr r="EN21" s="1"/>
      </tp>
      <tp t="s">
        <v>206.07%</v>
        <stp/>
        <stp>IMPL_VOL</stp>
        <stp>.SPY250505P569</stp>
        <tr r="EM17" s="1"/>
      </tp>
      <tp t="s">
        <v>28.75%</v>
        <stp/>
        <stp>IMPL_VOL</stp>
        <stp>.SPY250509P565</stp>
        <tr r="EO21" s="1"/>
      </tp>
      <tp t="s">
        <v>32.44%</v>
        <stp/>
        <stp>IMPL_VOL</stp>
        <stp>.SPY250505C568</stp>
        <tr r="EL18" s="1"/>
      </tp>
      <tp t="s">
        <v>--</v>
        <stp/>
        <stp>IMPL_VOL</stp>
        <stp>.SPY250509C564</stp>
        <tr r="EN22" s="1"/>
      </tp>
      <tp t="s">
        <v>186.54%</v>
        <stp/>
        <stp>IMPL_VOL</stp>
        <stp>.SPY250505P568</stp>
        <tr r="EM18" s="1"/>
      </tp>
      <tp t="s">
        <v>12.43%</v>
        <stp/>
        <stp>IMPL_VOL</stp>
        <stp>.SPY250509P564</stp>
        <tr r="EO22" s="1"/>
      </tp>
      <tp t="s">
        <v>23.46%</v>
        <stp/>
        <stp>IMPL_VOL</stp>
        <stp>.SPY250509C567</stp>
        <tr r="EN19" s="1"/>
      </tp>
      <tp t="s">
        <v>21.70%</v>
        <stp/>
        <stp>IMPL_VOL</stp>
        <stp>.SPY250516C578</stp>
        <tr r="EP8" s="1"/>
      </tp>
      <tp t="s">
        <v>74.44%</v>
        <stp/>
        <stp>IMPL_VOL</stp>
        <stp>.SPY250509P567</stp>
        <tr r="EO19" s="1"/>
      </tp>
      <tp t="s">
        <v>23.59%</v>
        <stp/>
        <stp>IMPL_VOL</stp>
        <stp>.SPY250516P578</stp>
        <tr r="EQ8" s="1"/>
      </tp>
      <tp t="s">
        <v>14.00%</v>
        <stp/>
        <stp>IMPL_VOL</stp>
        <stp>.SPY250509C566</stp>
        <tr r="EN20" s="1"/>
      </tp>
      <tp t="s">
        <v>21.61%</v>
        <stp/>
        <stp>IMPL_VOL</stp>
        <stp>.SPY250516C579</stp>
        <tr r="EP7" s="1"/>
      </tp>
      <tp t="s">
        <v>54.61%</v>
        <stp/>
        <stp>IMPL_VOL</stp>
        <stp>.SPY250509P566</stp>
        <tr r="EO20" s="1"/>
      </tp>
      <tp t="s">
        <v>23.59%</v>
        <stp/>
        <stp>IMPL_VOL</stp>
        <stp>.SPY250516P579</stp>
        <tr r="EQ7" s="1"/>
      </tp>
      <tp>
        <v>31</v>
        <stp/>
        <stp>OPEN_INT</stp>
        <stp>.NDX250516C19550</stp>
        <tr r="AW173" s="1"/>
        <tr r="AW173" s="1"/>
      </tp>
      <tp t="s">
        <v>89.80%</v>
        <stp/>
        <stp>IMPL_VOL</stp>
        <stp>.SPY250505C575</stp>
        <tr r="EL11" s="1"/>
      </tp>
      <tp t="s">
        <v>120.43%</v>
        <stp/>
        <stp>IMPL_VOL</stp>
        <stp>.SPY250509C579</stp>
        <tr r="EN7" s="1"/>
      </tp>
      <tp t="s">
        <v>23.49%</v>
        <stp/>
        <stp>IMPL_VOL</stp>
        <stp>.SPY250516C566</stp>
        <tr r="EP20" s="1"/>
      </tp>
      <tp t="s">
        <v>307.44%</v>
        <stp/>
        <stp>IMPL_VOL</stp>
        <stp>.SPY250505P575</stp>
        <tr r="EM11" s="1"/>
      </tp>
      <tp t="s">
        <v>261.05%</v>
        <stp/>
        <stp>IMPL_VOL</stp>
        <stp>.SPY250509P579</stp>
        <tr r="EO7" s="1"/>
      </tp>
      <tp t="s">
        <v>24.50%</v>
        <stp/>
        <stp>IMPL_VOL</stp>
        <stp>.SPY250516P566</stp>
        <tr r="EQ20" s="1"/>
      </tp>
      <tp t="s">
        <v>81.96%</v>
        <stp/>
        <stp>IMPL_VOL</stp>
        <stp>.SPY250505C574</stp>
        <tr r="EL12" s="1"/>
      </tp>
      <tp t="s">
        <v>112.87%</v>
        <stp/>
        <stp>IMPL_VOL</stp>
        <stp>.SPY250509C578</stp>
        <tr r="EN8" s="1"/>
      </tp>
      <tp t="s">
        <v>23.35%</v>
        <stp/>
        <stp>IMPL_VOL</stp>
        <stp>.SPY250516C567</stp>
        <tr r="EP19" s="1"/>
      </tp>
      <tp t="s">
        <v>290.21%</v>
        <stp/>
        <stp>IMPL_VOL</stp>
        <stp>.SPY250505P574</stp>
        <tr r="EM12" s="1"/>
      </tp>
      <tp t="s">
        <v>247.69%</v>
        <stp/>
        <stp>IMPL_VOL</stp>
        <stp>.SPY250509P578</stp>
        <tr r="EO8" s="1"/>
      </tp>
      <tp t="s">
        <v>24.38%</v>
        <stp/>
        <stp>IMPL_VOL</stp>
        <stp>.SPY250516P567</stp>
        <tr r="EQ19" s="1"/>
      </tp>
      <tp t="s">
        <v>105.25%</v>
        <stp/>
        <stp>IMPL_VOL</stp>
        <stp>.SPY250505C577</stp>
        <tr r="EL9" s="1"/>
      </tp>
      <tp t="s">
        <v>23.79%</v>
        <stp/>
        <stp>IMPL_VOL</stp>
        <stp>.SPY250516C564</stp>
        <tr r="EP22" s="1"/>
      </tp>
      <tp t="s">
        <v>333.92%</v>
        <stp/>
        <stp>IMPL_VOL</stp>
        <stp>.SPY250505P577</stp>
        <tr r="EM9" s="1"/>
      </tp>
      <tp t="s">
        <v>24.75%</v>
        <stp/>
        <stp>IMPL_VOL</stp>
        <stp>.SPY250516P564</stp>
        <tr r="EQ22" s="1"/>
      </tp>
      <tp t="s">
        <v>97.56%</v>
        <stp/>
        <stp>IMPL_VOL</stp>
        <stp>.SPY250505C576</stp>
        <tr r="EL10" s="1"/>
      </tp>
      <tp t="s">
        <v>23.63%</v>
        <stp/>
        <stp>IMPL_VOL</stp>
        <stp>.SPY250516C565</stp>
        <tr r="EP21" s="1"/>
      </tp>
      <tp t="s">
        <v>317.48%</v>
        <stp/>
        <stp>IMPL_VOL</stp>
        <stp>.SPY250505P576</stp>
        <tr r="EM10" s="1"/>
      </tp>
      <tp t="s">
        <v>24.62%</v>
        <stp/>
        <stp>IMPL_VOL</stp>
        <stp>.SPY250516P565</stp>
        <tr r="EQ21" s="1"/>
      </tp>
      <tp t="s">
        <v>57.85%</v>
        <stp/>
        <stp>IMPL_VOL</stp>
        <stp>.SPY250505C571</stp>
        <tr r="EL15" s="1"/>
      </tp>
      <tp t="s">
        <v>24.01%</v>
        <stp/>
        <stp>IMPL_VOL</stp>
        <stp>.SPY250516C562</stp>
        <tr r="EP24" s="1"/>
      </tp>
      <tp t="s">
        <v>235.94%</v>
        <stp/>
        <stp>IMPL_VOL</stp>
        <stp>.SPY250505P571</stp>
        <tr r="EM15" s="1"/>
      </tp>
      <tp t="s">
        <v>25.01%</v>
        <stp/>
        <stp>IMPL_VOL</stp>
        <stp>.SPY250516P562</stp>
        <tr r="EQ24" s="1"/>
      </tp>
      <tp t="s">
        <v>49.57%</v>
        <stp/>
        <stp>IMPL_VOL</stp>
        <stp>.SPY250505C570</stp>
        <tr r="EL16" s="1"/>
      </tp>
      <tp t="s">
        <v>23.93%</v>
        <stp/>
        <stp>IMPL_VOL</stp>
        <stp>.SPY250516C563</stp>
        <tr r="EP23" s="1"/>
      </tp>
      <tp t="s">
        <v>218.13%</v>
        <stp/>
        <stp>IMPL_VOL</stp>
        <stp>.SPY250505P570</stp>
        <tr r="EM16" s="1"/>
      </tp>
      <tp t="s">
        <v>24.89%</v>
        <stp/>
        <stp>IMPL_VOL</stp>
        <stp>.SPY250516P563</stp>
        <tr r="EQ23" s="1"/>
      </tp>
      <tp t="s">
        <v>74.03%</v>
        <stp/>
        <stp>IMPL_VOL</stp>
        <stp>.SPY250505C573</stp>
        <tr r="EL13" s="1"/>
      </tp>
      <tp t="s">
        <v>24.27%</v>
        <stp/>
        <stp>IMPL_VOL</stp>
        <stp>.SPY250516C560</stp>
        <tr r="EP26" s="1"/>
      </tp>
      <tp t="s">
        <v>272.58%</v>
        <stp/>
        <stp>IMPL_VOL</stp>
        <stp>.SPY250505P573</stp>
        <tr r="EM13" s="1"/>
      </tp>
      <tp t="s">
        <v>25.28%</v>
        <stp/>
        <stp>IMPL_VOL</stp>
        <stp>.SPY250516P560</stp>
        <tr r="EQ26" s="1"/>
      </tp>
      <tp t="s">
        <v>66.00%</v>
        <stp/>
        <stp>IMPL_VOL</stp>
        <stp>.SPY250505C572</stp>
        <tr r="EL14" s="1"/>
      </tp>
      <tp t="s">
        <v>24.14%</v>
        <stp/>
        <stp>IMPL_VOL</stp>
        <stp>.SPY250516C561</stp>
        <tr r="EP25" s="1"/>
      </tp>
      <tp t="s">
        <v>254.52%</v>
        <stp/>
        <stp>IMPL_VOL</stp>
        <stp>.SPY250505P572</stp>
        <tr r="EM14" s="1"/>
      </tp>
      <tp t="s">
        <v>25.15%</v>
        <stp/>
        <stp>IMPL_VOL</stp>
        <stp>.SPY250516P561</stp>
        <tr r="EQ25" s="1"/>
      </tp>
      <tp t="s">
        <v>57.85%</v>
        <stp/>
        <stp>IMPL_VOL</stp>
        <stp>.SPY250509C571</stp>
        <tr r="EN15" s="1"/>
      </tp>
      <tp t="s">
        <v>134.32%</v>
        <stp/>
        <stp>IMPL_VOL</stp>
        <stp>.SPY250509P571</stp>
        <tr r="EO15" s="1"/>
      </tp>
      <tp t="s">
        <v>49.57%</v>
        <stp/>
        <stp>IMPL_VOL</stp>
        <stp>.SPY250509C570</stp>
        <tr r="EN16" s="1"/>
      </tp>
      <tp t="s">
        <v>124.21%</v>
        <stp/>
        <stp>IMPL_VOL</stp>
        <stp>.SPY250509P570</stp>
        <tr r="EO16" s="1"/>
      </tp>
      <tp t="s">
        <v>74.03%</v>
        <stp/>
        <stp>IMPL_VOL</stp>
        <stp>.SPY250509C573</stp>
        <tr r="EN13" s="1"/>
      </tp>
      <tp t="s">
        <v>173.96%</v>
        <stp/>
        <stp>IMPL_VOL</stp>
        <stp>.SPY250509P573</stp>
        <tr r="EO13" s="1"/>
      </tp>
      <tp t="s">
        <v>66.00%</v>
        <stp/>
        <stp>IMPL_VOL</stp>
        <stp>.SPY250509C572</stp>
        <tr r="EN14" s="1"/>
      </tp>
      <tp t="s">
        <v>149.36%</v>
        <stp/>
        <stp>IMPL_VOL</stp>
        <stp>.SPY250509P572</stp>
        <tr r="EO14" s="1"/>
      </tp>
      <tp t="s">
        <v>120.43%</v>
        <stp/>
        <stp>IMPL_VOL</stp>
        <stp>.SPY250505C579</stp>
        <tr r="EL7" s="1"/>
      </tp>
      <tp t="s">
        <v>89.80%</v>
        <stp/>
        <stp>IMPL_VOL</stp>
        <stp>.SPY250509C575</stp>
        <tr r="EN11" s="1"/>
      </tp>
      <tp t="s">
        <v>366.00%</v>
        <stp/>
        <stp>IMPL_VOL</stp>
        <stp>.SPY250505P579</stp>
        <tr r="EM7" s="1"/>
      </tp>
      <tp t="s">
        <v>202.38%</v>
        <stp/>
        <stp>IMPL_VOL</stp>
        <stp>.SPY250509P575</stp>
        <tr r="EO11" s="1"/>
      </tp>
      <tp t="s">
        <v>112.87%</v>
        <stp/>
        <stp>IMPL_VOL</stp>
        <stp>.SPY250505C578</stp>
        <tr r="EL8" s="1"/>
      </tp>
      <tp t="s">
        <v>81.96%</v>
        <stp/>
        <stp>IMPL_VOL</stp>
        <stp>.SPY250509C574</stp>
        <tr r="EN12" s="1"/>
      </tp>
      <tp t="s">
        <v>350.08%</v>
        <stp/>
        <stp>IMPL_VOL</stp>
        <stp>.SPY250505P578</stp>
        <tr r="EM8" s="1"/>
      </tp>
      <tp t="s">
        <v>188.30%</v>
        <stp/>
        <stp>IMPL_VOL</stp>
        <stp>.SPY250509P574</stp>
        <tr r="EO12" s="1"/>
      </tp>
      <tp t="s">
        <v>105.25%</v>
        <stp/>
        <stp>IMPL_VOL</stp>
        <stp>.SPY250509C577</stp>
        <tr r="EN9" s="1"/>
      </tp>
      <tp t="s">
        <v>23.18%</v>
        <stp/>
        <stp>IMPL_VOL</stp>
        <stp>.SPY250516C568</stp>
        <tr r="EP18" s="1"/>
      </tp>
      <tp t="s">
        <v>232.90%</v>
        <stp/>
        <stp>IMPL_VOL</stp>
        <stp>.SPY250509P577</stp>
        <tr r="EO9" s="1"/>
      </tp>
      <tp t="s">
        <v>24.26%</v>
        <stp/>
        <stp>IMPL_VOL</stp>
        <stp>.SPY250516P568</stp>
        <tr r="EQ18" s="1"/>
      </tp>
      <tp t="s">
        <v>97.56%</v>
        <stp/>
        <stp>IMPL_VOL</stp>
        <stp>.SPY250509C576</stp>
        <tr r="EN10" s="1"/>
      </tp>
      <tp t="s">
        <v>23.05%</v>
        <stp/>
        <stp>IMPL_VOL</stp>
        <stp>.SPY250516C569</stp>
        <tr r="EP17" s="1"/>
      </tp>
      <tp t="s">
        <v>216.23%</v>
        <stp/>
        <stp>IMPL_VOL</stp>
        <stp>.SPY250509P576</stp>
        <tr r="EO10" s="1"/>
      </tp>
      <tp t="s">
        <v>24.15%</v>
        <stp/>
        <stp>IMPL_VOL</stp>
        <stp>.SPY250516P569</stp>
        <tr r="EQ17" s="1"/>
      </tp>
      <tp t="s">
        <v>135.37%</v>
        <stp/>
        <stp>IMPL_VOL</stp>
        <stp>.SPY250505C581</stp>
        <tr r="EL5" s="1"/>
      </tp>
      <tp t="s">
        <v>397.11%</v>
        <stp/>
        <stp>IMPL_VOL</stp>
        <stp>.SPY250505P581</stp>
        <tr r="EM5" s="1"/>
      </tp>
      <tp t="s">
        <v>127.93%</v>
        <stp/>
        <stp>IMPL_VOL</stp>
        <stp>.SPY250505C580</stp>
        <tr r="EL6" s="1"/>
      </tp>
      <tp t="s">
        <v>381.64%</v>
        <stp/>
        <stp>IMPL_VOL</stp>
        <stp>.SPY250505P580</stp>
        <tr r="EM6" s="1"/>
      </tp>
      <tp t="s">
        <v>142.77%</v>
        <stp/>
        <stp>IMPL_VOL</stp>
        <stp>.SPY250505C582</stp>
        <tr r="EL4" s="1"/>
      </tp>
      <tp t="s">
        <v>412.84%</v>
        <stp/>
        <stp>IMPL_VOL</stp>
        <stp>.SPY250505P582</stp>
        <tr r="EM4" s="1"/>
      </tp>
      <tp t="s">
        <v>135.37%</v>
        <stp/>
        <stp>IMPL_VOL</stp>
        <stp>.SPY250509C581</stp>
        <tr r="EN5" s="1"/>
      </tp>
      <tp t="s">
        <v>286.14%</v>
        <stp/>
        <stp>IMPL_VOL</stp>
        <stp>.SPY250509P581</stp>
        <tr r="EO5" s="1"/>
      </tp>
      <tp t="s">
        <v>127.93%</v>
        <stp/>
        <stp>IMPL_VOL</stp>
        <stp>.SPY250509C580</stp>
        <tr r="EN6" s="1"/>
      </tp>
      <tp t="s">
        <v>274.33%</v>
        <stp/>
        <stp>IMPL_VOL</stp>
        <stp>.SPY250509P580</stp>
        <tr r="EO6" s="1"/>
      </tp>
      <tp t="s">
        <v>142.77%</v>
        <stp/>
        <stp>IMPL_VOL</stp>
        <stp>.SPY250509C582</stp>
        <tr r="EN4" s="1"/>
      </tp>
      <tp t="s">
        <v>299.14%</v>
        <stp/>
        <stp>IMPL_VOL</stp>
        <stp>.SPY250509P582</stp>
        <tr r="EO4" s="1"/>
      </tp>
      <tp t="s">
        <v>21.28%</v>
        <stp/>
        <stp>IMPL_VOL</stp>
        <stp>.SPY250516C582</stp>
        <tr r="EP4" s="1"/>
      </tp>
      <tp t="s">
        <v>23.87%</v>
        <stp/>
        <stp>IMPL_VOL</stp>
        <stp>.SPY250516P582</stp>
        <tr r="EQ4" s="1"/>
      </tp>
      <tp t="s">
        <v>21.46%</v>
        <stp/>
        <stp>IMPL_VOL</stp>
        <stp>.SPY250516C580</stp>
        <tr r="EP6" s="1"/>
      </tp>
      <tp t="s">
        <v>23.71%</v>
        <stp/>
        <stp>IMPL_VOL</stp>
        <stp>.SPY250516P580</stp>
        <tr r="EQ6" s="1"/>
      </tp>
      <tp t="s">
        <v>21.39%</v>
        <stp/>
        <stp>IMPL_VOL</stp>
        <stp>.SPY250516C581</stp>
        <tr r="EP5" s="1"/>
      </tp>
      <tp t="s">
        <v>23.77%</v>
        <stp/>
        <stp>IMPL_VOL</stp>
        <stp>.SPY250516P581</stp>
        <tr r="EQ5" s="1"/>
      </tp>
      <tp>
        <v>0</v>
        <stp/>
        <stp>BID</stp>
        <stp>.QQQ250505C502</stp>
        <tr r="DE45" s="1"/>
        <tr r="DE45" s="1"/>
      </tp>
      <tp>
        <v>16.5</v>
        <stp/>
        <stp>BID</stp>
        <stp>.QQQ250505P502</stp>
        <tr r="DF45" s="1"/>
        <tr r="DF45" s="1"/>
      </tp>
      <tp>
        <v>0</v>
        <stp/>
        <stp>BID</stp>
        <stp>.QQQ250505C501</stp>
        <tr r="DE46" s="1"/>
        <tr r="DE46" s="1"/>
      </tp>
      <tp>
        <v>15.5</v>
        <stp/>
        <stp>BID</stp>
        <stp>.QQQ250505P501</stp>
        <tr r="DF46" s="1"/>
        <tr r="DF46" s="1"/>
      </tp>
      <tp>
        <v>0</v>
        <stp/>
        <stp>BID</stp>
        <stp>.QQQ250505C500</stp>
        <tr r="DE47" s="1"/>
        <tr r="DE47" s="1"/>
      </tp>
      <tp>
        <v>14.5</v>
        <stp/>
        <stp>BID</stp>
        <stp>.QQQ250505P500</stp>
        <tr r="DF47" s="1"/>
        <tr r="DF47" s="1"/>
      </tp>
      <tp>
        <v>0.01</v>
        <stp/>
        <stp>ASK</stp>
        <stp>.QQQ250505C501</stp>
        <tr r="DC46" s="1"/>
        <tr r="DC46" s="1"/>
      </tp>
      <tp>
        <v>16.98</v>
        <stp/>
        <stp>ASK</stp>
        <stp>.QQQ250505P501</stp>
        <tr r="DD46" s="1"/>
        <tr r="DD46" s="1"/>
      </tp>
      <tp>
        <v>0.01</v>
        <stp/>
        <stp>ASK</stp>
        <stp>.QQQ250505C500</stp>
        <tr r="DC47" s="1"/>
        <tr r="DC47" s="1"/>
      </tp>
      <tp>
        <v>16.55</v>
        <stp/>
        <stp>ASK</stp>
        <stp>.QQQ250505P500</stp>
        <tr r="DD47" s="1"/>
        <tr r="DD47" s="1"/>
      </tp>
      <tp>
        <v>0.01</v>
        <stp/>
        <stp>ASK</stp>
        <stp>.QQQ250505C502</stp>
        <tr r="DC45" s="1"/>
        <tr r="DC45" s="1"/>
      </tp>
      <tp>
        <v>17.98</v>
        <stp/>
        <stp>ASK</stp>
        <stp>.QQQ250505P502</stp>
        <tr r="DD45" s="1"/>
        <tr r="DD45" s="1"/>
      </tp>
      <tp>
        <v>95</v>
        <stp/>
        <stp>OPEN_INT</stp>
        <stp>.NDX250516P20400</stp>
        <tr r="AX139" s="1"/>
        <tr r="AX139" s="1"/>
      </tp>
      <tp>
        <v>54</v>
        <stp/>
        <stp>OPEN_INT</stp>
        <stp>.NDX250516P19400</stp>
        <tr r="AX179" s="1"/>
        <tr r="AX179" s="1"/>
      </tp>
      <tp>
        <v>44</v>
        <stp/>
        <stp>OPEN_INT</stp>
        <stp>.NDX250516P20425</stp>
        <tr r="AX138" s="1"/>
        <tr r="AX138" s="1"/>
      </tp>
      <tp>
        <v>28</v>
        <stp/>
        <stp>OPEN_INT</stp>
        <stp>.NDX250516P19425</stp>
        <tr r="AX178" s="1"/>
        <tr r="AX178" s="1"/>
      </tp>
      <tp>
        <v>5</v>
        <stp/>
        <stp>OPEN_INT</stp>
        <stp>.NDX250516P20450</stp>
        <tr r="AX137" s="1"/>
        <tr r="AX137" s="1"/>
      </tp>
      <tp>
        <v>15</v>
        <stp/>
        <stp>OPEN_INT</stp>
        <stp>.NDX250516P19450</stp>
        <tr r="AX177" s="1"/>
        <tr r="AX177" s="1"/>
      </tp>
      <tp>
        <v>34</v>
        <stp/>
        <stp>OPEN_INT</stp>
        <stp>.NDX250516P19475</stp>
        <tr r="AX176" s="1"/>
        <tr r="AX176" s="1"/>
      </tp>
      <tp>
        <v>23</v>
        <stp/>
        <stp>OPEN_INT</stp>
        <stp>.NDX250516C20425</stp>
        <tr r="AW138" s="1"/>
        <tr r="AW138" s="1"/>
      </tp>
      <tp>
        <v>33</v>
        <stp/>
        <stp>OPEN_INT</stp>
        <stp>.NDX250516C19425</stp>
        <tr r="AW178" s="1"/>
        <tr r="AW178" s="1"/>
      </tp>
      <tp>
        <v>62</v>
        <stp/>
        <stp>OPEN_INT</stp>
        <stp>.NDX250516C20400</stp>
        <tr r="AW139" s="1"/>
        <tr r="AW139" s="1"/>
      </tp>
      <tp>
        <v>41</v>
        <stp/>
        <stp>OPEN_INT</stp>
        <stp>.NDX250516C19400</stp>
        <tr r="AW179" s="1"/>
        <tr r="AW179" s="1"/>
      </tp>
      <tp>
        <v>257</v>
        <stp/>
        <stp>OPEN_INT</stp>
        <stp>.NDX250516C19475</stp>
        <tr r="AW176" s="1"/>
        <tr r="AW176" s="1"/>
      </tp>
      <tp>
        <v>12</v>
        <stp/>
        <stp>OPEN_INT</stp>
        <stp>.NDX250516C20450</stp>
        <tr r="AW137" s="1"/>
        <tr r="AW137" s="1"/>
      </tp>
      <tp>
        <v>25</v>
        <stp/>
        <stp>OPEN_INT</stp>
        <stp>.NDX250516C19450</stp>
        <tr r="AW177" s="1"/>
        <tr r="AW177" s="1"/>
      </tp>
      <tp>
        <v>16.5</v>
        <stp/>
        <stp>ASK</stp>
        <stp>.QQQ250505C469</stp>
        <tr r="DC78" s="1"/>
        <tr r="DC78" s="1"/>
      </tp>
      <tp>
        <v>0.01</v>
        <stp/>
        <stp>ASK</stp>
        <stp>.QQQ250505P469</stp>
        <tr r="DD78" s="1"/>
        <tr r="DD78" s="1"/>
      </tp>
      <tp>
        <v>17.5</v>
        <stp/>
        <stp>ASK</stp>
        <stp>.QQQ250505C468</stp>
        <tr r="DC79" s="1"/>
        <tr r="DC79" s="1"/>
      </tp>
      <tp>
        <v>0.01</v>
        <stp/>
        <stp>ASK</stp>
        <stp>.QQQ250505P468</stp>
        <tr r="DD79" s="1"/>
        <tr r="DD79" s="1"/>
      </tp>
      <tp>
        <v>12.22</v>
        <stp/>
        <stp>ASK</stp>
        <stp>.QQQ250505C475</stp>
        <tr r="DC72" s="1"/>
        <tr r="DC72" s="1"/>
      </tp>
      <tp>
        <v>0.01</v>
        <stp/>
        <stp>ASK</stp>
        <stp>.QQQ250505P475</stp>
        <tr r="DD72" s="1"/>
        <tr r="DD72" s="1"/>
      </tp>
      <tp>
        <v>13.44</v>
        <stp/>
        <stp>ASK</stp>
        <stp>.QQQ250505C474</stp>
        <tr r="DC73" s="1"/>
        <tr r="DC73" s="1"/>
      </tp>
      <tp>
        <v>0.01</v>
        <stp/>
        <stp>ASK</stp>
        <stp>.QQQ250505P474</stp>
        <tr r="DD73" s="1"/>
        <tr r="DD73" s="1"/>
      </tp>
      <tp>
        <v>9.61</v>
        <stp/>
        <stp>ASK</stp>
        <stp>.QQQ250505C477</stp>
        <tr r="DC70" s="1"/>
        <tr r="DC70" s="1"/>
      </tp>
      <tp>
        <v>0.01</v>
        <stp/>
        <stp>ASK</stp>
        <stp>.QQQ250505P477</stp>
        <tr r="DD70" s="1"/>
        <tr r="DD70" s="1"/>
      </tp>
      <tp>
        <v>10.69</v>
        <stp/>
        <stp>ASK</stp>
        <stp>.QQQ250505C476</stp>
        <tr r="DC71" s="1"/>
        <tr r="DC71" s="1"/>
      </tp>
      <tp>
        <v>0.01</v>
        <stp/>
        <stp>ASK</stp>
        <stp>.QQQ250505P476</stp>
        <tr r="DD71" s="1"/>
        <tr r="DD71" s="1"/>
      </tp>
      <tp>
        <v>16.14</v>
        <stp/>
        <stp>ASK</stp>
        <stp>.QQQ250505C471</stp>
        <tr r="DC76" s="1"/>
        <tr r="DC76" s="1"/>
      </tp>
      <tp>
        <v>0.01</v>
        <stp/>
        <stp>ASK</stp>
        <stp>.QQQ250505P471</stp>
        <tr r="DD76" s="1"/>
        <tr r="DD76" s="1"/>
      </tp>
      <tp>
        <v>15.5</v>
        <stp/>
        <stp>ASK</stp>
        <stp>.QQQ250505C470</stp>
        <tr r="DC77" s="1"/>
        <tr r="DC77" s="1"/>
      </tp>
      <tp>
        <v>0.01</v>
        <stp/>
        <stp>ASK</stp>
        <stp>.QQQ250505P470</stp>
        <tr r="DD77" s="1"/>
        <tr r="DD77" s="1"/>
      </tp>
      <tp>
        <v>14.42</v>
        <stp/>
        <stp>ASK</stp>
        <stp>.QQQ250505C473</stp>
        <tr r="DC74" s="1"/>
        <tr r="DC74" s="1"/>
      </tp>
      <tp>
        <v>0.01</v>
        <stp/>
        <stp>ASK</stp>
        <stp>.QQQ250505P473</stp>
        <tr r="DD74" s="1"/>
        <tr r="DD74" s="1"/>
      </tp>
      <tp>
        <v>15.22</v>
        <stp/>
        <stp>ASK</stp>
        <stp>.QQQ250505C472</stp>
        <tr r="DC75" s="1"/>
        <tr r="DC75" s="1"/>
      </tp>
      <tp>
        <v>0.01</v>
        <stp/>
        <stp>ASK</stp>
        <stp>.QQQ250505P472</stp>
        <tr r="DD75" s="1"/>
        <tr r="DD75" s="1"/>
      </tp>
      <tp>
        <v>8.2200000000000006</v>
        <stp/>
        <stp>ASK</stp>
        <stp>.QQQ250505C479</stp>
        <tr r="DC68" s="1"/>
        <tr r="DC68" s="1"/>
      </tp>
      <tp>
        <v>0.01</v>
        <stp/>
        <stp>ASK</stp>
        <stp>.QQQ250505P479</stp>
        <tr r="DD68" s="1"/>
        <tr r="DD68" s="1"/>
      </tp>
      <tp>
        <v>9.2200000000000006</v>
        <stp/>
        <stp>ASK</stp>
        <stp>.QQQ250505C478</stp>
        <tr r="DC69" s="1"/>
        <tr r="DC69" s="1"/>
      </tp>
      <tp>
        <v>0.01</v>
        <stp/>
        <stp>ASK</stp>
        <stp>.QQQ250505P478</stp>
        <tr r="DD69" s="1"/>
        <tr r="DD69" s="1"/>
      </tp>
      <tp>
        <v>6.1</v>
        <stp/>
        <stp>BID</stp>
        <stp>.QQQ250505C479</stp>
        <tr r="DE68" s="1"/>
        <tr r="DE68" s="1"/>
      </tp>
      <tp>
        <v>0</v>
        <stp/>
        <stp>BID</stp>
        <stp>.QQQ250505P479</stp>
        <tr r="DF68" s="1"/>
        <tr r="DF68" s="1"/>
      </tp>
      <tp>
        <v>7.1</v>
        <stp/>
        <stp>BID</stp>
        <stp>.QQQ250505C478</stp>
        <tr r="DE69" s="1"/>
        <tr r="DE69" s="1"/>
      </tp>
      <tp>
        <v>0</v>
        <stp/>
        <stp>BID</stp>
        <stp>.QQQ250505P478</stp>
        <tr r="DF69" s="1"/>
        <tr r="DF69" s="1"/>
      </tp>
      <tp>
        <v>8.1</v>
        <stp/>
        <stp>BID</stp>
        <stp>.QQQ250505C477</stp>
        <tr r="DE70" s="1"/>
        <tr r="DE70" s="1"/>
      </tp>
      <tp>
        <v>0</v>
        <stp/>
        <stp>BID</stp>
        <stp>.QQQ250505P477</stp>
        <tr r="DF70" s="1"/>
        <tr r="DF70" s="1"/>
      </tp>
      <tp>
        <v>9.1</v>
        <stp/>
        <stp>BID</stp>
        <stp>.QQQ250505C476</stp>
        <tr r="DE71" s="1"/>
        <tr r="DE71" s="1"/>
      </tp>
      <tp>
        <v>0</v>
        <stp/>
        <stp>BID</stp>
        <stp>.QQQ250505P476</stp>
        <tr r="DF71" s="1"/>
        <tr r="DF71" s="1"/>
      </tp>
      <tp>
        <v>10.1</v>
        <stp/>
        <stp>BID</stp>
        <stp>.QQQ250505C475</stp>
        <tr r="DE72" s="1"/>
        <tr r="DE72" s="1"/>
      </tp>
      <tp>
        <v>0</v>
        <stp/>
        <stp>BID</stp>
        <stp>.QQQ250505P475</stp>
        <tr r="DF72" s="1"/>
        <tr r="DF72" s="1"/>
      </tp>
      <tp>
        <v>11.1</v>
        <stp/>
        <stp>BID</stp>
        <stp>.QQQ250505C474</stp>
        <tr r="DE73" s="1"/>
        <tr r="DE73" s="1"/>
      </tp>
      <tp>
        <v>0</v>
        <stp/>
        <stp>BID</stp>
        <stp>.QQQ250505P474</stp>
        <tr r="DF73" s="1"/>
        <tr r="DF73" s="1"/>
      </tp>
      <tp>
        <v>12.1</v>
        <stp/>
        <stp>BID</stp>
        <stp>.QQQ250505C473</stp>
        <tr r="DE74" s="1"/>
        <tr r="DE74" s="1"/>
      </tp>
      <tp>
        <v>0</v>
        <stp/>
        <stp>BID</stp>
        <stp>.QQQ250505P473</stp>
        <tr r="DF74" s="1"/>
        <tr r="DF74" s="1"/>
      </tp>
      <tp>
        <v>13.1</v>
        <stp/>
        <stp>BID</stp>
        <stp>.QQQ250505C472</stp>
        <tr r="DE75" s="1"/>
        <tr r="DE75" s="1"/>
      </tp>
      <tp>
        <v>0</v>
        <stp/>
        <stp>BID</stp>
        <stp>.QQQ250505P472</stp>
        <tr r="DF75" s="1"/>
        <tr r="DF75" s="1"/>
      </tp>
      <tp>
        <v>14.1</v>
        <stp/>
        <stp>BID</stp>
        <stp>.QQQ250505C471</stp>
        <tr r="DE76" s="1"/>
        <tr r="DE76" s="1"/>
      </tp>
      <tp>
        <v>0</v>
        <stp/>
        <stp>BID</stp>
        <stp>.QQQ250505P471</stp>
        <tr r="DF76" s="1"/>
        <tr r="DF76" s="1"/>
      </tp>
      <tp>
        <v>15.1</v>
        <stp/>
        <stp>BID</stp>
        <stp>.QQQ250505C470</stp>
        <tr r="DE77" s="1"/>
        <tr r="DE77" s="1"/>
      </tp>
      <tp>
        <v>0</v>
        <stp/>
        <stp>BID</stp>
        <stp>.QQQ250505P470</stp>
        <tr r="DF77" s="1"/>
        <tr r="DF77" s="1"/>
      </tp>
      <tp>
        <v>16.100000000000001</v>
        <stp/>
        <stp>BID</stp>
        <stp>.QQQ250505C469</stp>
        <tr r="DE78" s="1"/>
        <tr r="DE78" s="1"/>
      </tp>
      <tp>
        <v>0</v>
        <stp/>
        <stp>BID</stp>
        <stp>.QQQ250505P469</stp>
        <tr r="DF78" s="1"/>
        <tr r="DF78" s="1"/>
      </tp>
      <tp>
        <v>17.100000000000001</v>
        <stp/>
        <stp>BID</stp>
        <stp>.QQQ250505C468</stp>
        <tr r="DE79" s="1"/>
        <tr r="DE79" s="1"/>
      </tp>
      <tp>
        <v>0</v>
        <stp/>
        <stp>BID</stp>
        <stp>.QQQ250505P468</stp>
        <tr r="DF79" s="1"/>
        <tr r="DF79" s="1"/>
      </tp>
      <tp>
        <v>0</v>
        <stp/>
        <stp>BID</stp>
        <stp>.QQQ250505C499</stp>
        <tr r="DE48" s="1"/>
        <tr r="DE48" s="1"/>
      </tp>
      <tp>
        <v>13.5</v>
        <stp/>
        <stp>BID</stp>
        <stp>.QQQ250505P499</stp>
        <tr r="DF48" s="1"/>
        <tr r="DF48" s="1"/>
      </tp>
      <tp>
        <v>0</v>
        <stp/>
        <stp>BID</stp>
        <stp>.QQQ250505C498</stp>
        <tr r="DE49" s="1"/>
        <tr r="DE49" s="1"/>
      </tp>
      <tp>
        <v>12.5</v>
        <stp/>
        <stp>BID</stp>
        <stp>.QQQ250505P498</stp>
        <tr r="DF49" s="1"/>
        <tr r="DF49" s="1"/>
      </tp>
      <tp>
        <v>0</v>
        <stp/>
        <stp>BID</stp>
        <stp>.QQQ250505C497</stp>
        <tr r="DE50" s="1"/>
        <tr r="DE50" s="1"/>
      </tp>
      <tp>
        <v>11.5</v>
        <stp/>
        <stp>BID</stp>
        <stp>.QQQ250505P497</stp>
        <tr r="DF50" s="1"/>
        <tr r="DF50" s="1"/>
      </tp>
      <tp>
        <v>0</v>
        <stp/>
        <stp>BID</stp>
        <stp>.QQQ250505C496</stp>
        <tr r="DE51" s="1"/>
        <tr r="DE51" s="1"/>
      </tp>
      <tp>
        <v>10.5</v>
        <stp/>
        <stp>BID</stp>
        <stp>.QQQ250505P496</stp>
        <tr r="DF51" s="1"/>
        <tr r="DF51" s="1"/>
      </tp>
      <tp>
        <v>0</v>
        <stp/>
        <stp>BID</stp>
        <stp>.QQQ250505C495</stp>
        <tr r="DE52" s="1"/>
        <tr r="DE52" s="1"/>
      </tp>
      <tp>
        <v>9.5</v>
        <stp/>
        <stp>BID</stp>
        <stp>.QQQ250505P495</stp>
        <tr r="DF52" s="1"/>
        <tr r="DF52" s="1"/>
      </tp>
      <tp>
        <v>0</v>
        <stp/>
        <stp>BID</stp>
        <stp>.QQQ250505C494</stp>
        <tr r="DE53" s="1"/>
        <tr r="DE53" s="1"/>
      </tp>
      <tp>
        <v>8.5</v>
        <stp/>
        <stp>BID</stp>
        <stp>.QQQ250505P494</stp>
        <tr r="DF53" s="1"/>
        <tr r="DF53" s="1"/>
      </tp>
      <tp>
        <v>0</v>
        <stp/>
        <stp>BID</stp>
        <stp>.QQQ250505C493</stp>
        <tr r="DE54" s="1"/>
        <tr r="DE54" s="1"/>
      </tp>
      <tp>
        <v>7.5</v>
        <stp/>
        <stp>BID</stp>
        <stp>.QQQ250505P493</stp>
        <tr r="DF54" s="1"/>
        <tr r="DF54" s="1"/>
      </tp>
      <tp>
        <v>0</v>
        <stp/>
        <stp>BID</stp>
        <stp>.QQQ250505C492</stp>
        <tr r="DE55" s="1"/>
        <tr r="DE55" s="1"/>
      </tp>
      <tp>
        <v>6.5</v>
        <stp/>
        <stp>BID</stp>
        <stp>.QQQ250505P492</stp>
        <tr r="DF55" s="1"/>
        <tr r="DF55" s="1"/>
      </tp>
      <tp>
        <v>0</v>
        <stp/>
        <stp>BID</stp>
        <stp>.QQQ250505C491</stp>
        <tr r="DE56" s="1"/>
        <tr r="DE56" s="1"/>
      </tp>
      <tp>
        <v>5.5</v>
        <stp/>
        <stp>BID</stp>
        <stp>.QQQ250505P491</stp>
        <tr r="DF56" s="1"/>
        <tr r="DF56" s="1"/>
      </tp>
      <tp>
        <v>0</v>
        <stp/>
        <stp>BID</stp>
        <stp>.QQQ250505C490</stp>
        <tr r="DE57" s="1"/>
        <tr r="DE57" s="1"/>
      </tp>
      <tp>
        <v>4.5</v>
        <stp/>
        <stp>BID</stp>
        <stp>.QQQ250505P490</stp>
        <tr r="DF57" s="1"/>
        <tr r="DF57" s="1"/>
      </tp>
      <tp>
        <v>0</v>
        <stp/>
        <stp>BID</stp>
        <stp>.QQQ250505C489</stp>
        <tr r="DE58" s="1"/>
        <tr r="DE58" s="1"/>
      </tp>
      <tp>
        <v>3.55</v>
        <stp/>
        <stp>BID</stp>
        <stp>.QQQ250505P489</stp>
        <tr r="DF58" s="1"/>
        <tr r="DF58" s="1"/>
      </tp>
      <tp>
        <v>0</v>
        <stp/>
        <stp>BID</stp>
        <stp>.QQQ250505C488</stp>
        <tr r="DE59" s="1"/>
        <tr r="DE59" s="1"/>
      </tp>
      <tp>
        <v>2.52</v>
        <stp/>
        <stp>BID</stp>
        <stp>.QQQ250505P488</stp>
        <tr r="DF59" s="1"/>
        <tr r="DF59" s="1"/>
      </tp>
      <tp>
        <v>0.01</v>
        <stp/>
        <stp>BID</stp>
        <stp>.QQQ250505C487</stp>
        <tr r="DE60" s="1"/>
        <tr r="DE60" s="1"/>
      </tp>
      <tp>
        <v>1.57</v>
        <stp/>
        <stp>BID</stp>
        <stp>.QQQ250505P487</stp>
        <tr r="DF60" s="1"/>
        <tr r="DF60" s="1"/>
      </tp>
      <tp>
        <v>0.09</v>
        <stp/>
        <stp>BID</stp>
        <stp>.QQQ250505C486</stp>
        <tr r="DE61" s="1"/>
        <tr r="DE61" s="1"/>
      </tp>
      <tp>
        <v>0.74</v>
        <stp/>
        <stp>BID</stp>
        <stp>.QQQ250505P486</stp>
        <tr r="DF61" s="1"/>
        <tr r="DF61" s="1"/>
      </tp>
      <tp>
        <v>0.45</v>
        <stp/>
        <stp>BID</stp>
        <stp>.QQQ250505C485</stp>
        <tr r="DE62" s="1"/>
        <tr r="DE62" s="1"/>
      </tp>
      <tp>
        <v>0.17</v>
        <stp/>
        <stp>BID</stp>
        <stp>.QQQ250505P485</stp>
        <tr r="DF62" s="1"/>
        <tr r="DF62" s="1"/>
      </tp>
      <tp>
        <v>1.24</v>
        <stp/>
        <stp>BID</stp>
        <stp>.QQQ250505C484</stp>
        <tr r="DE63" s="1"/>
        <tr r="DE63" s="1"/>
      </tp>
      <tp>
        <v>0.02</v>
        <stp/>
        <stp>BID</stp>
        <stp>.QQQ250505P484</stp>
        <tr r="DF63" s="1"/>
        <tr r="DF63" s="1"/>
      </tp>
      <tp>
        <v>2.12</v>
        <stp/>
        <stp>BID</stp>
        <stp>.QQQ250505C483</stp>
        <tr r="DE64" s="1"/>
        <tr r="DE64" s="1"/>
      </tp>
      <tp>
        <v>0</v>
        <stp/>
        <stp>BID</stp>
        <stp>.QQQ250505P483</stp>
        <tr r="DF64" s="1"/>
        <tr r="DF64" s="1"/>
      </tp>
      <tp>
        <v>3.1</v>
        <stp/>
        <stp>BID</stp>
        <stp>.QQQ250505C482</stp>
        <tr r="DE65" s="1"/>
        <tr r="DE65" s="1"/>
      </tp>
      <tp>
        <v>0</v>
        <stp/>
        <stp>BID</stp>
        <stp>.QQQ250505P482</stp>
        <tr r="DF65" s="1"/>
        <tr r="DF65" s="1"/>
      </tp>
      <tp>
        <v>4.0999999999999996</v>
        <stp/>
        <stp>BID</stp>
        <stp>.QQQ250505C481</stp>
        <tr r="DE66" s="1"/>
        <tr r="DE66" s="1"/>
      </tp>
      <tp>
        <v>0</v>
        <stp/>
        <stp>BID</stp>
        <stp>.QQQ250505P481</stp>
        <tr r="DF66" s="1"/>
        <tr r="DF66" s="1"/>
      </tp>
      <tp>
        <v>5.0999999999999996</v>
        <stp/>
        <stp>BID</stp>
        <stp>.QQQ250505C480</stp>
        <tr r="DE67" s="1"/>
        <tr r="DE67" s="1"/>
      </tp>
      <tp>
        <v>0</v>
        <stp/>
        <stp>BID</stp>
        <stp>.QQQ250505P480</stp>
        <tr r="DF67" s="1"/>
        <tr r="DF67" s="1"/>
      </tp>
      <tp>
        <v>0.5</v>
        <stp/>
        <stp>ASK</stp>
        <stp>.QQQ250505C485</stp>
        <tr r="DC62" s="1"/>
        <tr r="DC62" s="1"/>
      </tp>
      <tp>
        <v>0.19</v>
        <stp/>
        <stp>ASK</stp>
        <stp>.QQQ250505P485</stp>
        <tr r="DD62" s="1"/>
        <tr r="DD62" s="1"/>
      </tp>
      <tp>
        <v>1.47</v>
        <stp/>
        <stp>ASK</stp>
        <stp>.QQQ250505C484</stp>
        <tr r="DC63" s="1"/>
        <tr r="DC63" s="1"/>
      </tp>
      <tp>
        <v>0.03</v>
        <stp/>
        <stp>ASK</stp>
        <stp>.QQQ250505P484</stp>
        <tr r="DD63" s="1"/>
        <tr r="DD63" s="1"/>
      </tp>
      <tp>
        <v>0.02</v>
        <stp/>
        <stp>ASK</stp>
        <stp>.QQQ250505C487</stp>
        <tr r="DC60" s="1"/>
        <tr r="DC60" s="1"/>
      </tp>
      <tp>
        <v>1.82</v>
        <stp/>
        <stp>ASK</stp>
        <stp>.QQQ250505P487</stp>
        <tr r="DD60" s="1"/>
        <tr r="DD60" s="1"/>
      </tp>
      <tp>
        <v>0.1</v>
        <stp/>
        <stp>ASK</stp>
        <stp>.QQQ250505C486</stp>
        <tr r="DC61" s="1"/>
        <tr r="DC61" s="1"/>
      </tp>
      <tp>
        <v>0.82</v>
        <stp/>
        <stp>ASK</stp>
        <stp>.QQQ250505P486</stp>
        <tr r="DD61" s="1"/>
        <tr r="DD61" s="1"/>
      </tp>
      <tp>
        <v>6.22</v>
        <stp/>
        <stp>ASK</stp>
        <stp>.QQQ250505C481</stp>
        <tr r="DC66" s="1"/>
        <tr r="DC66" s="1"/>
      </tp>
      <tp>
        <v>0.01</v>
        <stp/>
        <stp>ASK</stp>
        <stp>.QQQ250505P481</stp>
        <tr r="DD66" s="1"/>
        <tr r="DD66" s="1"/>
      </tp>
      <tp>
        <v>7.2</v>
        <stp/>
        <stp>ASK</stp>
        <stp>.QQQ250505C480</stp>
        <tr r="DC67" s="1"/>
        <tr r="DC67" s="1"/>
      </tp>
      <tp>
        <v>0.01</v>
        <stp/>
        <stp>ASK</stp>
        <stp>.QQQ250505P480</stp>
        <tr r="DD67" s="1"/>
        <tr r="DD67" s="1"/>
      </tp>
      <tp>
        <v>3.69</v>
        <stp/>
        <stp>ASK</stp>
        <stp>.QQQ250505C483</stp>
        <tr r="DC64" s="1"/>
        <tr r="DC64" s="1"/>
      </tp>
      <tp>
        <v>0.01</v>
        <stp/>
        <stp>ASK</stp>
        <stp>.QQQ250505P483</stp>
        <tr r="DD64" s="1"/>
        <tr r="DD64" s="1"/>
      </tp>
      <tp>
        <v>5.22</v>
        <stp/>
        <stp>ASK</stp>
        <stp>.QQQ250505C482</stp>
        <tr r="DC65" s="1"/>
        <tr r="DC65" s="1"/>
      </tp>
      <tp>
        <v>0.01</v>
        <stp/>
        <stp>ASK</stp>
        <stp>.QQQ250505P482</stp>
        <tr r="DD65" s="1"/>
        <tr r="DD65" s="1"/>
      </tp>
      <tp>
        <v>0.01</v>
        <stp/>
        <stp>ASK</stp>
        <stp>.QQQ250505C489</stp>
        <tr r="DC58" s="1"/>
        <tr r="DC58" s="1"/>
      </tp>
      <tp>
        <v>4</v>
        <stp/>
        <stp>ASK</stp>
        <stp>.QQQ250505P489</stp>
        <tr r="DD58" s="1"/>
        <tr r="DD58" s="1"/>
      </tp>
      <tp>
        <v>0.01</v>
        <stp/>
        <stp>ASK</stp>
        <stp>.QQQ250505C488</stp>
        <tr r="DC59" s="1"/>
        <tr r="DC59" s="1"/>
      </tp>
      <tp>
        <v>2.94</v>
        <stp/>
        <stp>ASK</stp>
        <stp>.QQQ250505P488</stp>
        <tr r="DD59" s="1"/>
        <tr r="DD59" s="1"/>
      </tp>
      <tp>
        <v>0.01</v>
        <stp/>
        <stp>ASK</stp>
        <stp>.QQQ250505C495</stp>
        <tr r="DC52" s="1"/>
        <tr r="DC52" s="1"/>
      </tp>
      <tp>
        <v>11.09</v>
        <stp/>
        <stp>ASK</stp>
        <stp>.QQQ250505P495</stp>
        <tr r="DD52" s="1"/>
        <tr r="DD52" s="1"/>
      </tp>
      <tp>
        <v>0.01</v>
        <stp/>
        <stp>ASK</stp>
        <stp>.QQQ250505C494</stp>
        <tr r="DC53" s="1"/>
        <tr r="DC53" s="1"/>
      </tp>
      <tp>
        <v>9.98</v>
        <stp/>
        <stp>ASK</stp>
        <stp>.QQQ250505P494</stp>
        <tr r="DD53" s="1"/>
        <tr r="DD53" s="1"/>
      </tp>
      <tp>
        <v>0.01</v>
        <stp/>
        <stp>ASK</stp>
        <stp>.QQQ250505C497</stp>
        <tr r="DC50" s="1"/>
        <tr r="DC50" s="1"/>
      </tp>
      <tp>
        <v>12.75</v>
        <stp/>
        <stp>ASK</stp>
        <stp>.QQQ250505P497</stp>
        <tr r="DD50" s="1"/>
        <tr r="DD50" s="1"/>
      </tp>
      <tp>
        <v>0.01</v>
        <stp/>
        <stp>ASK</stp>
        <stp>.QQQ250505C496</stp>
        <tr r="DC51" s="1"/>
        <tr r="DC51" s="1"/>
      </tp>
      <tp>
        <v>10.95</v>
        <stp/>
        <stp>ASK</stp>
        <stp>.QQQ250505P496</stp>
        <tr r="DD51" s="1"/>
        <tr r="DD51" s="1"/>
      </tp>
      <tp>
        <v>0.01</v>
        <stp/>
        <stp>ASK</stp>
        <stp>.QQQ250505C491</stp>
        <tr r="DC56" s="1"/>
        <tr r="DC56" s="1"/>
      </tp>
      <tp>
        <v>6.98</v>
        <stp/>
        <stp>ASK</stp>
        <stp>.QQQ250505P491</stp>
        <tr r="DD56" s="1"/>
        <tr r="DD56" s="1"/>
      </tp>
      <tp>
        <v>0.01</v>
        <stp/>
        <stp>ASK</stp>
        <stp>.QQQ250505C490</stp>
        <tr r="DC57" s="1"/>
        <tr r="DC57" s="1"/>
      </tp>
      <tp>
        <v>4.95</v>
        <stp/>
        <stp>ASK</stp>
        <stp>.QQQ250505P490</stp>
        <tr r="DD57" s="1"/>
        <tr r="DD57" s="1"/>
      </tp>
      <tp>
        <v>0.01</v>
        <stp/>
        <stp>ASK</stp>
        <stp>.QQQ250505C493</stp>
        <tr r="DC54" s="1"/>
        <tr r="DC54" s="1"/>
      </tp>
      <tp>
        <v>9.09</v>
        <stp/>
        <stp>ASK</stp>
        <stp>.QQQ250505P493</stp>
        <tr r="DD54" s="1"/>
        <tr r="DD54" s="1"/>
      </tp>
      <tp>
        <v>0.01</v>
        <stp/>
        <stp>ASK</stp>
        <stp>.QQQ250505C492</stp>
        <tr r="DC55" s="1"/>
        <tr r="DC55" s="1"/>
      </tp>
      <tp>
        <v>7.98</v>
        <stp/>
        <stp>ASK</stp>
        <stp>.QQQ250505P492</stp>
        <tr r="DD55" s="1"/>
        <tr r="DD55" s="1"/>
      </tp>
      <tp>
        <v>0.01</v>
        <stp/>
        <stp>ASK</stp>
        <stp>.QQQ250505C499</stp>
        <tr r="DC48" s="1"/>
        <tr r="DC48" s="1"/>
      </tp>
      <tp>
        <v>14.98</v>
        <stp/>
        <stp>ASK</stp>
        <stp>.QQQ250505P499</stp>
        <tr r="DD48" s="1"/>
        <tr r="DD48" s="1"/>
      </tp>
      <tp>
        <v>0.01</v>
        <stp/>
        <stp>ASK</stp>
        <stp>.QQQ250505C498</stp>
        <tr r="DC49" s="1"/>
        <tr r="DC49" s="1"/>
      </tp>
      <tp>
        <v>12.95</v>
        <stp/>
        <stp>ASK</stp>
        <stp>.QQQ250505P498</stp>
        <tr r="DD49" s="1"/>
        <tr r="DD49" s="1"/>
      </tp>
      <tp>
        <v>25</v>
        <stp/>
        <stp>OPEN_INT</stp>
        <stp>.NDX250516P20300</stp>
        <tr r="AX143" s="1"/>
        <tr r="AX143" s="1"/>
      </tp>
      <tp>
        <v>15</v>
        <stp/>
        <stp>OPEN_INT</stp>
        <stp>.NDX250516P19300</stp>
        <tr r="AX183" s="1"/>
        <tr r="AX183" s="1"/>
      </tp>
      <tp>
        <v>7</v>
        <stp/>
        <stp>OPEN_INT</stp>
        <stp>.NDX250516P20325</stp>
        <tr r="AX142" s="1"/>
        <tr r="AX142" s="1"/>
      </tp>
      <tp>
        <v>24</v>
        <stp/>
        <stp>OPEN_INT</stp>
        <stp>.NDX250516P19325</stp>
        <tr r="AX182" s="1"/>
        <tr r="AX182" s="1"/>
      </tp>
      <tp>
        <v>13</v>
        <stp/>
        <stp>OPEN_INT</stp>
        <stp>.NDX250516P20350</stp>
        <tr r="AX141" s="1"/>
        <tr r="AX141" s="1"/>
      </tp>
      <tp>
        <v>16</v>
        <stp/>
        <stp>OPEN_INT</stp>
        <stp>.NDX250516P19350</stp>
        <tr r="AX181" s="1"/>
        <tr r="AX181" s="1"/>
      </tp>
      <tp>
        <v>6</v>
        <stp/>
        <stp>OPEN_INT</stp>
        <stp>.NDX250516P20375</stp>
        <tr r="AX140" s="1"/>
        <tr r="AX140" s="1"/>
      </tp>
      <tp>
        <v>12</v>
        <stp/>
        <stp>OPEN_INT</stp>
        <stp>.NDX250516P19375</stp>
        <tr r="AX180" s="1"/>
        <tr r="AX180" s="1"/>
      </tp>
      <tp>
        <v>14</v>
        <stp/>
        <stp>OPEN_INT</stp>
        <stp>.NDX250516C20325</stp>
        <tr r="AW142" s="1"/>
        <tr r="AW142" s="1"/>
      </tp>
      <tp>
        <v>30</v>
        <stp/>
        <stp>OPEN_INT</stp>
        <stp>.NDX250516C19325</stp>
        <tr r="AW182" s="1"/>
        <tr r="AW182" s="1"/>
      </tp>
      <tp>
        <v>54</v>
        <stp/>
        <stp>OPEN_INT</stp>
        <stp>.NDX250516C20300</stp>
        <tr r="AW143" s="1"/>
        <tr r="AW143" s="1"/>
      </tp>
      <tp>
        <v>69</v>
        <stp/>
        <stp>OPEN_INT</stp>
        <stp>.NDX250516C19300</stp>
        <tr r="AW183" s="1"/>
        <tr r="AW183" s="1"/>
      </tp>
      <tp>
        <v>5503</v>
        <stp/>
        <stp>OPEN_INT</stp>
        <stp>.SPY250505P561</stp>
        <tr r="AT25" s="1"/>
        <tr r="AT25" s="1"/>
      </tp>
      <tp>
        <v>809</v>
        <stp/>
        <stp>OPEN_INT</stp>
        <stp>.SPY250516P572</stp>
        <tr r="AX14" s="1"/>
        <tr r="AX14" s="1"/>
      </tp>
      <tp>
        <v>2372</v>
        <stp/>
        <stp>OPEN_INT</stp>
        <stp>.SPY250505C561</stp>
        <tr r="AS25" s="1"/>
        <tr r="AS25" s="1"/>
      </tp>
      <tp>
        <v>2830</v>
        <stp/>
        <stp>OPEN_INT</stp>
        <stp>.SPY250516C572</stp>
        <tr r="AW14" s="1"/>
        <tr r="AW14" s="1"/>
      </tp>
      <tp>
        <v>19914</v>
        <stp/>
        <stp>OPEN_INT</stp>
        <stp>.SPY250505P560</stp>
        <tr r="AT26" s="1"/>
        <tr r="AT26" s="1"/>
      </tp>
      <tp>
        <v>532</v>
        <stp/>
        <stp>OPEN_INT</stp>
        <stp>.SPY250516P573</stp>
        <tr r="AX13" s="1"/>
        <tr r="AX13" s="1"/>
      </tp>
      <tp>
        <v>5725</v>
        <stp/>
        <stp>OPEN_INT</stp>
        <stp>.SPY250505C560</stp>
        <tr r="AS26" s="1"/>
        <tr r="AS26" s="1"/>
      </tp>
      <tp>
        <v>3726</v>
        <stp/>
        <stp>OPEN_INT</stp>
        <stp>.SPY250516C573</stp>
        <tr r="AW13" s="1"/>
        <tr r="AW13" s="1"/>
      </tp>
      <tp>
        <v>4217</v>
        <stp/>
        <stp>OPEN_INT</stp>
        <stp>.SPY250505P563</stp>
        <tr r="AT23" s="1"/>
        <tr r="AT23" s="1"/>
      </tp>
      <tp>
        <v>16060</v>
        <stp/>
        <stp>OPEN_INT</stp>
        <stp>.SPY250516P570</stp>
        <tr r="AX16" s="1"/>
        <tr r="AX16" s="1"/>
      </tp>
      <tp>
        <v>1402</v>
        <stp/>
        <stp>OPEN_INT</stp>
        <stp>.SPY250505C563</stp>
        <tr r="AS23" s="1"/>
        <tr r="AS23" s="1"/>
      </tp>
      <tp>
        <v>21921</v>
        <stp/>
        <stp>OPEN_INT</stp>
        <stp>.SPY250516C570</stp>
        <tr r="AW16" s="1"/>
        <tr r="AW16" s="1"/>
      </tp>
      <tp>
        <v>4625</v>
        <stp/>
        <stp>OPEN_INT</stp>
        <stp>.SPY250505P562</stp>
        <tr r="AT24" s="1"/>
        <tr r="AT24" s="1"/>
      </tp>
      <tp>
        <v>871</v>
        <stp/>
        <stp>OPEN_INT</stp>
        <stp>.SPY250516P571</stp>
        <tr r="AX15" s="1"/>
        <tr r="AX15" s="1"/>
      </tp>
      <tp>
        <v>1168</v>
        <stp/>
        <stp>OPEN_INT</stp>
        <stp>.SPY250505C562</stp>
        <tr r="AS24" s="1"/>
        <tr r="AS24" s="1"/>
      </tp>
      <tp>
        <v>3097</v>
        <stp/>
        <stp>OPEN_INT</stp>
        <stp>.SPY250516C571</stp>
        <tr r="AW15" s="1"/>
        <tr r="AW15" s="1"/>
      </tp>
      <tp>
        <v>8295</v>
        <stp/>
        <stp>OPEN_INT</stp>
        <stp>.SPY250505P565</stp>
        <tr r="AT21" s="1"/>
        <tr r="AT21" s="1"/>
      </tp>
      <tp>
        <v>3665</v>
        <stp/>
        <stp>OPEN_INT</stp>
        <stp>.SPY250509P569</stp>
        <tr r="AV17" s="1"/>
        <tr r="AV17" s="1"/>
      </tp>
      <tp>
        <v>309</v>
        <stp/>
        <stp>OPEN_INT</stp>
        <stp>.SPY250516P576</stp>
        <tr r="AX10" s="1"/>
        <tr r="AX10" s="1"/>
      </tp>
      <tp>
        <v>4040</v>
        <stp/>
        <stp>OPEN_INT</stp>
        <stp>.SPY250505C565</stp>
        <tr r="AS21" s="1"/>
        <tr r="AS21" s="1"/>
      </tp>
      <tp>
        <v>8923</v>
        <stp/>
        <stp>OPEN_INT</stp>
        <stp>.SPY250509C569</stp>
        <tr r="AU17" s="1"/>
        <tr r="AU17" s="1"/>
      </tp>
      <tp>
        <v>4396</v>
        <stp/>
        <stp>OPEN_INT</stp>
        <stp>.SPY250516C576</stp>
        <tr r="AW10" s="1"/>
        <tr r="AW10" s="1"/>
      </tp>
      <tp>
        <v>4981</v>
        <stp/>
        <stp>OPEN_INT</stp>
        <stp>.SPY250505P564</stp>
        <tr r="AT22" s="1"/>
        <tr r="AT22" s="1"/>
      </tp>
      <tp>
        <v>4366</v>
        <stp/>
        <stp>OPEN_INT</stp>
        <stp>.SPY250509P568</stp>
        <tr r="AV18" s="1"/>
        <tr r="AV18" s="1"/>
      </tp>
      <tp>
        <v>38</v>
        <stp/>
        <stp>OPEN_INT</stp>
        <stp>.SPY250516P577</stp>
        <tr r="AX9" s="1"/>
        <tr r="AX9" s="1"/>
      </tp>
      <tp>
        <v>1894</v>
        <stp/>
        <stp>OPEN_INT</stp>
        <stp>.SPY250505C564</stp>
        <tr r="AS22" s="1"/>
        <tr r="AS22" s="1"/>
      </tp>
      <tp>
        <v>10091</v>
        <stp/>
        <stp>OPEN_INT</stp>
        <stp>.SPY250509C568</stp>
        <tr r="AU18" s="1"/>
        <tr r="AU18" s="1"/>
      </tp>
      <tp>
        <v>4664</v>
        <stp/>
        <stp>OPEN_INT</stp>
        <stp>.SPY250516C577</stp>
        <tr r="AW9" s="1"/>
        <tr r="AW9" s="1"/>
      </tp>
      <tp>
        <v>8243</v>
        <stp/>
        <stp>OPEN_INT</stp>
        <stp>.SPY250505P567</stp>
        <tr r="AT19" s="1"/>
        <tr r="AT19" s="1"/>
      </tp>
      <tp>
        <v>368</v>
        <stp/>
        <stp>OPEN_INT</stp>
        <stp>.SPY250516P574</stp>
        <tr r="AX12" s="1"/>
        <tr r="AX12" s="1"/>
      </tp>
      <tp>
        <v>7914</v>
        <stp/>
        <stp>OPEN_INT</stp>
        <stp>.SPY250505C567</stp>
        <tr r="AS19" s="1"/>
        <tr r="AS19" s="1"/>
      </tp>
      <tp>
        <v>2859</v>
        <stp/>
        <stp>OPEN_INT</stp>
        <stp>.SPY250516C574</stp>
        <tr r="AW12" s="1"/>
        <tr r="AW12" s="1"/>
      </tp>
      <tp>
        <v>5663</v>
        <stp/>
        <stp>OPEN_INT</stp>
        <stp>.SPY250505P566</stp>
        <tr r="AT20" s="1"/>
        <tr r="AT20" s="1"/>
      </tp>
      <tp>
        <v>2972</v>
        <stp/>
        <stp>OPEN_INT</stp>
        <stp>.SPY250516P575</stp>
        <tr r="AX11" s="1"/>
        <tr r="AX11" s="1"/>
      </tp>
      <tp>
        <v>2856</v>
        <stp/>
        <stp>OPEN_INT</stp>
        <stp>.SPY250505C566</stp>
        <tr r="AS20" s="1"/>
        <tr r="AS20" s="1"/>
      </tp>
      <tp>
        <v>48089</v>
        <stp/>
        <stp>OPEN_INT</stp>
        <stp>.SPY250516C575</stp>
        <tr r="AW11" s="1"/>
        <tr r="AW11" s="1"/>
      </tp>
      <tp>
        <v>746</v>
        <stp/>
        <stp>OPEN_INT</stp>
        <stp>.SPY250505P569</stp>
        <tr r="AT17" s="1"/>
        <tr r="AT17" s="1"/>
      </tp>
      <tp>
        <v>11403</v>
        <stp/>
        <stp>OPEN_INT</stp>
        <stp>.SPY250509P565</stp>
        <tr r="AV21" s="1"/>
        <tr r="AV21" s="1"/>
      </tp>
      <tp>
        <v>5217</v>
        <stp/>
        <stp>OPEN_INT</stp>
        <stp>.SPY250505C569</stp>
        <tr r="AS17" s="1"/>
        <tr r="AS17" s="1"/>
      </tp>
      <tp>
        <v>8590</v>
        <stp/>
        <stp>OPEN_INT</stp>
        <stp>.SPY250509C565</stp>
        <tr r="AU21" s="1"/>
        <tr r="AU21" s="1"/>
      </tp>
      <tp>
        <v>3689</v>
        <stp/>
        <stp>OPEN_INT</stp>
        <stp>.SPY250505P568</stp>
        <tr r="AT18" s="1"/>
        <tr r="AT18" s="1"/>
      </tp>
      <tp>
        <v>5374</v>
        <stp/>
        <stp>OPEN_INT</stp>
        <stp>.SPY250509P564</stp>
        <tr r="AV22" s="1"/>
        <tr r="AV22" s="1"/>
      </tp>
      <tp>
        <v>7662</v>
        <stp/>
        <stp>OPEN_INT</stp>
        <stp>.SPY250505C568</stp>
        <tr r="AS18" s="1"/>
        <tr r="AS18" s="1"/>
      </tp>
      <tp>
        <v>4240</v>
        <stp/>
        <stp>OPEN_INT</stp>
        <stp>.SPY250509C564</stp>
        <tr r="AU22" s="1"/>
        <tr r="AU22" s="1"/>
      </tp>
      <tp>
        <v>2979</v>
        <stp/>
        <stp>OPEN_INT</stp>
        <stp>.SPY250509P567</stp>
        <tr r="AV19" s="1"/>
        <tr r="AV19" s="1"/>
      </tp>
      <tp>
        <v>295</v>
        <stp/>
        <stp>OPEN_INT</stp>
        <stp>.SPY250516P578</stp>
        <tr r="AX8" s="1"/>
        <tr r="AX8" s="1"/>
      </tp>
      <tp>
        <v>9415</v>
        <stp/>
        <stp>OPEN_INT</stp>
        <stp>.SPY250509C567</stp>
        <tr r="AU19" s="1"/>
        <tr r="AU19" s="1"/>
      </tp>
      <tp>
        <v>10374</v>
        <stp/>
        <stp>OPEN_INT</stp>
        <stp>.SPY250516C578</stp>
        <tr r="AW8" s="1"/>
        <tr r="AW8" s="1"/>
      </tp>
      <tp>
        <v>4830</v>
        <stp/>
        <stp>OPEN_INT</stp>
        <stp>.SPY250509P566</stp>
        <tr r="AV20" s="1"/>
        <tr r="AV20" s="1"/>
      </tp>
      <tp>
        <v>12</v>
        <stp/>
        <stp>OPEN_INT</stp>
        <stp>.SPY250516P579</stp>
        <tr r="AX7" s="1"/>
        <tr r="AX7" s="1"/>
      </tp>
      <tp>
        <v>8954</v>
        <stp/>
        <stp>OPEN_INT</stp>
        <stp>.SPY250509C566</stp>
        <tr r="AU20" s="1"/>
        <tr r="AU20" s="1"/>
      </tp>
      <tp>
        <v>4881</v>
        <stp/>
        <stp>OPEN_INT</stp>
        <stp>.SPY250516C579</stp>
        <tr r="AW7" s="1"/>
        <tr r="AW7" s="1"/>
      </tp>
      <tp>
        <v>4832</v>
        <stp/>
        <stp>OPEN_INT</stp>
        <stp>.SPY250509P561</stp>
        <tr r="AV25" s="1"/>
        <tr r="AV25" s="1"/>
      </tp>
      <tp>
        <v>2797</v>
        <stp/>
        <stp>OPEN_INT</stp>
        <stp>.SPY250509C561</stp>
        <tr r="AU25" s="1"/>
        <tr r="AU25" s="1"/>
      </tp>
      <tp>
        <v>15833</v>
        <stp/>
        <stp>OPEN_INT</stp>
        <stp>.SPY250509P560</stp>
        <tr r="AV26" s="1"/>
        <tr r="AV26" s="1"/>
      </tp>
      <tp>
        <v>8543</v>
        <stp/>
        <stp>OPEN_INT</stp>
        <stp>.SPY250509C560</stp>
        <tr r="AU26" s="1"/>
        <tr r="AU26" s="1"/>
      </tp>
      <tp>
        <v>6460</v>
        <stp/>
        <stp>OPEN_INT</stp>
        <stp>.SPY250509P563</stp>
        <tr r="AV23" s="1"/>
        <tr r="AV23" s="1"/>
      </tp>
      <tp>
        <v>3033</v>
        <stp/>
        <stp>OPEN_INT</stp>
        <stp>.SPY250509C563</stp>
        <tr r="AU23" s="1"/>
        <tr r="AU23" s="1"/>
      </tp>
      <tp>
        <v>7703</v>
        <stp/>
        <stp>OPEN_INT</stp>
        <stp>.SPY250509P562</stp>
        <tr r="AV24" s="1"/>
        <tr r="AV24" s="1"/>
      </tp>
      <tp>
        <v>3358</v>
        <stp/>
        <stp>OPEN_INT</stp>
        <stp>.SPY250509C562</stp>
        <tr r="AU24" s="1"/>
        <tr r="AU24" s="1"/>
      </tp>
      <tp>
        <v>16</v>
        <stp/>
        <stp>OPEN_INT</stp>
        <stp>.NDX250516C20375</stp>
        <tr r="AW140" s="1"/>
        <tr r="AW140" s="1"/>
      </tp>
      <tp>
        <v>18</v>
        <stp/>
        <stp>OPEN_INT</stp>
        <stp>.NDX250516C19375</stp>
        <tr r="AW180" s="1"/>
        <tr r="AW180" s="1"/>
      </tp>
      <tp>
        <v>571</v>
        <stp/>
        <stp>OPEN_INT</stp>
        <stp>.SPY250505P571</stp>
        <tr r="AT15" s="1"/>
        <tr r="AT15" s="1"/>
      </tp>
      <tp>
        <v>3006</v>
        <stp/>
        <stp>OPEN_INT</stp>
        <stp>.SPY250516P562</stp>
        <tr r="AX24" s="1"/>
        <tr r="AX24" s="1"/>
      </tp>
      <tp>
        <v>3514</v>
        <stp/>
        <stp>OPEN_INT</stp>
        <stp>.SPY250505C571</stp>
        <tr r="AS15" s="1"/>
        <tr r="AS15" s="1"/>
      </tp>
      <tp>
        <v>5448</v>
        <stp/>
        <stp>OPEN_INT</stp>
        <stp>.SPY250516C562</stp>
        <tr r="AW24" s="1"/>
        <tr r="AW24" s="1"/>
      </tp>
      <tp>
        <v>1349</v>
        <stp/>
        <stp>OPEN_INT</stp>
        <stp>.SPY250505P570</stp>
        <tr r="AT16" s="1"/>
        <tr r="AT16" s="1"/>
      </tp>
      <tp>
        <v>2369</v>
        <stp/>
        <stp>OPEN_INT</stp>
        <stp>.SPY250516P563</stp>
        <tr r="AX23" s="1"/>
        <tr r="AX23" s="1"/>
      </tp>
      <tp>
        <v>9300</v>
        <stp/>
        <stp>OPEN_INT</stp>
        <stp>.SPY250505C570</stp>
        <tr r="AS16" s="1"/>
        <tr r="AS16" s="1"/>
      </tp>
      <tp>
        <v>4571</v>
        <stp/>
        <stp>OPEN_INT</stp>
        <stp>.SPY250516C563</stp>
        <tr r="AW23" s="1"/>
        <tr r="AW23" s="1"/>
      </tp>
      <tp>
        <v>108</v>
        <stp/>
        <stp>OPEN_INT</stp>
        <stp>.SPY250505P573</stp>
        <tr r="AT13" s="1"/>
        <tr r="AT13" s="1"/>
      </tp>
      <tp>
        <v>33477</v>
        <stp/>
        <stp>OPEN_INT</stp>
        <stp>.SPY250516P560</stp>
        <tr r="AX26" s="1"/>
        <tr r="AX26" s="1"/>
      </tp>
      <tp>
        <v>6231</v>
        <stp/>
        <stp>OPEN_INT</stp>
        <stp>.SPY250505C573</stp>
        <tr r="AS13" s="1"/>
        <tr r="AS13" s="1"/>
      </tp>
      <tp>
        <v>11371</v>
        <stp/>
        <stp>OPEN_INT</stp>
        <stp>.SPY250516C560</stp>
        <tr r="AW26" s="1"/>
        <tr r="AW26" s="1"/>
      </tp>
      <tp>
        <v>700</v>
        <stp/>
        <stp>OPEN_INT</stp>
        <stp>.SPY250505P572</stp>
        <tr r="AT14" s="1"/>
        <tr r="AT14" s="1"/>
      </tp>
      <tp>
        <v>1601</v>
        <stp/>
        <stp>OPEN_INT</stp>
        <stp>.SPY250516P561</stp>
        <tr r="AX25" s="1"/>
        <tr r="AX25" s="1"/>
      </tp>
      <tp>
        <v>3978</v>
        <stp/>
        <stp>OPEN_INT</stp>
        <stp>.SPY250505C572</stp>
        <tr r="AS14" s="1"/>
        <tr r="AS14" s="1"/>
      </tp>
      <tp>
        <v>2999</v>
        <stp/>
        <stp>OPEN_INT</stp>
        <stp>.SPY250516C561</stp>
        <tr r="AW25" s="1"/>
        <tr r="AW25" s="1"/>
      </tp>
      <tp>
        <v>463</v>
        <stp/>
        <stp>OPEN_INT</stp>
        <stp>.SPY250505P575</stp>
        <tr r="AT11" s="1"/>
        <tr r="AT11" s="1"/>
      </tp>
      <tp>
        <v>9</v>
        <stp/>
        <stp>OPEN_INT</stp>
        <stp>.SPY250509P579</stp>
        <tr r="AV7" s="1"/>
        <tr r="AV7" s="1"/>
      </tp>
      <tp>
        <v>3770</v>
        <stp/>
        <stp>OPEN_INT</stp>
        <stp>.SPY250516P566</stp>
        <tr r="AX20" s="1"/>
        <tr r="AX20" s="1"/>
      </tp>
      <tp>
        <v>14340</v>
        <stp/>
        <stp>OPEN_INT</stp>
        <stp>.SPY250505C575</stp>
        <tr r="AS11" s="1"/>
        <tr r="AS11" s="1"/>
      </tp>
      <tp>
        <v>12052</v>
        <stp/>
        <stp>OPEN_INT</stp>
        <stp>.SPY250509C579</stp>
        <tr r="AU7" s="1"/>
        <tr r="AU7" s="1"/>
      </tp>
      <tp>
        <v>5539</v>
        <stp/>
        <stp>OPEN_INT</stp>
        <stp>.SPY250516C566</stp>
        <tr r="AW20" s="1"/>
        <tr r="AW20" s="1"/>
      </tp>
      <tp>
        <v>72</v>
        <stp/>
        <stp>OPEN_INT</stp>
        <stp>.SPY250505P574</stp>
        <tr r="AT12" s="1"/>
        <tr r="AT12" s="1"/>
      </tp>
      <tp>
        <v>15</v>
        <stp/>
        <stp>OPEN_INT</stp>
        <stp>.SPY250509P578</stp>
        <tr r="AV8" s="1"/>
        <tr r="AV8" s="1"/>
      </tp>
      <tp>
        <v>3231</v>
        <stp/>
        <stp>OPEN_INT</stp>
        <stp>.SPY250516P567</stp>
        <tr r="AX19" s="1"/>
        <tr r="AX19" s="1"/>
      </tp>
      <tp>
        <v>4166</v>
        <stp/>
        <stp>OPEN_INT</stp>
        <stp>.SPY250505C574</stp>
        <tr r="AS12" s="1"/>
        <tr r="AS12" s="1"/>
      </tp>
      <tp>
        <v>4793</v>
        <stp/>
        <stp>OPEN_INT</stp>
        <stp>.SPY250509C578</stp>
        <tr r="AU8" s="1"/>
        <tr r="AU8" s="1"/>
      </tp>
      <tp>
        <v>4563</v>
        <stp/>
        <stp>OPEN_INT</stp>
        <stp>.SPY250516C567</stp>
        <tr r="AW19" s="1"/>
        <tr r="AW19" s="1"/>
      </tp>
      <tp>
        <v>167</v>
        <stp/>
        <stp>OPEN_INT</stp>
        <stp>.SPY250505P577</stp>
        <tr r="AT9" s="1"/>
        <tr r="AT9" s="1"/>
      </tp>
      <tp>
        <v>2037</v>
        <stp/>
        <stp>OPEN_INT</stp>
        <stp>.SPY250516P564</stp>
        <tr r="AX22" s="1"/>
        <tr r="AX22" s="1"/>
      </tp>
      <tp>
        <v>7105</v>
        <stp/>
        <stp>OPEN_INT</stp>
        <stp>.SPY250505C577</stp>
        <tr r="AS9" s="1"/>
        <tr r="AS9" s="1"/>
      </tp>
      <tp>
        <v>3149</v>
        <stp/>
        <stp>OPEN_INT</stp>
        <stp>.SPY250516C564</stp>
        <tr r="AW22" s="1"/>
        <tr r="AW22" s="1"/>
      </tp>
      <tp>
        <v>182</v>
        <stp/>
        <stp>OPEN_INT</stp>
        <stp>.SPY250505P576</stp>
        <tr r="AT10" s="1"/>
        <tr r="AT10" s="1"/>
      </tp>
      <tp>
        <v>12287</v>
        <stp/>
        <stp>OPEN_INT</stp>
        <stp>.SPY250516P565</stp>
        <tr r="AX21" s="1"/>
        <tr r="AX21" s="1"/>
      </tp>
      <tp>
        <v>5140</v>
        <stp/>
        <stp>OPEN_INT</stp>
        <stp>.SPY250505C576</stp>
        <tr r="AS10" s="1"/>
        <tr r="AS10" s="1"/>
      </tp>
      <tp>
        <v>18222</v>
        <stp/>
        <stp>OPEN_INT</stp>
        <stp>.SPY250516C565</stp>
        <tr r="AW21" s="1"/>
        <tr r="AW21" s="1"/>
      </tp>
      <tp>
        <v>21</v>
        <stp/>
        <stp>OPEN_INT</stp>
        <stp>.SPY250505P579</stp>
        <tr r="AT7" s="1"/>
        <tr r="AT7" s="1"/>
      </tp>
      <tp>
        <v>129</v>
        <stp/>
        <stp>OPEN_INT</stp>
        <stp>.SPY250509P575</stp>
        <tr r="AV11" s="1"/>
        <tr r="AV11" s="1"/>
      </tp>
      <tp>
        <v>3225</v>
        <stp/>
        <stp>OPEN_INT</stp>
        <stp>.SPY250505C579</stp>
        <tr r="AS7" s="1"/>
        <tr r="AS7" s="1"/>
      </tp>
      <tp>
        <v>19915</v>
        <stp/>
        <stp>OPEN_INT</stp>
        <stp>.SPY250509C575</stp>
        <tr r="AU11" s="1"/>
        <tr r="AU11" s="1"/>
      </tp>
      <tp>
        <v>154</v>
        <stp/>
        <stp>OPEN_INT</stp>
        <stp>.SPY250505P578</stp>
        <tr r="AT8" s="1"/>
        <tr r="AT8" s="1"/>
      </tp>
      <tp>
        <v>90</v>
        <stp/>
        <stp>OPEN_INT</stp>
        <stp>.SPY250509P574</stp>
        <tr r="AV12" s="1"/>
        <tr r="AV12" s="1"/>
      </tp>
      <tp>
        <v>2453</v>
        <stp/>
        <stp>OPEN_INT</stp>
        <stp>.SPY250505C578</stp>
        <tr r="AS8" s="1"/>
        <tr r="AS8" s="1"/>
      </tp>
      <tp>
        <v>4115</v>
        <stp/>
        <stp>OPEN_INT</stp>
        <stp>.SPY250509C574</stp>
        <tr r="AU12" s="1"/>
        <tr r="AU12" s="1"/>
      </tp>
      <tp>
        <v>10</v>
        <stp/>
        <stp>OPEN_INT</stp>
        <stp>.SPY250509P577</stp>
        <tr r="AV9" s="1"/>
        <tr r="AV9" s="1"/>
      </tp>
      <tp>
        <v>3296</v>
        <stp/>
        <stp>OPEN_INT</stp>
        <stp>.SPY250516P568</stp>
        <tr r="AX18" s="1"/>
        <tr r="AX18" s="1"/>
      </tp>
      <tp>
        <v>4796</v>
        <stp/>
        <stp>OPEN_INT</stp>
        <stp>.SPY250509C577</stp>
        <tr r="AU9" s="1"/>
        <tr r="AU9" s="1"/>
      </tp>
      <tp>
        <v>7460</v>
        <stp/>
        <stp>OPEN_INT</stp>
        <stp>.SPY250516C568</stp>
        <tr r="AW18" s="1"/>
        <tr r="AW18" s="1"/>
      </tp>
      <tp>
        <v>87</v>
        <stp/>
        <stp>OPEN_INT</stp>
        <stp>.SPY250509P576</stp>
        <tr r="AV10" s="1"/>
        <tr r="AV10" s="1"/>
      </tp>
      <tp>
        <v>2398</v>
        <stp/>
        <stp>OPEN_INT</stp>
        <stp>.SPY250516P569</stp>
        <tr r="AX17" s="1"/>
        <tr r="AX17" s="1"/>
      </tp>
      <tp>
        <v>4756</v>
        <stp/>
        <stp>OPEN_INT</stp>
        <stp>.SPY250509C576</stp>
        <tr r="AU10" s="1"/>
        <tr r="AU10" s="1"/>
      </tp>
      <tp>
        <v>3633</v>
        <stp/>
        <stp>OPEN_INT</stp>
        <stp>.SPY250516C569</stp>
        <tr r="AW17" s="1"/>
        <tr r="AW17" s="1"/>
      </tp>
      <tp>
        <v>1983</v>
        <stp/>
        <stp>OPEN_INT</stp>
        <stp>.SPY250509P571</stp>
        <tr r="AV15" s="1"/>
        <tr r="AV15" s="1"/>
      </tp>
      <tp>
        <v>8834</v>
        <stp/>
        <stp>OPEN_INT</stp>
        <stp>.SPY250509C571</stp>
        <tr r="AU15" s="1"/>
        <tr r="AU15" s="1"/>
      </tp>
      <tp>
        <v>4234</v>
        <stp/>
        <stp>OPEN_INT</stp>
        <stp>.SPY250509P570</stp>
        <tr r="AV16" s="1"/>
        <tr r="AV16" s="1"/>
      </tp>
      <tp>
        <v>19050</v>
        <stp/>
        <stp>OPEN_INT</stp>
        <stp>.SPY250509C570</stp>
        <tr r="AU16" s="1"/>
        <tr r="AU16" s="1"/>
      </tp>
      <tp>
        <v>205</v>
        <stp/>
        <stp>OPEN_INT</stp>
        <stp>.SPY250509P573</stp>
        <tr r="AV13" s="1"/>
        <tr r="AV13" s="1"/>
      </tp>
      <tp>
        <v>7342</v>
        <stp/>
        <stp>OPEN_INT</stp>
        <stp>.SPY250509C573</stp>
        <tr r="AU13" s="1"/>
        <tr r="AU13" s="1"/>
      </tp>
      <tp>
        <v>828</v>
        <stp/>
        <stp>OPEN_INT</stp>
        <stp>.SPY250509P572</stp>
        <tr r="AV14" s="1"/>
        <tr r="AV14" s="1"/>
      </tp>
      <tp>
        <v>13194</v>
        <stp/>
        <stp>OPEN_INT</stp>
        <stp>.SPY250509C572</stp>
        <tr r="AU14" s="1"/>
        <tr r="AU14" s="1"/>
      </tp>
      <tp>
        <v>3250</v>
        <stp/>
        <stp>OPEN_INT</stp>
        <stp>.SPY250516P552</stp>
        <tr r="AX34" s="1"/>
        <tr r="AX34" s="1"/>
      </tp>
      <tp>
        <v>1985</v>
        <stp/>
        <stp>OPEN_INT</stp>
        <stp>.SPY250516C552</stp>
        <tr r="AW34" s="1"/>
        <tr r="AW34" s="1"/>
      </tp>
      <tp>
        <v>1737</v>
        <stp/>
        <stp>OPEN_INT</stp>
        <stp>.SPY250516P553</stp>
        <tr r="AX33" s="1"/>
        <tr r="AX33" s="1"/>
      </tp>
      <tp>
        <v>2517</v>
        <stp/>
        <stp>OPEN_INT</stp>
        <stp>.SPY250516C553</stp>
        <tr r="AW33" s="1"/>
        <tr r="AW33" s="1"/>
      </tp>
      <tp>
        <v>68016</v>
        <stp/>
        <stp>OPEN_INT</stp>
        <stp>.SPY250516P550</stp>
        <tr r="AX36" s="1"/>
        <tr r="AX36" s="1"/>
      </tp>
      <tp>
        <v>25029</v>
        <stp/>
        <stp>OPEN_INT</stp>
        <stp>.SPY250516C550</stp>
        <tr r="AW36" s="1"/>
        <tr r="AW36" s="1"/>
      </tp>
      <tp>
        <v>2647</v>
        <stp/>
        <stp>OPEN_INT</stp>
        <stp>.SPY250516P551</stp>
        <tr r="AX35" s="1"/>
        <tr r="AX35" s="1"/>
      </tp>
      <tp>
        <v>7295</v>
        <stp/>
        <stp>OPEN_INT</stp>
        <stp>.SPY250516C551</stp>
        <tr r="AW35" s="1"/>
        <tr r="AW35" s="1"/>
      </tp>
      <tp>
        <v>5525</v>
        <stp/>
        <stp>OPEN_INT</stp>
        <stp>.SPY250509P549</stp>
        <tr r="AV37" s="1"/>
        <tr r="AV37" s="1"/>
      </tp>
      <tp>
        <v>1880</v>
        <stp/>
        <stp>OPEN_INT</stp>
        <stp>.SPY250516P556</stp>
        <tr r="AX30" s="1"/>
        <tr r="AX30" s="1"/>
      </tp>
      <tp>
        <v>763</v>
        <stp/>
        <stp>OPEN_INT</stp>
        <stp>.SPY250509C549</stp>
        <tr r="AU37" s="1"/>
        <tr r="AU37" s="1"/>
      </tp>
      <tp>
        <v>1594</v>
        <stp/>
        <stp>OPEN_INT</stp>
        <stp>.SPY250516C556</stp>
        <tr r="AW30" s="1"/>
        <tr r="AW30" s="1"/>
      </tp>
      <tp>
        <v>6469</v>
        <stp/>
        <stp>OPEN_INT</stp>
        <stp>.SPY250509P548</stp>
        <tr r="AV38" s="1"/>
        <tr r="AV38" s="1"/>
      </tp>
      <tp>
        <v>9672</v>
        <stp/>
        <stp>OPEN_INT</stp>
        <stp>.SPY250516P557</stp>
        <tr r="AX29" s="1"/>
        <tr r="AX29" s="1"/>
      </tp>
      <tp>
        <v>993</v>
        <stp/>
        <stp>OPEN_INT</stp>
        <stp>.SPY250509C548</stp>
        <tr r="AU38" s="1"/>
        <tr r="AU38" s="1"/>
      </tp>
      <tp>
        <v>2046</v>
        <stp/>
        <stp>OPEN_INT</stp>
        <stp>.SPY250516C557</stp>
        <tr r="AW29" s="1"/>
        <tr r="AW29" s="1"/>
      </tp>
      <tp>
        <v>2591</v>
        <stp/>
        <stp>OPEN_INT</stp>
        <stp>.SPY250516P554</stp>
        <tr r="AX32" s="1"/>
        <tr r="AX32" s="1"/>
      </tp>
      <tp>
        <v>2061</v>
        <stp/>
        <stp>OPEN_INT</stp>
        <stp>.SPY250516C554</stp>
        <tr r="AW32" s="1"/>
        <tr r="AW32" s="1"/>
      </tp>
      <tp>
        <v>66778</v>
        <stp/>
        <stp>OPEN_INT</stp>
        <stp>.SPY250516P555</stp>
        <tr r="AX31" s="1"/>
        <tr r="AX31" s="1"/>
      </tp>
      <tp>
        <v>9058</v>
        <stp/>
        <stp>OPEN_INT</stp>
        <stp>.SPY250516C555</stp>
        <tr r="AW31" s="1"/>
        <tr r="AW31" s="1"/>
      </tp>
      <tp>
        <v>1959</v>
        <stp/>
        <stp>OPEN_INT</stp>
        <stp>.SPY250505P549</stp>
        <tr r="AT37" s="1"/>
        <tr r="AT37" s="1"/>
      </tp>
      <tp>
        <v>537</v>
        <stp/>
        <stp>OPEN_INT</stp>
        <stp>.SPY250505C549</stp>
        <tr r="AS37" s="1"/>
        <tr r="AS37" s="1"/>
      </tp>
      <tp>
        <v>2200</v>
        <stp/>
        <stp>OPEN_INT</stp>
        <stp>.SPY250505P548</stp>
        <tr r="AT38" s="1"/>
        <tr r="AT38" s="1"/>
      </tp>
      <tp>
        <v>669</v>
        <stp/>
        <stp>OPEN_INT</stp>
        <stp>.SPY250505C548</stp>
        <tr r="AS38" s="1"/>
        <tr r="AS38" s="1"/>
      </tp>
      <tp>
        <v>4304</v>
        <stp/>
        <stp>OPEN_INT</stp>
        <stp>.SPY250516P558</stp>
        <tr r="AX28" s="1"/>
        <tr r="AX28" s="1"/>
      </tp>
      <tp>
        <v>11331</v>
        <stp/>
        <stp>OPEN_INT</stp>
        <stp>.SPY250516C558</stp>
        <tr r="AW28" s="1"/>
        <tr r="AW28" s="1"/>
      </tp>
      <tp>
        <v>2139</v>
        <stp/>
        <stp>OPEN_INT</stp>
        <stp>.SPY250516P559</stp>
        <tr r="AX27" s="1"/>
        <tr r="AX27" s="1"/>
      </tp>
      <tp>
        <v>3305</v>
        <stp/>
        <stp>OPEN_INT</stp>
        <stp>.SPY250516C559</stp>
        <tr r="AW27" s="1"/>
        <tr r="AW27" s="1"/>
      </tp>
      <tp>
        <v>22</v>
        <stp/>
        <stp>OPEN_INT</stp>
        <stp>.NDX250516C20350</stp>
        <tr r="AW141" s="1"/>
        <tr r="AW141" s="1"/>
      </tp>
      <tp>
        <v>31</v>
        <stp/>
        <stp>OPEN_INT</stp>
        <stp>.NDX250516C19350</stp>
        <tr r="AW181" s="1"/>
        <tr r="AW181" s="1"/>
      </tp>
      <tp>
        <v>1755</v>
        <stp/>
        <stp>OPEN_INT</stp>
        <stp>.SPY250505P551</stp>
        <tr r="AT35" s="1"/>
        <tr r="AT35" s="1"/>
      </tp>
      <tp>
        <v>440</v>
        <stp/>
        <stp>OPEN_INT</stp>
        <stp>.SPY250505C551</stp>
        <tr r="AS35" s="1"/>
        <tr r="AS35" s="1"/>
      </tp>
      <tp>
        <v>7517</v>
        <stp/>
        <stp>OPEN_INT</stp>
        <stp>.SPY250505P550</stp>
        <tr r="AT36" s="1"/>
        <tr r="AT36" s="1"/>
      </tp>
      <tp>
        <v>2356</v>
        <stp/>
        <stp>OPEN_INT</stp>
        <stp>.SPY250505C550</stp>
        <tr r="AS36" s="1"/>
        <tr r="AS36" s="1"/>
      </tp>
      <tp>
        <v>3644</v>
        <stp/>
        <stp>OPEN_INT</stp>
        <stp>.SPY250505P553</stp>
        <tr r="AT33" s="1"/>
        <tr r="AT33" s="1"/>
      </tp>
      <tp>
        <v>698</v>
        <stp/>
        <stp>OPEN_INT</stp>
        <stp>.SPY250505C553</stp>
        <tr r="AS33" s="1"/>
        <tr r="AS33" s="1"/>
      </tp>
      <tp>
        <v>1657</v>
        <stp/>
        <stp>OPEN_INT</stp>
        <stp>.SPY250505P552</stp>
        <tr r="AT34" s="1"/>
        <tr r="AT34" s="1"/>
      </tp>
      <tp>
        <v>547</v>
        <stp/>
        <stp>OPEN_INT</stp>
        <stp>.SPY250505C552</stp>
        <tr r="AS34" s="1"/>
        <tr r="AS34" s="1"/>
      </tp>
      <tp>
        <v>9408</v>
        <stp/>
        <stp>OPEN_INT</stp>
        <stp>.SPY250505P555</stp>
        <tr r="AT31" s="1"/>
        <tr r="AT31" s="1"/>
      </tp>
      <tp>
        <v>4972</v>
        <stp/>
        <stp>OPEN_INT</stp>
        <stp>.SPY250509P559</stp>
        <tr r="AV27" s="1"/>
        <tr r="AV27" s="1"/>
      </tp>
      <tp>
        <v>2036</v>
        <stp/>
        <stp>OPEN_INT</stp>
        <stp>.SPY250505C555</stp>
        <tr r="AS31" s="1"/>
        <tr r="AS31" s="1"/>
      </tp>
      <tp>
        <v>4022</v>
        <stp/>
        <stp>OPEN_INT</stp>
        <stp>.SPY250509C559</stp>
        <tr r="AU27" s="1"/>
        <tr r="AU27" s="1"/>
      </tp>
      <tp>
        <v>4276</v>
        <stp/>
        <stp>OPEN_INT</stp>
        <stp>.SPY250505P554</stp>
        <tr r="AT32" s="1"/>
        <tr r="AT32" s="1"/>
      </tp>
      <tp>
        <v>7744</v>
        <stp/>
        <stp>OPEN_INT</stp>
        <stp>.SPY250509P558</stp>
        <tr r="AV28" s="1"/>
        <tr r="AV28" s="1"/>
      </tp>
      <tp>
        <v>652</v>
        <stp/>
        <stp>OPEN_INT</stp>
        <stp>.SPY250505C554</stp>
        <tr r="AS32" s="1"/>
        <tr r="AS32" s="1"/>
      </tp>
      <tp>
        <v>1849</v>
        <stp/>
        <stp>OPEN_INT</stp>
        <stp>.SPY250509C558</stp>
        <tr r="AU28" s="1"/>
        <tr r="AU28" s="1"/>
      </tp>
      <tp>
        <v>5846</v>
        <stp/>
        <stp>OPEN_INT</stp>
        <stp>.SPY250505P557</stp>
        <tr r="AT29" s="1"/>
        <tr r="AT29" s="1"/>
      </tp>
      <tp>
        <v>757</v>
        <stp/>
        <stp>OPEN_INT</stp>
        <stp>.SPY250505C557</stp>
        <tr r="AS29" s="1"/>
        <tr r="AS29" s="1"/>
      </tp>
      <tp>
        <v>3364</v>
        <stp/>
        <stp>OPEN_INT</stp>
        <stp>.SPY250505P556</stp>
        <tr r="AT30" s="1"/>
        <tr r="AT30" s="1"/>
      </tp>
      <tp>
        <v>630</v>
        <stp/>
        <stp>OPEN_INT</stp>
        <stp>.SPY250505C556</stp>
        <tr r="AS30" s="1"/>
        <tr r="AS30" s="1"/>
      </tp>
      <tp>
        <v>2783</v>
        <stp/>
        <stp>OPEN_INT</stp>
        <stp>.SPY250505P559</stp>
        <tr r="AT27" s="1"/>
        <tr r="AT27" s="1"/>
      </tp>
      <tp>
        <v>19429</v>
        <stp/>
        <stp>OPEN_INT</stp>
        <stp>.SPY250509P555</stp>
        <tr r="AV31" s="1"/>
        <tr r="AV31" s="1"/>
      </tp>
      <tp>
        <v>753</v>
        <stp/>
        <stp>OPEN_INT</stp>
        <stp>.SPY250505C559</stp>
        <tr r="AS27" s="1"/>
        <tr r="AS27" s="1"/>
      </tp>
      <tp>
        <v>9529</v>
        <stp/>
        <stp>OPEN_INT</stp>
        <stp>.SPY250509C555</stp>
        <tr r="AU31" s="1"/>
        <tr r="AU31" s="1"/>
      </tp>
      <tp>
        <v>3738</v>
        <stp/>
        <stp>OPEN_INT</stp>
        <stp>.SPY250505P558</stp>
        <tr r="AT28" s="1"/>
        <tr r="AT28" s="1"/>
      </tp>
      <tp>
        <v>8058</v>
        <stp/>
        <stp>OPEN_INT</stp>
        <stp>.SPY250509P554</stp>
        <tr r="AV32" s="1"/>
        <tr r="AV32" s="1"/>
      </tp>
      <tp>
        <v>1007</v>
        <stp/>
        <stp>OPEN_INT</stp>
        <stp>.SPY250505C558</stp>
        <tr r="AS28" s="1"/>
        <tr r="AS28" s="1"/>
      </tp>
      <tp>
        <v>762</v>
        <stp/>
        <stp>OPEN_INT</stp>
        <stp>.SPY250509C554</stp>
        <tr r="AU32" s="1"/>
        <tr r="AU32" s="1"/>
      </tp>
      <tp>
        <v>7454</v>
        <stp/>
        <stp>OPEN_INT</stp>
        <stp>.SPY250509P557</stp>
        <tr r="AV29" s="1"/>
        <tr r="AV29" s="1"/>
      </tp>
      <tp>
        <v>5862</v>
        <stp/>
        <stp>OPEN_INT</stp>
        <stp>.SPY250516P548</stp>
        <tr r="AX38" s="1"/>
        <tr r="AX38" s="1"/>
      </tp>
      <tp>
        <v>1121</v>
        <stp/>
        <stp>OPEN_INT</stp>
        <stp>.SPY250509C557</stp>
        <tr r="AU29" s="1"/>
        <tr r="AU29" s="1"/>
      </tp>
      <tp>
        <v>5696</v>
        <stp/>
        <stp>OPEN_INT</stp>
        <stp>.SPY250516C548</stp>
        <tr r="AW38" s="1"/>
        <tr r="AW38" s="1"/>
      </tp>
      <tp>
        <v>5676</v>
        <stp/>
        <stp>OPEN_INT</stp>
        <stp>.SPY250509P556</stp>
        <tr r="AV30" s="1"/>
        <tr r="AV30" s="1"/>
      </tp>
      <tp>
        <v>4909</v>
        <stp/>
        <stp>OPEN_INT</stp>
        <stp>.SPY250516P549</stp>
        <tr r="AX37" s="1"/>
        <tr r="AX37" s="1"/>
      </tp>
      <tp>
        <v>1662</v>
        <stp/>
        <stp>OPEN_INT</stp>
        <stp>.SPY250509C556</stp>
        <tr r="AU30" s="1"/>
        <tr r="AU30" s="1"/>
      </tp>
      <tp>
        <v>4403</v>
        <stp/>
        <stp>OPEN_INT</stp>
        <stp>.SPY250516C549</stp>
        <tr r="AW37" s="1"/>
        <tr r="AW37" s="1"/>
      </tp>
      <tp>
        <v>5176</v>
        <stp/>
        <stp>OPEN_INT</stp>
        <stp>.SPY250509P551</stp>
        <tr r="AV35" s="1"/>
        <tr r="AV35" s="1"/>
      </tp>
      <tp>
        <v>1137</v>
        <stp/>
        <stp>OPEN_INT</stp>
        <stp>.SPY250509C551</stp>
        <tr r="AU35" s="1"/>
        <tr r="AU35" s="1"/>
      </tp>
      <tp>
        <v>30439</v>
        <stp/>
        <stp>OPEN_INT</stp>
        <stp>.SPY250509P550</stp>
        <tr r="AV36" s="1"/>
        <tr r="AV36" s="1"/>
      </tp>
      <tp>
        <v>8580</v>
        <stp/>
        <stp>OPEN_INT</stp>
        <stp>.SPY250509C550</stp>
        <tr r="AU36" s="1"/>
        <tr r="AU36" s="1"/>
      </tp>
      <tp>
        <v>4373</v>
        <stp/>
        <stp>OPEN_INT</stp>
        <stp>.SPY250509P553</stp>
        <tr r="AV33" s="1"/>
        <tr r="AV33" s="1"/>
      </tp>
      <tp>
        <v>844</v>
        <stp/>
        <stp>OPEN_INT</stp>
        <stp>.SPY250509C553</stp>
        <tr r="AU33" s="1"/>
        <tr r="AU33" s="1"/>
      </tp>
      <tp>
        <v>10369</v>
        <stp/>
        <stp>OPEN_INT</stp>
        <stp>.SPY250509P552</stp>
        <tr r="AV34" s="1"/>
        <tr r="AV34" s="1"/>
      </tp>
      <tp>
        <v>544</v>
        <stp/>
        <stp>OPEN_INT</stp>
        <stp>.SPY250509C552</stp>
        <tr r="AU34" s="1"/>
        <tr r="AU34" s="1"/>
      </tp>
      <tp>
        <v>25</v>
        <stp/>
        <stp>OPEN_INT</stp>
        <stp>.SPY250505P581</stp>
        <tr r="AT5" s="1"/>
        <tr r="AT5" s="1"/>
      </tp>
      <tp>
        <v>3347</v>
        <stp/>
        <stp>OPEN_INT</stp>
        <stp>.SPY250505C581</stp>
        <tr r="AS5" s="1"/>
        <tr r="AS5" s="1"/>
      </tp>
      <tp>
        <v>33</v>
        <stp/>
        <stp>OPEN_INT</stp>
        <stp>.SPY250505P580</stp>
        <tr r="AT6" s="1"/>
        <tr r="AT6" s="1"/>
      </tp>
      <tp>
        <v>8211</v>
        <stp/>
        <stp>OPEN_INT</stp>
        <stp>.SPY250505C580</stp>
        <tr r="AS6" s="1"/>
        <tr r="AS6" s="1"/>
      </tp>
      <tp>
        <v>0</v>
        <stp/>
        <stp>OPEN_INT</stp>
        <stp>.SPY250505P582</stp>
        <tr r="AT4" s="1"/>
        <tr r="AT4" s="1"/>
      </tp>
      <tp>
        <v>3635</v>
        <stp/>
        <stp>OPEN_INT</stp>
        <stp>.SPY250505C582</stp>
        <tr r="AS4" s="1"/>
        <tr r="AS4" s="1"/>
      </tp>
      <tp>
        <v>25</v>
        <stp/>
        <stp>OPEN_INT</stp>
        <stp>.SPY250509P581</stp>
        <tr r="AV5" s="1"/>
        <tr r="AV5" s="1"/>
      </tp>
      <tp>
        <v>3016</v>
        <stp/>
        <stp>OPEN_INT</stp>
        <stp>.SPY250509C581</stp>
        <tr r="AU5" s="1"/>
        <tr r="AU5" s="1"/>
      </tp>
      <tp>
        <v>138</v>
        <stp/>
        <stp>OPEN_INT</stp>
        <stp>.SPY250509P580</stp>
        <tr r="AV6" s="1"/>
        <tr r="AV6" s="1"/>
      </tp>
      <tp>
        <v>19175</v>
        <stp/>
        <stp>OPEN_INT</stp>
        <stp>.SPY250509C580</stp>
        <tr r="AU6" s="1"/>
        <tr r="AU6" s="1"/>
      </tp>
      <tp>
        <v>17</v>
        <stp/>
        <stp>OPEN_INT</stp>
        <stp>.SPY250509P582</stp>
        <tr r="AV4" s="1"/>
        <tr r="AV4" s="1"/>
      </tp>
      <tp>
        <v>5262</v>
        <stp/>
        <stp>OPEN_INT</stp>
        <stp>.SPY250509C582</stp>
        <tr r="AU4" s="1"/>
        <tr r="AU4" s="1"/>
      </tp>
      <tp>
        <v>2</v>
        <stp/>
        <stp>OPEN_INT</stp>
        <stp>.SPY250516P582</stp>
        <tr r="AX4" s="1"/>
        <tr r="AX4" s="1"/>
      </tp>
      <tp>
        <v>3822</v>
        <stp/>
        <stp>OPEN_INT</stp>
        <stp>.SPY250516C582</stp>
        <tr r="AW4" s="1"/>
        <tr r="AW4" s="1"/>
      </tp>
      <tp>
        <v>1631</v>
        <stp/>
        <stp>OPEN_INT</stp>
        <stp>.SPY250516P580</stp>
        <tr r="AX6" s="1"/>
        <tr r="AX6" s="1"/>
      </tp>
      <tp>
        <v>30852</v>
        <stp/>
        <stp>OPEN_INT</stp>
        <stp>.SPY250516C580</stp>
        <tr r="AW6" s="1"/>
        <tr r="AW6" s="1"/>
      </tp>
      <tp>
        <v>44</v>
        <stp/>
        <stp>OPEN_INT</stp>
        <stp>.SPY250516P581</stp>
        <tr r="AX5" s="1"/>
        <tr r="AX5" s="1"/>
      </tp>
      <tp>
        <v>4554</v>
        <stp/>
        <stp>OPEN_INT</stp>
        <stp>.SPY250516C581</stp>
        <tr r="AW5" s="1"/>
        <tr r="AW5" s="1"/>
      </tp>
      <tp>
        <v>16</v>
        <stp/>
        <stp>OPEN_INT</stp>
        <stp>.NDX250516P20200</stp>
        <tr r="AX147" s="1"/>
        <tr r="AX147" s="1"/>
      </tp>
      <tp>
        <v>147</v>
        <stp/>
        <stp>OPEN_INT</stp>
        <stp>.NDX250516P19200</stp>
        <tr r="AX187" s="1"/>
        <tr r="AX187" s="1"/>
      </tp>
      <tp>
        <v>29</v>
        <stp/>
        <stp>OPEN_INT</stp>
        <stp>.NDX250516P20225</stp>
        <tr r="AX146" s="1"/>
        <tr r="AX146" s="1"/>
      </tp>
      <tp>
        <v>9</v>
        <stp/>
        <stp>OPEN_INT</stp>
        <stp>.NDX250516P19225</stp>
        <tr r="AX186" s="1"/>
        <tr r="AX186" s="1"/>
      </tp>
      <tp>
        <v>5</v>
        <stp/>
        <stp>OPEN_INT</stp>
        <stp>.NDX250516P20250</stp>
        <tr r="AX145" s="1"/>
        <tr r="AX145" s="1"/>
      </tp>
      <tp>
        <v>7</v>
        <stp/>
        <stp>OPEN_INT</stp>
        <stp>.NDX250516P19250</stp>
        <tr r="AX185" s="1"/>
        <tr r="AX185" s="1"/>
      </tp>
      <tp>
        <v>2</v>
        <stp/>
        <stp>OPEN_INT</stp>
        <stp>.NDX250516P20275</stp>
        <tr r="AX144" s="1"/>
        <tr r="AX144" s="1"/>
      </tp>
      <tp>
        <v>6</v>
        <stp/>
        <stp>OPEN_INT</stp>
        <stp>.NDX250516P19275</stp>
        <tr r="AX184" s="1"/>
        <tr r="AX184" s="1"/>
      </tp>
      <tp>
        <v>34</v>
        <stp/>
        <stp>OPEN_INT</stp>
        <stp>.NDX250516C20225</stp>
        <tr r="AW146" s="1"/>
        <tr r="AW146" s="1"/>
      </tp>
      <tp>
        <v>4</v>
        <stp/>
        <stp>OPEN_INT</stp>
        <stp>.NDX250516C19225</stp>
        <tr r="AW186" s="1"/>
        <tr r="AW186" s="1"/>
      </tp>
      <tp>
        <v>56</v>
        <stp/>
        <stp>OPEN_INT</stp>
        <stp>.NDX250516C20200</stp>
        <tr r="AW147" s="1"/>
        <tr r="AW147" s="1"/>
      </tp>
      <tp>
        <v>80</v>
        <stp/>
        <stp>OPEN_INT</stp>
        <stp>.NDX250516C19200</stp>
        <tr r="AW187" s="1"/>
        <tr r="AW187" s="1"/>
      </tp>
      <tp>
        <v>24</v>
        <stp/>
        <stp>OPEN_INT</stp>
        <stp>.NDX250516C20275</stp>
        <tr r="AW144" s="1"/>
        <tr r="AW144" s="1"/>
      </tp>
      <tp>
        <v>10</v>
        <stp/>
        <stp>OPEN_INT</stp>
        <stp>.NDX250516C19275</stp>
        <tr r="AW184" s="1"/>
        <tr r="AW184" s="1"/>
      </tp>
      <tp>
        <v>58</v>
        <stp/>
        <stp>OPEN_INT</stp>
        <stp>.NDX250516C20250</stp>
        <tr r="AW145" s="1"/>
        <tr r="AW145" s="1"/>
      </tp>
      <tp>
        <v>21</v>
        <stp/>
        <stp>OPEN_INT</stp>
        <stp>.NDX250516C19250</stp>
        <tr r="AW185" s="1"/>
        <tr r="AW185" s="1"/>
      </tp>
      <tp>
        <v>75</v>
        <stp/>
        <stp>OPEN_INT</stp>
        <stp>.NDX250516P20100</stp>
        <tr r="AX151" s="1"/>
        <tr r="AX151" s="1"/>
      </tp>
      <tp>
        <v>31</v>
        <stp/>
        <stp>OPEN_INT</stp>
        <stp>.NDX250516P20125</stp>
        <tr r="AX150" s="1"/>
        <tr r="AX150" s="1"/>
      </tp>
      <tp>
        <v>8</v>
        <stp/>
        <stp>OPEN_INT</stp>
        <stp>.NDX250516P20150</stp>
        <tr r="AX149" s="1"/>
        <tr r="AX149" s="1"/>
      </tp>
      <tp>
        <v>10</v>
        <stp/>
        <stp>OPEN_INT</stp>
        <stp>.NDX250516P19150</stp>
        <tr r="AX189" s="1"/>
        <tr r="AX189" s="1"/>
      </tp>
      <tp>
        <v>11</v>
        <stp/>
        <stp>OPEN_INT</stp>
        <stp>.NDX250516P20175</stp>
        <tr r="AX148" s="1"/>
        <tr r="AX148" s="1"/>
      </tp>
      <tp>
        <v>12</v>
        <stp/>
        <stp>OPEN_INT</stp>
        <stp>.NDX250516P19175</stp>
        <tr r="AX188" s="1"/>
        <tr r="AX188" s="1"/>
      </tp>
      <tp>
        <v>31</v>
        <stp/>
        <stp>OPEN_INT</stp>
        <stp>.NDX250516C20125</stp>
        <tr r="AW150" s="1"/>
        <tr r="AW150" s="1"/>
      </tp>
      <tp>
        <v>92</v>
        <stp/>
        <stp>OPEN_INT</stp>
        <stp>.NDX250516C20100</stp>
        <tr r="AW151" s="1"/>
        <tr r="AW151" s="1"/>
      </tp>
      <tp>
        <v>17</v>
        <stp/>
        <stp>OPEN_INT</stp>
        <stp>.NDX250516C20175</stp>
        <tr r="AW148" s="1"/>
        <tr r="AW148" s="1"/>
      </tp>
      <tp>
        <v>5</v>
        <stp/>
        <stp>OPEN_INT</stp>
        <stp>.NDX250516C19175</stp>
        <tr r="AW188" s="1"/>
        <tr r="AW188" s="1"/>
      </tp>
      <tp>
        <v>21</v>
        <stp/>
        <stp>OPEN_INT</stp>
        <stp>.NDX250516C20150</stp>
        <tr r="AW149" s="1"/>
        <tr r="AW149" s="1"/>
      </tp>
      <tp>
        <v>11</v>
        <stp/>
        <stp>OPEN_INT</stp>
        <stp>.NDX250516C19150</stp>
        <tr r="AW189" s="1"/>
        <tr r="AW189" s="1"/>
      </tp>
      <tp t="s">
        <v>21.27%</v>
        <stp/>
        <stp>IMPL_VOL</stp>
        <stp>.SPXW250516C5850</stp>
        <tr r="EP87" s="1"/>
      </tp>
      <tp t="s">
        <v>18.61%</v>
        <stp/>
        <stp>IMPL_VOL</stp>
        <stp>.SPXW250516P5850</stp>
        <tr r="EQ87" s="1"/>
      </tp>
      <tp t="s">
        <v>21.38%</v>
        <stp/>
        <stp>IMPL_VOL</stp>
        <stp>.SPXW250516C5840</stp>
        <tr r="EP88" s="1"/>
      </tp>
      <tp t="s">
        <v>19.06%</v>
        <stp/>
        <stp>IMPL_VOL</stp>
        <stp>.SPXW250516P5840</stp>
        <tr r="EQ88" s="1"/>
      </tp>
      <tp t="s">
        <v>21.05%</v>
        <stp/>
        <stp>IMPL_VOL</stp>
        <stp>.SPXW250516C5870</stp>
        <tr r="EP85" s="1"/>
      </tp>
      <tp t="s">
        <v>16.97%</v>
        <stp/>
        <stp>IMPL_VOL</stp>
        <stp>.SPXW250516P5870</stp>
        <tr r="EQ85" s="1"/>
      </tp>
      <tp t="s">
        <v>21.18%</v>
        <stp/>
        <stp>IMPL_VOL</stp>
        <stp>.SPXW250516C5860</stp>
        <tr r="EP86" s="1"/>
      </tp>
      <tp t="s">
        <v>18.14%</v>
        <stp/>
        <stp>IMPL_VOL</stp>
        <stp>.SPXW250516P5860</stp>
        <tr r="EQ86" s="1"/>
      </tp>
      <tp t="s">
        <v>21.77%</v>
        <stp/>
        <stp>IMPL_VOL</stp>
        <stp>.SPXW250516C5810</stp>
        <tr r="EP91" s="1"/>
      </tp>
      <tp t="s">
        <v>20.02%</v>
        <stp/>
        <stp>IMPL_VOL</stp>
        <stp>.SPXW250516P5810</stp>
        <tr r="EQ91" s="1"/>
      </tp>
      <tp t="s">
        <v>21.94%</v>
        <stp/>
        <stp>IMPL_VOL</stp>
        <stp>.SPXW250516C5800</stp>
        <tr r="EP92" s="1"/>
      </tp>
      <tp t="s">
        <v>20.24%</v>
        <stp/>
        <stp>IMPL_VOL</stp>
        <stp>.SPXW250516P5800</stp>
        <tr r="EQ92" s="1"/>
      </tp>
      <tp t="s">
        <v>21.53%</v>
        <stp/>
        <stp>IMPL_VOL</stp>
        <stp>.SPXW250516C5830</stp>
        <tr r="EP89" s="1"/>
      </tp>
      <tp t="s">
        <v>19.40%</v>
        <stp/>
        <stp>IMPL_VOL</stp>
        <stp>.SPXW250516P5830</stp>
        <tr r="EQ89" s="1"/>
      </tp>
      <tp t="s">
        <v>21.62%</v>
        <stp/>
        <stp>IMPL_VOL</stp>
        <stp>.SPXW250516C5820</stp>
        <tr r="EP90" s="1"/>
      </tp>
      <tp t="s">
        <v>19.72%</v>
        <stp/>
        <stp>IMPL_VOL</stp>
        <stp>.SPXW250516P5820</stp>
        <tr r="EQ90" s="1"/>
      </tp>
      <tp>
        <v>120</v>
        <stp/>
        <stp>OPEN_INT</stp>
        <stp>.NDX250516P20000</stp>
        <tr r="AX155" s="1"/>
        <tr r="AX155" s="1"/>
      </tp>
      <tp>
        <v>33</v>
        <stp/>
        <stp>OPEN_INT</stp>
        <stp>.NDX250516P20025</stp>
        <tr r="AX154" s="1"/>
        <tr r="AX154" s="1"/>
      </tp>
      <tp>
        <v>13</v>
        <stp/>
        <stp>OPEN_INT</stp>
        <stp>.NDX250516P20050</stp>
        <tr r="AX153" s="1"/>
        <tr r="AX153" s="1"/>
      </tp>
      <tp>
        <v>20</v>
        <stp/>
        <stp>OPEN_INT</stp>
        <stp>.NDX250516P20075</stp>
        <tr r="AX152" s="1"/>
        <tr r="AX152" s="1"/>
      </tp>
      <tp>
        <v>35</v>
        <stp/>
        <stp>OPEN_INT</stp>
        <stp>.NDX250516C20025</stp>
        <tr r="AW154" s="1"/>
        <tr r="AW154" s="1"/>
      </tp>
      <tp>
        <v>144</v>
        <stp/>
        <stp>OPEN_INT</stp>
        <stp>.NDX250516C20000</stp>
        <tr r="AW155" s="1"/>
        <tr r="AW155" s="1"/>
      </tp>
      <tp>
        <v>36</v>
        <stp/>
        <stp>OPEN_INT</stp>
        <stp>.NDX250516C20075</stp>
        <tr r="AW152" s="1"/>
        <tr r="AW152" s="1"/>
      </tp>
      <tp>
        <v>30</v>
        <stp/>
        <stp>OPEN_INT</stp>
        <stp>.NDX250516C20050</stp>
        <tr r="AW153" s="1"/>
        <tr r="AW153" s="1"/>
      </tp>
      <tp t="s">
        <v>125.31%</v>
        <stp/>
        <stp>IMPL_VOL</stp>
        <stp>.SPXW250509C5820</stp>
        <tr r="EN90" s="1"/>
      </tp>
      <tp t="s">
        <v>125.28%</v>
        <stp/>
        <stp>IMPL_VOL</stp>
        <stp>.SPXW250509P5820</stp>
        <tr r="EO90" s="1"/>
      </tp>
      <tp t="s">
        <v>132.31%</v>
        <stp/>
        <stp>IMPL_VOL</stp>
        <stp>.SPXW250509C5830</stp>
        <tr r="EN89" s="1"/>
      </tp>
      <tp t="s">
        <v>132.30%</v>
        <stp/>
        <stp>IMPL_VOL</stp>
        <stp>.SPXW250509P5830</stp>
        <tr r="EO89" s="1"/>
      </tp>
      <tp t="s">
        <v>110.98%</v>
        <stp/>
        <stp>IMPL_VOL</stp>
        <stp>.SPXW250509C5800</stp>
        <tr r="EN92" s="1"/>
      </tp>
      <tp t="s">
        <v>140.89%</v>
        <stp/>
        <stp>IMPL_VOL</stp>
        <stp>.SPXW250509P5800</stp>
        <tr r="EO92" s="1"/>
      </tp>
      <tp t="s">
        <v>118.05%</v>
        <stp/>
        <stp>IMPL_VOL</stp>
        <stp>.SPXW250509C5810</stp>
        <tr r="EN91" s="1"/>
      </tp>
      <tp t="s">
        <v>118.01%</v>
        <stp/>
        <stp>IMPL_VOL</stp>
        <stp>.SPXW250509P5810</stp>
        <tr r="EO91" s="1"/>
      </tp>
      <tp t="s">
        <v>153.08%</v>
        <stp/>
        <stp>IMPL_VOL</stp>
        <stp>.SPXW250509C5860</stp>
        <tr r="EN86" s="1"/>
      </tp>
      <tp t="s">
        <v>222.02%</v>
        <stp/>
        <stp>IMPL_VOL</stp>
        <stp>.SPXW250509P5860</stp>
        <tr r="EO86" s="1"/>
      </tp>
      <tp t="s">
        <v>159.92%</v>
        <stp/>
        <stp>IMPL_VOL</stp>
        <stp>.SPXW250509C5870</stp>
        <tr r="EN85" s="1"/>
      </tp>
      <tp t="s">
        <v>231.23%</v>
        <stp/>
        <stp>IMPL_VOL</stp>
        <stp>.SPXW250509P5870</stp>
        <tr r="EO85" s="1"/>
      </tp>
      <tp t="s">
        <v>139.27%</v>
        <stp/>
        <stp>IMPL_VOL</stp>
        <stp>.SPXW250509C5840</stp>
        <tr r="EN88" s="1"/>
      </tp>
      <tp t="s">
        <v>205.64%</v>
        <stp/>
        <stp>IMPL_VOL</stp>
        <stp>.SPXW250509P5840</stp>
        <tr r="EO88" s="1"/>
      </tp>
      <tp t="s">
        <v>146.19%</v>
        <stp/>
        <stp>IMPL_VOL</stp>
        <stp>.SPXW250509C5850</stp>
        <tr r="EN87" s="1"/>
      </tp>
      <tp t="s">
        <v>215.07%</v>
        <stp/>
        <stp>IMPL_VOL</stp>
        <stp>.SPXW250509P5850</stp>
        <tr r="EO87" s="1"/>
      </tp>
      <tp t="s">
        <v>N/A</v>
        <stp/>
        <stp>IMPL_VOL</stp>
        <stp>.SPXW250505C5860</stp>
        <tr r="EL86" s="1"/>
      </tp>
      <tp t="s">
        <v>N/A</v>
        <stp/>
        <stp>IMPL_VOL</stp>
        <stp>.SPXW250505P5860</stp>
        <tr r="EM86" s="1"/>
      </tp>
      <tp t="s">
        <v>N/A</v>
        <stp/>
        <stp>IMPL_VOL</stp>
        <stp>.SPXW250505C5870</stp>
        <tr r="EL85" s="1"/>
      </tp>
      <tp t="s">
        <v>N/A</v>
        <stp/>
        <stp>IMPL_VOL</stp>
        <stp>.SPXW250505P5870</stp>
        <tr r="EM85" s="1"/>
      </tp>
      <tp t="s">
        <v>N/A</v>
        <stp/>
        <stp>IMPL_VOL</stp>
        <stp>.SPXW250505C5840</stp>
        <tr r="EL88" s="1"/>
      </tp>
      <tp t="s">
        <v>N/A</v>
        <stp/>
        <stp>IMPL_VOL</stp>
        <stp>.SPXW250505P5840</stp>
        <tr r="EM88" s="1"/>
      </tp>
      <tp t="s">
        <v>146.19%</v>
        <stp/>
        <stp>IMPL_VOL</stp>
        <stp>.SPXW250505C5850</stp>
        <tr r="EL87" s="1"/>
      </tp>
      <tp t="s">
        <v>377.63%</v>
        <stp/>
        <stp>IMPL_VOL</stp>
        <stp>.SPXW250505P5850</stp>
        <tr r="EM87" s="1"/>
      </tp>
      <tp t="s">
        <v>125.31%</v>
        <stp/>
        <stp>IMPL_VOL</stp>
        <stp>.SPXW250505C5820</stp>
        <tr r="EL90" s="1"/>
      </tp>
      <tp t="s">
        <v>336.66%</v>
        <stp/>
        <stp>IMPL_VOL</stp>
        <stp>.SPXW250505P5820</stp>
        <tr r="EM90" s="1"/>
      </tp>
      <tp t="s">
        <v>N/A</v>
        <stp/>
        <stp>IMPL_VOL</stp>
        <stp>.SPXW250505C5830</stp>
        <tr r="EL89" s="1"/>
      </tp>
      <tp t="s">
        <v>N/A</v>
        <stp/>
        <stp>IMPL_VOL</stp>
        <stp>.SPXW250505P5830</stp>
        <tr r="EM89" s="1"/>
      </tp>
      <tp t="s">
        <v>110.98%</v>
        <stp/>
        <stp>IMPL_VOL</stp>
        <stp>.SPXW250505C5800</stp>
        <tr r="EL92" s="1"/>
      </tp>
      <tp t="s">
        <v>318.45%</v>
        <stp/>
        <stp>IMPL_VOL</stp>
        <stp>.SPXW250505P5800</stp>
        <tr r="EM92" s="1"/>
      </tp>
      <tp t="s">
        <v>118.05%</v>
        <stp/>
        <stp>IMPL_VOL</stp>
        <stp>.SPXW250505C5810</stp>
        <tr r="EL91" s="1"/>
      </tp>
      <tp t="s">
        <v>321.95%</v>
        <stp/>
        <stp>IMPL_VOL</stp>
        <stp>.SPXW250505P5810</stp>
        <tr r="EM91" s="1"/>
      </tp>
      <tp>
        <v>78</v>
        <stp/>
        <stp>OPEN_INT</stp>
        <stp>.NDXP250505C20000</stp>
        <tr r="AS155" s="1"/>
        <tr r="AS155" s="1"/>
      </tp>
      <tp>
        <v>10</v>
        <stp/>
        <stp>OPEN_INT</stp>
        <stp>.NDXP250505C20025</stp>
        <tr r="AS154" s="1"/>
        <tr r="AS154" s="1"/>
      </tp>
      <tp>
        <v>8</v>
        <stp/>
        <stp>OPEN_INT</stp>
        <stp>.NDXP250505C20050</stp>
        <tr r="AS153" s="1"/>
        <tr r="AS153" s="1"/>
      </tp>
      <tp>
        <v>6</v>
        <stp/>
        <stp>OPEN_INT</stp>
        <stp>.NDXP250505C20075</stp>
        <tr r="AS152" s="1"/>
        <tr r="AS152" s="1"/>
      </tp>
      <tp>
        <v>3</v>
        <stp/>
        <stp>OPEN_INT</stp>
        <stp>.NDXP250505P20025</stp>
        <tr r="AT154" s="1"/>
        <tr r="AT154" s="1"/>
      </tp>
      <tp>
        <v>15</v>
        <stp/>
        <stp>OPEN_INT</stp>
        <stp>.NDXP250505P20000</stp>
        <tr r="AT155" s="1"/>
        <tr r="AT155" s="1"/>
      </tp>
      <tp>
        <v>14</v>
        <stp/>
        <stp>OPEN_INT</stp>
        <stp>.NDXP250505P20075</stp>
        <tr r="AT152" s="1"/>
        <tr r="AT152" s="1"/>
      </tp>
      <tp>
        <v>17</v>
        <stp/>
        <stp>OPEN_INT</stp>
        <stp>.NDXP250505P20050</stp>
        <tr r="AT153" s="1"/>
        <tr r="AT153" s="1"/>
      </tp>
      <tp>
        <v>-7.0000000000000007E-2</v>
        <stp/>
        <stp>DELTA</stp>
        <stp>.NDXP250509P19625</stp>
        <tr r="CG170" s="1"/>
        <tr r="CG170" s="1"/>
      </tp>
      <tp>
        <v>0</v>
        <stp/>
        <stp>DELTA</stp>
        <stp>.NDXP250509P19600</stp>
        <tr r="CG171" s="1"/>
        <tr r="CG171" s="1"/>
      </tp>
      <tp>
        <v>-0.08</v>
        <stp/>
        <stp>DELTA</stp>
        <stp>.NDXP250509P19675</stp>
        <tr r="CG168" s="1"/>
        <tr r="CG168" s="1"/>
      </tp>
      <tp>
        <v>-0.08</v>
        <stp/>
        <stp>DELTA</stp>
        <stp>.NDXP250509P19650</stp>
        <tr r="CG169" s="1"/>
        <tr r="CG169" s="1"/>
      </tp>
      <tp>
        <v>0.97</v>
        <stp/>
        <stp>DELTA</stp>
        <stp>.NDXP250509C19600</stp>
        <tr r="CF171" s="1"/>
        <tr r="CF171" s="1"/>
      </tp>
      <tp>
        <v>1</v>
        <stp/>
        <stp>DELTA</stp>
        <stp>.NDXP250509C19625</stp>
        <tr r="CF170" s="1"/>
        <tr r="CF170" s="1"/>
      </tp>
      <tp>
        <v>1</v>
        <stp/>
        <stp>DELTA</stp>
        <stp>.NDXP250509C19650</stp>
        <tr r="CF169" s="1"/>
        <tr r="CF169" s="1"/>
      </tp>
      <tp>
        <v>1</v>
        <stp/>
        <stp>DELTA</stp>
        <stp>.NDXP250509C19675</stp>
        <tr r="CF168" s="1"/>
        <tr r="CF168" s="1"/>
      </tp>
      <tp t="s">
        <v>N/A</v>
        <stp/>
        <stp>VOLUME</stp>
        <stp>.NDXP250829C19575</stp>
        <tr r="P173" s="2"/>
      </tp>
      <tp t="s">
        <v>N/A</v>
        <stp/>
        <stp>VOLUME</stp>
        <stp>.NDXP250505C19975</stp>
        <tr r="BA156" s="1"/>
      </tp>
      <tp>
        <v>9</v>
        <stp/>
        <stp>VOLUME</stp>
        <stp>.NDXP250509C19575</stp>
        <tr r="BC172" s="1"/>
        <tr r="BC172" s="1"/>
      </tp>
      <tp t="s">
        <v>N/A</v>
        <stp/>
        <stp>VOLUME</stp>
        <stp>.NDXP251128C19475</stp>
        <tr r="V177" s="2"/>
      </tp>
      <tp t="s">
        <v>N/A</v>
        <stp/>
        <stp>VOLUME</stp>
        <stp>.NDXP250829C19550</stp>
        <tr r="P174" s="2"/>
      </tp>
      <tp t="s">
        <v>N/A</v>
        <stp/>
        <stp>VOLUME</stp>
        <stp>.NDXP250505C19950</stp>
        <tr r="BA157" s="1"/>
      </tp>
      <tp t="s">
        <v>N/A</v>
        <stp/>
        <stp>VOLUME</stp>
        <stp>.NDXP250509C19550</stp>
        <tr r="BC173" s="1"/>
      </tp>
      <tp t="s">
        <v>N/A</v>
        <stp/>
        <stp>VOLUME</stp>
        <stp>.NDXP251128C20450</stp>
        <tr r="V138" s="2"/>
      </tp>
      <tp t="s">
        <v>N/A</v>
        <stp/>
        <stp>VOLUME</stp>
        <stp>.NDXP251128C19450</stp>
        <tr r="V178" s="2"/>
      </tp>
      <tp t="s">
        <v>N/A</v>
        <stp/>
        <stp>VOLUME</stp>
        <stp>.NDXP251128C20425</stp>
        <tr r="V139" s="2"/>
      </tp>
      <tp t="s">
        <v>N/A</v>
        <stp/>
        <stp>VOLUME</stp>
        <stp>.NDXP251128C19425</stp>
        <tr r="V179" s="2"/>
      </tp>
      <tp t="s">
        <v>N/A</v>
        <stp/>
        <stp>VOLUME</stp>
        <stp>.NDXP250829C19525</stp>
        <tr r="P175" s="2"/>
      </tp>
      <tp t="s">
        <v>N/A</v>
        <stp/>
        <stp>VOLUME</stp>
        <stp>.NDXP250505C19925</stp>
        <tr r="BA158" s="1"/>
      </tp>
      <tp t="s">
        <v>N/A</v>
        <stp/>
        <stp>VOLUME</stp>
        <stp>.NDXP250509C19525</stp>
        <tr r="BC174" s="1"/>
      </tp>
      <tp t="s">
        <v>N/A</v>
        <stp/>
        <stp>VOLUME</stp>
        <stp>.NDXP251128C20400</stp>
        <tr r="V140" s="2"/>
      </tp>
      <tp t="s">
        <v>N/A</v>
        <stp/>
        <stp>VOLUME</stp>
        <stp>.NDXP251128C19400</stp>
        <tr r="V180" s="2"/>
      </tp>
      <tp t="s">
        <v>N/A</v>
        <stp/>
        <stp>VOLUME</stp>
        <stp>.NDXP250829C19500</stp>
        <tr r="P176" s="2"/>
      </tp>
      <tp t="s">
        <v>N/A</v>
        <stp/>
        <stp>VOLUME</stp>
        <stp>.NDXP250505C19900</stp>
        <tr r="BA159" s="1"/>
      </tp>
      <tp>
        <v>9</v>
        <stp/>
        <stp>VOLUME</stp>
        <stp>.NDXP250509C19500</stp>
        <tr r="BC175" s="1"/>
        <tr r="BC175" s="1"/>
      </tp>
      <tp t="s">
        <v>N/A</v>
        <stp/>
        <stp>VOLUME</stp>
        <stp>.NDXP251128P20450</stp>
        <tr r="V138" s="2"/>
      </tp>
      <tp t="s">
        <v>N/A</v>
        <stp/>
        <stp>VOLUME</stp>
        <stp>.NDXP251128P19450</stp>
        <tr r="V178" s="2"/>
      </tp>
      <tp t="s">
        <v>N/A</v>
        <stp/>
        <stp>VOLUME</stp>
        <stp>.NDXP250829P19550</stp>
        <tr r="P174" s="2"/>
      </tp>
      <tp t="s">
        <v>N/A</v>
        <stp/>
        <stp>VOLUME</stp>
        <stp>.NDXP250505P19950</stp>
        <tr r="BB157" s="1"/>
      </tp>
      <tp>
        <v>51</v>
        <stp/>
        <stp>VOLUME</stp>
        <stp>.NDXP250509P19550</stp>
        <tr r="BD173" s="1"/>
        <tr r="BD173" s="1"/>
      </tp>
      <tp t="s">
        <v>N/A</v>
        <stp/>
        <stp>VOLUME</stp>
        <stp>.NDXP251128P19475</stp>
        <tr r="V177" s="2"/>
      </tp>
      <tp t="s">
        <v>N/A</v>
        <stp/>
        <stp>VOLUME</stp>
        <stp>.NDXP250829P19575</stp>
        <tr r="P173" s="2"/>
      </tp>
      <tp t="s">
        <v>N/A</v>
        <stp/>
        <stp>VOLUME</stp>
        <stp>.NDXP250505P19975</stp>
        <tr r="BB156" s="1"/>
      </tp>
      <tp>
        <v>50</v>
        <stp/>
        <stp>VOLUME</stp>
        <stp>.NDXP250509P19575</stp>
        <tr r="BD172" s="1"/>
        <tr r="BD172" s="1"/>
      </tp>
      <tp t="s">
        <v>N/A</v>
        <stp/>
        <stp>VOLUME</stp>
        <stp>.NDXP250829P19500</stp>
        <tr r="P176" s="2"/>
      </tp>
      <tp t="s">
        <v>N/A</v>
        <stp/>
        <stp>VOLUME</stp>
        <stp>.NDXP250505P19900</stp>
        <tr r="BB159" s="1"/>
      </tp>
      <tp>
        <v>178</v>
        <stp/>
        <stp>VOLUME</stp>
        <stp>.NDXP250509P19500</stp>
        <tr r="BD175" s="1"/>
        <tr r="BD175" s="1"/>
      </tp>
      <tp t="s">
        <v>N/A</v>
        <stp/>
        <stp>VOLUME</stp>
        <stp>.NDXP251128P20400</stp>
        <tr r="V140" s="2"/>
      </tp>
      <tp t="s">
        <v>N/A</v>
        <stp/>
        <stp>VOLUME</stp>
        <stp>.NDXP251128P19400</stp>
        <tr r="V180" s="2"/>
      </tp>
      <tp t="s">
        <v>N/A</v>
        <stp/>
        <stp>VOLUME</stp>
        <stp>.NDXP250829P19525</stp>
        <tr r="P175" s="2"/>
      </tp>
      <tp t="s">
        <v>N/A</v>
        <stp/>
        <stp>VOLUME</stp>
        <stp>.NDXP250505P19925</stp>
        <tr r="BB158" s="1"/>
      </tp>
      <tp>
        <v>32</v>
        <stp/>
        <stp>VOLUME</stp>
        <stp>.NDXP250509P19525</stp>
        <tr r="BD174" s="1"/>
        <tr r="BD174" s="1"/>
      </tp>
      <tp t="s">
        <v>N/A</v>
        <stp/>
        <stp>VOLUME</stp>
        <stp>.NDXP251128P20425</stp>
        <tr r="V139" s="2"/>
      </tp>
      <tp t="s">
        <v>N/A</v>
        <stp/>
        <stp>VOLUME</stp>
        <stp>.NDXP251128P19425</stp>
        <tr r="V179" s="2"/>
      </tp>
      <tp>
        <v>31</v>
        <stp/>
        <stp>OPEN_INT</stp>
        <stp>.NDXP250505C20100</stp>
        <tr r="AS151" s="1"/>
        <tr r="AS151" s="1"/>
      </tp>
      <tp>
        <v>6</v>
        <stp/>
        <stp>OPEN_INT</stp>
        <stp>.NDXP250505C20125</stp>
        <tr r="AS150" s="1"/>
        <tr r="AS150" s="1"/>
      </tp>
      <tp>
        <v>5</v>
        <stp/>
        <stp>OPEN_INT</stp>
        <stp>.NDXP250505C19150</stp>
        <tr r="AS189" s="1"/>
        <tr r="AS189" s="1"/>
      </tp>
      <tp>
        <v>10</v>
        <stp/>
        <stp>OPEN_INT</stp>
        <stp>.NDXP250505C20150</stp>
        <tr r="AS149" s="1"/>
        <tr r="AS149" s="1"/>
      </tp>
      <tp>
        <v>0</v>
        <stp/>
        <stp>OPEN_INT</stp>
        <stp>.NDXP250505C19175</stp>
        <tr r="AS188" s="1"/>
        <tr r="AS188" s="1"/>
      </tp>
      <tp>
        <v>6</v>
        <stp/>
        <stp>OPEN_INT</stp>
        <stp>.NDXP250505C20175</stp>
        <tr r="AS148" s="1"/>
        <tr r="AS148" s="1"/>
      </tp>
      <tp>
        <v>1</v>
        <stp/>
        <stp>OPEN_INT</stp>
        <stp>.NDXP250505P20125</stp>
        <tr r="AT150" s="1"/>
        <tr r="AT150" s="1"/>
      </tp>
      <tp>
        <v>11</v>
        <stp/>
        <stp>OPEN_INT</stp>
        <stp>.NDXP250505P20100</stp>
        <tr r="AT151" s="1"/>
        <tr r="AT151" s="1"/>
      </tp>
      <tp>
        <v>20</v>
        <stp/>
        <stp>OPEN_INT</stp>
        <stp>.NDXP250505P19175</stp>
        <tr r="AT188" s="1"/>
        <tr r="AT188" s="1"/>
      </tp>
      <tp>
        <v>1</v>
        <stp/>
        <stp>OPEN_INT</stp>
        <stp>.NDXP250505P20175</stp>
        <tr r="AT148" s="1"/>
        <tr r="AT148" s="1"/>
      </tp>
      <tp>
        <v>5</v>
        <stp/>
        <stp>OPEN_INT</stp>
        <stp>.NDXP250505P19150</stp>
        <tr r="AT189" s="1"/>
        <tr r="AT189" s="1"/>
      </tp>
      <tp>
        <v>4</v>
        <stp/>
        <stp>OPEN_INT</stp>
        <stp>.NDXP250505P20150</stp>
        <tr r="AT149" s="1"/>
        <tr r="AT149" s="1"/>
      </tp>
      <tp>
        <v>-0.09</v>
        <stp/>
        <stp>DELTA</stp>
        <stp>.NDXP250509P19725</stp>
        <tr r="CG166" s="1"/>
        <tr r="CG166" s="1"/>
      </tp>
      <tp>
        <v>-0.03</v>
        <stp/>
        <stp>DELTA</stp>
        <stp>.NDXP250509P19700</stp>
        <tr r="CG167" s="1"/>
        <tr r="CG167" s="1"/>
      </tp>
      <tp>
        <v>-0.1</v>
        <stp/>
        <stp>DELTA</stp>
        <stp>.NDXP250509P19775</stp>
        <tr r="CG164" s="1"/>
        <tr r="CG164" s="1"/>
      </tp>
      <tp>
        <v>-7.0000000000000007E-2</v>
        <stp/>
        <stp>DELTA</stp>
        <stp>.NDXP250509P19750</stp>
        <tr r="CG165" s="1"/>
        <tr r="CG165" s="1"/>
      </tp>
      <tp>
        <v>1</v>
        <stp/>
        <stp>DELTA</stp>
        <stp>.NDXP250509C19700</stp>
        <tr r="CF167" s="1"/>
        <tr r="CF167" s="1"/>
      </tp>
      <tp>
        <v>1</v>
        <stp/>
        <stp>DELTA</stp>
        <stp>.NDXP250509C19725</stp>
        <tr r="CF166" s="1"/>
        <tr r="CF166" s="1"/>
      </tp>
      <tp>
        <v>1</v>
        <stp/>
        <stp>DELTA</stp>
        <stp>.NDXP250509C19750</stp>
        <tr r="CF165" s="1"/>
        <tr r="CF165" s="1"/>
      </tp>
      <tp>
        <v>1</v>
        <stp/>
        <stp>DELTA</stp>
        <stp>.NDXP250509C19775</stp>
        <tr r="CF164" s="1"/>
        <tr r="CF164" s="1"/>
      </tp>
      <tp t="s">
        <v>N/A</v>
        <stp/>
        <stp>VOLUME</stp>
        <stp>.NDXP250829C19475</stp>
        <tr r="P177" s="2"/>
      </tp>
      <tp t="s">
        <v>N/A</v>
        <stp/>
        <stp>VOLUME</stp>
        <stp>.NDXP250505C19875</stp>
        <tr r="BA160" s="1"/>
      </tp>
      <tp t="s">
        <v>N/A</v>
        <stp/>
        <stp>VOLUME</stp>
        <stp>.NDXP250509C19475</stp>
        <tr r="BC176" s="1"/>
      </tp>
      <tp t="s">
        <v>N/A</v>
        <stp/>
        <stp>VOLUME</stp>
        <stp>.NDXP251128C19575</stp>
        <tr r="V173" s="2"/>
      </tp>
      <tp t="s">
        <v>N/A</v>
        <stp/>
        <stp>VOLUME</stp>
        <stp>.NDXP250829C20450</stp>
        <tr r="P138" s="2"/>
      </tp>
      <tp t="s">
        <v>N/A</v>
        <stp/>
        <stp>VOLUME</stp>
        <stp>.NDXP250829C19450</stp>
        <tr r="P178" s="2"/>
      </tp>
      <tp>
        <v>92</v>
        <stp/>
        <stp>VOLUME</stp>
        <stp>.NDXP250509C20450</stp>
        <tr r="BC137" s="1"/>
        <tr r="BC137" s="1"/>
      </tp>
      <tp t="s">
        <v>N/A</v>
        <stp/>
        <stp>VOLUME</stp>
        <stp>.NDXP250505C19850</stp>
        <tr r="BA161" s="1"/>
      </tp>
      <tp t="s">
        <v>N/A</v>
        <stp/>
        <stp>VOLUME</stp>
        <stp>.NDXP250509C19450</stp>
        <tr r="BC177" s="1"/>
      </tp>
      <tp t="s">
        <v>N/A</v>
        <stp/>
        <stp>VOLUME</stp>
        <stp>.NDXP251128C19550</stp>
        <tr r="V174" s="2"/>
      </tp>
      <tp t="s">
        <v>N/A</v>
        <stp/>
        <stp>VOLUME</stp>
        <stp>.NDXP251128C19525</stp>
        <tr r="V175" s="2"/>
      </tp>
      <tp t="s">
        <v>N/A</v>
        <stp/>
        <stp>VOLUME</stp>
        <stp>.NDXP250829C20425</stp>
        <tr r="P139" s="2"/>
      </tp>
      <tp t="s">
        <v>N/A</v>
        <stp/>
        <stp>VOLUME</stp>
        <stp>.NDXP250829C19425</stp>
        <tr r="P179" s="2"/>
      </tp>
      <tp>
        <v>41</v>
        <stp/>
        <stp>VOLUME</stp>
        <stp>.NDXP250509C20425</stp>
        <tr r="BC138" s="1"/>
        <tr r="BC138" s="1"/>
      </tp>
      <tp t="s">
        <v>N/A</v>
        <stp/>
        <stp>VOLUME</stp>
        <stp>.NDXP250505C19825</stp>
        <tr r="BA162" s="1"/>
      </tp>
      <tp t="s">
        <v>N/A</v>
        <stp/>
        <stp>VOLUME</stp>
        <stp>.NDXP250509C19425</stp>
        <tr r="BC178" s="1"/>
      </tp>
      <tp t="s">
        <v>N/A</v>
        <stp/>
        <stp>VOLUME</stp>
        <stp>.NDXP251128C19500</stp>
        <tr r="V176" s="2"/>
      </tp>
      <tp t="s">
        <v>N/A</v>
        <stp/>
        <stp>VOLUME</stp>
        <stp>.NDXP250829C20400</stp>
        <tr r="P140" s="2"/>
      </tp>
      <tp t="s">
        <v>N/A</v>
        <stp/>
        <stp>VOLUME</stp>
        <stp>.NDXP250829C19400</stp>
        <tr r="P180" s="2"/>
      </tp>
      <tp>
        <v>340</v>
        <stp/>
        <stp>VOLUME</stp>
        <stp>.NDXP250509C20400</stp>
        <tr r="BC139" s="1"/>
        <tr r="BC139" s="1"/>
      </tp>
      <tp t="s">
        <v>N/A</v>
        <stp/>
        <stp>VOLUME</stp>
        <stp>.NDXP250505C19800</stp>
        <tr r="BA163" s="1"/>
      </tp>
      <tp t="s">
        <v>N/A</v>
        <stp/>
        <stp>VOLUME</stp>
        <stp>.NDXP250509C19400</stp>
        <tr r="BC179" s="1"/>
      </tp>
      <tp t="s">
        <v>N/A</v>
        <stp/>
        <stp>VOLUME</stp>
        <stp>.NDXP251128P19550</stp>
        <tr r="V174" s="2"/>
      </tp>
      <tp t="s">
        <v>N/A</v>
        <stp/>
        <stp>VOLUME</stp>
        <stp>.NDXP250829P20450</stp>
        <tr r="P138" s="2"/>
      </tp>
      <tp t="s">
        <v>N/A</v>
        <stp/>
        <stp>VOLUME</stp>
        <stp>.NDXP250829P19450</stp>
        <tr r="P178" s="2"/>
      </tp>
      <tp t="s">
        <v>N/A</v>
        <stp/>
        <stp>VOLUME</stp>
        <stp>.NDXP250509P20450</stp>
        <tr r="BD137" s="1"/>
      </tp>
      <tp t="s">
        <v>N/A</v>
        <stp/>
        <stp>VOLUME</stp>
        <stp>.NDXP250505P19850</stp>
        <tr r="BB161" s="1"/>
      </tp>
      <tp>
        <v>29</v>
        <stp/>
        <stp>VOLUME</stp>
        <stp>.NDXP250509P19450</stp>
        <tr r="BD177" s="1"/>
        <tr r="BD177" s="1"/>
      </tp>
      <tp t="s">
        <v>N/A</v>
        <stp/>
        <stp>VOLUME</stp>
        <stp>.NDXP251128P19575</stp>
        <tr r="V173" s="2"/>
      </tp>
      <tp t="s">
        <v>N/A</v>
        <stp/>
        <stp>VOLUME</stp>
        <stp>.NDXP250829P19475</stp>
        <tr r="P177" s="2"/>
      </tp>
      <tp t="s">
        <v>N/A</v>
        <stp/>
        <stp>VOLUME</stp>
        <stp>.NDXP250505P19875</stp>
        <tr r="BB160" s="1"/>
      </tp>
      <tp>
        <v>5</v>
        <stp/>
        <stp>VOLUME</stp>
        <stp>.NDXP250509P19475</stp>
        <tr r="BD176" s="1"/>
        <tr r="BD176" s="1"/>
      </tp>
      <tp t="s">
        <v>N/A</v>
        <stp/>
        <stp>VOLUME</stp>
        <stp>.NDXP250829P20400</stp>
        <tr r="P140" s="2"/>
      </tp>
      <tp t="s">
        <v>N/A</v>
        <stp/>
        <stp>VOLUME</stp>
        <stp>.NDXP250829P19400</stp>
        <tr r="P180" s="2"/>
      </tp>
      <tp>
        <v>8</v>
        <stp/>
        <stp>VOLUME</stp>
        <stp>.NDXP250509P20400</stp>
        <tr r="BD139" s="1"/>
        <tr r="BD139" s="1"/>
      </tp>
      <tp t="s">
        <v>N/A</v>
        <stp/>
        <stp>VOLUME</stp>
        <stp>.NDXP250505P19800</stp>
        <tr r="BB163" s="1"/>
      </tp>
      <tp>
        <v>142</v>
        <stp/>
        <stp>VOLUME</stp>
        <stp>.NDXP250509P19400</stp>
        <tr r="BD179" s="1"/>
        <tr r="BD179" s="1"/>
      </tp>
      <tp t="s">
        <v>N/A</v>
        <stp/>
        <stp>VOLUME</stp>
        <stp>.NDXP251128P19500</stp>
        <tr r="V176" s="2"/>
      </tp>
      <tp t="s">
        <v>N/A</v>
        <stp/>
        <stp>VOLUME</stp>
        <stp>.NDXP250829P20425</stp>
        <tr r="P139" s="2"/>
      </tp>
      <tp t="s">
        <v>N/A</v>
        <stp/>
        <stp>VOLUME</stp>
        <stp>.NDXP250829P19425</stp>
        <tr r="P179" s="2"/>
      </tp>
      <tp>
        <v>3</v>
        <stp/>
        <stp>VOLUME</stp>
        <stp>.NDXP250509P20425</stp>
        <tr r="BD138" s="1"/>
        <tr r="BD138" s="1"/>
      </tp>
      <tp t="s">
        <v>N/A</v>
        <stp/>
        <stp>VOLUME</stp>
        <stp>.NDXP250505P19825</stp>
        <tr r="BB162" s="1"/>
      </tp>
      <tp>
        <v>26</v>
        <stp/>
        <stp>VOLUME</stp>
        <stp>.NDXP250509P19425</stp>
        <tr r="BD178" s="1"/>
        <tr r="BD178" s="1"/>
      </tp>
      <tp t="s">
        <v>N/A</v>
        <stp/>
        <stp>VOLUME</stp>
        <stp>.NDXP251128P19525</stp>
        <tr r="V175" s="2"/>
      </tp>
      <tp>
        <v>5</v>
        <stp/>
        <stp>OPEN_INT</stp>
        <stp>.NDXP250505C19200</stp>
        <tr r="AS187" s="1"/>
        <tr r="AS187" s="1"/>
      </tp>
      <tp>
        <v>30</v>
        <stp/>
        <stp>OPEN_INT</stp>
        <stp>.NDXP250505C20200</stp>
        <tr r="AS147" s="1"/>
        <tr r="AS147" s="1"/>
      </tp>
      <tp>
        <v>4</v>
        <stp/>
        <stp>OPEN_INT</stp>
        <stp>.NDXP250505C19225</stp>
        <tr r="AS186" s="1"/>
        <tr r="AS186" s="1"/>
      </tp>
      <tp>
        <v>3</v>
        <stp/>
        <stp>OPEN_INT</stp>
        <stp>.NDXP250505C20225</stp>
        <tr r="AS146" s="1"/>
        <tr r="AS146" s="1"/>
      </tp>
      <tp>
        <v>3</v>
        <stp/>
        <stp>OPEN_INT</stp>
        <stp>.NDXP250505C19250</stp>
        <tr r="AS185" s="1"/>
        <tr r="AS185" s="1"/>
      </tp>
      <tp>
        <v>15</v>
        <stp/>
        <stp>OPEN_INT</stp>
        <stp>.NDXP250505C20250</stp>
        <tr r="AS145" s="1"/>
        <tr r="AS145" s="1"/>
      </tp>
      <tp>
        <v>3</v>
        <stp/>
        <stp>OPEN_INT</stp>
        <stp>.NDXP250505C19275</stp>
        <tr r="AS184" s="1"/>
        <tr r="AS184" s="1"/>
      </tp>
      <tp>
        <v>7</v>
        <stp/>
        <stp>OPEN_INT</stp>
        <stp>.NDXP250505C20275</stp>
        <tr r="AS144" s="1"/>
        <tr r="AS144" s="1"/>
      </tp>
      <tp>
        <v>7</v>
        <stp/>
        <stp>OPEN_INT</stp>
        <stp>.NDXP250505P19225</stp>
        <tr r="AT186" s="1"/>
        <tr r="AT186" s="1"/>
      </tp>
      <tp>
        <v>0</v>
        <stp/>
        <stp>OPEN_INT</stp>
        <stp>.NDXP250505P20225</stp>
        <tr r="AT146" s="1"/>
        <tr r="AT146" s="1"/>
      </tp>
      <tp>
        <v>36</v>
        <stp/>
        <stp>OPEN_INT</stp>
        <stp>.NDXP250505P19200</stp>
        <tr r="AT187" s="1"/>
        <tr r="AT187" s="1"/>
      </tp>
      <tp>
        <v>3</v>
        <stp/>
        <stp>OPEN_INT</stp>
        <stp>.NDXP250505P20200</stp>
        <tr r="AT147" s="1"/>
        <tr r="AT147" s="1"/>
      </tp>
      <tp>
        <v>19</v>
        <stp/>
        <stp>OPEN_INT</stp>
        <stp>.NDXP250505P19275</stp>
        <tr r="AT184" s="1"/>
        <tr r="AT184" s="1"/>
      </tp>
      <tp>
        <v>0</v>
        <stp/>
        <stp>OPEN_INT</stp>
        <stp>.NDXP250505P20275</stp>
        <tr r="AT144" s="1"/>
        <tr r="AT144" s="1"/>
      </tp>
      <tp>
        <v>43</v>
        <stp/>
        <stp>OPEN_INT</stp>
        <stp>.NDXP250505P19250</stp>
        <tr r="AT185" s="1"/>
        <tr r="AT185" s="1"/>
      </tp>
      <tp>
        <v>0</v>
        <stp/>
        <stp>OPEN_INT</stp>
        <stp>.NDXP250505P20250</stp>
        <tr r="AT145" s="1"/>
        <tr r="AT145" s="1"/>
      </tp>
      <tp>
        <v>-0.97</v>
        <stp/>
        <stp>DELTA</stp>
        <stp>.NDXP250509P20425</stp>
        <tr r="CG138" s="1"/>
        <tr r="CG138" s="1"/>
      </tp>
      <tp>
        <v>-0.11</v>
        <stp/>
        <stp>DELTA</stp>
        <stp>.NDXP250505P19825</stp>
        <tr r="CE162" s="1"/>
        <tr r="CE162" s="1"/>
      </tp>
      <tp>
        <v>-0.06</v>
        <stp/>
        <stp>DELTA</stp>
        <stp>.NDXP250509P19425</stp>
        <tr r="CG178" s="1"/>
        <tr r="CG178" s="1"/>
      </tp>
      <tp>
        <v>-0.97</v>
        <stp/>
        <stp>DELTA</stp>
        <stp>.NDXP250509P20400</stp>
        <tr r="CG139" s="1"/>
        <tr r="CG139" s="1"/>
      </tp>
      <tp>
        <v>-0.1</v>
        <stp/>
        <stp>DELTA</stp>
        <stp>.NDXP250505P19800</stp>
        <tr r="CE163" s="1"/>
        <tr r="CE163" s="1"/>
      </tp>
      <tp>
        <v>-0.05</v>
        <stp/>
        <stp>DELTA</stp>
        <stp>.NDXP250509P19400</stp>
        <tr r="CG179" s="1"/>
        <tr r="CG179" s="1"/>
      </tp>
      <tp>
        <v>-0.02</v>
        <stp/>
        <stp>DELTA</stp>
        <stp>.NDXP250505P19875</stp>
        <tr r="CE160" s="1"/>
        <tr r="CE160" s="1"/>
      </tp>
      <tp>
        <v>-0.06</v>
        <stp/>
        <stp>DELTA</stp>
        <stp>.NDXP250509P19475</stp>
        <tr r="CG176" s="1"/>
        <tr r="CG176" s="1"/>
      </tp>
      <tp>
        <v>-0.97</v>
        <stp/>
        <stp>DELTA</stp>
        <stp>.NDXP250509P20450</stp>
        <tr r="CG137" s="1"/>
        <tr r="CG137" s="1"/>
      </tp>
      <tp>
        <v>-0.08</v>
        <stp/>
        <stp>DELTA</stp>
        <stp>.NDXP250505P19850</stp>
        <tr r="CE161" s="1"/>
        <tr r="CE161" s="1"/>
      </tp>
      <tp>
        <v>-0.06</v>
        <stp/>
        <stp>DELTA</stp>
        <stp>.NDXP250509P19450</stp>
        <tr r="CG177" s="1"/>
        <tr r="CG177" s="1"/>
      </tp>
      <tp>
        <v>0</v>
        <stp/>
        <stp>DELTA</stp>
        <stp>.NDXP250509C20400</stp>
        <tr r="CF139" s="1"/>
        <tr r="CF139" s="1"/>
      </tp>
      <tp>
        <v>1</v>
        <stp/>
        <stp>DELTA</stp>
        <stp>.NDXP250505C19800</stp>
        <tr r="CD163" s="1"/>
        <tr r="CD163" s="1"/>
      </tp>
      <tp>
        <v>1</v>
        <stp/>
        <stp>DELTA</stp>
        <stp>.NDXP250509C19400</stp>
        <tr r="CF179" s="1"/>
        <tr r="CF179" s="1"/>
      </tp>
      <tp>
        <v>0.08</v>
        <stp/>
        <stp>DELTA</stp>
        <stp>.NDXP250509C20425</stp>
        <tr r="CF138" s="1"/>
        <tr r="CF138" s="1"/>
      </tp>
      <tp>
        <v>1</v>
        <stp/>
        <stp>DELTA</stp>
        <stp>.NDXP250505C19825</stp>
        <tr r="CD162" s="1"/>
        <tr r="CD162" s="1"/>
      </tp>
      <tp>
        <v>0.98</v>
        <stp/>
        <stp>DELTA</stp>
        <stp>.NDXP250509C19425</stp>
        <tr r="CF178" s="1"/>
        <tr r="CF178" s="1"/>
      </tp>
      <tp>
        <v>0.04</v>
        <stp/>
        <stp>DELTA</stp>
        <stp>.NDXP250509C20450</stp>
        <tr r="CF137" s="1"/>
        <tr r="CF137" s="1"/>
      </tp>
      <tp>
        <v>1</v>
        <stp/>
        <stp>DELTA</stp>
        <stp>.NDXP250505C19850</stp>
        <tr r="CD161" s="1"/>
        <tr r="CD161" s="1"/>
      </tp>
      <tp>
        <v>0.98</v>
        <stp/>
        <stp>DELTA</stp>
        <stp>.NDXP250509C19450</stp>
        <tr r="CF177" s="1"/>
        <tr r="CF177" s="1"/>
      </tp>
      <tp>
        <v>1</v>
        <stp/>
        <stp>DELTA</stp>
        <stp>.NDXP250505C19875</stp>
        <tr r="CD160" s="1"/>
        <tr r="CD160" s="1"/>
      </tp>
      <tp>
        <v>0.98</v>
        <stp/>
        <stp>DELTA</stp>
        <stp>.NDXP250509C19475</stp>
        <tr r="CF176" s="1"/>
        <tr r="CF176" s="1"/>
      </tp>
      <tp t="s">
        <v>N/A</v>
        <stp/>
        <stp>VOLUME</stp>
        <stp>.NDXP250829C19775</stp>
        <tr r="P165" s="2"/>
      </tp>
      <tp t="s">
        <v>N/A</v>
        <stp/>
        <stp>VOLUME</stp>
        <stp>.NDXP250606C19875</stp>
        <tr r="J161" s="2"/>
      </tp>
      <tp t="s">
        <v>N/A</v>
        <stp/>
        <stp>VOLUME</stp>
        <stp>.NDXP250509C19775</stp>
        <tr r="BC164" s="1"/>
      </tp>
      <tp t="s">
        <v>N/A</v>
        <stp/>
        <stp>VOLUME</stp>
        <stp>.NDXP251128C19675</stp>
        <tr r="V169" s="2"/>
      </tp>
      <tp t="s">
        <v>N/A</v>
        <stp/>
        <stp>VOLUME</stp>
        <stp>.NDXP250829C19750</stp>
        <tr r="P166" s="2"/>
      </tp>
      <tp t="s">
        <v>N/A</v>
        <stp/>
        <stp>VOLUME</stp>
        <stp>.NDXP250606C19850</stp>
        <tr r="J162" s="2"/>
      </tp>
      <tp>
        <v>1</v>
        <stp/>
        <stp>VOLUME</stp>
        <stp>.NDXP250509C19750</stp>
        <tr r="BC165" s="1"/>
        <tr r="BC165" s="1"/>
      </tp>
      <tp t="s">
        <v>N/A</v>
        <stp/>
        <stp>VOLUME</stp>
        <stp>.NDXP251128C19650</stp>
        <tr r="V170" s="2"/>
      </tp>
      <tp t="s">
        <v>N/A</v>
        <stp/>
        <stp>VOLUME</stp>
        <stp>.NDXP251128C19625</stp>
        <tr r="V171" s="2"/>
      </tp>
      <tp t="s">
        <v>N/A</v>
        <stp/>
        <stp>VOLUME</stp>
        <stp>.NDXP250829C19725</stp>
        <tr r="P167" s="2"/>
      </tp>
      <tp t="s">
        <v>N/A</v>
        <stp/>
        <stp>VOLUME</stp>
        <stp>.NDXP250606C19825</stp>
        <tr r="J163" s="2"/>
      </tp>
      <tp t="s">
        <v>N/A</v>
        <stp/>
        <stp>VOLUME</stp>
        <stp>.NDXP250509C19725</stp>
        <tr r="BC166" s="1"/>
      </tp>
      <tp t="s">
        <v>N/A</v>
        <stp/>
        <stp>VOLUME</stp>
        <stp>.NDXP251128C19600</stp>
        <tr r="V172" s="2"/>
      </tp>
      <tp t="s">
        <v>N/A</v>
        <stp/>
        <stp>VOLUME</stp>
        <stp>.NDXP250829C19700</stp>
        <tr r="P168" s="2"/>
      </tp>
      <tp t="s">
        <v>N/A</v>
        <stp/>
        <stp>VOLUME</stp>
        <stp>.NDXP250606C19800</stp>
        <tr r="J164" s="2"/>
      </tp>
      <tp>
        <v>5</v>
        <stp/>
        <stp>VOLUME</stp>
        <stp>.NDXP250509C19700</stp>
        <tr r="BC167" s="1"/>
        <tr r="BC167" s="1"/>
      </tp>
      <tp t="s">
        <v>N/A</v>
        <stp/>
        <stp>VOLUME</stp>
        <stp>.NDXP251128P19650</stp>
        <tr r="V170" s="2"/>
      </tp>
      <tp t="s">
        <v>N/A</v>
        <stp/>
        <stp>VOLUME</stp>
        <stp>.NDXP250829P19750</stp>
        <tr r="P166" s="2"/>
      </tp>
      <tp t="s">
        <v>N/A</v>
        <stp/>
        <stp>VOLUME</stp>
        <stp>.NDXP250606P19850</stp>
        <tr r="J162" s="2"/>
      </tp>
      <tp>
        <v>290</v>
        <stp/>
        <stp>VOLUME</stp>
        <stp>.NDXP250509P19750</stp>
        <tr r="BD165" s="1"/>
        <tr r="BD165" s="1"/>
      </tp>
      <tp t="s">
        <v>N/A</v>
        <stp/>
        <stp>VOLUME</stp>
        <stp>.NDXP251128P19675</stp>
        <tr r="V169" s="2"/>
      </tp>
      <tp t="s">
        <v>N/A</v>
        <stp/>
        <stp>VOLUME</stp>
        <stp>.NDXP250829P19775</stp>
        <tr r="P165" s="2"/>
      </tp>
      <tp t="s">
        <v>N/A</v>
        <stp/>
        <stp>VOLUME</stp>
        <stp>.NDXP250606P19875</stp>
        <tr r="J161" s="2"/>
      </tp>
      <tp>
        <v>69</v>
        <stp/>
        <stp>VOLUME</stp>
        <stp>.NDXP250509P19775</stp>
        <tr r="BD164" s="1"/>
        <tr r="BD164" s="1"/>
      </tp>
      <tp t="s">
        <v>N/A</v>
        <stp/>
        <stp>VOLUME</stp>
        <stp>.NDXP250829P19700</stp>
        <tr r="P168" s="2"/>
      </tp>
      <tp t="s">
        <v>N/A</v>
        <stp/>
        <stp>VOLUME</stp>
        <stp>.NDXP250606P19800</stp>
        <tr r="J164" s="2"/>
      </tp>
      <tp>
        <v>312</v>
        <stp/>
        <stp>VOLUME</stp>
        <stp>.NDXP250509P19700</stp>
        <tr r="BD167" s="1"/>
        <tr r="BD167" s="1"/>
      </tp>
      <tp t="s">
        <v>N/A</v>
        <stp/>
        <stp>VOLUME</stp>
        <stp>.NDXP251128P19600</stp>
        <tr r="V172" s="2"/>
      </tp>
      <tp t="s">
        <v>N/A</v>
        <stp/>
        <stp>VOLUME</stp>
        <stp>.NDXP250829P19725</stp>
        <tr r="P167" s="2"/>
      </tp>
      <tp t="s">
        <v>N/A</v>
        <stp/>
        <stp>VOLUME</stp>
        <stp>.NDXP250606P19825</stp>
        <tr r="J163" s="2"/>
      </tp>
      <tp>
        <v>41</v>
        <stp/>
        <stp>VOLUME</stp>
        <stp>.NDXP250509P19725</stp>
        <tr r="BD166" s="1"/>
        <tr r="BD166" s="1"/>
      </tp>
      <tp t="s">
        <v>N/A</v>
        <stp/>
        <stp>VOLUME</stp>
        <stp>.NDXP251128P19625</stp>
        <tr r="V171" s="2"/>
      </tp>
      <tp>
        <v>17</v>
        <stp/>
        <stp>OPEN_INT</stp>
        <stp>.NDXP250505C19300</stp>
        <tr r="AS183" s="1"/>
        <tr r="AS183" s="1"/>
      </tp>
      <tp>
        <v>239</v>
        <stp/>
        <stp>OPEN_INT</stp>
        <stp>.NDXP250505C20300</stp>
        <tr r="AS143" s="1"/>
        <tr r="AS143" s="1"/>
      </tp>
      <tp>
        <v>1</v>
        <stp/>
        <stp>OPEN_INT</stp>
        <stp>.NDXP250505C19325</stp>
        <tr r="AS182" s="1"/>
        <tr r="AS182" s="1"/>
      </tp>
      <tp>
        <v>1</v>
        <stp/>
        <stp>OPEN_INT</stp>
        <stp>.NDXP250505C20325</stp>
        <tr r="AS142" s="1"/>
        <tr r="AS142" s="1"/>
      </tp>
      <tp>
        <v>0</v>
        <stp/>
        <stp>OPEN_INT</stp>
        <stp>.NDXP250505C19350</stp>
        <tr r="AS181" s="1"/>
        <tr r="AS181" s="1"/>
      </tp>
      <tp>
        <v>21</v>
        <stp/>
        <stp>OPEN_INT</stp>
        <stp>.NDXP250505C20350</stp>
        <tr r="AS141" s="1"/>
        <tr r="AS141" s="1"/>
      </tp>
      <tp>
        <v>0</v>
        <stp/>
        <stp>OPEN_INT</stp>
        <stp>.NDXP250505C19375</stp>
        <tr r="AS180" s="1"/>
        <tr r="AS180" s="1"/>
      </tp>
      <tp>
        <v>7</v>
        <stp/>
        <stp>OPEN_INT</stp>
        <stp>.NDXP250505C20375</stp>
        <tr r="AS140" s="1"/>
        <tr r="AS140" s="1"/>
      </tp>
      <tp>
        <v>1</v>
        <stp/>
        <stp>OPEN_INT</stp>
        <stp>.NDXP250505P19325</stp>
        <tr r="AT182" s="1"/>
        <tr r="AT182" s="1"/>
      </tp>
      <tp>
        <v>0</v>
        <stp/>
        <stp>OPEN_INT</stp>
        <stp>.NDXP250505P20325</stp>
        <tr r="AT142" s="1"/>
        <tr r="AT142" s="1"/>
      </tp>
      <tp>
        <v>15</v>
        <stp/>
        <stp>OPEN_INT</stp>
        <stp>.NDXP250505P19300</stp>
        <tr r="AT183" s="1"/>
        <tr r="AT183" s="1"/>
      </tp>
      <tp>
        <v>0</v>
        <stp/>
        <stp>OPEN_INT</stp>
        <stp>.NDXP250505P20300</stp>
        <tr r="AT143" s="1"/>
        <tr r="AT143" s="1"/>
      </tp>
      <tp>
        <v>5</v>
        <stp/>
        <stp>OPEN_INT</stp>
        <stp>.NDXP250505P19375</stp>
        <tr r="AT180" s="1"/>
        <tr r="AT180" s="1"/>
      </tp>
      <tp>
        <v>0</v>
        <stp/>
        <stp>OPEN_INT</stp>
        <stp>.NDXP250505P20375</stp>
        <tr r="AT140" s="1"/>
        <tr r="AT140" s="1"/>
      </tp>
      <tp>
        <v>9</v>
        <stp/>
        <stp>OPEN_INT</stp>
        <stp>.NDXP250505P19350</stp>
        <tr r="AT181" s="1"/>
        <tr r="AT181" s="1"/>
      </tp>
      <tp>
        <v>1</v>
        <stp/>
        <stp>OPEN_INT</stp>
        <stp>.NDXP250505P20350</stp>
        <tr r="AT141" s="1"/>
        <tr r="AT141" s="1"/>
      </tp>
      <tp>
        <v>0</v>
        <stp/>
        <stp>DELTA</stp>
        <stp>.NDXP250505P19925</stp>
        <tr r="CE158" s="1"/>
        <tr r="CE158" s="1"/>
      </tp>
      <tp>
        <v>-0.01</v>
        <stp/>
        <stp>DELTA</stp>
        <stp>.NDXP250509P19525</stp>
        <tr r="CG174" s="1"/>
        <tr r="CG174" s="1"/>
      </tp>
      <tp>
        <v>0</v>
        <stp/>
        <stp>DELTA</stp>
        <stp>.NDXP250505P19900</stp>
        <tr r="CE159" s="1"/>
        <tr r="CE159" s="1"/>
      </tp>
      <tp>
        <v>-0.01</v>
        <stp/>
        <stp>DELTA</stp>
        <stp>.NDXP250509P19500</stp>
        <tr r="CG175" s="1"/>
        <tr r="CG175" s="1"/>
      </tp>
      <tp>
        <v>-0.17</v>
        <stp/>
        <stp>DELTA</stp>
        <stp>.NDXP250505P19975</stp>
        <tr r="CE156" s="1"/>
        <tr r="CE156" s="1"/>
      </tp>
      <tp>
        <v>-7.0000000000000007E-2</v>
        <stp/>
        <stp>DELTA</stp>
        <stp>.NDXP250509P19575</stp>
        <tr r="CG172" s="1"/>
        <tr r="CG172" s="1"/>
      </tp>
      <tp>
        <v>-0.03</v>
        <stp/>
        <stp>DELTA</stp>
        <stp>.NDXP250505P19950</stp>
        <tr r="CE157" s="1"/>
        <tr r="CE157" s="1"/>
      </tp>
      <tp>
        <v>-0.04</v>
        <stp/>
        <stp>DELTA</stp>
        <stp>.NDXP250509P19550</stp>
        <tr r="CG173" s="1"/>
        <tr r="CG173" s="1"/>
      </tp>
      <tp>
        <v>1</v>
        <stp/>
        <stp>DELTA</stp>
        <stp>.NDXP250505C19900</stp>
        <tr r="CD159" s="1"/>
        <tr r="CD159" s="1"/>
      </tp>
      <tp>
        <v>0.97</v>
        <stp/>
        <stp>DELTA</stp>
        <stp>.NDXP250509C19500</stp>
        <tr r="CF175" s="1"/>
        <tr r="CF175" s="1"/>
      </tp>
      <tp>
        <v>1</v>
        <stp/>
        <stp>DELTA</stp>
        <stp>.NDXP250505C19925</stp>
        <tr r="CD158" s="1"/>
        <tr r="CD158" s="1"/>
      </tp>
      <tp>
        <v>1</v>
        <stp/>
        <stp>DELTA</stp>
        <stp>.NDXP250509C19525</stp>
        <tr r="CF174" s="1"/>
        <tr r="CF174" s="1"/>
      </tp>
      <tp>
        <v>1</v>
        <stp/>
        <stp>DELTA</stp>
        <stp>.NDXP250505C19950</stp>
        <tr r="CD157" s="1"/>
        <tr r="CD157" s="1"/>
      </tp>
      <tp>
        <v>0.97</v>
        <stp/>
        <stp>DELTA</stp>
        <stp>.NDXP250509C19550</stp>
        <tr r="CF173" s="1"/>
        <tr r="CF173" s="1"/>
      </tp>
      <tp>
        <v>1</v>
        <stp/>
        <stp>DELTA</stp>
        <stp>.NDXP250505C19975</stp>
        <tr r="CD156" s="1"/>
        <tr r="CD156" s="1"/>
      </tp>
      <tp>
        <v>1</v>
        <stp/>
        <stp>DELTA</stp>
        <stp>.NDXP250509C19575</stp>
        <tr r="CF172" s="1"/>
        <tr r="CF172" s="1"/>
      </tp>
      <tp t="s">
        <v>N/A</v>
        <stp/>
        <stp>VOLUME</stp>
        <stp>.NDXP250829C19675</stp>
        <tr r="P169" s="2"/>
      </tp>
      <tp t="s">
        <v>N/A</v>
        <stp/>
        <stp>VOLUME</stp>
        <stp>.NDXP250606C19975</stp>
        <tr r="J157" s="2"/>
      </tp>
      <tp>
        <v>2</v>
        <stp/>
        <stp>VOLUME</stp>
        <stp>.NDXP250509C19675</stp>
        <tr r="BC168" s="1"/>
        <tr r="BC168" s="1"/>
      </tp>
      <tp t="s">
        <v>N/A</v>
        <stp/>
        <stp>VOLUME</stp>
        <stp>.NDXP251128C19775</stp>
        <tr r="V165" s="2"/>
      </tp>
      <tp t="s">
        <v>N/A</v>
        <stp/>
        <stp>VOLUME</stp>
        <stp>.NDXP250829C19650</stp>
        <tr r="P170" s="2"/>
      </tp>
      <tp t="s">
        <v>N/A</v>
        <stp/>
        <stp>VOLUME</stp>
        <stp>.NDXP250606C19950</stp>
        <tr r="J158" s="2"/>
      </tp>
      <tp>
        <v>22</v>
        <stp/>
        <stp>VOLUME</stp>
        <stp>.NDXP250509C19650</stp>
        <tr r="BC169" s="1"/>
        <tr r="BC169" s="1"/>
      </tp>
      <tp t="s">
        <v>N/A</v>
        <stp/>
        <stp>VOLUME</stp>
        <stp>.NDXP251128C19750</stp>
        <tr r="V166" s="2"/>
      </tp>
      <tp t="s">
        <v>N/A</v>
        <stp/>
        <stp>VOLUME</stp>
        <stp>.NDXP251128C19725</stp>
        <tr r="V167" s="2"/>
      </tp>
      <tp t="s">
        <v>N/A</v>
        <stp/>
        <stp>VOLUME</stp>
        <stp>.NDXP250829C19625</stp>
        <tr r="P171" s="2"/>
      </tp>
      <tp t="s">
        <v>N/A</v>
        <stp/>
        <stp>VOLUME</stp>
        <stp>.NDXP250606C19925</stp>
        <tr r="J159" s="2"/>
      </tp>
      <tp t="s">
        <v>N/A</v>
        <stp/>
        <stp>VOLUME</stp>
        <stp>.NDXP250509C19625</stp>
        <tr r="BC170" s="1"/>
      </tp>
      <tp t="s">
        <v>N/A</v>
        <stp/>
        <stp>VOLUME</stp>
        <stp>.NDXP251128C19700</stp>
        <tr r="V168" s="2"/>
      </tp>
      <tp t="s">
        <v>N/A</v>
        <stp/>
        <stp>VOLUME</stp>
        <stp>.NDXP250829C19600</stp>
        <tr r="P172" s="2"/>
      </tp>
      <tp t="s">
        <v>N/A</v>
        <stp/>
        <stp>VOLUME</stp>
        <stp>.NDXP250606C19900</stp>
        <tr r="J160" s="2"/>
      </tp>
      <tp>
        <v>1</v>
        <stp/>
        <stp>VOLUME</stp>
        <stp>.NDXP250509C19600</stp>
        <tr r="BC171" s="1"/>
        <tr r="BC171" s="1"/>
      </tp>
      <tp t="s">
        <v>N/A</v>
        <stp/>
        <stp>VOLUME</stp>
        <stp>.NDXP251128P19750</stp>
        <tr r="V166" s="2"/>
      </tp>
      <tp t="s">
        <v>N/A</v>
        <stp/>
        <stp>VOLUME</stp>
        <stp>.NDXP250829P19650</stp>
        <tr r="P170" s="2"/>
      </tp>
      <tp>
        <v>2</v>
        <stp/>
        <stp>VOLUME</stp>
        <stp>.NDXP250606P19950</stp>
        <tr r="J158" s="2"/>
        <tr r="J158" s="2"/>
      </tp>
      <tp>
        <v>678</v>
        <stp/>
        <stp>VOLUME</stp>
        <stp>.NDXP250509P19650</stp>
        <tr r="BD169" s="1"/>
        <tr r="BD169" s="1"/>
      </tp>
      <tp t="s">
        <v>N/A</v>
        <stp/>
        <stp>VOLUME</stp>
        <stp>.NDXP251128P19775</stp>
        <tr r="V165" s="2"/>
      </tp>
      <tp t="s">
        <v>N/A</v>
        <stp/>
        <stp>VOLUME</stp>
        <stp>.NDXP250829P19675</stp>
        <tr r="P169" s="2"/>
      </tp>
      <tp t="s">
        <v>N/A</v>
        <stp/>
        <stp>VOLUME</stp>
        <stp>.NDXP250606P19975</stp>
        <tr r="J157" s="2"/>
      </tp>
      <tp>
        <v>42</v>
        <stp/>
        <stp>VOLUME</stp>
        <stp>.NDXP250509P19675</stp>
        <tr r="BD168" s="1"/>
        <tr r="BD168" s="1"/>
      </tp>
      <tp t="s">
        <v>N/A</v>
        <stp/>
        <stp>VOLUME</stp>
        <stp>.NDXP250829P19600</stp>
        <tr r="P172" s="2"/>
      </tp>
      <tp t="s">
        <v>N/A</v>
        <stp/>
        <stp>VOLUME</stp>
        <stp>.NDXP250606P19900</stp>
        <tr r="J160" s="2"/>
      </tp>
      <tp>
        <v>562</v>
        <stp/>
        <stp>VOLUME</stp>
        <stp>.NDXP250509P19600</stp>
        <tr r="BD171" s="1"/>
        <tr r="BD171" s="1"/>
      </tp>
      <tp t="s">
        <v>N/A</v>
        <stp/>
        <stp>VOLUME</stp>
        <stp>.NDXP251128P19700</stp>
        <tr r="V168" s="2"/>
      </tp>
      <tp t="s">
        <v>N/A</v>
        <stp/>
        <stp>VOLUME</stp>
        <stp>.NDXP250829P19625</stp>
        <tr r="P171" s="2"/>
      </tp>
      <tp t="s">
        <v>N/A</v>
        <stp/>
        <stp>VOLUME</stp>
        <stp>.NDXP250606P19925</stp>
        <tr r="J159" s="2"/>
      </tp>
      <tp>
        <v>48</v>
        <stp/>
        <stp>VOLUME</stp>
        <stp>.NDXP250509P19625</stp>
        <tr r="BD170" s="1"/>
        <tr r="BD170" s="1"/>
      </tp>
      <tp t="s">
        <v>N/A</v>
        <stp/>
        <stp>VOLUME</stp>
        <stp>.NDXP251128P19725</stp>
        <tr r="V167" s="2"/>
      </tp>
      <tp>
        <v>23</v>
        <stp/>
        <stp>OPEN_INT</stp>
        <stp>.NDXP250505C19400</stp>
        <tr r="AS179" s="1"/>
        <tr r="AS179" s="1"/>
      </tp>
      <tp>
        <v>38</v>
        <stp/>
        <stp>OPEN_INT</stp>
        <stp>.NDXP250509C19800</stp>
        <tr r="AU163" s="1"/>
        <tr r="AU163" s="1"/>
      </tp>
      <tp>
        <v>55</v>
        <stp/>
        <stp>OPEN_INT</stp>
        <stp>.NDXP250505C20400</stp>
        <tr r="AS139" s="1"/>
        <tr r="AS139" s="1"/>
      </tp>
      <tp>
        <v>1</v>
        <stp/>
        <stp>OPEN_INT</stp>
        <stp>.NDXP250505C19425</stp>
        <tr r="AS178" s="1"/>
        <tr r="AS178" s="1"/>
      </tp>
      <tp>
        <v>15</v>
        <stp/>
        <stp>OPEN_INT</stp>
        <stp>.NDXP250509C19825</stp>
        <tr r="AU162" s="1"/>
        <tr r="AU162" s="1"/>
      </tp>
      <tp>
        <v>9</v>
        <stp/>
        <stp>OPEN_INT</stp>
        <stp>.NDXP250505C20425</stp>
        <tr r="AS138" s="1"/>
        <tr r="AS138" s="1"/>
      </tp>
      <tp>
        <v>3</v>
        <stp/>
        <stp>OPEN_INT</stp>
        <stp>.NDXP250505C19450</stp>
        <tr r="AS177" s="1"/>
        <tr r="AS177" s="1"/>
      </tp>
      <tp>
        <v>7</v>
        <stp/>
        <stp>OPEN_INT</stp>
        <stp>.NDXP250509C19850</stp>
        <tr r="AU161" s="1"/>
        <tr r="AU161" s="1"/>
      </tp>
      <tp>
        <v>41</v>
        <stp/>
        <stp>OPEN_INT</stp>
        <stp>.NDXP250505C20450</stp>
        <tr r="AS137" s="1"/>
        <tr r="AS137" s="1"/>
      </tp>
      <tp>
        <v>3</v>
        <stp/>
        <stp>OPEN_INT</stp>
        <stp>.NDXP250505C19475</stp>
        <tr r="AS176" s="1"/>
        <tr r="AS176" s="1"/>
      </tp>
      <tp>
        <v>6</v>
        <stp/>
        <stp>OPEN_INT</stp>
        <stp>.NDXP250509C19875</stp>
        <tr r="AU160" s="1"/>
        <tr r="AU160" s="1"/>
      </tp>
      <tp>
        <v>0</v>
        <stp/>
        <stp>OPEN_INT</stp>
        <stp>.NDXP250505P19425</stp>
        <tr r="AT178" s="1"/>
        <tr r="AT178" s="1"/>
      </tp>
      <tp>
        <v>6</v>
        <stp/>
        <stp>OPEN_INT</stp>
        <stp>.NDXP250509P19825</stp>
        <tr r="AV162" s="1"/>
        <tr r="AV162" s="1"/>
      </tp>
      <tp>
        <v>0</v>
        <stp/>
        <stp>OPEN_INT</stp>
        <stp>.NDXP250505P20425</stp>
        <tr r="AT138" s="1"/>
        <tr r="AT138" s="1"/>
      </tp>
      <tp>
        <v>18</v>
        <stp/>
        <stp>OPEN_INT</stp>
        <stp>.NDXP250505P19400</stp>
        <tr r="AT179" s="1"/>
        <tr r="AT179" s="1"/>
      </tp>
      <tp>
        <v>24</v>
        <stp/>
        <stp>OPEN_INT</stp>
        <stp>.NDXP250509P19800</stp>
        <tr r="AV163" s="1"/>
        <tr r="AV163" s="1"/>
      </tp>
      <tp>
        <v>3</v>
        <stp/>
        <stp>OPEN_INT</stp>
        <stp>.NDXP250505P20400</stp>
        <tr r="AT139" s="1"/>
        <tr r="AT139" s="1"/>
      </tp>
      <tp>
        <v>3</v>
        <stp/>
        <stp>OPEN_INT</stp>
        <stp>.NDXP250505P19475</stp>
        <tr r="AT176" s="1"/>
        <tr r="AT176" s="1"/>
      </tp>
      <tp>
        <v>6</v>
        <stp/>
        <stp>OPEN_INT</stp>
        <stp>.NDXP250509P19875</stp>
        <tr r="AV160" s="1"/>
        <tr r="AV160" s="1"/>
      </tp>
      <tp>
        <v>6</v>
        <stp/>
        <stp>OPEN_INT</stp>
        <stp>.NDXP250505P19450</stp>
        <tr r="AT177" s="1"/>
        <tr r="AT177" s="1"/>
      </tp>
      <tp>
        <v>17</v>
        <stp/>
        <stp>OPEN_INT</stp>
        <stp>.NDXP250509P19850</stp>
        <tr r="AV161" s="1"/>
        <tr r="AV161" s="1"/>
      </tp>
      <tp>
        <v>0</v>
        <stp/>
        <stp>OPEN_INT</stp>
        <stp>.NDXP250505P20450</stp>
        <tr r="AT137" s="1"/>
        <tr r="AT137" s="1"/>
      </tp>
      <tp>
        <v>-0.92</v>
        <stp/>
        <stp>DELTA</stp>
        <stp>.NDXP250509P20225</stp>
        <tr r="CG146" s="1"/>
        <tr r="CG146" s="1"/>
      </tp>
      <tp>
        <v>-0.05</v>
        <stp/>
        <stp>DELTA</stp>
        <stp>.NDXP250509P19225</stp>
        <tr r="CG186" s="1"/>
        <tr r="CG186" s="1"/>
      </tp>
      <tp>
        <v>-0.91</v>
        <stp/>
        <stp>DELTA</stp>
        <stp>.NDXP250509P20200</stp>
        <tr r="CG147" s="1"/>
        <tr r="CG147" s="1"/>
      </tp>
      <tp>
        <v>-0.05</v>
        <stp/>
        <stp>DELTA</stp>
        <stp>.NDXP250509P19200</stp>
        <tr r="CG187" s="1"/>
        <tr r="CG187" s="1"/>
      </tp>
      <tp>
        <v>-0.93</v>
        <stp/>
        <stp>DELTA</stp>
        <stp>.NDXP250509P20275</stp>
        <tr r="CG144" s="1"/>
        <tr r="CG144" s="1"/>
      </tp>
      <tp>
        <v>0</v>
        <stp/>
        <stp>DELTA</stp>
        <stp>.NDXP250509P19275</stp>
        <tr r="CG184" s="1"/>
        <tr r="CG184" s="1"/>
      </tp>
      <tp>
        <v>-0.93</v>
        <stp/>
        <stp>DELTA</stp>
        <stp>.NDXP250509P20250</stp>
        <tr r="CG145" s="1"/>
        <tr r="CG145" s="1"/>
      </tp>
      <tp>
        <v>0</v>
        <stp/>
        <stp>DELTA</stp>
        <stp>.NDXP250509P19250</stp>
        <tr r="CG185" s="1"/>
        <tr r="CG185" s="1"/>
      </tp>
      <tp>
        <v>0</v>
        <stp/>
        <stp>DELTA</stp>
        <stp>.NDXP250509C20200</stp>
        <tr r="CF147" s="1"/>
        <tr r="CF147" s="1"/>
      </tp>
      <tp>
        <v>1</v>
        <stp/>
        <stp>DELTA</stp>
        <stp>.NDXP250509C19200</stp>
        <tr r="CF187" s="1"/>
        <tr r="CF187" s="1"/>
      </tp>
      <tp>
        <v>7.0000000000000007E-2</v>
        <stp/>
        <stp>DELTA</stp>
        <stp>.NDXP250509C20225</stp>
        <tr r="CF146" s="1"/>
        <tr r="CF146" s="1"/>
      </tp>
      <tp>
        <v>1</v>
        <stp/>
        <stp>DELTA</stp>
        <stp>.NDXP250509C19225</stp>
        <tr r="CF186" s="1"/>
        <tr r="CF186" s="1"/>
      </tp>
      <tp>
        <v>0.01</v>
        <stp/>
        <stp>DELTA</stp>
        <stp>.NDXP250509C20250</stp>
        <tr r="CF145" s="1"/>
        <tr r="CF145" s="1"/>
      </tp>
      <tp>
        <v>1</v>
        <stp/>
        <stp>DELTA</stp>
        <stp>.NDXP250509C19250</stp>
        <tr r="CF185" s="1"/>
        <tr r="CF185" s="1"/>
      </tp>
      <tp>
        <v>0.01</v>
        <stp/>
        <stp>DELTA</stp>
        <stp>.NDXP250509C20275</stp>
        <tr r="CF144" s="1"/>
        <tr r="CF144" s="1"/>
      </tp>
      <tp>
        <v>1</v>
        <stp/>
        <stp>DELTA</stp>
        <stp>.NDXP250509C19275</stp>
        <tr r="CF184" s="1"/>
        <tr r="CF184" s="1"/>
      </tp>
      <tp t="s">
        <v>N/A</v>
        <stp/>
        <stp>VOLUME</stp>
        <stp>.NDXP250829C20175</stp>
        <tr r="P149" s="2"/>
      </tp>
      <tp t="s">
        <v>N/A</v>
        <stp/>
        <stp>VOLUME</stp>
        <stp>.NDXP250930C19875</stp>
        <tr r="R161" s="2"/>
      </tp>
      <tp t="s">
        <v>N/A</v>
        <stp/>
        <stp>VOLUME</stp>
        <stp>.NDXP250829C19175</stp>
        <tr r="P189" s="2"/>
      </tp>
      <tp t="s">
        <v>N/A</v>
        <stp/>
        <stp>VOLUME</stp>
        <stp>.NDXP250731C19975</stp>
        <tr r="N157" s="2"/>
      </tp>
      <tp t="s">
        <v>N/A</v>
        <stp/>
        <stp>VOLUME</stp>
        <stp>.NDXP250630C19875</stp>
        <tr r="L161" s="2"/>
      </tp>
      <tp>
        <v>178</v>
        <stp/>
        <stp>VOLUME</stp>
        <stp>.NDXP250509C20175</stp>
        <tr r="BC148" s="1"/>
        <tr r="BC148" s="1"/>
      </tp>
      <tp t="s">
        <v>N/A</v>
        <stp/>
        <stp>VOLUME</stp>
        <stp>.NDXP250509C19175</stp>
        <tr r="BC188" s="1"/>
      </tp>
      <tp>
        <v>1</v>
        <stp/>
        <stp>VOLUME</stp>
        <stp>.NDXP250530C19875</stp>
        <tr r="I161" s="2"/>
        <tr r="I161" s="2"/>
      </tp>
      <tp t="s">
        <v>N/A</v>
        <stp/>
        <stp>VOLUME</stp>
        <stp>.NDXP251231C19975</stp>
        <tr r="X157" s="2"/>
      </tp>
      <tp t="s">
        <v>N/A</v>
        <stp/>
        <stp>VOLUME</stp>
        <stp>.NDXP251128C20075</stp>
        <tr r="V153" s="2"/>
      </tp>
      <tp t="s">
        <v>N/A</v>
        <stp/>
        <stp>VOLUME</stp>
        <stp>.NDXP251031C19975</stp>
        <tr r="T157" s="2"/>
      </tp>
      <tp t="s">
        <v>N/A</v>
        <stp/>
        <stp>VOLUME</stp>
        <stp>.NDXP250829C20150</stp>
        <tr r="P150" s="2"/>
      </tp>
      <tp t="s">
        <v>N/A</v>
        <stp/>
        <stp>VOLUME</stp>
        <stp>.NDXP250829C19150</stp>
        <tr r="P190" s="2"/>
      </tp>
      <tp t="s">
        <v>N/A</v>
        <stp/>
        <stp>VOLUME</stp>
        <stp>.NDXP250930C19850</stp>
        <tr r="R162" s="2"/>
      </tp>
      <tp t="s">
        <v>N/A</v>
        <stp/>
        <stp>VOLUME</stp>
        <stp>.NDXP250630C19850</stp>
        <tr r="L162" s="2"/>
      </tp>
      <tp>
        <v>763</v>
        <stp/>
        <stp>VOLUME</stp>
        <stp>.NDXP250509C20150</stp>
        <tr r="BC149" s="1"/>
        <tr r="BC149" s="1"/>
      </tp>
      <tp t="s">
        <v>N/A</v>
        <stp/>
        <stp>VOLUME</stp>
        <stp>.NDXP250731C19950</stp>
        <tr r="N158" s="2"/>
      </tp>
      <tp t="s">
        <v>N/A</v>
        <stp/>
        <stp>VOLUME</stp>
        <stp>.NDXP250509C19150</stp>
        <tr r="BC189" s="1"/>
      </tp>
      <tp t="s">
        <v>N/A</v>
        <stp/>
        <stp>VOLUME</stp>
        <stp>.NDXP250530C19850</stp>
        <tr r="I162" s="2"/>
      </tp>
      <tp t="s">
        <v>N/A</v>
        <stp/>
        <stp>VOLUME</stp>
        <stp>.NDXP251231C19950</stp>
        <tr r="X158" s="2"/>
      </tp>
      <tp t="s">
        <v>N/A</v>
        <stp/>
        <stp>VOLUME</stp>
        <stp>.NDXP251128C20050</stp>
        <tr r="V154" s="2"/>
      </tp>
      <tp t="s">
        <v>N/A</v>
        <stp/>
        <stp>VOLUME</stp>
        <stp>.NDXP251031C19950</stp>
        <tr r="T158" s="2"/>
      </tp>
      <tp t="s">
        <v>N/A</v>
        <stp/>
        <stp>VOLUME</stp>
        <stp>.NDXP251231C19925</stp>
        <tr r="X159" s="2"/>
      </tp>
      <tp t="s">
        <v>N/A</v>
        <stp/>
        <stp>VOLUME</stp>
        <stp>.NDXP251128C20025</stp>
        <tr r="V155" s="2"/>
      </tp>
      <tp t="s">
        <v>N/A</v>
        <stp/>
        <stp>VOLUME</stp>
        <stp>.NDXP251031C19925</stp>
        <tr r="T159" s="2"/>
      </tp>
      <tp t="s">
        <v>N/A</v>
        <stp/>
        <stp>VOLUME</stp>
        <stp>.NDXP250829C20125</stp>
        <tr r="P151" s="2"/>
      </tp>
      <tp t="s">
        <v>N/A</v>
        <stp/>
        <stp>VOLUME</stp>
        <stp>.NDXP250930C19825</stp>
        <tr r="R163" s="2"/>
      </tp>
      <tp t="s">
        <v>N/A</v>
        <stp/>
        <stp>VOLUME</stp>
        <stp>.NDXP250731C19925</stp>
        <tr r="N159" s="2"/>
      </tp>
      <tp t="s">
        <v>N/A</v>
        <stp/>
        <stp>VOLUME</stp>
        <stp>.NDXP250630C19825</stp>
        <tr r="L163" s="2"/>
      </tp>
      <tp>
        <v>300</v>
        <stp/>
        <stp>VOLUME</stp>
        <stp>.NDXP250509C20125</stp>
        <tr r="BC150" s="1"/>
        <tr r="BC150" s="1"/>
      </tp>
      <tp>
        <v>1</v>
        <stp/>
        <stp>VOLUME</stp>
        <stp>.NDXP250530C19825</stp>
        <tr r="I163" s="2"/>
        <tr r="I163" s="2"/>
      </tp>
      <tp t="s">
        <v>N/A</v>
        <stp/>
        <stp>VOLUME</stp>
        <stp>.NDXP251231C19900</stp>
        <tr r="X160" s="2"/>
      </tp>
      <tp t="s">
        <v>N/A</v>
        <stp/>
        <stp>VOLUME</stp>
        <stp>.NDXP251128C20000</stp>
        <tr r="V156" s="2"/>
      </tp>
      <tp t="s">
        <v>N/A</v>
        <stp/>
        <stp>VOLUME</stp>
        <stp>.NDXP251031C19900</stp>
        <tr r="T160" s="2"/>
      </tp>
      <tp t="s">
        <v>N/A</v>
        <stp/>
        <stp>VOLUME</stp>
        <stp>.NDXP250829C20100</stp>
        <tr r="P152" s="2"/>
      </tp>
      <tp t="s">
        <v>N/A</v>
        <stp/>
        <stp>VOLUME</stp>
        <stp>.NDXP250930C19800</stp>
        <tr r="R164" s="2"/>
      </tp>
      <tp t="s">
        <v>N/A</v>
        <stp/>
        <stp>VOLUME</stp>
        <stp>.NDXP250630C19800</stp>
        <tr r="L164" s="2"/>
      </tp>
      <tp>
        <v>1040</v>
        <stp/>
        <stp>VOLUME</stp>
        <stp>.NDXP250509C20100</stp>
        <tr r="BC151" s="1"/>
        <tr r="BC151" s="1"/>
      </tp>
      <tp t="s">
        <v>N/A</v>
        <stp/>
        <stp>VOLUME</stp>
        <stp>.NDXP250731C19900</stp>
        <tr r="N160" s="2"/>
      </tp>
      <tp t="s">
        <v>N/A</v>
        <stp/>
        <stp>VOLUME</stp>
        <stp>.NDXP250530C19800</stp>
        <tr r="I164" s="2"/>
      </tp>
      <tp t="s">
        <v>N/A</v>
        <stp/>
        <stp>VOLUME</stp>
        <stp>.SPXW250930C5680</stp>
        <tr r="R105" s="2"/>
      </tp>
      <tp>
        <v>16</v>
        <stp/>
        <stp>VOLUME</stp>
        <stp>.SPXW250829C5710</stp>
        <tr r="P102" s="2"/>
        <tr r="P102" s="2"/>
      </tp>
      <tp>
        <v>29</v>
        <stp/>
        <stp>VOLUME</stp>
        <stp>.SPXW250509C5510</stp>
        <tr r="BC121" s="1"/>
        <tr r="BC121" s="1"/>
      </tp>
      <tp>
        <v>95</v>
        <stp/>
        <stp>VOLUME</stp>
        <stp>.SPXW250530C5680</stp>
        <tr r="I105" s="2"/>
        <tr r="I105" s="2"/>
      </tp>
      <tp t="s">
        <v>N/A</v>
        <stp/>
        <stp>VOLUME</stp>
        <stp>.SPXW250731C5690</stp>
        <tr r="N104" s="2"/>
      </tp>
      <tp>
        <v>1</v>
        <stp/>
        <stp>VOLUME</stp>
        <stp>.SPXW250630C5680</stp>
        <tr r="L105" s="2"/>
        <tr r="L105" s="2"/>
      </tp>
      <tp t="s">
        <v>N/A</v>
        <stp/>
        <stp>VOLUME</stp>
        <stp>.SPXW251128C5700</stp>
        <tr r="V103" s="2"/>
      </tp>
      <tp t="s">
        <v>N/A</v>
        <stp/>
        <stp>VOLUME</stp>
        <stp>.SPXW251031C5690</stp>
        <tr r="T104" s="2"/>
      </tp>
      <tp>
        <v>1</v>
        <stp/>
        <stp>VOLUME</stp>
        <stp>.SPXW251231C5690</stp>
        <tr r="X104" s="2"/>
        <tr r="X104" s="2"/>
      </tp>
      <tp t="s">
        <v>N/A</v>
        <stp/>
        <stp>VOLUME</stp>
        <stp>.SPXW251128P5700</stp>
        <tr r="V103" s="2"/>
      </tp>
      <tp t="s">
        <v>N/A</v>
        <stp/>
        <stp>VOLUME</stp>
        <stp>.SPXW251031P5690</stp>
        <tr r="T104" s="2"/>
      </tp>
      <tp t="s">
        <v>N/A</v>
        <stp/>
        <stp>VOLUME</stp>
        <stp>.SPXW251231P5690</stp>
        <tr r="X104" s="2"/>
      </tp>
      <tp>
        <v>1</v>
        <stp/>
        <stp>VOLUME</stp>
        <stp>.SPXW250930P5680</stp>
        <tr r="R105" s="2"/>
        <tr r="R105" s="2"/>
      </tp>
      <tp>
        <v>2</v>
        <stp/>
        <stp>VOLUME</stp>
        <stp>.SPXW250829P5710</stp>
        <tr r="P102" s="2"/>
        <tr r="P102" s="2"/>
      </tp>
      <tp>
        <v>2382</v>
        <stp/>
        <stp>VOLUME</stp>
        <stp>.SPXW250509P5510</stp>
        <tr r="BD121" s="1"/>
        <tr r="BD121" s="1"/>
      </tp>
      <tp>
        <v>28</v>
        <stp/>
        <stp>VOLUME</stp>
        <stp>.SPXW250530P5680</stp>
        <tr r="I105" s="2"/>
        <tr r="I105" s="2"/>
      </tp>
      <tp t="s">
        <v>N/A</v>
        <stp/>
        <stp>VOLUME</stp>
        <stp>.SPXW250731P5690</stp>
        <tr r="N104" s="2"/>
      </tp>
      <tp>
        <v>1</v>
        <stp/>
        <stp>VOLUME</stp>
        <stp>.SPXW250630P5680</stp>
        <tr r="L105" s="2"/>
        <tr r="L105" s="2"/>
      </tp>
      <tp t="s">
        <v>N/A</v>
        <stp/>
        <stp>VOLUME</stp>
        <stp>.SPXW250930C5690</stp>
        <tr r="R104" s="2"/>
      </tp>
      <tp>
        <v>3</v>
        <stp/>
        <stp>VOLUME</stp>
        <stp>.SPXW250829C5700</stp>
        <tr r="P103" s="2"/>
        <tr r="P103" s="2"/>
      </tp>
      <tp>
        <v>635</v>
        <stp/>
        <stp>VOLUME</stp>
        <stp>.SPXW250509C5500</stp>
        <tr r="BC122" s="1"/>
        <tr r="BC122" s="1"/>
      </tp>
      <tp>
        <v>7</v>
        <stp/>
        <stp>VOLUME</stp>
        <stp>.SPXW250530C5690</stp>
        <tr r="I104" s="2"/>
        <tr r="I104" s="2"/>
      </tp>
      <tp t="s">
        <v>N/A</v>
        <stp/>
        <stp>VOLUME</stp>
        <stp>.SPXW250731C5680</stp>
        <tr r="N105" s="2"/>
      </tp>
      <tp>
        <v>6</v>
        <stp/>
        <stp>VOLUME</stp>
        <stp>.SPXW250630C5690</stp>
        <tr r="L104" s="2"/>
        <tr r="L104" s="2"/>
      </tp>
      <tp t="s">
        <v>N/A</v>
        <stp/>
        <stp>VOLUME</stp>
        <stp>.SPXW251128C5710</stp>
        <tr r="V102" s="2"/>
      </tp>
      <tp>
        <v>12</v>
        <stp/>
        <stp>VOLUME</stp>
        <stp>.SPXW251031C5680</stp>
        <tr r="T105" s="2"/>
        <tr r="T105" s="2"/>
      </tp>
      <tp t="s">
        <v>N/A</v>
        <stp/>
        <stp>VOLUME</stp>
        <stp>.SPXW251231C5680</stp>
        <tr r="X105" s="2"/>
      </tp>
      <tp t="s">
        <v>N/A</v>
        <stp/>
        <stp>VOLUME</stp>
        <stp>.SPXW251128P5710</stp>
        <tr r="V102" s="2"/>
      </tp>
      <tp t="s">
        <v>N/A</v>
        <stp/>
        <stp>VOLUME</stp>
        <stp>.SPXW251031P5680</stp>
        <tr r="T105" s="2"/>
      </tp>
      <tp>
        <v>1</v>
        <stp/>
        <stp>VOLUME</stp>
        <stp>.SPXW251231P5680</stp>
        <tr r="X105" s="2"/>
        <tr r="X105" s="2"/>
      </tp>
      <tp t="s">
        <v>N/A</v>
        <stp/>
        <stp>VOLUME</stp>
        <stp>.SPXW250930P5690</stp>
        <tr r="R104" s="2"/>
      </tp>
      <tp>
        <v>3</v>
        <stp/>
        <stp>VOLUME</stp>
        <stp>.SPXW250829P5700</stp>
        <tr r="P103" s="2"/>
        <tr r="P103" s="2"/>
      </tp>
      <tp>
        <v>5766</v>
        <stp/>
        <stp>VOLUME</stp>
        <stp>.SPXW250509P5500</stp>
        <tr r="BD122" s="1"/>
        <tr r="BD122" s="1"/>
      </tp>
      <tp>
        <v>3</v>
        <stp/>
        <stp>VOLUME</stp>
        <stp>.SPXW250530P5690</stp>
        <tr r="I104" s="2"/>
        <tr r="I104" s="2"/>
      </tp>
      <tp>
        <v>2</v>
        <stp/>
        <stp>VOLUME</stp>
        <stp>.SPXW250731P5680</stp>
        <tr r="N105" s="2"/>
        <tr r="N105" s="2"/>
      </tp>
      <tp>
        <v>1</v>
        <stp/>
        <stp>VOLUME</stp>
        <stp>.SPXW250630P5690</stp>
        <tr r="L104" s="2"/>
        <tr r="L104" s="2"/>
      </tp>
      <tp t="s">
        <v>N/A</v>
        <stp/>
        <stp>VOLUME</stp>
        <stp>.SPXW250829C5730</stp>
        <tr r="P100" s="2"/>
      </tp>
      <tp>
        <v>88</v>
        <stp/>
        <stp>VOLUME</stp>
        <stp>.SPXW250509C5530</stp>
        <tr r="BC119" s="1"/>
        <tr r="BC119" s="1"/>
      </tp>
      <tp t="s">
        <v>N/A</v>
        <stp/>
        <stp>VOLUME</stp>
        <stp>.SPXW251128C5720</stp>
        <tr r="V101" s="2"/>
      </tp>
      <tp t="s">
        <v>N/A</v>
        <stp/>
        <stp>VOLUME</stp>
        <stp>.SPXW251128P5720</stp>
        <tr r="V101" s="2"/>
      </tp>
      <tp>
        <v>2</v>
        <stp/>
        <stp>VOLUME</stp>
        <stp>.SPXW250829P5730</stp>
        <tr r="P100" s="2"/>
        <tr r="P100" s="2"/>
      </tp>
      <tp>
        <v>4304</v>
        <stp/>
        <stp>VOLUME</stp>
        <stp>.SPXW250509P5530</stp>
        <tr r="BD119" s="1"/>
        <tr r="BD119" s="1"/>
      </tp>
      <tp>
        <v>7</v>
        <stp/>
        <stp>VOLUME</stp>
        <stp>.SPXW250829C5720</stp>
        <tr r="P101" s="2"/>
        <tr r="P101" s="2"/>
      </tp>
      <tp>
        <v>150</v>
        <stp/>
        <stp>VOLUME</stp>
        <stp>.SPXW250509C5520</stp>
        <tr r="BC120" s="1"/>
        <tr r="BC120" s="1"/>
      </tp>
      <tp t="s">
        <v>N/A</v>
        <stp/>
        <stp>VOLUME</stp>
        <stp>.SPXW251128C5730</stp>
        <tr r="V100" s="2"/>
      </tp>
      <tp t="s">
        <v>N/A</v>
        <stp/>
        <stp>VOLUME</stp>
        <stp>.SPXW251128P5730</stp>
        <tr r="V100" s="2"/>
      </tp>
      <tp t="s">
        <v>N/A</v>
        <stp/>
        <stp>VOLUME</stp>
        <stp>.SPXW250829P5720</stp>
        <tr r="P101" s="2"/>
      </tp>
      <tp>
        <v>3078</v>
        <stp/>
        <stp>VOLUME</stp>
        <stp>.SPXW250509P5520</stp>
        <tr r="BD120" s="1"/>
        <tr r="BD120" s="1"/>
      </tp>
      <tp t="s">
        <v>N/A</v>
        <stp/>
        <stp>VOLUME</stp>
        <stp>.SPXW250829C5750</stp>
        <tr r="P98" s="2"/>
      </tp>
      <tp t="s">
        <v>N/A</v>
        <stp/>
        <stp>VOLUME</stp>
        <stp>.SPXW250505C5590</stp>
        <tr r="BA113" s="1"/>
      </tp>
      <tp>
        <v>528</v>
        <stp/>
        <stp>VOLUME</stp>
        <stp>.SPXW250509C5550</stp>
        <tr r="BC117" s="1"/>
        <tr r="BC117" s="1"/>
      </tp>
      <tp t="s">
        <v>N/A</v>
        <stp/>
        <stp>VOLUME</stp>
        <stp>.SPXW251128C5740</stp>
        <tr r="V99" s="2"/>
      </tp>
      <tp t="s">
        <v>N/A</v>
        <stp/>
        <stp>VOLUME</stp>
        <stp>.SPXW251128P5740</stp>
        <tr r="V99" s="2"/>
      </tp>
      <tp t="s">
        <v>N/A</v>
        <stp/>
        <stp>VOLUME</stp>
        <stp>.SPXW250829P5750</stp>
        <tr r="P98" s="2"/>
      </tp>
      <tp t="s">
        <v>N/A</v>
        <stp/>
        <stp>VOLUME</stp>
        <stp>.SPXW250505P5590</stp>
        <tr r="BB113" s="1"/>
      </tp>
      <tp>
        <v>12254</v>
        <stp/>
        <stp>VOLUME</stp>
        <stp>.SPXW250509P5550</stp>
        <tr r="BD117" s="1"/>
        <tr r="BD117" s="1"/>
      </tp>
      <tp t="s">
        <v>N/A</v>
        <stp/>
        <stp>VOLUME</stp>
        <stp>.SPXW250829C5740</stp>
        <tr r="P99" s="2"/>
      </tp>
      <tp t="s">
        <v>N/A</v>
        <stp/>
        <stp>VOLUME</stp>
        <stp>.SPXW250505C5580</stp>
        <tr r="BA114" s="1"/>
      </tp>
      <tp>
        <v>484</v>
        <stp/>
        <stp>VOLUME</stp>
        <stp>.SPXW250509C5540</stp>
        <tr r="BC118" s="1"/>
        <tr r="BC118" s="1"/>
      </tp>
      <tp t="s">
        <v>N/A</v>
        <stp/>
        <stp>VOLUME</stp>
        <stp>.SPXW251128C5750</stp>
        <tr r="V98" s="2"/>
      </tp>
      <tp t="s">
        <v>N/A</v>
        <stp/>
        <stp>VOLUME</stp>
        <stp>.SPXW251128P5750</stp>
        <tr r="V98" s="2"/>
      </tp>
      <tp>
        <v>15</v>
        <stp/>
        <stp>VOLUME</stp>
        <stp>.SPXW250829P5740</stp>
        <tr r="P99" s="2"/>
        <tr r="P99" s="2"/>
      </tp>
      <tp t="s">
        <v>N/A</v>
        <stp/>
        <stp>VOLUME</stp>
        <stp>.SPXW250505P5580</stp>
        <tr r="BB114" s="1"/>
      </tp>
      <tp>
        <v>7363</v>
        <stp/>
        <stp>VOLUME</stp>
        <stp>.SPXW250509P5540</stp>
        <tr r="BD118" s="1"/>
        <tr r="BD118" s="1"/>
      </tp>
      <tp t="s">
        <v>N/A</v>
        <stp/>
        <stp>VOLUME</stp>
        <stp>.SPXW250829C5770</stp>
        <tr r="P96" s="2"/>
      </tp>
      <tp>
        <v>279</v>
        <stp/>
        <stp>VOLUME</stp>
        <stp>.SPXW250509C5570</stp>
        <tr r="BC115" s="1"/>
        <tr r="BC115" s="1"/>
      </tp>
      <tp>
        <v>43</v>
        <stp/>
        <stp>VOLUME</stp>
        <stp>.SPXW250516C5480</stp>
        <tr r="BE124" s="1"/>
        <tr r="BE124" s="1"/>
      </tp>
      <tp>
        <v>2</v>
        <stp/>
        <stp>VOLUME</stp>
        <stp>.SPXW250606C5580</stp>
        <tr r="J115" s="2"/>
        <tr r="J115" s="2"/>
      </tp>
      <tp t="s">
        <v>N/A</v>
        <stp/>
        <stp>VOLUME</stp>
        <stp>.SPXW251128C5760</stp>
        <tr r="V97" s="2"/>
      </tp>
      <tp t="s">
        <v>N/A</v>
        <stp/>
        <stp>VOLUME</stp>
        <stp>.SPXW251128P5760</stp>
        <tr r="V97" s="2"/>
      </tp>
      <tp t="s">
        <v>N/A</v>
        <stp/>
        <stp>VOLUME</stp>
        <stp>.SPXW250829P5770</stp>
        <tr r="P96" s="2"/>
      </tp>
      <tp>
        <v>27204</v>
        <stp/>
        <stp>VOLUME</stp>
        <stp>.SPXW250509P5570</stp>
        <tr r="BD115" s="1"/>
        <tr r="BD115" s="1"/>
      </tp>
      <tp>
        <v>586</v>
        <stp/>
        <stp>VOLUME</stp>
        <stp>.SPXW250516P5480</stp>
        <tr r="BF124" s="1"/>
        <tr r="BF124" s="1"/>
      </tp>
      <tp>
        <v>12</v>
        <stp/>
        <stp>VOLUME</stp>
        <stp>.SPXW250606P5580</stp>
        <tr r="J115" s="2"/>
        <tr r="J115" s="2"/>
      </tp>
      <tp t="s">
        <v>N/A</v>
        <stp/>
        <stp>VOLUME</stp>
        <stp>.SPXW250829C5760</stp>
        <tr r="P97" s="2"/>
      </tp>
      <tp>
        <v>72</v>
        <stp/>
        <stp>VOLUME</stp>
        <stp>.SPXW250509C5560</stp>
        <tr r="BC116" s="1"/>
        <tr r="BC116" s="1"/>
      </tp>
      <tp>
        <v>3</v>
        <stp/>
        <stp>VOLUME</stp>
        <stp>.SPXW250516C5490</stp>
        <tr r="BE123" s="1"/>
        <tr r="BE123" s="1"/>
      </tp>
      <tp>
        <v>2</v>
        <stp/>
        <stp>VOLUME</stp>
        <stp>.SPXW250606C5590</stp>
        <tr r="J114" s="2"/>
        <tr r="J114" s="2"/>
      </tp>
      <tp t="s">
        <v>N/A</v>
        <stp/>
        <stp>VOLUME</stp>
        <stp>.SPXW251128C5770</stp>
        <tr r="V96" s="2"/>
      </tp>
      <tp t="s">
        <v>N/A</v>
        <stp/>
        <stp>VOLUME</stp>
        <stp>.SPXW251128P5770</stp>
        <tr r="V96" s="2"/>
      </tp>
      <tp>
        <v>8</v>
        <stp/>
        <stp>VOLUME</stp>
        <stp>.SPXW250829P5760</stp>
        <tr r="P97" s="2"/>
        <tr r="P97" s="2"/>
      </tp>
      <tp>
        <v>9797</v>
        <stp/>
        <stp>VOLUME</stp>
        <stp>.SPXW250509P5560</stp>
        <tr r="BD116" s="1"/>
        <tr r="BD116" s="1"/>
      </tp>
      <tp>
        <v>217</v>
        <stp/>
        <stp>VOLUME</stp>
        <stp>.SPXW250516P5490</stp>
        <tr r="BF123" s="1"/>
        <tr r="BF123" s="1"/>
      </tp>
      <tp>
        <v>5</v>
        <stp/>
        <stp>VOLUME</stp>
        <stp>.SPXW250606P5590</stp>
        <tr r="J114" s="2"/>
        <tr r="J114" s="2"/>
      </tp>
      <tp t="s">
        <v>N/A</v>
        <stp/>
        <stp>VOLUME</stp>
        <stp>.NDXP251231P19950</stp>
        <tr r="X158" s="2"/>
      </tp>
      <tp t="s">
        <v>N/A</v>
        <stp/>
        <stp>VOLUME</stp>
        <stp>.NDXP251128P20050</stp>
        <tr r="V154" s="2"/>
      </tp>
      <tp t="s">
        <v>N/A</v>
        <stp/>
        <stp>VOLUME</stp>
        <stp>.NDXP251031P19950</stp>
        <tr r="T158" s="2"/>
      </tp>
      <tp t="s">
        <v>N/A</v>
        <stp/>
        <stp>VOLUME</stp>
        <stp>.SPXW250930C5600</stp>
        <tr r="R113" s="2"/>
      </tp>
      <tp t="s">
        <v>N/A</v>
        <stp/>
        <stp>VOLUME</stp>
        <stp>.SPXW250829C5790</stp>
        <tr r="P94" s="2"/>
      </tp>
      <tp t="s">
        <v>N/A</v>
        <stp/>
        <stp>VOLUME</stp>
        <stp>.SPXW250505C5550</stp>
        <tr r="BA117" s="1"/>
      </tp>
      <tp>
        <v>1440</v>
        <stp/>
        <stp>VOLUME</stp>
        <stp>.SPXW250509C5590</stp>
        <tr r="BC113" s="1"/>
        <tr r="BC113" s="1"/>
      </tp>
      <tp>
        <v>14</v>
        <stp/>
        <stp>VOLUME</stp>
        <stp>.SPXW250516C5460</stp>
        <tr r="BE126" s="1"/>
        <tr r="BE126" s="1"/>
      </tp>
      <tp>
        <v>90</v>
        <stp/>
        <stp>VOLUME</stp>
        <stp>.SPXW250530C5600</stp>
        <tr r="I113" s="2"/>
        <tr r="I113" s="2"/>
      </tp>
      <tp t="s">
        <v>N/A</v>
        <stp/>
        <stp>VOLUME</stp>
        <stp>.SPXW250731C5610</stp>
        <tr r="N112" s="2"/>
      </tp>
      <tp>
        <v>1</v>
        <stp/>
        <stp>VOLUME</stp>
        <stp>.SPXW250606C5560</stp>
        <tr r="J117" s="2"/>
        <tr r="J117" s="2"/>
      </tp>
      <tp>
        <v>2</v>
        <stp/>
        <stp>VOLUME</stp>
        <stp>.SPXW250630C5600</stp>
        <tr r="L113" s="2"/>
        <tr r="L113" s="2"/>
      </tp>
      <tp t="s">
        <v>N/A</v>
        <stp/>
        <stp>VOLUME</stp>
        <stp>.SPXW251128C5780</stp>
        <tr r="V95" s="2"/>
      </tp>
      <tp t="s">
        <v>N/A</v>
        <stp/>
        <stp>VOLUME</stp>
        <stp>.SPXW251031C5610</stp>
        <tr r="T112" s="2"/>
      </tp>
      <tp t="s">
        <v>N/A</v>
        <stp/>
        <stp>VOLUME</stp>
        <stp>.SPXW251231C5610</stp>
        <tr r="X112" s="2"/>
      </tp>
      <tp t="s">
        <v>N/A</v>
        <stp/>
        <stp>VOLUME</stp>
        <stp>.SPXW251128P5780</stp>
        <tr r="V95" s="2"/>
      </tp>
      <tp>
        <v>13</v>
        <stp/>
        <stp>VOLUME</stp>
        <stp>.SPXW251031P5610</stp>
        <tr r="T112" s="2"/>
        <tr r="T112" s="2"/>
      </tp>
      <tp t="s">
        <v>N/A</v>
        <stp/>
        <stp>VOLUME</stp>
        <stp>.SPXW251231P5610</stp>
        <tr r="X112" s="2"/>
      </tp>
      <tp>
        <v>159</v>
        <stp/>
        <stp>VOLUME</stp>
        <stp>.SPXW250930P5600</stp>
        <tr r="R113" s="2"/>
        <tr r="R113" s="2"/>
      </tp>
      <tp t="s">
        <v>N/A</v>
        <stp/>
        <stp>VOLUME</stp>
        <stp>.SPXW250829P5790</stp>
        <tr r="P94" s="2"/>
      </tp>
      <tp t="s">
        <v>N/A</v>
        <stp/>
        <stp>VOLUME</stp>
        <stp>.SPXW250505P5550</stp>
        <tr r="BB117" s="1"/>
      </tp>
      <tp>
        <v>28137</v>
        <stp/>
        <stp>VOLUME</stp>
        <stp>.SPXW250509P5590</stp>
        <tr r="BD113" s="1"/>
        <tr r="BD113" s="1"/>
      </tp>
      <tp>
        <v>186</v>
        <stp/>
        <stp>VOLUME</stp>
        <stp>.SPXW250516P5460</stp>
        <tr r="BF126" s="1"/>
        <tr r="BF126" s="1"/>
      </tp>
      <tp>
        <v>375</v>
        <stp/>
        <stp>VOLUME</stp>
        <stp>.SPXW250530P5600</stp>
        <tr r="I113" s="2"/>
        <tr r="I113" s="2"/>
      </tp>
      <tp>
        <v>1</v>
        <stp/>
        <stp>VOLUME</stp>
        <stp>.SPXW250731P5610</stp>
        <tr r="N112" s="2"/>
        <tr r="N112" s="2"/>
      </tp>
      <tp>
        <v>1</v>
        <stp/>
        <stp>VOLUME</stp>
        <stp>.SPXW250606P5560</stp>
        <tr r="J117" s="2"/>
        <tr r="J117" s="2"/>
      </tp>
      <tp>
        <v>49</v>
        <stp/>
        <stp>VOLUME</stp>
        <stp>.SPXW250630P5600</stp>
        <tr r="L113" s="2"/>
        <tr r="L113" s="2"/>
      </tp>
      <tp t="s">
        <v>N/A</v>
        <stp/>
        <stp>VOLUME</stp>
        <stp>.NDXP250829P20150</stp>
        <tr r="P150" s="2"/>
      </tp>
      <tp t="s">
        <v>N/A</v>
        <stp/>
        <stp>VOLUME</stp>
        <stp>.NDXP250829P19150</stp>
        <tr r="P190" s="2"/>
      </tp>
      <tp t="s">
        <v>N/A</v>
        <stp/>
        <stp>VOLUME</stp>
        <stp>.NDXP250930P19850</stp>
        <tr r="R162" s="2"/>
      </tp>
      <tp t="s">
        <v>N/A</v>
        <stp/>
        <stp>VOLUME</stp>
        <stp>.NDXP250630P19850</stp>
        <tr r="L162" s="2"/>
      </tp>
      <tp>
        <v>135</v>
        <stp/>
        <stp>VOLUME</stp>
        <stp>.NDXP250509P20150</stp>
        <tr r="BD149" s="1"/>
        <tr r="BD149" s="1"/>
      </tp>
      <tp t="s">
        <v>N/A</v>
        <stp/>
        <stp>VOLUME</stp>
        <stp>.NDXP250731P19950</stp>
        <tr r="N158" s="2"/>
      </tp>
      <tp>
        <v>7</v>
        <stp/>
        <stp>VOLUME</stp>
        <stp>.NDXP250509P19150</stp>
        <tr r="BD189" s="1"/>
        <tr r="BD189" s="1"/>
      </tp>
      <tp t="s">
        <v>N/A</v>
        <stp/>
        <stp>VOLUME</stp>
        <stp>.NDXP250530P19850</stp>
        <tr r="I162" s="2"/>
      </tp>
      <tp t="s">
        <v>N/A</v>
        <stp/>
        <stp>VOLUME</stp>
        <stp>.SPXW250930C5610</stp>
        <tr r="R112" s="2"/>
      </tp>
      <tp t="s">
        <v>N/A</v>
        <stp/>
        <stp>VOLUME</stp>
        <stp>.SPXW250829C5780</stp>
        <tr r="P95" s="2"/>
      </tp>
      <tp t="s">
        <v>N/A</v>
        <stp/>
        <stp>VOLUME</stp>
        <stp>.SPXW250505C5540</stp>
        <tr r="BA118" s="1"/>
      </tp>
      <tp>
        <v>535</v>
        <stp/>
        <stp>VOLUME</stp>
        <stp>.SPXW250509C5580</stp>
        <tr r="BC114" s="1"/>
        <tr r="BC114" s="1"/>
      </tp>
      <tp>
        <v>1</v>
        <stp/>
        <stp>VOLUME</stp>
        <stp>.SPXW250516C5470</stp>
        <tr r="BE125" s="1"/>
        <tr r="BE125" s="1"/>
      </tp>
      <tp>
        <v>1</v>
        <stp/>
        <stp>VOLUME</stp>
        <stp>.SPXW250530C5610</stp>
        <tr r="I112" s="2"/>
        <tr r="I112" s="2"/>
      </tp>
      <tp>
        <v>3</v>
        <stp/>
        <stp>VOLUME</stp>
        <stp>.SPXW250731C5600</stp>
        <tr r="N113" s="2"/>
        <tr r="N113" s="2"/>
      </tp>
      <tp>
        <v>2</v>
        <stp/>
        <stp>VOLUME</stp>
        <stp>.SPXW250606C5570</stp>
        <tr r="J116" s="2"/>
        <tr r="J116" s="2"/>
      </tp>
      <tp>
        <v>4</v>
        <stp/>
        <stp>VOLUME</stp>
        <stp>.SPXW250630C5610</stp>
        <tr r="L112" s="2"/>
        <tr r="L112" s="2"/>
      </tp>
      <tp t="s">
        <v>N/A</v>
        <stp/>
        <stp>VOLUME</stp>
        <stp>.SPXW251128C5790</stp>
        <tr r="V94" s="2"/>
      </tp>
      <tp>
        <v>3</v>
        <stp/>
        <stp>VOLUME</stp>
        <stp>.SPXW251031C5600</stp>
        <tr r="T113" s="2"/>
        <tr r="T113" s="2"/>
      </tp>
      <tp>
        <v>4</v>
        <stp/>
        <stp>VOLUME</stp>
        <stp>.SPXW251231C5600</stp>
        <tr r="X113" s="2"/>
        <tr r="X113" s="2"/>
      </tp>
      <tp t="s">
        <v>N/A</v>
        <stp/>
        <stp>VOLUME</stp>
        <stp>.SPXW251128P5790</stp>
        <tr r="V94" s="2"/>
      </tp>
      <tp>
        <v>10</v>
        <stp/>
        <stp>VOLUME</stp>
        <stp>.SPXW251031P5600</stp>
        <tr r="T113" s="2"/>
        <tr r="T113" s="2"/>
      </tp>
      <tp t="s">
        <v>N/A</v>
        <stp/>
        <stp>VOLUME</stp>
        <stp>.SPXW251231P5600</stp>
        <tr r="X113" s="2"/>
      </tp>
      <tp t="s">
        <v>N/A</v>
        <stp/>
        <stp>VOLUME</stp>
        <stp>.SPXW250930P5610</stp>
        <tr r="R112" s="2"/>
      </tp>
      <tp t="s">
        <v>N/A</v>
        <stp/>
        <stp>VOLUME</stp>
        <stp>.SPXW250829P5780</stp>
        <tr r="P95" s="2"/>
      </tp>
      <tp t="s">
        <v>N/A</v>
        <stp/>
        <stp>VOLUME</stp>
        <stp>.SPXW250505P5540</stp>
        <tr r="BB118" s="1"/>
      </tp>
      <tp>
        <v>23489</v>
        <stp/>
        <stp>VOLUME</stp>
        <stp>.SPXW250509P5580</stp>
        <tr r="BD114" s="1"/>
        <tr r="BD114" s="1"/>
      </tp>
      <tp>
        <v>205</v>
        <stp/>
        <stp>VOLUME</stp>
        <stp>.SPXW250516P5470</stp>
        <tr r="BF125" s="1"/>
        <tr r="BF125" s="1"/>
      </tp>
      <tp>
        <v>19</v>
        <stp/>
        <stp>VOLUME</stp>
        <stp>.SPXW250530P5610</stp>
        <tr r="I112" s="2"/>
        <tr r="I112" s="2"/>
      </tp>
      <tp t="s">
        <v>N/A</v>
        <stp/>
        <stp>VOLUME</stp>
        <stp>.SPXW250731P5600</stp>
        <tr r="N113" s="2"/>
      </tp>
      <tp>
        <v>7</v>
        <stp/>
        <stp>VOLUME</stp>
        <stp>.SPXW250606P5570</stp>
        <tr r="J116" s="2"/>
        <tr r="J116" s="2"/>
      </tp>
      <tp>
        <v>1</v>
        <stp/>
        <stp>VOLUME</stp>
        <stp>.SPXW250630P5610</stp>
        <tr r="L112" s="2"/>
        <tr r="L112" s="2"/>
      </tp>
      <tp t="s">
        <v>N/A</v>
        <stp/>
        <stp>VOLUME</stp>
        <stp>.NDXP251231P19975</stp>
        <tr r="X157" s="2"/>
      </tp>
      <tp t="s">
        <v>N/A</v>
        <stp/>
        <stp>VOLUME</stp>
        <stp>.NDXP251128P20075</stp>
        <tr r="V153" s="2"/>
      </tp>
      <tp t="s">
        <v>N/A</v>
        <stp/>
        <stp>VOLUME</stp>
        <stp>.NDXP251031P19975</stp>
        <tr r="T157" s="2"/>
      </tp>
      <tp t="s">
        <v>N/A</v>
        <stp/>
        <stp>VOLUME</stp>
        <stp>.SPXW250930C5620</stp>
        <tr r="R111" s="2"/>
      </tp>
      <tp t="s">
        <v>N/A</v>
        <stp/>
        <stp>VOLUME</stp>
        <stp>.SPXW250505C5570</stp>
        <tr r="BA115" s="1"/>
      </tp>
      <tp>
        <v>4</v>
        <stp/>
        <stp>VOLUME</stp>
        <stp>.SPXW250516C5440</stp>
        <tr r="BE128" s="1"/>
        <tr r="BE128" s="1"/>
      </tp>
      <tp>
        <v>9</v>
        <stp/>
        <stp>VOLUME</stp>
        <stp>.SPXW250530C5620</stp>
        <tr r="I111" s="2"/>
        <tr r="I111" s="2"/>
      </tp>
      <tp t="s">
        <v>N/A</v>
        <stp/>
        <stp>VOLUME</stp>
        <stp>.SPXW250731C5630</stp>
        <tr r="N110" s="2"/>
      </tp>
      <tp>
        <v>1</v>
        <stp/>
        <stp>VOLUME</stp>
        <stp>.SPXW250606C5540</stp>
        <tr r="J119" s="2"/>
        <tr r="J119" s="2"/>
      </tp>
      <tp t="s">
        <v>N/A</v>
        <stp/>
        <stp>VOLUME</stp>
        <stp>.SPXW250630C5620</stp>
        <tr r="L111" s="2"/>
      </tp>
      <tp t="s">
        <v>N/A</v>
        <stp/>
        <stp>VOLUME</stp>
        <stp>.SPXW251031C5630</stp>
        <tr r="T110" s="2"/>
      </tp>
      <tp t="s">
        <v>N/A</v>
        <stp/>
        <stp>VOLUME</stp>
        <stp>.SPXW251231C5630</stp>
        <tr r="X110" s="2"/>
      </tp>
      <tp t="s">
        <v>N/A</v>
        <stp/>
        <stp>VOLUME</stp>
        <stp>.SPXW251031P5630</stp>
        <tr r="T110" s="2"/>
      </tp>
      <tp t="s">
        <v>N/A</v>
        <stp/>
        <stp>VOLUME</stp>
        <stp>.SPXW251231P5630</stp>
        <tr r="X110" s="2"/>
      </tp>
      <tp t="s">
        <v>N/A</v>
        <stp/>
        <stp>VOLUME</stp>
        <stp>.SPXW250930P5620</stp>
        <tr r="R111" s="2"/>
      </tp>
      <tp t="s">
        <v>N/A</v>
        <stp/>
        <stp>VOLUME</stp>
        <stp>.SPXW250505P5570</stp>
        <tr r="BB115" s="1"/>
      </tp>
      <tp>
        <v>1202</v>
        <stp/>
        <stp>VOLUME</stp>
        <stp>.SPXW250516P5440</stp>
        <tr r="BF128" s="1"/>
        <tr r="BF128" s="1"/>
      </tp>
      <tp>
        <v>22</v>
        <stp/>
        <stp>VOLUME</stp>
        <stp>.SPXW250530P5620</stp>
        <tr r="I111" s="2"/>
        <tr r="I111" s="2"/>
      </tp>
      <tp t="s">
        <v>N/A</v>
        <stp/>
        <stp>VOLUME</stp>
        <stp>.SPXW250731P5630</stp>
        <tr r="N110" s="2"/>
      </tp>
      <tp>
        <v>33</v>
        <stp/>
        <stp>VOLUME</stp>
        <stp>.SPXW250606P5540</stp>
        <tr r="J119" s="2"/>
        <tr r="J119" s="2"/>
      </tp>
      <tp t="s">
        <v>N/A</v>
        <stp/>
        <stp>VOLUME</stp>
        <stp>.SPXW250630P5620</stp>
        <tr r="L111" s="2"/>
      </tp>
      <tp t="s">
        <v>N/A</v>
        <stp/>
        <stp>VOLUME</stp>
        <stp>.NDXP250829P20175</stp>
        <tr r="P149" s="2"/>
      </tp>
      <tp t="s">
        <v>N/A</v>
        <stp/>
        <stp>VOLUME</stp>
        <stp>.NDXP250930P19875</stp>
        <tr r="R161" s="2"/>
      </tp>
      <tp t="s">
        <v>N/A</v>
        <stp/>
        <stp>VOLUME</stp>
        <stp>.NDXP250829P19175</stp>
        <tr r="P189" s="2"/>
      </tp>
      <tp t="s">
        <v>N/A</v>
        <stp/>
        <stp>VOLUME</stp>
        <stp>.NDXP250731P19975</stp>
        <tr r="N157" s="2"/>
      </tp>
      <tp t="s">
        <v>N/A</v>
        <stp/>
        <stp>VOLUME</stp>
        <stp>.NDXP250630P19875</stp>
        <tr r="L161" s="2"/>
      </tp>
      <tp>
        <v>16</v>
        <stp/>
        <stp>VOLUME</stp>
        <stp>.NDXP250509P20175</stp>
        <tr r="BD148" s="1"/>
        <tr r="BD148" s="1"/>
      </tp>
      <tp t="s">
        <v>N/A</v>
        <stp/>
        <stp>VOLUME</stp>
        <stp>.NDXP250509P19175</stp>
        <tr r="BD188" s="1"/>
      </tp>
      <tp t="s">
        <v>N/A</v>
        <stp/>
        <stp>VOLUME</stp>
        <stp>.NDXP250530P19875</stp>
        <tr r="I161" s="2"/>
      </tp>
      <tp t="s">
        <v>N/A</v>
        <stp/>
        <stp>VOLUME</stp>
        <stp>.SPXW250930C5630</stp>
        <tr r="R110" s="2"/>
      </tp>
      <tp t="s">
        <v>N/A</v>
        <stp/>
        <stp>VOLUME</stp>
        <stp>.SPXW250505C5560</stp>
        <tr r="BA116" s="1"/>
      </tp>
      <tp>
        <v>52</v>
        <stp/>
        <stp>VOLUME</stp>
        <stp>.SPXW250516C5450</stp>
        <tr r="BE127" s="1"/>
        <tr r="BE127" s="1"/>
      </tp>
      <tp>
        <v>22</v>
        <stp/>
        <stp>VOLUME</stp>
        <stp>.SPXW250530C5630</stp>
        <tr r="I110" s="2"/>
        <tr r="I110" s="2"/>
      </tp>
      <tp t="s">
        <v>N/A</v>
        <stp/>
        <stp>VOLUME</stp>
        <stp>.SPXW250731C5620</stp>
        <tr r="N111" s="2"/>
      </tp>
      <tp>
        <v>5</v>
        <stp/>
        <stp>VOLUME</stp>
        <stp>.SPXW250606C5550</stp>
        <tr r="J118" s="2"/>
        <tr r="J118" s="2"/>
      </tp>
      <tp t="s">
        <v>N/A</v>
        <stp/>
        <stp>VOLUME</stp>
        <stp>.SPXW250630C5630</stp>
        <tr r="L110" s="2"/>
      </tp>
      <tp t="s">
        <v>N/A</v>
        <stp/>
        <stp>VOLUME</stp>
        <stp>.SPXW251031C5620</stp>
        <tr r="T111" s="2"/>
      </tp>
      <tp>
        <v>5</v>
        <stp/>
        <stp>VOLUME</stp>
        <stp>.SPXW251231C5620</stp>
        <tr r="X111" s="2"/>
        <tr r="X111" s="2"/>
      </tp>
      <tp>
        <v>11</v>
        <stp/>
        <stp>VOLUME</stp>
        <stp>.SPXW251031P5620</stp>
        <tr r="T111" s="2"/>
        <tr r="T111" s="2"/>
      </tp>
      <tp t="s">
        <v>N/A</v>
        <stp/>
        <stp>VOLUME</stp>
        <stp>.SPXW251231P5620</stp>
        <tr r="X111" s="2"/>
      </tp>
      <tp t="s">
        <v>N/A</v>
        <stp/>
        <stp>VOLUME</stp>
        <stp>.SPXW250930P5630</stp>
        <tr r="R110" s="2"/>
      </tp>
      <tp t="s">
        <v>N/A</v>
        <stp/>
        <stp>VOLUME</stp>
        <stp>.SPXW250505P5560</stp>
        <tr r="BB116" s="1"/>
      </tp>
      <tp>
        <v>339</v>
        <stp/>
        <stp>VOLUME</stp>
        <stp>.SPXW250516P5450</stp>
        <tr r="BF127" s="1"/>
        <tr r="BF127" s="1"/>
      </tp>
      <tp>
        <v>81</v>
        <stp/>
        <stp>VOLUME</stp>
        <stp>.SPXW250530P5630</stp>
        <tr r="I110" s="2"/>
        <tr r="I110" s="2"/>
      </tp>
      <tp>
        <v>1</v>
        <stp/>
        <stp>VOLUME</stp>
        <stp>.SPXW250731P5620</stp>
        <tr r="N111" s="2"/>
        <tr r="N111" s="2"/>
      </tp>
      <tp>
        <v>20</v>
        <stp/>
        <stp>VOLUME</stp>
        <stp>.SPXW250606P5550</stp>
        <tr r="J118" s="2"/>
        <tr r="J118" s="2"/>
      </tp>
      <tp>
        <v>1</v>
        <stp/>
        <stp>VOLUME</stp>
        <stp>.SPXW250630P5630</stp>
        <tr r="L110" s="2"/>
        <tr r="L110" s="2"/>
      </tp>
      <tp t="s">
        <v>N/A</v>
        <stp/>
        <stp>VOLUME</stp>
        <stp>.QQQP500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.QQQC500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.QQQP501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.QQQC501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.QQQP502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.QQQC502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.NDXP250829P20100</stp>
        <tr r="P152" s="2"/>
      </tp>
      <tp t="s">
        <v>N/A</v>
        <stp/>
        <stp>VOLUME</stp>
        <stp>.NDXP250930P19800</stp>
        <tr r="R164" s="2"/>
      </tp>
      <tp t="s">
        <v>N/A</v>
        <stp/>
        <stp>VOLUME</stp>
        <stp>.NDXP250630P19800</stp>
        <tr r="L164" s="2"/>
      </tp>
      <tp>
        <v>253</v>
        <stp/>
        <stp>VOLUME</stp>
        <stp>.NDXP250509P20100</stp>
        <tr r="BD151" s="1"/>
        <tr r="BD151" s="1"/>
      </tp>
      <tp t="s">
        <v>N/A</v>
        <stp/>
        <stp>VOLUME</stp>
        <stp>.NDXP250731P19900</stp>
        <tr r="N160" s="2"/>
      </tp>
      <tp>
        <v>3</v>
        <stp/>
        <stp>VOLUME</stp>
        <stp>.NDXP250530P19800</stp>
        <tr r="I164" s="2"/>
        <tr r="I164" s="2"/>
      </tp>
      <tp t="s">
        <v>N/A</v>
        <stp/>
        <stp>VOLUME</stp>
        <stp>.SPXW250930C5640</stp>
        <tr r="R109" s="2"/>
      </tp>
      <tp t="s">
        <v>N/A</v>
        <stp/>
        <stp>VOLUME</stp>
        <stp>.SPXW250505C5510</stp>
        <tr r="BA121" s="1"/>
      </tp>
      <tp>
        <v>22</v>
        <stp/>
        <stp>VOLUME</stp>
        <stp>.SPXW250516C5420</stp>
        <tr r="BE130" s="1"/>
        <tr r="BE130" s="1"/>
      </tp>
      <tp>
        <v>2</v>
        <stp/>
        <stp>VOLUME</stp>
        <stp>.SPXW250530C5640</stp>
        <tr r="I109" s="2"/>
        <tr r="I109" s="2"/>
      </tp>
      <tp t="s">
        <v>N/A</v>
        <stp/>
        <stp>VOLUME</stp>
        <stp>.SPXW250731C5650</stp>
        <tr r="N108" s="2"/>
      </tp>
      <tp t="s">
        <v>N/A</v>
        <stp/>
        <stp>VOLUME</stp>
        <stp>.SPXW250606C5520</stp>
        <tr r="J121" s="2"/>
      </tp>
      <tp>
        <v>2</v>
        <stp/>
        <stp>VOLUME</stp>
        <stp>.SPXW250630C5640</stp>
        <tr r="L109" s="2"/>
        <tr r="L109" s="2"/>
      </tp>
      <tp t="s">
        <v>N/A</v>
        <stp/>
        <stp>VOLUME</stp>
        <stp>.SPXW251031C5650</stp>
        <tr r="T108" s="2"/>
      </tp>
      <tp t="s">
        <v>N/A</v>
        <stp/>
        <stp>VOLUME</stp>
        <stp>.SPXW251231C5650</stp>
        <tr r="X108" s="2"/>
      </tp>
      <tp>
        <v>4</v>
        <stp/>
        <stp>VOLUME</stp>
        <stp>.SPXW251031P5650</stp>
        <tr r="T108" s="2"/>
        <tr r="T108" s="2"/>
      </tp>
      <tp t="s">
        <v>N/A</v>
        <stp/>
        <stp>VOLUME</stp>
        <stp>.SPXW251231P5650</stp>
        <tr r="X108" s="2"/>
      </tp>
      <tp t="s">
        <v>N/A</v>
        <stp/>
        <stp>VOLUME</stp>
        <stp>.SPXW250930P5640</stp>
        <tr r="R109" s="2"/>
      </tp>
      <tp t="s">
        <v>N/A</v>
        <stp/>
        <stp>VOLUME</stp>
        <stp>.SPXW250505P5510</stp>
        <tr r="BB121" s="1"/>
      </tp>
      <tp>
        <v>171</v>
        <stp/>
        <stp>VOLUME</stp>
        <stp>.SPXW250516P5420</stp>
        <tr r="BF130" s="1"/>
        <tr r="BF130" s="1"/>
      </tp>
      <tp>
        <v>10</v>
        <stp/>
        <stp>VOLUME</stp>
        <stp>.SPXW250530P5640</stp>
        <tr r="I109" s="2"/>
        <tr r="I109" s="2"/>
      </tp>
      <tp>
        <v>12</v>
        <stp/>
        <stp>VOLUME</stp>
        <stp>.SPXW250731P5650</stp>
        <tr r="N108" s="2"/>
        <tr r="N108" s="2"/>
      </tp>
      <tp t="s">
        <v>N/A</v>
        <stp/>
        <stp>VOLUME</stp>
        <stp>.SPXW250606P5520</stp>
        <tr r="J121" s="2"/>
      </tp>
      <tp t="s">
        <v>N/A</v>
        <stp/>
        <stp>VOLUME</stp>
        <stp>.SPXW250630P5640</stp>
        <tr r="L109" s="2"/>
      </tp>
      <tp t="s">
        <v>N/A</v>
        <stp/>
        <stp>VOLUME</stp>
        <stp>.NDXP251231P19900</stp>
        <tr r="X160" s="2"/>
      </tp>
      <tp t="s">
        <v>N/A</v>
        <stp/>
        <stp>VOLUME</stp>
        <stp>.NDXP251128P20000</stp>
        <tr r="V156" s="2"/>
      </tp>
      <tp t="s">
        <v>N/A</v>
        <stp/>
        <stp>VOLUME</stp>
        <stp>.NDXP251031P19900</stp>
        <tr r="T160" s="2"/>
      </tp>
      <tp t="s">
        <v>N/A</v>
        <stp/>
        <stp>VOLUME</stp>
        <stp>.SPXW250930C5650</stp>
        <tr r="R108" s="2"/>
      </tp>
      <tp t="s">
        <v>N/A</v>
        <stp/>
        <stp>VOLUME</stp>
        <stp>.SPXW250505C5500</stp>
        <tr r="BA122" s="1"/>
      </tp>
      <tp>
        <v>5</v>
        <stp/>
        <stp>VOLUME</stp>
        <stp>.SPXW250516C5430</stp>
        <tr r="BE129" s="1"/>
        <tr r="BE129" s="1"/>
      </tp>
      <tp>
        <v>107</v>
        <stp/>
        <stp>VOLUME</stp>
        <stp>.SPXW250530C5650</stp>
        <tr r="I108" s="2"/>
        <tr r="I108" s="2"/>
      </tp>
      <tp t="s">
        <v>N/A</v>
        <stp/>
        <stp>VOLUME</stp>
        <stp>.SPXW250731C5640</stp>
        <tr r="N109" s="2"/>
      </tp>
      <tp t="s">
        <v>N/A</v>
        <stp/>
        <stp>VOLUME</stp>
        <stp>.SPXW250606C5530</stp>
        <tr r="J120" s="2"/>
      </tp>
      <tp>
        <v>4</v>
        <stp/>
        <stp>VOLUME</stp>
        <stp>.SPXW250630C5650</stp>
        <tr r="L108" s="2"/>
        <tr r="L108" s="2"/>
      </tp>
      <tp t="s">
        <v>N/A</v>
        <stp/>
        <stp>VOLUME</stp>
        <stp>.SPXW251031C5640</stp>
        <tr r="T109" s="2"/>
      </tp>
      <tp>
        <v>3</v>
        <stp/>
        <stp>VOLUME</stp>
        <stp>.SPXW251231C5640</stp>
        <tr r="X109" s="2"/>
        <tr r="X109" s="2"/>
      </tp>
      <tp>
        <v>4</v>
        <stp/>
        <stp>VOLUME</stp>
        <stp>.SPXW251031P5640</stp>
        <tr r="T109" s="2"/>
        <tr r="T109" s="2"/>
      </tp>
      <tp t="s">
        <v>N/A</v>
        <stp/>
        <stp>VOLUME</stp>
        <stp>.SPXW251231P5640</stp>
        <tr r="X109" s="2"/>
      </tp>
      <tp>
        <v>1</v>
        <stp/>
        <stp>VOLUME</stp>
        <stp>.SPXW250930P5650</stp>
        <tr r="R108" s="2"/>
        <tr r="R108" s="2"/>
      </tp>
      <tp t="s">
        <v>N/A</v>
        <stp/>
        <stp>VOLUME</stp>
        <stp>.SPXW250505P5500</stp>
        <tr r="BB122" s="1"/>
      </tp>
      <tp>
        <v>381</v>
        <stp/>
        <stp>VOLUME</stp>
        <stp>.SPXW250516P5430</stp>
        <tr r="BF129" s="1"/>
        <tr r="BF129" s="1"/>
      </tp>
      <tp>
        <v>442</v>
        <stp/>
        <stp>VOLUME</stp>
        <stp>.SPXW250530P5650</stp>
        <tr r="I108" s="2"/>
        <tr r="I108" s="2"/>
      </tp>
      <tp t="s">
        <v>N/A</v>
        <stp/>
        <stp>VOLUME</stp>
        <stp>.SPXW250731P5640</stp>
        <tr r="N109" s="2"/>
      </tp>
      <tp>
        <v>248</v>
        <stp/>
        <stp>VOLUME</stp>
        <stp>.SPXW250606P5530</stp>
        <tr r="J120" s="2"/>
        <tr r="J120" s="2"/>
      </tp>
      <tp>
        <v>21</v>
        <stp/>
        <stp>VOLUME</stp>
        <stp>.SPXW250630P5650</stp>
        <tr r="L108" s="2"/>
        <tr r="L108" s="2"/>
      </tp>
      <tp t="s">
        <v>N/A</v>
        <stp/>
        <stp>VOLUME</stp>
        <stp>.NDXP250829P20125</stp>
        <tr r="P151" s="2"/>
      </tp>
      <tp t="s">
        <v>N/A</v>
        <stp/>
        <stp>VOLUME</stp>
        <stp>.NDXP250930P19825</stp>
        <tr r="R163" s="2"/>
      </tp>
      <tp t="s">
        <v>N/A</v>
        <stp/>
        <stp>VOLUME</stp>
        <stp>.NDXP250731P19925</stp>
        <tr r="N159" s="2"/>
      </tp>
      <tp t="s">
        <v>N/A</v>
        <stp/>
        <stp>VOLUME</stp>
        <stp>.NDXP250630P19825</stp>
        <tr r="L163" s="2"/>
      </tp>
      <tp>
        <v>29</v>
        <stp/>
        <stp>VOLUME</stp>
        <stp>.NDXP250509P20125</stp>
        <tr r="BD150" s="1"/>
        <tr r="BD150" s="1"/>
      </tp>
      <tp t="s">
        <v>N/A</v>
        <stp/>
        <stp>VOLUME</stp>
        <stp>.NDXP250530P19825</stp>
        <tr r="I163" s="2"/>
      </tp>
      <tp t="s">
        <v>N/A</v>
        <stp/>
        <stp>VOLUME</stp>
        <stp>.SPXW250930C5660</stp>
        <tr r="R107" s="2"/>
      </tp>
      <tp t="s">
        <v>N/A</v>
        <stp/>
        <stp>VOLUME</stp>
        <stp>.SPXW250505C5530</stp>
        <tr r="BA119" s="1"/>
      </tp>
      <tp>
        <v>85</v>
        <stp/>
        <stp>VOLUME</stp>
        <stp>.SPXW250530C5660</stp>
        <tr r="I107" s="2"/>
        <tr r="I107" s="2"/>
      </tp>
      <tp t="s">
        <v>N/A</v>
        <stp/>
        <stp>VOLUME</stp>
        <stp>.SPXW250731C5670</stp>
        <tr r="N106" s="2"/>
      </tp>
      <tp>
        <v>1</v>
        <stp/>
        <stp>VOLUME</stp>
        <stp>.SPXW250606C5500</stp>
        <tr r="J123" s="2"/>
        <tr r="J123" s="2"/>
      </tp>
      <tp>
        <v>16</v>
        <stp/>
        <stp>VOLUME</stp>
        <stp>.SPXW250630C5660</stp>
        <tr r="L107" s="2"/>
        <tr r="L107" s="2"/>
      </tp>
      <tp t="s">
        <v>N/A</v>
        <stp/>
        <stp>VOLUME</stp>
        <stp>.SPXW251031C5670</stp>
        <tr r="T106" s="2"/>
      </tp>
      <tp t="s">
        <v>N/A</v>
        <stp/>
        <stp>VOLUME</stp>
        <stp>.SPXW251231C5670</stp>
        <tr r="X106" s="2"/>
      </tp>
      <tp t="s">
        <v>N/A</v>
        <stp/>
        <stp>VOLUME</stp>
        <stp>.SPXW251031P5670</stp>
        <tr r="T106" s="2"/>
      </tp>
      <tp t="s">
        <v>N/A</v>
        <stp/>
        <stp>VOLUME</stp>
        <stp>.SPXW251231P5670</stp>
        <tr r="X106" s="2"/>
      </tp>
      <tp>
        <v>11</v>
        <stp/>
        <stp>VOLUME</stp>
        <stp>.SPXW250930P5660</stp>
        <tr r="R107" s="2"/>
        <tr r="R107" s="2"/>
      </tp>
      <tp t="s">
        <v>N/A</v>
        <stp/>
        <stp>VOLUME</stp>
        <stp>.SPXW250505P5530</stp>
        <tr r="BB119" s="1"/>
      </tp>
      <tp>
        <v>36</v>
        <stp/>
        <stp>VOLUME</stp>
        <stp>.SPXW250530P5660</stp>
        <tr r="I107" s="2"/>
        <tr r="I107" s="2"/>
      </tp>
      <tp t="s">
        <v>N/A</v>
        <stp/>
        <stp>VOLUME</stp>
        <stp>.SPXW250731P5670</stp>
        <tr r="N106" s="2"/>
      </tp>
      <tp>
        <v>330</v>
        <stp/>
        <stp>VOLUME</stp>
        <stp>.SPXW250606P5500</stp>
        <tr r="J123" s="2"/>
        <tr r="J123" s="2"/>
      </tp>
      <tp>
        <v>9</v>
        <stp/>
        <stp>VOLUME</stp>
        <stp>.SPXW250630P5660</stp>
        <tr r="L107" s="2"/>
        <tr r="L107" s="2"/>
      </tp>
      <tp t="s">
        <v>N/A</v>
        <stp/>
        <stp>VOLUME</stp>
        <stp>.NDXP251231P19925</stp>
        <tr r="X159" s="2"/>
      </tp>
      <tp t="s">
        <v>N/A</v>
        <stp/>
        <stp>VOLUME</stp>
        <stp>.NDXP251128P20025</stp>
        <tr r="V155" s="2"/>
      </tp>
      <tp t="s">
        <v>N/A</v>
        <stp/>
        <stp>VOLUME</stp>
        <stp>.NDXP251031P19925</stp>
        <tr r="T159" s="2"/>
      </tp>
      <tp t="s">
        <v>N/A</v>
        <stp/>
        <stp>VOLUME</stp>
        <stp>.SPXW250930C5670</stp>
        <tr r="R106" s="2"/>
      </tp>
      <tp t="s">
        <v>N/A</v>
        <stp/>
        <stp>VOLUME</stp>
        <stp>.SPXW250505C5520</stp>
        <tr r="BA120" s="1"/>
      </tp>
      <tp>
        <v>20</v>
        <stp/>
        <stp>VOLUME</stp>
        <stp>.SPXW250530C5670</stp>
        <tr r="I106" s="2"/>
        <tr r="I106" s="2"/>
      </tp>
      <tp t="s">
        <v>N/A</v>
        <stp/>
        <stp>VOLUME</stp>
        <stp>.SPXW250731C5660</stp>
        <tr r="N107" s="2"/>
      </tp>
      <tp t="s">
        <v>N/A</v>
        <stp/>
        <stp>VOLUME</stp>
        <stp>.SPXW250606C5510</stp>
        <tr r="J122" s="2"/>
      </tp>
      <tp>
        <v>3</v>
        <stp/>
        <stp>VOLUME</stp>
        <stp>.SPXW250630C5670</stp>
        <tr r="L106" s="2"/>
        <tr r="L106" s="2"/>
      </tp>
      <tp t="s">
        <v>N/A</v>
        <stp/>
        <stp>VOLUME</stp>
        <stp>.SPXW251031C5660</stp>
        <tr r="T107" s="2"/>
      </tp>
      <tp>
        <v>2</v>
        <stp/>
        <stp>VOLUME</stp>
        <stp>.SPXW251231C5660</stp>
        <tr r="X107" s="2"/>
        <tr r="X107" s="2"/>
      </tp>
      <tp t="s">
        <v>N/A</v>
        <stp/>
        <stp>VOLUME</stp>
        <stp>.SPXW251031P5660</stp>
        <tr r="T107" s="2"/>
      </tp>
      <tp t="s">
        <v>N/A</v>
        <stp/>
        <stp>VOLUME</stp>
        <stp>.SPXW251231P5660</stp>
        <tr r="X107" s="2"/>
      </tp>
      <tp>
        <v>1</v>
        <stp/>
        <stp>VOLUME</stp>
        <stp>.SPXW250930P5670</stp>
        <tr r="R106" s="2"/>
        <tr r="R106" s="2"/>
      </tp>
      <tp t="s">
        <v>N/A</v>
        <stp/>
        <stp>VOLUME</stp>
        <stp>.SPXW250505P5520</stp>
        <tr r="BB120" s="1"/>
      </tp>
      <tp>
        <v>31</v>
        <stp/>
        <stp>VOLUME</stp>
        <stp>.SPXW250530P5670</stp>
        <tr r="I106" s="2"/>
        <tr r="I106" s="2"/>
      </tp>
      <tp t="s">
        <v>N/A</v>
        <stp/>
        <stp>VOLUME</stp>
        <stp>.SPXW250731P5660</stp>
        <tr r="N107" s="2"/>
      </tp>
      <tp>
        <v>8</v>
        <stp/>
        <stp>VOLUME</stp>
        <stp>.SPXW250606P5510</stp>
        <tr r="J122" s="2"/>
        <tr r="J122" s="2"/>
      </tp>
      <tp>
        <v>2</v>
        <stp/>
        <stp>VOLUME</stp>
        <stp>.SPXW250630P5670</stp>
        <tr r="L106" s="2"/>
        <tr r="L106" s="2"/>
      </tp>
      <tp>
        <v>52</v>
        <stp/>
        <stp>OPEN_INT</stp>
        <stp>.NDXP250505C19500</stp>
        <tr r="AS175" s="1"/>
        <tr r="AS175" s="1"/>
      </tp>
      <tp>
        <v>16</v>
        <stp/>
        <stp>OPEN_INT</stp>
        <stp>.NDXP250509C19900</stp>
        <tr r="AU159" s="1"/>
        <tr r="AU159" s="1"/>
      </tp>
      <tp>
        <v>2</v>
        <stp/>
        <stp>OPEN_INT</stp>
        <stp>.NDXP250505C19525</stp>
        <tr r="AS174" s="1"/>
        <tr r="AS174" s="1"/>
      </tp>
      <tp>
        <v>4</v>
        <stp/>
        <stp>OPEN_INT</stp>
        <stp>.NDXP250509C19925</stp>
        <tr r="AU158" s="1"/>
        <tr r="AU158" s="1"/>
      </tp>
      <tp>
        <v>34</v>
        <stp/>
        <stp>OPEN_INT</stp>
        <stp>.NDXP250505C19550</stp>
        <tr r="AS173" s="1"/>
        <tr r="AS173" s="1"/>
      </tp>
      <tp>
        <v>6</v>
        <stp/>
        <stp>OPEN_INT</stp>
        <stp>.NDXP250509C19950</stp>
        <tr r="AU157" s="1"/>
        <tr r="AU157" s="1"/>
      </tp>
      <tp>
        <v>2</v>
        <stp/>
        <stp>OPEN_INT</stp>
        <stp>.NDXP250505C19575</stp>
        <tr r="AS172" s="1"/>
        <tr r="AS172" s="1"/>
      </tp>
      <tp>
        <v>5</v>
        <stp/>
        <stp>OPEN_INT</stp>
        <stp>.NDXP250509C19975</stp>
        <tr r="AU156" s="1"/>
        <tr r="AU156" s="1"/>
      </tp>
      <tp>
        <v>2</v>
        <stp/>
        <stp>OPEN_INT</stp>
        <stp>.NDXP250505P19525</stp>
        <tr r="AT174" s="1"/>
        <tr r="AT174" s="1"/>
      </tp>
      <tp>
        <v>6</v>
        <stp/>
        <stp>OPEN_INT</stp>
        <stp>.NDXP250509P19925</stp>
        <tr r="AV158" s="1"/>
        <tr r="AV158" s="1"/>
      </tp>
      <tp>
        <v>21</v>
        <stp/>
        <stp>OPEN_INT</stp>
        <stp>.NDXP250505P19500</stp>
        <tr r="AT175" s="1"/>
        <tr r="AT175" s="1"/>
      </tp>
      <tp>
        <v>15</v>
        <stp/>
        <stp>OPEN_INT</stp>
        <stp>.NDXP250509P19900</stp>
        <tr r="AV159" s="1"/>
        <tr r="AV159" s="1"/>
      </tp>
      <tp>
        <v>3</v>
        <stp/>
        <stp>OPEN_INT</stp>
        <stp>.NDXP250505P19575</stp>
        <tr r="AT172" s="1"/>
        <tr r="AT172" s="1"/>
      </tp>
      <tp>
        <v>11</v>
        <stp/>
        <stp>OPEN_INT</stp>
        <stp>.NDXP250509P19975</stp>
        <tr r="AV156" s="1"/>
        <tr r="AV156" s="1"/>
      </tp>
      <tp>
        <v>19</v>
        <stp/>
        <stp>OPEN_INT</stp>
        <stp>.NDXP250505P19550</stp>
        <tr r="AT173" s="1"/>
        <tr r="AT173" s="1"/>
      </tp>
      <tp>
        <v>23</v>
        <stp/>
        <stp>OPEN_INT</stp>
        <stp>.NDXP250509P19950</stp>
        <tr r="AV157" s="1"/>
        <tr r="AV157" s="1"/>
      </tp>
      <tp>
        <v>-0.96</v>
        <stp/>
        <stp>DELTA</stp>
        <stp>.NDXP250509P20325</stp>
        <tr r="CG142" s="1"/>
        <tr r="CG142" s="1"/>
      </tp>
      <tp>
        <v>-0.05</v>
        <stp/>
        <stp>DELTA</stp>
        <stp>.NDXP250509P19325</stp>
        <tr r="CG182" s="1"/>
        <tr r="CG182" s="1"/>
      </tp>
      <tp>
        <v>-0.96</v>
        <stp/>
        <stp>DELTA</stp>
        <stp>.NDXP250509P20300</stp>
        <tr r="CG143" s="1"/>
        <tr r="CG143" s="1"/>
      </tp>
      <tp>
        <v>0</v>
        <stp/>
        <stp>DELTA</stp>
        <stp>.NDXP250509P19300</stp>
        <tr r="CG183" s="1"/>
        <tr r="CG183" s="1"/>
      </tp>
      <tp>
        <v>-0.97</v>
        <stp/>
        <stp>DELTA</stp>
        <stp>.NDXP250509P20375</stp>
        <tr r="CG140" s="1"/>
        <tr r="CG140" s="1"/>
      </tp>
      <tp>
        <v>-0.05</v>
        <stp/>
        <stp>DELTA</stp>
        <stp>.NDXP250509P19375</stp>
        <tr r="CG180" s="1"/>
        <tr r="CG180" s="1"/>
      </tp>
      <tp>
        <v>-0.97</v>
        <stp/>
        <stp>DELTA</stp>
        <stp>.NDXP250509P20350</stp>
        <tr r="CG141" s="1"/>
        <tr r="CG141" s="1"/>
      </tp>
      <tp>
        <v>0</v>
        <stp/>
        <stp>DELTA</stp>
        <stp>.NDXP250509P19350</stp>
        <tr r="CG181" s="1"/>
        <tr r="CG181" s="1"/>
      </tp>
      <tp>
        <v>0</v>
        <stp/>
        <stp>DELTA</stp>
        <stp>.NDXP250509C20300</stp>
        <tr r="CF143" s="1"/>
        <tr r="CF143" s="1"/>
      </tp>
      <tp>
        <v>1</v>
        <stp/>
        <stp>DELTA</stp>
        <stp>.NDXP250509C19300</stp>
        <tr r="CF183" s="1"/>
        <tr r="CF183" s="1"/>
      </tp>
      <tp>
        <v>0.09</v>
        <stp/>
        <stp>DELTA</stp>
        <stp>.NDXP250509C20325</stp>
        <tr r="CF142" s="1"/>
        <tr r="CF142" s="1"/>
      </tp>
      <tp>
        <v>1</v>
        <stp/>
        <stp>DELTA</stp>
        <stp>.NDXP250509C19325</stp>
        <tr r="CF182" s="1"/>
        <tr r="CF182" s="1"/>
      </tp>
      <tp>
        <v>0.01</v>
        <stp/>
        <stp>DELTA</stp>
        <stp>.NDXP250509C20350</stp>
        <tr r="CF141" s="1"/>
        <tr r="CF141" s="1"/>
      </tp>
      <tp>
        <v>1</v>
        <stp/>
        <stp>DELTA</stp>
        <stp>.NDXP250509C19350</stp>
        <tr r="CF181" s="1"/>
        <tr r="CF181" s="1"/>
      </tp>
      <tp>
        <v>0.01</v>
        <stp/>
        <stp>DELTA</stp>
        <stp>.NDXP250509C20375</stp>
        <tr r="CF140" s="1"/>
        <tr r="CF140" s="1"/>
      </tp>
      <tp>
        <v>1</v>
        <stp/>
        <stp>DELTA</stp>
        <stp>.NDXP250509C19375</stp>
        <tr r="CF180" s="1"/>
        <tr r="CF180" s="1"/>
      </tp>
      <tp t="s">
        <v>N/A</v>
        <stp/>
        <stp>VOLUME</stp>
        <stp>.NDXP250829C20075</stp>
        <tr r="P153" s="2"/>
      </tp>
      <tp t="s">
        <v>N/A</v>
        <stp/>
        <stp>VOLUME</stp>
        <stp>.NDXP250930C19975</stp>
        <tr r="R157" s="2"/>
      </tp>
      <tp t="s">
        <v>N/A</v>
        <stp/>
        <stp>VOLUME</stp>
        <stp>.NDXP250731C19875</stp>
        <tr r="N161" s="2"/>
      </tp>
      <tp t="s">
        <v>N/A</v>
        <stp/>
        <stp>VOLUME</stp>
        <stp>.NDXP250630C19975</stp>
        <tr r="L157" s="2"/>
      </tp>
      <tp>
        <v>247</v>
        <stp/>
        <stp>VOLUME</stp>
        <stp>.NDXP250509C20075</stp>
        <tr r="BC152" s="1"/>
        <tr r="BC152" s="1"/>
      </tp>
      <tp t="s">
        <v>N/A</v>
        <stp/>
        <stp>VOLUME</stp>
        <stp>.NDXP250530C19975</stp>
        <tr r="I157" s="2"/>
      </tp>
      <tp t="s">
        <v>N/A</v>
        <stp/>
        <stp>VOLUME</stp>
        <stp>.NDXP251231C19875</stp>
        <tr r="X161" s="2"/>
      </tp>
      <tp t="s">
        <v>N/A</v>
        <stp/>
        <stp>VOLUME</stp>
        <stp>.NDXP251128C20175</stp>
        <tr r="V149" s="2"/>
      </tp>
      <tp t="s">
        <v>N/A</v>
        <stp/>
        <stp>VOLUME</stp>
        <stp>.NDXP251128C19175</stp>
        <tr r="V189" s="2"/>
      </tp>
      <tp t="s">
        <v>N/A</v>
        <stp/>
        <stp>VOLUME</stp>
        <stp>.NDXP251031C19875</stp>
        <tr r="T161" s="2"/>
      </tp>
      <tp t="s">
        <v>N/A</v>
        <stp/>
        <stp>VOLUME</stp>
        <stp>.NDXP250829C20050</stp>
        <tr r="P154" s="2"/>
      </tp>
      <tp t="s">
        <v>N/A</v>
        <stp/>
        <stp>VOLUME</stp>
        <stp>.NDXP250930C19950</stp>
        <tr r="R158" s="2"/>
      </tp>
      <tp>
        <v>1</v>
        <stp/>
        <stp>VOLUME</stp>
        <stp>.NDXP250630C19950</stp>
        <tr r="L158" s="2"/>
        <tr r="L158" s="2"/>
      </tp>
      <tp>
        <v>489</v>
        <stp/>
        <stp>VOLUME</stp>
        <stp>.NDXP250509C20050</stp>
        <tr r="BC153" s="1"/>
        <tr r="BC153" s="1"/>
      </tp>
      <tp t="s">
        <v>N/A</v>
        <stp/>
        <stp>VOLUME</stp>
        <stp>.NDXP250731C19850</stp>
        <tr r="N162" s="2"/>
      </tp>
      <tp t="s">
        <v>N/A</v>
        <stp/>
        <stp>VOLUME</stp>
        <stp>.NDXP250530C19950</stp>
        <tr r="I158" s="2"/>
      </tp>
      <tp t="s">
        <v>N/A</v>
        <stp/>
        <stp>VOLUME</stp>
        <stp>.NDXP251231C19850</stp>
        <tr r="X162" s="2"/>
      </tp>
      <tp t="s">
        <v>N/A</v>
        <stp/>
        <stp>VOLUME</stp>
        <stp>.NDXP251128C20150</stp>
        <tr r="V150" s="2"/>
      </tp>
      <tp t="s">
        <v>N/A</v>
        <stp/>
        <stp>VOLUME</stp>
        <stp>.NDXP251031C19850</stp>
        <tr r="T162" s="2"/>
      </tp>
      <tp t="s">
        <v>N/A</v>
        <stp/>
        <stp>VOLUME</stp>
        <stp>.NDXP251128C19150</stp>
        <tr r="V190" s="2"/>
      </tp>
      <tp t="s">
        <v>N/A</v>
        <stp/>
        <stp>VOLUME</stp>
        <stp>.NDXP251231C19825</stp>
        <tr r="X163" s="2"/>
      </tp>
      <tp t="s">
        <v>N/A</v>
        <stp/>
        <stp>VOLUME</stp>
        <stp>.NDXP251128C20125</stp>
        <tr r="V151" s="2"/>
      </tp>
      <tp t="s">
        <v>N/A</v>
        <stp/>
        <stp>VOLUME</stp>
        <stp>.NDXP251031C19825</stp>
        <tr r="T163" s="2"/>
      </tp>
      <tp t="s">
        <v>N/A</v>
        <stp/>
        <stp>VOLUME</stp>
        <stp>.NDXP250829C20025</stp>
        <tr r="P155" s="2"/>
      </tp>
      <tp t="s">
        <v>N/A</v>
        <stp/>
        <stp>VOLUME</stp>
        <stp>.NDXP250930C19925</stp>
        <tr r="R159" s="2"/>
      </tp>
      <tp t="s">
        <v>N/A</v>
        <stp/>
        <stp>VOLUME</stp>
        <stp>.NDXP250731C19825</stp>
        <tr r="N163" s="2"/>
      </tp>
      <tp t="s">
        <v>N/A</v>
        <stp/>
        <stp>VOLUME</stp>
        <stp>.NDXP250630C19925</stp>
        <tr r="L159" s="2"/>
      </tp>
      <tp>
        <v>185</v>
        <stp/>
        <stp>VOLUME</stp>
        <stp>.NDXP250509C20025</stp>
        <tr r="BC154" s="1"/>
        <tr r="BC154" s="1"/>
      </tp>
      <tp t="s">
        <v>N/A</v>
        <stp/>
        <stp>VOLUME</stp>
        <stp>.NDXP250530C19925</stp>
        <tr r="I159" s="2"/>
      </tp>
      <tp t="s">
        <v>N/A</v>
        <stp/>
        <stp>VOLUME</stp>
        <stp>.NDXP251231C19800</stp>
        <tr r="X164" s="2"/>
      </tp>
      <tp t="s">
        <v>N/A</v>
        <stp/>
        <stp>VOLUME</stp>
        <stp>.NDXP251128C20100</stp>
        <tr r="V152" s="2"/>
      </tp>
      <tp t="s">
        <v>N/A</v>
        <stp/>
        <stp>VOLUME</stp>
        <stp>.NDXP251031C19800</stp>
        <tr r="T164" s="2"/>
      </tp>
      <tp t="s">
        <v>N/A</v>
        <stp/>
        <stp>VOLUME</stp>
        <stp>.NDXP250829C20000</stp>
        <tr r="P156" s="2"/>
      </tp>
      <tp t="s">
        <v>N/A</v>
        <stp/>
        <stp>VOLUME</stp>
        <stp>.NDXP250930C19900</stp>
        <tr r="R160" s="2"/>
      </tp>
      <tp t="s">
        <v>N/A</v>
        <stp/>
        <stp>VOLUME</stp>
        <stp>.NDXP250630C19900</stp>
        <tr r="L160" s="2"/>
      </tp>
      <tp>
        <v>194</v>
        <stp/>
        <stp>VOLUME</stp>
        <stp>.NDXP250509C20000</stp>
        <tr r="BC155" s="1"/>
        <tr r="BC155" s="1"/>
      </tp>
      <tp t="s">
        <v>N/A</v>
        <stp/>
        <stp>VOLUME</stp>
        <stp>.NDXP250731C19800</stp>
        <tr r="N164" s="2"/>
      </tp>
      <tp t="s">
        <v>N/A</v>
        <stp/>
        <stp>VOLUME</stp>
        <stp>.NDXP250530C19900</stp>
        <tr r="I160" s="2"/>
      </tp>
      <tp t="s">
        <v>N/A</v>
        <stp/>
        <stp>VOLUME</stp>
        <stp>.SPXW250930C5780</stp>
        <tr r="R95" s="2"/>
      </tp>
      <tp t="s">
        <v>N/A</v>
        <stp/>
        <stp>VOLUME</stp>
        <stp>.SPXW250829C5610</stp>
        <tr r="P112" s="2"/>
      </tp>
      <tp>
        <v>28</v>
        <stp/>
        <stp>VOLUME</stp>
        <stp>.SPXW250530C5780</stp>
        <tr r="I95" s="2"/>
        <tr r="I95" s="2"/>
      </tp>
      <tp t="s">
        <v>N/A</v>
        <stp/>
        <stp>VOLUME</stp>
        <stp>.SPXW250731C5790</stp>
        <tr r="N94" s="2"/>
      </tp>
      <tp t="s">
        <v>N/A</v>
        <stp/>
        <stp>VOLUME</stp>
        <stp>.SPXW250630C5780</stp>
        <tr r="L95" s="2"/>
      </tp>
      <tp t="s">
        <v>N/A</v>
        <stp/>
        <stp>VOLUME</stp>
        <stp>.SPXW251128C5600</stp>
        <tr r="V113" s="2"/>
      </tp>
      <tp t="s">
        <v>N/A</v>
        <stp/>
        <stp>VOLUME</stp>
        <stp>.SPXW251031C5790</stp>
        <tr r="T94" s="2"/>
      </tp>
      <tp>
        <v>2</v>
        <stp/>
        <stp>VOLUME</stp>
        <stp>.SPXW251231C5790</stp>
        <tr r="X94" s="2"/>
        <tr r="X94" s="2"/>
      </tp>
      <tp t="s">
        <v>N/A</v>
        <stp/>
        <stp>VOLUME</stp>
        <stp>.SPXW251128P5600</stp>
        <tr r="V113" s="2"/>
      </tp>
      <tp t="s">
        <v>N/A</v>
        <stp/>
        <stp>VOLUME</stp>
        <stp>.SPXW251031P5790</stp>
        <tr r="T94" s="2"/>
      </tp>
      <tp t="s">
        <v>N/A</v>
        <stp/>
        <stp>VOLUME</stp>
        <stp>.SPXW251231P5790</stp>
        <tr r="X94" s="2"/>
      </tp>
      <tp t="s">
        <v>N/A</v>
        <stp/>
        <stp>VOLUME</stp>
        <stp>.SPXW250930P5780</stp>
        <tr r="R95" s="2"/>
      </tp>
      <tp t="s">
        <v>N/A</v>
        <stp/>
        <stp>VOLUME</stp>
        <stp>.SPXW250829P5610</stp>
        <tr r="P112" s="2"/>
      </tp>
      <tp>
        <v>1</v>
        <stp/>
        <stp>VOLUME</stp>
        <stp>.SPXW250530P5780</stp>
        <tr r="I95" s="2"/>
        <tr r="I95" s="2"/>
      </tp>
      <tp t="s">
        <v>N/A</v>
        <stp/>
        <stp>VOLUME</stp>
        <stp>.SPXW250731P5790</stp>
        <tr r="N94" s="2"/>
      </tp>
      <tp t="s">
        <v>N/A</v>
        <stp/>
        <stp>VOLUME</stp>
        <stp>.SPXW250630P5780</stp>
        <tr r="L95" s="2"/>
      </tp>
      <tp t="s">
        <v>N/A</v>
        <stp/>
        <stp>VOLUME</stp>
        <stp>.SPXW250930C5790</stp>
        <tr r="R94" s="2"/>
      </tp>
      <tp>
        <v>3</v>
        <stp/>
        <stp>VOLUME</stp>
        <stp>.SPXW250829C5600</stp>
        <tr r="P113" s="2"/>
        <tr r="P113" s="2"/>
      </tp>
      <tp>
        <v>262</v>
        <stp/>
        <stp>VOLUME</stp>
        <stp>.SPXW250530C5790</stp>
        <tr r="I94" s="2"/>
        <tr r="I94" s="2"/>
      </tp>
      <tp>
        <v>3</v>
        <stp/>
        <stp>VOLUME</stp>
        <stp>.SPXW250731C5780</stp>
        <tr r="N95" s="2"/>
        <tr r="N95" s="2"/>
      </tp>
      <tp>
        <v>3</v>
        <stp/>
        <stp>VOLUME</stp>
        <stp>.SPXW250630C5790</stp>
        <tr r="L94" s="2"/>
        <tr r="L94" s="2"/>
      </tp>
      <tp t="s">
        <v>N/A</v>
        <stp/>
        <stp>VOLUME</stp>
        <stp>.SPXW251128C5610</stp>
        <tr r="V112" s="2"/>
      </tp>
      <tp t="s">
        <v>N/A</v>
        <stp/>
        <stp>VOLUME</stp>
        <stp>.SPXW251031C5780</stp>
        <tr r="T95" s="2"/>
      </tp>
      <tp>
        <v>2</v>
        <stp/>
        <stp>VOLUME</stp>
        <stp>.SPXW251231C5780</stp>
        <tr r="X95" s="2"/>
        <tr r="X95" s="2"/>
      </tp>
      <tp t="s">
        <v>N/A</v>
        <stp/>
        <stp>VOLUME</stp>
        <stp>.SPXW251128P5610</stp>
        <tr r="V112" s="2"/>
      </tp>
      <tp t="s">
        <v>N/A</v>
        <stp/>
        <stp>VOLUME</stp>
        <stp>.SPXW251031P5780</stp>
        <tr r="T95" s="2"/>
      </tp>
      <tp t="s">
        <v>N/A</v>
        <stp/>
        <stp>VOLUME</stp>
        <stp>.SPXW251231P5780</stp>
        <tr r="X95" s="2"/>
      </tp>
      <tp t="s">
        <v>N/A</v>
        <stp/>
        <stp>VOLUME</stp>
        <stp>.SPXW250930P5790</stp>
        <tr r="R94" s="2"/>
      </tp>
      <tp>
        <v>2</v>
        <stp/>
        <stp>VOLUME</stp>
        <stp>.SPXW250829P5600</stp>
        <tr r="P113" s="2"/>
        <tr r="P113" s="2"/>
      </tp>
      <tp t="s">
        <v>N/A</v>
        <stp/>
        <stp>VOLUME</stp>
        <stp>.SPXW250530P5790</stp>
        <tr r="I94" s="2"/>
      </tp>
      <tp>
        <v>3</v>
        <stp/>
        <stp>VOLUME</stp>
        <stp>.SPXW250731P5780</stp>
        <tr r="N95" s="2"/>
        <tr r="N95" s="2"/>
      </tp>
      <tp t="s">
        <v>N/A</v>
        <stp/>
        <stp>VOLUME</stp>
        <stp>.SPXW250630P5790</stp>
        <tr r="L94" s="2"/>
      </tp>
      <tp t="s">
        <v>N/A</v>
        <stp/>
        <stp>VOLUME</stp>
        <stp>.SPXW250829C5630</stp>
        <tr r="P110" s="2"/>
      </tp>
      <tp>
        <v>19</v>
        <stp/>
        <stp>VOLUME</stp>
        <stp>.SPXW250509C5430</stp>
        <tr r="BC129" s="1"/>
        <tr r="BC129" s="1"/>
      </tp>
      <tp t="s">
        <v>N/A</v>
        <stp/>
        <stp>VOLUME</stp>
        <stp>.SPXW251128C5620</stp>
        <tr r="V111" s="2"/>
      </tp>
      <tp t="s">
        <v>N/A</v>
        <stp/>
        <stp>VOLUME</stp>
        <stp>.SPXW251128P5620</stp>
        <tr r="V111" s="2"/>
      </tp>
      <tp t="s">
        <v>N/A</v>
        <stp/>
        <stp>VOLUME</stp>
        <stp>.SPXW250829P5630</stp>
        <tr r="P110" s="2"/>
      </tp>
      <tp>
        <v>951</v>
        <stp/>
        <stp>VOLUME</stp>
        <stp>.SPXW250509P5430</stp>
        <tr r="BD129" s="1"/>
        <tr r="BD129" s="1"/>
      </tp>
      <tp t="s">
        <v>N/A</v>
        <stp/>
        <stp>VOLUME</stp>
        <stp>.SPXW250829C5620</stp>
        <tr r="P111" s="2"/>
      </tp>
      <tp>
        <v>32</v>
        <stp/>
        <stp>VOLUME</stp>
        <stp>.SPXW250509C5420</stp>
        <tr r="BC130" s="1"/>
        <tr r="BC130" s="1"/>
      </tp>
      <tp t="s">
        <v>N/A</v>
        <stp/>
        <stp>VOLUME</stp>
        <stp>.SPXW251128C5630</stp>
        <tr r="V110" s="2"/>
      </tp>
      <tp t="s">
        <v>N/A</v>
        <stp/>
        <stp>VOLUME</stp>
        <stp>.SPXW251128P5630</stp>
        <tr r="V110" s="2"/>
      </tp>
      <tp t="s">
        <v>N/A</v>
        <stp/>
        <stp>VOLUME</stp>
        <stp>.SPXW250829P5620</stp>
        <tr r="P111" s="2"/>
      </tp>
      <tp>
        <v>1302</v>
        <stp/>
        <stp>VOLUME</stp>
        <stp>.SPXW250509P5420</stp>
        <tr r="BD130" s="1"/>
        <tr r="BD130" s="1"/>
      </tp>
      <tp t="s">
        <v>N/A</v>
        <stp/>
        <stp>VOLUME</stp>
        <stp>.QQQP488</stp>
        <tr r="E60" s="2"/>
        <tr r="D60" s="2"/>
        <tr r="C60" s="2"/>
        <tr r="F60" s="2"/>
        <tr r="B60" s="2"/>
        <tr r="G60" s="2"/>
      </tp>
      <tp t="s">
        <v>N/A</v>
        <stp/>
        <stp>VOLUME</stp>
        <stp>.QQQC488</stp>
        <tr r="E60" s="2"/>
        <tr r="D60" s="2"/>
        <tr r="C60" s="2"/>
        <tr r="F60" s="2"/>
        <tr r="B60" s="2"/>
        <tr r="G60" s="2"/>
      </tp>
      <tp t="s">
        <v>N/A</v>
        <stp/>
        <stp>VOLUME</stp>
        <stp>.QQQP489</stp>
        <tr r="C59" s="2"/>
        <tr r="F59" s="2"/>
        <tr r="D59" s="2"/>
        <tr r="G59" s="2"/>
        <tr r="B59" s="2"/>
        <tr r="E59" s="2"/>
      </tp>
      <tp t="s">
        <v>N/A</v>
        <stp/>
        <stp>VOLUME</stp>
        <stp>.QQQC489</stp>
        <tr r="C59" s="2"/>
        <tr r="F59" s="2"/>
        <tr r="D59" s="2"/>
        <tr r="G59" s="2"/>
        <tr r="B59" s="2"/>
        <tr r="E59" s="2"/>
      </tp>
      <tp t="s">
        <v>N/A</v>
        <stp/>
        <stp>VOLUME</stp>
        <stp>.QQQP484</stp>
        <tr r="D64" s="2"/>
        <tr r="F64" s="2"/>
        <tr r="E64" s="2"/>
        <tr r="G64" s="2"/>
        <tr r="B64" s="2"/>
        <tr r="C64" s="2"/>
      </tp>
      <tp t="s">
        <v>N/A</v>
        <stp/>
        <stp>VOLUME</stp>
        <stp>.QQQC484</stp>
        <tr r="D64" s="2"/>
        <tr r="F64" s="2"/>
        <tr r="E64" s="2"/>
        <tr r="G64" s="2"/>
        <tr r="B64" s="2"/>
        <tr r="C64" s="2"/>
      </tp>
      <tp t="s">
        <v>N/A</v>
        <stp/>
        <stp>VOLUME</stp>
        <stp>.QQQP485</stp>
        <tr r="D63" s="2"/>
        <tr r="E63" s="2"/>
        <tr r="C63" s="2"/>
        <tr r="B63" s="2"/>
        <tr r="G63" s="2"/>
        <tr r="F63" s="2"/>
      </tp>
      <tp t="s">
        <v>N/A</v>
        <stp/>
        <stp>VOLUME</stp>
        <stp>.QQQC485</stp>
        <tr r="D63" s="2"/>
        <tr r="E63" s="2"/>
        <tr r="C63" s="2"/>
        <tr r="B63" s="2"/>
        <tr r="G63" s="2"/>
        <tr r="F63" s="2"/>
      </tp>
      <tp t="s">
        <v>N/A</v>
        <stp/>
        <stp>VOLUME</stp>
        <stp>.QQQP486</stp>
        <tr r="G62" s="2"/>
        <tr r="D62" s="2"/>
        <tr r="C62" s="2"/>
        <tr r="E62" s="2"/>
        <tr r="B62" s="2"/>
        <tr r="F62" s="2"/>
      </tp>
      <tp t="s">
        <v>N/A</v>
        <stp/>
        <stp>VOLUME</stp>
        <stp>.QQQC486</stp>
        <tr r="G62" s="2"/>
        <tr r="D62" s="2"/>
        <tr r="C62" s="2"/>
        <tr r="E62" s="2"/>
        <tr r="B62" s="2"/>
        <tr r="F62" s="2"/>
      </tp>
      <tp t="s">
        <v>N/A</v>
        <stp/>
        <stp>VOLUME</stp>
        <stp>.QQQP487</stp>
        <tr r="C61" s="2"/>
        <tr r="B61" s="2"/>
        <tr r="F61" s="2"/>
        <tr r="E61" s="2"/>
        <tr r="G61" s="2"/>
        <tr r="D61" s="2"/>
      </tp>
      <tp t="s">
        <v>N/A</v>
        <stp/>
        <stp>VOLUME</stp>
        <stp>.QQQC487</stp>
        <tr r="C61" s="2"/>
        <tr r="B61" s="2"/>
        <tr r="F61" s="2"/>
        <tr r="E61" s="2"/>
        <tr r="G61" s="2"/>
        <tr r="D61" s="2"/>
      </tp>
      <tp t="s">
        <v>N/A</v>
        <stp/>
        <stp>VOLUME</stp>
        <stp>.QQQP480</stp>
        <tr r="C68" s="2"/>
        <tr r="G68" s="2"/>
        <tr r="B68" s="2"/>
        <tr r="D68" s="2"/>
        <tr r="F68" s="2"/>
        <tr r="E68" s="2"/>
      </tp>
      <tp t="s">
        <v>N/A</v>
        <stp/>
        <stp>VOLUME</stp>
        <stp>.QQQC480</stp>
        <tr r="C68" s="2"/>
        <tr r="G68" s="2"/>
        <tr r="B68" s="2"/>
        <tr r="D68" s="2"/>
        <tr r="F68" s="2"/>
        <tr r="E68" s="2"/>
      </tp>
      <tp t="s">
        <v>N/A</v>
        <stp/>
        <stp>VOLUME</stp>
        <stp>.QQQP481</stp>
        <tr r="G67" s="2"/>
        <tr r="F67" s="2"/>
        <tr r="C67" s="2"/>
        <tr r="D67" s="2"/>
        <tr r="B67" s="2"/>
        <tr r="E67" s="2"/>
      </tp>
      <tp t="s">
        <v>N/A</v>
        <stp/>
        <stp>VOLUME</stp>
        <stp>.QQQC481</stp>
        <tr r="G67" s="2"/>
        <tr r="F67" s="2"/>
        <tr r="C67" s="2"/>
        <tr r="D67" s="2"/>
        <tr r="B67" s="2"/>
        <tr r="E67" s="2"/>
      </tp>
      <tp t="s">
        <v>N/A</v>
        <stp/>
        <stp>VOLUME</stp>
        <stp>.QQQP482</stp>
        <tr r="E66" s="2"/>
        <tr r="C66" s="2"/>
        <tr r="F66" s="2"/>
        <tr r="D66" s="2"/>
        <tr r="G66" s="2"/>
        <tr r="B66" s="2"/>
      </tp>
      <tp t="s">
        <v>N/A</v>
        <stp/>
        <stp>VOLUME</stp>
        <stp>.QQQC482</stp>
        <tr r="E66" s="2"/>
        <tr r="C66" s="2"/>
        <tr r="F66" s="2"/>
        <tr r="D66" s="2"/>
        <tr r="G66" s="2"/>
        <tr r="B66" s="2"/>
      </tp>
      <tp t="s">
        <v>N/A</v>
        <stp/>
        <stp>VOLUME</stp>
        <stp>.QQQP483</stp>
        <tr r="G65" s="2"/>
        <tr r="F65" s="2"/>
        <tr r="C65" s="2"/>
        <tr r="B65" s="2"/>
        <tr r="D65" s="2"/>
        <tr r="E65" s="2"/>
      </tp>
      <tp t="s">
        <v>N/A</v>
        <stp/>
        <stp>VOLUME</stp>
        <stp>.QQQC483</stp>
        <tr r="G65" s="2"/>
        <tr r="F65" s="2"/>
        <tr r="C65" s="2"/>
        <tr r="B65" s="2"/>
        <tr r="D65" s="2"/>
        <tr r="E65" s="2"/>
      </tp>
      <tp>
        <v>5</v>
        <stp/>
        <stp>VOLUME</stp>
        <stp>.SPXW250829C5650</stp>
        <tr r="P108" s="2"/>
        <tr r="P108" s="2"/>
      </tp>
      <tp t="s">
        <v>N/A</v>
        <stp/>
        <stp>VOLUME</stp>
        <stp>.SPXW250505C5490</stp>
        <tr r="BA123" s="1"/>
      </tp>
      <tp>
        <v>35</v>
        <stp/>
        <stp>VOLUME</stp>
        <stp>.SPXW250509C5450</stp>
        <tr r="BC127" s="1"/>
        <tr r="BC127" s="1"/>
      </tp>
      <tp t="s">
        <v>N/A</v>
        <stp/>
        <stp>VOLUME</stp>
        <stp>.SPXW251128C5640</stp>
        <tr r="V109" s="2"/>
      </tp>
      <tp t="s">
        <v>N/A</v>
        <stp/>
        <stp>VOLUME</stp>
        <stp>.SPXW251128P5640</stp>
        <tr r="V109" s="2"/>
      </tp>
      <tp>
        <v>4</v>
        <stp/>
        <stp>VOLUME</stp>
        <stp>.SPXW250829P5650</stp>
        <tr r="P108" s="2"/>
        <tr r="P108" s="2"/>
      </tp>
      <tp t="s">
        <v>N/A</v>
        <stp/>
        <stp>VOLUME</stp>
        <stp>.SPXW250505P5490</stp>
        <tr r="BB123" s="1"/>
      </tp>
      <tp>
        <v>3133</v>
        <stp/>
        <stp>VOLUME</stp>
        <stp>.SPXW250509P5450</stp>
        <tr r="BD127" s="1"/>
        <tr r="BD127" s="1"/>
      </tp>
      <tp t="s">
        <v>N/A</v>
        <stp/>
        <stp>VOLUME</stp>
        <stp>.QQQP498</stp>
        <tr r="G50" s="2"/>
        <tr r="F50" s="2"/>
        <tr r="E50" s="2"/>
        <tr r="D50" s="2"/>
        <tr r="C50" s="2"/>
        <tr r="B50" s="2"/>
      </tp>
      <tp t="s">
        <v>N/A</v>
        <stp/>
        <stp>VOLUME</stp>
        <stp>.QQQC498</stp>
        <tr r="G50" s="2"/>
        <tr r="F50" s="2"/>
        <tr r="E50" s="2"/>
        <tr r="D50" s="2"/>
        <tr r="C50" s="2"/>
        <tr r="B50" s="2"/>
      </tp>
      <tp t="s">
        <v>N/A</v>
        <stp/>
        <stp>VOLUME</stp>
        <stp>.QQQP499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.QQQC499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.QQQP494</stp>
        <tr r="G54" s="2"/>
        <tr r="D54" s="2"/>
        <tr r="F54" s="2"/>
        <tr r="E54" s="2"/>
        <tr r="B54" s="2"/>
        <tr r="C54" s="2"/>
      </tp>
      <tp t="s">
        <v>N/A</v>
        <stp/>
        <stp>VOLUME</stp>
        <stp>.QQQC494</stp>
        <tr r="G54" s="2"/>
        <tr r="D54" s="2"/>
        <tr r="F54" s="2"/>
        <tr r="E54" s="2"/>
        <tr r="B54" s="2"/>
        <tr r="C54" s="2"/>
      </tp>
      <tp t="s">
        <v>N/A</v>
        <stp/>
        <stp>VOLUME</stp>
        <stp>.QQQP495</stp>
        <tr r="G53" s="2"/>
        <tr r="F53" s="2"/>
        <tr r="B53" s="2"/>
        <tr r="D53" s="2"/>
        <tr r="C53" s="2"/>
        <tr r="E53" s="2"/>
      </tp>
      <tp t="s">
        <v>N/A</v>
        <stp/>
        <stp>VOLUME</stp>
        <stp>.QQQC495</stp>
        <tr r="G53" s="2"/>
        <tr r="F53" s="2"/>
        <tr r="B53" s="2"/>
        <tr r="D53" s="2"/>
        <tr r="C53" s="2"/>
        <tr r="E53" s="2"/>
      </tp>
      <tp t="s">
        <v>N/A</v>
        <stp/>
        <stp>VOLUME</stp>
        <stp>.QQQP496</stp>
        <tr r="G52" s="2"/>
        <tr r="F52" s="2"/>
        <tr r="E52" s="2"/>
        <tr r="C52" s="2"/>
        <tr r="B52" s="2"/>
        <tr r="D52" s="2"/>
      </tp>
      <tp t="s">
        <v>N/A</v>
        <stp/>
        <stp>VOLUME</stp>
        <stp>.QQQC496</stp>
        <tr r="G52" s="2"/>
        <tr r="F52" s="2"/>
        <tr r="E52" s="2"/>
        <tr r="C52" s="2"/>
        <tr r="B52" s="2"/>
        <tr r="D52" s="2"/>
      </tp>
      <tp t="s">
        <v>N/A</v>
        <stp/>
        <stp>VOLUME</stp>
        <stp>.QQQP497</stp>
        <tr r="G51" s="2"/>
        <tr r="F51" s="2"/>
        <tr r="E51" s="2"/>
        <tr r="C51" s="2"/>
        <tr r="B51" s="2"/>
        <tr r="D51" s="2"/>
      </tp>
      <tp t="s">
        <v>N/A</v>
        <stp/>
        <stp>VOLUME</stp>
        <stp>.QQQC497</stp>
        <tr r="G51" s="2"/>
        <tr r="F51" s="2"/>
        <tr r="E51" s="2"/>
        <tr r="C51" s="2"/>
        <tr r="B51" s="2"/>
        <tr r="D51" s="2"/>
      </tp>
      <tp t="s">
        <v>N/A</v>
        <stp/>
        <stp>VOLUME</stp>
        <stp>.QQQP490</stp>
        <tr r="F58" s="2"/>
        <tr r="C58" s="2"/>
        <tr r="D58" s="2"/>
        <tr r="E58" s="2"/>
        <tr r="G58" s="2"/>
        <tr r="B58" s="2"/>
      </tp>
      <tp t="s">
        <v>N/A</v>
        <stp/>
        <stp>VOLUME</stp>
        <stp>.QQQC490</stp>
        <tr r="F58" s="2"/>
        <tr r="C58" s="2"/>
        <tr r="D58" s="2"/>
        <tr r="E58" s="2"/>
        <tr r="G58" s="2"/>
        <tr r="B58" s="2"/>
      </tp>
      <tp t="s">
        <v>N/A</v>
        <stp/>
        <stp>VOLUME</stp>
        <stp>.QQQP491</stp>
        <tr r="E57" s="2"/>
        <tr r="F57" s="2"/>
        <tr r="B57" s="2"/>
        <tr r="G57" s="2"/>
        <tr r="D57" s="2"/>
        <tr r="C57" s="2"/>
      </tp>
      <tp t="s">
        <v>N/A</v>
        <stp/>
        <stp>VOLUME</stp>
        <stp>.QQQC491</stp>
        <tr r="E57" s="2"/>
        <tr r="F57" s="2"/>
        <tr r="B57" s="2"/>
        <tr r="G57" s="2"/>
        <tr r="D57" s="2"/>
        <tr r="C57" s="2"/>
      </tp>
      <tp t="s">
        <v>N/A</v>
        <stp/>
        <stp>VOLUME</stp>
        <stp>.QQQP492</stp>
        <tr r="G56" s="2"/>
        <tr r="F56" s="2"/>
        <tr r="B56" s="2"/>
        <tr r="D56" s="2"/>
        <tr r="E56" s="2"/>
        <tr r="C56" s="2"/>
      </tp>
      <tp t="s">
        <v>N/A</v>
        <stp/>
        <stp>VOLUME</stp>
        <stp>.QQQC492</stp>
        <tr r="G56" s="2"/>
        <tr r="F56" s="2"/>
        <tr r="B56" s="2"/>
        <tr r="D56" s="2"/>
        <tr r="E56" s="2"/>
        <tr r="C56" s="2"/>
      </tp>
      <tp t="s">
        <v>N/A</v>
        <stp/>
        <stp>VOLUME</stp>
        <stp>.QQQP493</stp>
        <tr r="D55" s="2"/>
        <tr r="G55" s="2"/>
        <tr r="E55" s="2"/>
        <tr r="C55" s="2"/>
        <tr r="B55" s="2"/>
        <tr r="F55" s="2"/>
      </tp>
      <tp t="s">
        <v>N/A</v>
        <stp/>
        <stp>VOLUME</stp>
        <stp>.QQQC493</stp>
        <tr r="D55" s="2"/>
        <tr r="G55" s="2"/>
        <tr r="E55" s="2"/>
        <tr r="C55" s="2"/>
        <tr r="B55" s="2"/>
        <tr r="F55" s="2"/>
      </tp>
      <tp t="s">
        <v>N/A</v>
        <stp/>
        <stp>VOLUME</stp>
        <stp>.SPXW250829C5640</stp>
        <tr r="P109" s="2"/>
      </tp>
      <tp t="s">
        <v>N/A</v>
        <stp/>
        <stp>VOLUME</stp>
        <stp>.SPXW250505C5480</stp>
        <tr r="BA124" s="1"/>
      </tp>
      <tp>
        <v>19</v>
        <stp/>
        <stp>VOLUME</stp>
        <stp>.SPXW250509C5440</stp>
        <tr r="BC128" s="1"/>
        <tr r="BC128" s="1"/>
      </tp>
      <tp t="s">
        <v>N/A</v>
        <stp/>
        <stp>VOLUME</stp>
        <stp>.SPXW251128C5650</stp>
        <tr r="V108" s="2"/>
      </tp>
      <tp t="s">
        <v>N/A</v>
        <stp/>
        <stp>VOLUME</stp>
        <stp>.SPXW251128P5650</stp>
        <tr r="V108" s="2"/>
      </tp>
      <tp t="s">
        <v>N/A</v>
        <stp/>
        <stp>VOLUME</stp>
        <stp>.SPXW250829P5640</stp>
        <tr r="P109" s="2"/>
      </tp>
      <tp t="s">
        <v>N/A</v>
        <stp/>
        <stp>VOLUME</stp>
        <stp>.SPXW250505P5480</stp>
        <tr r="BB124" s="1"/>
      </tp>
      <tp>
        <v>2438</v>
        <stp/>
        <stp>VOLUME</stp>
        <stp>.SPXW250509P5440</stp>
        <tr r="BD128" s="1"/>
        <tr r="BD128" s="1"/>
      </tp>
      <tp>
        <v>1</v>
        <stp/>
        <stp>VOLUME</stp>
        <stp>.SPXW250829C5670</stp>
        <tr r="P106" s="2"/>
        <tr r="P106" s="2"/>
      </tp>
      <tp>
        <v>14</v>
        <stp/>
        <stp>VOLUME</stp>
        <stp>.SPXW250509C5470</stp>
        <tr r="BC125" s="1"/>
        <tr r="BC125" s="1"/>
      </tp>
      <tp>
        <v>53</v>
        <stp/>
        <stp>VOLUME</stp>
        <stp>.SPXW250516C5580</stp>
        <tr r="BE114" s="1"/>
        <tr r="BE114" s="1"/>
      </tp>
      <tp t="s">
        <v>N/A</v>
        <stp/>
        <stp>VOLUME</stp>
        <stp>.SPXW250606C5480</stp>
        <tr r="J125" s="2"/>
      </tp>
      <tp t="s">
        <v>N/A</v>
        <stp/>
        <stp>VOLUME</stp>
        <stp>.SPXW251128C5660</stp>
        <tr r="V107" s="2"/>
      </tp>
      <tp t="s">
        <v>N/A</v>
        <stp/>
        <stp>VOLUME</stp>
        <stp>.SPXW251128P5660</stp>
        <tr r="V107" s="2"/>
      </tp>
      <tp t="s">
        <v>N/A</v>
        <stp/>
        <stp>VOLUME</stp>
        <stp>.SPXW250829P5670</stp>
        <tr r="P106" s="2"/>
      </tp>
      <tp>
        <v>595</v>
        <stp/>
        <stp>VOLUME</stp>
        <stp>.SPXW250509P5470</stp>
        <tr r="BD125" s="1"/>
        <tr r="BD125" s="1"/>
      </tp>
      <tp>
        <v>250</v>
        <stp/>
        <stp>VOLUME</stp>
        <stp>.SPXW250516P5580</stp>
        <tr r="BF114" s="1"/>
        <tr r="BF114" s="1"/>
      </tp>
      <tp t="s">
        <v>N/A</v>
        <stp/>
        <stp>VOLUME</stp>
        <stp>.SPXW250606P5480</stp>
        <tr r="J125" s="2"/>
      </tp>
      <tp>
        <v>6</v>
        <stp/>
        <stp>VOLUME</stp>
        <stp>.SPXW250829C5660</stp>
        <tr r="P107" s="2"/>
        <tr r="P107" s="2"/>
      </tp>
      <tp>
        <v>44</v>
        <stp/>
        <stp>VOLUME</stp>
        <stp>.SPXW250509C5460</stp>
        <tr r="BC126" s="1"/>
        <tr r="BC126" s="1"/>
      </tp>
      <tp>
        <v>39</v>
        <stp/>
        <stp>VOLUME</stp>
        <stp>.SPXW250516C5590</stp>
        <tr r="BE113" s="1"/>
        <tr r="BE113" s="1"/>
      </tp>
      <tp t="s">
        <v>N/A</v>
        <stp/>
        <stp>VOLUME</stp>
        <stp>.SPXW250606C5490</stp>
        <tr r="J124" s="2"/>
      </tp>
      <tp t="s">
        <v>N/A</v>
        <stp/>
        <stp>VOLUME</stp>
        <stp>.SPXW251128C5670</stp>
        <tr r="V106" s="2"/>
      </tp>
      <tp t="s">
        <v>N/A</v>
        <stp/>
        <stp>VOLUME</stp>
        <stp>.SPXW251128P5670</stp>
        <tr r="V106" s="2"/>
      </tp>
      <tp>
        <v>2</v>
        <stp/>
        <stp>VOLUME</stp>
        <stp>.SPXW250829P5660</stp>
        <tr r="P107" s="2"/>
        <tr r="P107" s="2"/>
      </tp>
      <tp>
        <v>382</v>
        <stp/>
        <stp>VOLUME</stp>
        <stp>.SPXW250509P5460</stp>
        <tr r="BD126" s="1"/>
        <tr r="BD126" s="1"/>
      </tp>
      <tp>
        <v>317</v>
        <stp/>
        <stp>VOLUME</stp>
        <stp>.SPXW250516P5590</stp>
        <tr r="BF113" s="1"/>
        <tr r="BF113" s="1"/>
      </tp>
      <tp t="s">
        <v>N/A</v>
        <stp/>
        <stp>VOLUME</stp>
        <stp>.SPXW250606P5490</stp>
        <tr r="J124" s="2"/>
      </tp>
      <tp t="s">
        <v>N/A</v>
        <stp/>
        <stp>VOLUME</stp>
        <stp>.NDXP251231P19850</stp>
        <tr r="X162" s="2"/>
      </tp>
      <tp t="s">
        <v>N/A</v>
        <stp/>
        <stp>VOLUME</stp>
        <stp>.NDXP251128P20150</stp>
        <tr r="V150" s="2"/>
      </tp>
      <tp t="s">
        <v>N/A</v>
        <stp/>
        <stp>VOLUME</stp>
        <stp>.NDXP251031P19850</stp>
        <tr r="T162" s="2"/>
      </tp>
      <tp t="s">
        <v>N/A</v>
        <stp/>
        <stp>VOLUME</stp>
        <stp>.NDXP251128P19150</stp>
        <tr r="V190" s="2"/>
      </tp>
      <tp>
        <v>4</v>
        <stp/>
        <stp>VOLUME</stp>
        <stp>.SPXW250930C5700</stp>
        <tr r="R103" s="2"/>
        <tr r="R103" s="2"/>
      </tp>
      <tp t="s">
        <v>N/A</v>
        <stp/>
        <stp>VOLUME</stp>
        <stp>.SPXW250829C5690</stp>
        <tr r="P104" s="2"/>
      </tp>
      <tp t="s">
        <v>N/A</v>
        <stp/>
        <stp>VOLUME</stp>
        <stp>.SPXW250505C5450</stp>
        <tr r="BA127" s="1"/>
      </tp>
      <tp>
        <v>269</v>
        <stp/>
        <stp>VOLUME</stp>
        <stp>.SPXW250509C5490</stp>
        <tr r="BC123" s="1"/>
        <tr r="BC123" s="1"/>
      </tp>
      <tp>
        <v>9</v>
        <stp/>
        <stp>VOLUME</stp>
        <stp>.SPXW250516C5560</stp>
        <tr r="BE116" s="1"/>
        <tr r="BE116" s="1"/>
      </tp>
      <tp>
        <v>1273</v>
        <stp/>
        <stp>VOLUME</stp>
        <stp>.SPXW250530C5700</stp>
        <tr r="I103" s="2"/>
        <tr r="I103" s="2"/>
      </tp>
      <tp>
        <v>11</v>
        <stp/>
        <stp>VOLUME</stp>
        <stp>.SPXW250731C5710</stp>
        <tr r="N102" s="2"/>
        <tr r="N102" s="2"/>
      </tp>
      <tp t="s">
        <v>N/A</v>
        <stp/>
        <stp>VOLUME</stp>
        <stp>.SPXW250606C5460</stp>
        <tr r="J127" s="2"/>
      </tp>
      <tp>
        <v>971</v>
        <stp/>
        <stp>VOLUME</stp>
        <stp>.SPXW250630C5700</stp>
        <tr r="L103" s="2"/>
        <tr r="L103" s="2"/>
      </tp>
      <tp t="s">
        <v>N/A</v>
        <stp/>
        <stp>VOLUME</stp>
        <stp>.SPXW251128C5680</stp>
        <tr r="V105" s="2"/>
      </tp>
      <tp t="s">
        <v>N/A</v>
        <stp/>
        <stp>VOLUME</stp>
        <stp>.SPXW251031C5710</stp>
        <tr r="T102" s="2"/>
      </tp>
      <tp t="s">
        <v>N/A</v>
        <stp/>
        <stp>VOLUME</stp>
        <stp>.SPXW251231C5710</stp>
        <tr r="X102" s="2"/>
      </tp>
      <tp t="s">
        <v>N/A</v>
        <stp/>
        <stp>VOLUME</stp>
        <stp>.SPXW251128P5680</stp>
        <tr r="V105" s="2"/>
      </tp>
      <tp t="s">
        <v>N/A</v>
        <stp/>
        <stp>VOLUME</stp>
        <stp>.SPXW251031P5710</stp>
        <tr r="T102" s="2"/>
      </tp>
      <tp t="s">
        <v>N/A</v>
        <stp/>
        <stp>VOLUME</stp>
        <stp>.SPXW251231P5710</stp>
        <tr r="X102" s="2"/>
      </tp>
      <tp t="s">
        <v>N/A</v>
        <stp/>
        <stp>VOLUME</stp>
        <stp>.SPXW250930P5700</stp>
        <tr r="R103" s="2"/>
      </tp>
      <tp>
        <v>2</v>
        <stp/>
        <stp>VOLUME</stp>
        <stp>.SPXW250829P5690</stp>
        <tr r="P104" s="2"/>
        <tr r="P104" s="2"/>
      </tp>
      <tp t="s">
        <v>N/A</v>
        <stp/>
        <stp>VOLUME</stp>
        <stp>.SPXW250505P5450</stp>
        <tr r="BB127" s="1"/>
      </tp>
      <tp>
        <v>1809</v>
        <stp/>
        <stp>VOLUME</stp>
        <stp>.SPXW250509P5490</stp>
        <tr r="BD123" s="1"/>
        <tr r="BD123" s="1"/>
      </tp>
      <tp>
        <v>406</v>
        <stp/>
        <stp>VOLUME</stp>
        <stp>.SPXW250516P5560</stp>
        <tr r="BF116" s="1"/>
        <tr r="BF116" s="1"/>
      </tp>
      <tp>
        <v>1093</v>
        <stp/>
        <stp>VOLUME</stp>
        <stp>.SPXW250530P5700</stp>
        <tr r="I103" s="2"/>
        <tr r="I103" s="2"/>
      </tp>
      <tp>
        <v>8</v>
        <stp/>
        <stp>VOLUME</stp>
        <stp>.SPXW250731P5710</stp>
        <tr r="N102" s="2"/>
        <tr r="N102" s="2"/>
      </tp>
      <tp t="s">
        <v>N/A</v>
        <stp/>
        <stp>VOLUME</stp>
        <stp>.SPXW250606P5460</stp>
        <tr r="J127" s="2"/>
      </tp>
      <tp>
        <v>537</v>
        <stp/>
        <stp>VOLUME</stp>
        <stp>.SPXW250630P5700</stp>
        <tr r="L103" s="2"/>
        <tr r="L103" s="2"/>
      </tp>
      <tp t="s">
        <v>N/A</v>
        <stp/>
        <stp>VOLUME</stp>
        <stp>.NDXP250829P20050</stp>
        <tr r="P154" s="2"/>
      </tp>
      <tp t="s">
        <v>N/A</v>
        <stp/>
        <stp>VOLUME</stp>
        <stp>.NDXP250930P19950</stp>
        <tr r="R158" s="2"/>
      </tp>
      <tp t="s">
        <v>N/A</v>
        <stp/>
        <stp>VOLUME</stp>
        <stp>.NDXP250630P19950</stp>
        <tr r="L158" s="2"/>
      </tp>
      <tp>
        <v>542</v>
        <stp/>
        <stp>VOLUME</stp>
        <stp>.NDXP250509P20050</stp>
        <tr r="BD153" s="1"/>
        <tr r="BD153" s="1"/>
      </tp>
      <tp t="s">
        <v>N/A</v>
        <stp/>
        <stp>VOLUME</stp>
        <stp>.NDXP250731P19850</stp>
        <tr r="N162" s="2"/>
      </tp>
      <tp>
        <v>2</v>
        <stp/>
        <stp>VOLUME</stp>
        <stp>.NDXP250530P19950</stp>
        <tr r="I158" s="2"/>
        <tr r="I158" s="2"/>
      </tp>
      <tp t="s">
        <v>N/A</v>
        <stp/>
        <stp>VOLUME</stp>
        <stp>.SPXW250930C5710</stp>
        <tr r="R102" s="2"/>
      </tp>
      <tp t="s">
        <v>N/A</v>
        <stp/>
        <stp>VOLUME</stp>
        <stp>.SPXW250829C5680</stp>
        <tr r="P105" s="2"/>
      </tp>
      <tp t="s">
        <v>N/A</v>
        <stp/>
        <stp>VOLUME</stp>
        <stp>.SPXW250505C5440</stp>
        <tr r="BA128" s="1"/>
      </tp>
      <tp>
        <v>554</v>
        <stp/>
        <stp>VOLUME</stp>
        <stp>.SPXW250509C5480</stp>
        <tr r="BC124" s="1"/>
        <tr r="BC124" s="1"/>
      </tp>
      <tp>
        <v>12</v>
        <stp/>
        <stp>VOLUME</stp>
        <stp>.SPXW250516C5570</stp>
        <tr r="BE115" s="1"/>
        <tr r="BE115" s="1"/>
      </tp>
      <tp>
        <v>29</v>
        <stp/>
        <stp>VOLUME</stp>
        <stp>.SPXW250530C5710</stp>
        <tr r="I102" s="2"/>
        <tr r="I102" s="2"/>
      </tp>
      <tp>
        <v>26</v>
        <stp/>
        <stp>VOLUME</stp>
        <stp>.SPXW250731C5700</stp>
        <tr r="N103" s="2"/>
        <tr r="N103" s="2"/>
      </tp>
      <tp t="s">
        <v>N/A</v>
        <stp/>
        <stp>VOLUME</stp>
        <stp>.SPXW250606C5470</stp>
        <tr r="J126" s="2"/>
      </tp>
      <tp>
        <v>7</v>
        <stp/>
        <stp>VOLUME</stp>
        <stp>.SPXW250630C5710</stp>
        <tr r="L102" s="2"/>
        <tr r="L102" s="2"/>
      </tp>
      <tp t="s">
        <v>N/A</v>
        <stp/>
        <stp>VOLUME</stp>
        <stp>.SPXW251128C5690</stp>
        <tr r="V104" s="2"/>
      </tp>
      <tp t="s">
        <v>N/A</v>
        <stp/>
        <stp>VOLUME</stp>
        <stp>.SPXW251031C5700</stp>
        <tr r="T103" s="2"/>
      </tp>
      <tp t="s">
        <v>N/A</v>
        <stp/>
        <stp>VOLUME</stp>
        <stp>.SPXW251231C5700</stp>
        <tr r="X103" s="2"/>
      </tp>
      <tp t="s">
        <v>N/A</v>
        <stp/>
        <stp>VOLUME</stp>
        <stp>.SPXW251128P5690</stp>
        <tr r="V104" s="2"/>
      </tp>
      <tp t="s">
        <v>N/A</v>
        <stp/>
        <stp>VOLUME</stp>
        <stp>.SPXW251031P5700</stp>
        <tr r="T103" s="2"/>
      </tp>
      <tp t="s">
        <v>N/A</v>
        <stp/>
        <stp>VOLUME</stp>
        <stp>.SPXW251231P5700</stp>
        <tr r="X103" s="2"/>
      </tp>
      <tp t="s">
        <v>N/A</v>
        <stp/>
        <stp>VOLUME</stp>
        <stp>.SPXW250930P5710</stp>
        <tr r="R102" s="2"/>
      </tp>
      <tp t="s">
        <v>N/A</v>
        <stp/>
        <stp>VOLUME</stp>
        <stp>.SPXW250829P5680</stp>
        <tr r="P105" s="2"/>
      </tp>
      <tp t="s">
        <v>N/A</v>
        <stp/>
        <stp>VOLUME</stp>
        <stp>.SPXW250505P5440</stp>
        <tr r="BB128" s="1"/>
      </tp>
      <tp>
        <v>1885</v>
        <stp/>
        <stp>VOLUME</stp>
        <stp>.SPXW250509P5480</stp>
        <tr r="BD124" s="1"/>
        <tr r="BD124" s="1"/>
      </tp>
      <tp>
        <v>348</v>
        <stp/>
        <stp>VOLUME</stp>
        <stp>.SPXW250516P5570</stp>
        <tr r="BF115" s="1"/>
        <tr r="BF115" s="1"/>
      </tp>
      <tp t="s">
        <v>N/A</v>
        <stp/>
        <stp>VOLUME</stp>
        <stp>.SPXW250530P5710</stp>
        <tr r="I102" s="2"/>
      </tp>
      <tp t="s">
        <v>N/A</v>
        <stp/>
        <stp>VOLUME</stp>
        <stp>.SPXW250731P5700</stp>
        <tr r="N103" s="2"/>
      </tp>
      <tp>
        <v>3</v>
        <stp/>
        <stp>VOLUME</stp>
        <stp>.SPXW250606P5470</stp>
        <tr r="J126" s="2"/>
        <tr r="J126" s="2"/>
      </tp>
      <tp>
        <v>26</v>
        <stp/>
        <stp>VOLUME</stp>
        <stp>.SPXW250630P5710</stp>
        <tr r="L102" s="2"/>
        <tr r="L102" s="2"/>
      </tp>
      <tp t="s">
        <v>N/A</v>
        <stp/>
        <stp>VOLUME</stp>
        <stp>.QQQP468</stp>
        <tr r="E80" s="2"/>
        <tr r="C80" s="2"/>
        <tr r="D80" s="2"/>
        <tr r="B80" s="2"/>
        <tr r="G80" s="2"/>
        <tr r="F80" s="2"/>
      </tp>
      <tp t="s">
        <v>N/A</v>
        <stp/>
        <stp>VOLUME</stp>
        <stp>.QQQC468</stp>
        <tr r="E80" s="2"/>
        <tr r="C80" s="2"/>
        <tr r="D80" s="2"/>
        <tr r="B80" s="2"/>
        <tr r="G80" s="2"/>
        <tr r="F80" s="2"/>
      </tp>
      <tp t="s">
        <v>N/A</v>
        <stp/>
        <stp>VOLUME</stp>
        <stp>.QQQP469</stp>
        <tr r="F79" s="2"/>
        <tr r="B79" s="2"/>
        <tr r="E79" s="2"/>
        <tr r="D79" s="2"/>
        <tr r="G79" s="2"/>
        <tr r="C79" s="2"/>
      </tp>
      <tp t="s">
        <v>N/A</v>
        <stp/>
        <stp>VOLUME</stp>
        <stp>.QQQC469</stp>
        <tr r="F79" s="2"/>
        <tr r="B79" s="2"/>
        <tr r="E79" s="2"/>
        <tr r="D79" s="2"/>
        <tr r="G79" s="2"/>
        <tr r="C79" s="2"/>
      </tp>
      <tp t="s">
        <v>N/A</v>
        <stp/>
        <stp>VOLUME</stp>
        <stp>.NDXP251231P19875</stp>
        <tr r="X161" s="2"/>
      </tp>
      <tp t="s">
        <v>N/A</v>
        <stp/>
        <stp>VOLUME</stp>
        <stp>.NDXP251128P20175</stp>
        <tr r="V149" s="2"/>
      </tp>
      <tp t="s">
        <v>N/A</v>
        <stp/>
        <stp>VOLUME</stp>
        <stp>.NDXP251128P19175</stp>
        <tr r="V189" s="2"/>
      </tp>
      <tp t="s">
        <v>N/A</v>
        <stp/>
        <stp>VOLUME</stp>
        <stp>.NDXP251031P19875</stp>
        <tr r="T161" s="2"/>
      </tp>
      <tp>
        <v>3</v>
        <stp/>
        <stp>VOLUME</stp>
        <stp>.SPXW250930C5720</stp>
        <tr r="R101" s="2"/>
        <tr r="R101" s="2"/>
      </tp>
      <tp t="s">
        <v>N/A</v>
        <stp/>
        <stp>VOLUME</stp>
        <stp>.SPXW250505C5470</stp>
        <tr r="BA125" s="1"/>
      </tp>
      <tp>
        <v>192</v>
        <stp/>
        <stp>VOLUME</stp>
        <stp>.SPXW250516C5540</stp>
        <tr r="BE118" s="1"/>
        <tr r="BE118" s="1"/>
      </tp>
      <tp>
        <v>22</v>
        <stp/>
        <stp>VOLUME</stp>
        <stp>.SPXW250530C5720</stp>
        <tr r="I101" s="2"/>
        <tr r="I101" s="2"/>
      </tp>
      <tp>
        <v>1</v>
        <stp/>
        <stp>VOLUME</stp>
        <stp>.SPXW250731C5730</stp>
        <tr r="N100" s="2"/>
        <tr r="N100" s="2"/>
      </tp>
      <tp t="s">
        <v>N/A</v>
        <stp/>
        <stp>VOLUME</stp>
        <stp>.SPXW250606C5440</stp>
        <tr r="J129" s="2"/>
      </tp>
      <tp>
        <v>4</v>
        <stp/>
        <stp>VOLUME</stp>
        <stp>.SPXW250630C5720</stp>
        <tr r="L101" s="2"/>
        <tr r="L101" s="2"/>
      </tp>
      <tp t="s">
        <v>N/A</v>
        <stp/>
        <stp>VOLUME</stp>
        <stp>.SPXW251031C5730</stp>
        <tr r="T100" s="2"/>
      </tp>
      <tp t="s">
        <v>N/A</v>
        <stp/>
        <stp>VOLUME</stp>
        <stp>.SPXW251231C5730</stp>
        <tr r="X100" s="2"/>
      </tp>
      <tp t="s">
        <v>N/A</v>
        <stp/>
        <stp>VOLUME</stp>
        <stp>.SPXW251031P5730</stp>
        <tr r="T100" s="2"/>
      </tp>
      <tp t="s">
        <v>N/A</v>
        <stp/>
        <stp>VOLUME</stp>
        <stp>.SPXW251231P5730</stp>
        <tr r="X100" s="2"/>
      </tp>
      <tp t="s">
        <v>N/A</v>
        <stp/>
        <stp>VOLUME</stp>
        <stp>.SPXW250930P5720</stp>
        <tr r="R101" s="2"/>
      </tp>
      <tp t="s">
        <v>N/A</v>
        <stp/>
        <stp>VOLUME</stp>
        <stp>.SPXW250505P5470</stp>
        <tr r="BB125" s="1"/>
      </tp>
      <tp>
        <v>309</v>
        <stp/>
        <stp>VOLUME</stp>
        <stp>.SPXW250516P5540</stp>
        <tr r="BF118" s="1"/>
        <tr r="BF118" s="1"/>
      </tp>
      <tp>
        <v>9</v>
        <stp/>
        <stp>VOLUME</stp>
        <stp>.SPXW250530P5720</stp>
        <tr r="I101" s="2"/>
        <tr r="I101" s="2"/>
      </tp>
      <tp t="s">
        <v>N/A</v>
        <stp/>
        <stp>VOLUME</stp>
        <stp>.SPXW250731P5730</stp>
        <tr r="N100" s="2"/>
      </tp>
      <tp>
        <v>55</v>
        <stp/>
        <stp>VOLUME</stp>
        <stp>.SPXW250606P5440</stp>
        <tr r="J129" s="2"/>
        <tr r="J129" s="2"/>
      </tp>
      <tp>
        <v>5</v>
        <stp/>
        <stp>VOLUME</stp>
        <stp>.SPXW250630P5720</stp>
        <tr r="L101" s="2"/>
        <tr r="L101" s="2"/>
      </tp>
      <tp t="s">
        <v>N/A</v>
        <stp/>
        <stp>VOLUME</stp>
        <stp>.QQQP478</stp>
        <tr r="C70" s="2"/>
        <tr r="B70" s="2"/>
        <tr r="G70" s="2"/>
        <tr r="F70" s="2"/>
        <tr r="E70" s="2"/>
        <tr r="D70" s="2"/>
      </tp>
      <tp t="s">
        <v>N/A</v>
        <stp/>
        <stp>VOLUME</stp>
        <stp>.QQQC478</stp>
        <tr r="C70" s="2"/>
        <tr r="B70" s="2"/>
        <tr r="G70" s="2"/>
        <tr r="F70" s="2"/>
        <tr r="E70" s="2"/>
        <tr r="D70" s="2"/>
      </tp>
      <tp t="s">
        <v>N/A</v>
        <stp/>
        <stp>VOLUME</stp>
        <stp>.QQQP479</stp>
        <tr r="F69" s="2"/>
        <tr r="D69" s="2"/>
        <tr r="C69" s="2"/>
        <tr r="G69" s="2"/>
        <tr r="B69" s="2"/>
        <tr r="E69" s="2"/>
      </tp>
      <tp t="s">
        <v>N/A</v>
        <stp/>
        <stp>VOLUME</stp>
        <stp>.QQQC479</stp>
        <tr r="F69" s="2"/>
        <tr r="D69" s="2"/>
        <tr r="C69" s="2"/>
        <tr r="G69" s="2"/>
        <tr r="B69" s="2"/>
        <tr r="E69" s="2"/>
      </tp>
      <tp t="s">
        <v>N/A</v>
        <stp/>
        <stp>VOLUME</stp>
        <stp>.QQQP474</stp>
        <tr r="E74" s="2"/>
        <tr r="B74" s="2"/>
        <tr r="C74" s="2"/>
        <tr r="G74" s="2"/>
        <tr r="D74" s="2"/>
        <tr r="F74" s="2"/>
      </tp>
      <tp t="s">
        <v>N/A</v>
        <stp/>
        <stp>VOLUME</stp>
        <stp>.QQQC474</stp>
        <tr r="E74" s="2"/>
        <tr r="B74" s="2"/>
        <tr r="C74" s="2"/>
        <tr r="G74" s="2"/>
        <tr r="D74" s="2"/>
        <tr r="F74" s="2"/>
      </tp>
      <tp t="s">
        <v>N/A</v>
        <stp/>
        <stp>VOLUME</stp>
        <stp>.QQQP475</stp>
        <tr r="G73" s="2"/>
        <tr r="E73" s="2"/>
        <tr r="F73" s="2"/>
        <tr r="D73" s="2"/>
        <tr r="B73" s="2"/>
        <tr r="C73" s="2"/>
      </tp>
      <tp t="s">
        <v>N/A</v>
        <stp/>
        <stp>VOLUME</stp>
        <stp>.QQQC475</stp>
        <tr r="G73" s="2"/>
        <tr r="E73" s="2"/>
        <tr r="F73" s="2"/>
        <tr r="D73" s="2"/>
        <tr r="B73" s="2"/>
        <tr r="C73" s="2"/>
      </tp>
      <tp t="s">
        <v>N/A</v>
        <stp/>
        <stp>VOLUME</stp>
        <stp>.QQQP476</stp>
        <tr r="B72" s="2"/>
        <tr r="F72" s="2"/>
        <tr r="G72" s="2"/>
        <tr r="C72" s="2"/>
        <tr r="D72" s="2"/>
        <tr r="E72" s="2"/>
      </tp>
      <tp t="s">
        <v>N/A</v>
        <stp/>
        <stp>VOLUME</stp>
        <stp>.QQQC476</stp>
        <tr r="B72" s="2"/>
        <tr r="F72" s="2"/>
        <tr r="G72" s="2"/>
        <tr r="C72" s="2"/>
        <tr r="D72" s="2"/>
        <tr r="E72" s="2"/>
      </tp>
      <tp t="s">
        <v>N/A</v>
        <stp/>
        <stp>VOLUME</stp>
        <stp>.QQQP477</stp>
        <tr r="C71" s="2"/>
        <tr r="E71" s="2"/>
        <tr r="G71" s="2"/>
        <tr r="F71" s="2"/>
        <tr r="D71" s="2"/>
        <tr r="B71" s="2"/>
      </tp>
      <tp t="s">
        <v>N/A</v>
        <stp/>
        <stp>VOLUME</stp>
        <stp>.QQQC477</stp>
        <tr r="C71" s="2"/>
        <tr r="E71" s="2"/>
        <tr r="G71" s="2"/>
        <tr r="F71" s="2"/>
        <tr r="D71" s="2"/>
        <tr r="B71" s="2"/>
      </tp>
      <tp t="s">
        <v>N/A</v>
        <stp/>
        <stp>VOLUME</stp>
        <stp>.QQQP470</stp>
        <tr r="C78" s="2"/>
        <tr r="G78" s="2"/>
        <tr r="B78" s="2"/>
        <tr r="F78" s="2"/>
        <tr r="E78" s="2"/>
        <tr r="D78" s="2"/>
      </tp>
      <tp t="s">
        <v>N/A</v>
        <stp/>
        <stp>VOLUME</stp>
        <stp>.QQQC470</stp>
        <tr r="C78" s="2"/>
        <tr r="G78" s="2"/>
        <tr r="B78" s="2"/>
        <tr r="F78" s="2"/>
        <tr r="E78" s="2"/>
        <tr r="D78" s="2"/>
      </tp>
      <tp t="s">
        <v>N/A</v>
        <stp/>
        <stp>VOLUME</stp>
        <stp>.QQQP471</stp>
        <tr r="E77" s="2"/>
        <tr r="D77" s="2"/>
        <tr r="F77" s="2"/>
        <tr r="B77" s="2"/>
        <tr r="G77" s="2"/>
        <tr r="C77" s="2"/>
      </tp>
      <tp t="s">
        <v>N/A</v>
        <stp/>
        <stp>VOLUME</stp>
        <stp>.QQQC471</stp>
        <tr r="E77" s="2"/>
        <tr r="D77" s="2"/>
        <tr r="F77" s="2"/>
        <tr r="B77" s="2"/>
        <tr r="G77" s="2"/>
        <tr r="C77" s="2"/>
      </tp>
      <tp t="s">
        <v>N/A</v>
        <stp/>
        <stp>VOLUME</stp>
        <stp>.QQQP472</stp>
        <tr r="D76" s="2"/>
        <tr r="B76" s="2"/>
        <tr r="F76" s="2"/>
        <tr r="G76" s="2"/>
        <tr r="C76" s="2"/>
        <tr r="E76" s="2"/>
      </tp>
      <tp t="s">
        <v>N/A</v>
        <stp/>
        <stp>VOLUME</stp>
        <stp>.QQQC472</stp>
        <tr r="D76" s="2"/>
        <tr r="B76" s="2"/>
        <tr r="F76" s="2"/>
        <tr r="G76" s="2"/>
        <tr r="C76" s="2"/>
        <tr r="E76" s="2"/>
      </tp>
      <tp t="s">
        <v>N/A</v>
        <stp/>
        <stp>VOLUME</stp>
        <stp>.QQQP473</stp>
        <tr r="E75" s="2"/>
        <tr r="C75" s="2"/>
        <tr r="G75" s="2"/>
        <tr r="B75" s="2"/>
        <tr r="F75" s="2"/>
        <tr r="D75" s="2"/>
      </tp>
      <tp t="s">
        <v>N/A</v>
        <stp/>
        <stp>VOLUME</stp>
        <stp>.QQQC473</stp>
        <tr r="E75" s="2"/>
        <tr r="C75" s="2"/>
        <tr r="G75" s="2"/>
        <tr r="B75" s="2"/>
        <tr r="F75" s="2"/>
        <tr r="D75" s="2"/>
      </tp>
      <tp t="s">
        <v>N/A</v>
        <stp/>
        <stp>VOLUME</stp>
        <stp>.NDXP250829P20075</stp>
        <tr r="P153" s="2"/>
      </tp>
      <tp t="s">
        <v>N/A</v>
        <stp/>
        <stp>VOLUME</stp>
        <stp>.NDXP250930P19975</stp>
        <tr r="R157" s="2"/>
      </tp>
      <tp t="s">
        <v>N/A</v>
        <stp/>
        <stp>VOLUME</stp>
        <stp>.NDXP250731P19875</stp>
        <tr r="N161" s="2"/>
      </tp>
      <tp t="s">
        <v>N/A</v>
        <stp/>
        <stp>VOLUME</stp>
        <stp>.NDXP250630P19975</stp>
        <tr r="L157" s="2"/>
      </tp>
      <tp>
        <v>165</v>
        <stp/>
        <stp>VOLUME</stp>
        <stp>.NDXP250509P20075</stp>
        <tr r="BD152" s="1"/>
        <tr r="BD152" s="1"/>
      </tp>
      <tp t="s">
        <v>N/A</v>
        <stp/>
        <stp>VOLUME</stp>
        <stp>.NDXP250530P19975</stp>
        <tr r="I157" s="2"/>
      </tp>
      <tp t="s">
        <v>N/A</v>
        <stp/>
        <stp>VOLUME</stp>
        <stp>.SPXW250930C5730</stp>
        <tr r="R100" s="2"/>
      </tp>
      <tp t="s">
        <v>N/A</v>
        <stp/>
        <stp>VOLUME</stp>
        <stp>.SPXW250505C5460</stp>
        <tr r="BA126" s="1"/>
      </tp>
      <tp>
        <v>126</v>
        <stp/>
        <stp>VOLUME</stp>
        <stp>.SPXW250516C5550</stp>
        <tr r="BE117" s="1"/>
        <tr r="BE117" s="1"/>
      </tp>
      <tp>
        <v>106</v>
        <stp/>
        <stp>VOLUME</stp>
        <stp>.SPXW250530C5730</stp>
        <tr r="I100" s="2"/>
        <tr r="I100" s="2"/>
      </tp>
      <tp t="s">
        <v>N/A</v>
        <stp/>
        <stp>VOLUME</stp>
        <stp>.SPXW250731C5720</stp>
        <tr r="N101" s="2"/>
      </tp>
      <tp t="s">
        <v>N/A</v>
        <stp/>
        <stp>VOLUME</stp>
        <stp>.SPXW250606C5450</stp>
        <tr r="J128" s="2"/>
      </tp>
      <tp>
        <v>3</v>
        <stp/>
        <stp>VOLUME</stp>
        <stp>.SPXW250630C5730</stp>
        <tr r="L100" s="2"/>
        <tr r="L100" s="2"/>
      </tp>
      <tp t="s">
        <v>N/A</v>
        <stp/>
        <stp>VOLUME</stp>
        <stp>.SPXW251031C5720</stp>
        <tr r="T101" s="2"/>
      </tp>
      <tp t="s">
        <v>N/A</v>
        <stp/>
        <stp>VOLUME</stp>
        <stp>.SPXW251231C5720</stp>
        <tr r="X101" s="2"/>
      </tp>
      <tp t="s">
        <v>N/A</v>
        <stp/>
        <stp>VOLUME</stp>
        <stp>.SPXW251031P5720</stp>
        <tr r="T101" s="2"/>
      </tp>
      <tp t="s">
        <v>N/A</v>
        <stp/>
        <stp>VOLUME</stp>
        <stp>.SPXW251231P5720</stp>
        <tr r="X101" s="2"/>
      </tp>
      <tp t="s">
        <v>N/A</v>
        <stp/>
        <stp>VOLUME</stp>
        <stp>.SPXW250930P5730</stp>
        <tr r="R100" s="2"/>
      </tp>
      <tp t="s">
        <v>N/A</v>
        <stp/>
        <stp>VOLUME</stp>
        <stp>.SPXW250505P5460</stp>
        <tr r="BB126" s="1"/>
      </tp>
      <tp>
        <v>1116</v>
        <stp/>
        <stp>VOLUME</stp>
        <stp>.SPXW250516P5550</stp>
        <tr r="BF117" s="1"/>
        <tr r="BF117" s="1"/>
      </tp>
      <tp t="s">
        <v>N/A</v>
        <stp/>
        <stp>VOLUME</stp>
        <stp>.SPXW250530P5730</stp>
        <tr r="I100" s="2"/>
      </tp>
      <tp t="s">
        <v>N/A</v>
        <stp/>
        <stp>VOLUME</stp>
        <stp>.SPXW250731P5720</stp>
        <tr r="N101" s="2"/>
      </tp>
      <tp>
        <v>215</v>
        <stp/>
        <stp>VOLUME</stp>
        <stp>.SPXW250606P5450</stp>
        <tr r="J128" s="2"/>
        <tr r="J128" s="2"/>
      </tp>
      <tp t="s">
        <v>N/A</v>
        <stp/>
        <stp>VOLUME</stp>
        <stp>.SPXW250630P5730</stp>
        <tr r="L100" s="2"/>
      </tp>
      <tp t="s">
        <v>N/A</v>
        <stp/>
        <stp>VOLUME</stp>
        <stp>.NDXP250829P20000</stp>
        <tr r="P156" s="2"/>
      </tp>
      <tp t="s">
        <v>N/A</v>
        <stp/>
        <stp>VOLUME</stp>
        <stp>.NDXP250930P19900</stp>
        <tr r="R160" s="2"/>
      </tp>
      <tp t="s">
        <v>N/A</v>
        <stp/>
        <stp>VOLUME</stp>
        <stp>.NDXP250630P19900</stp>
        <tr r="L160" s="2"/>
      </tp>
      <tp>
        <v>877</v>
        <stp/>
        <stp>VOLUME</stp>
        <stp>.NDXP250509P20000</stp>
        <tr r="BD155" s="1"/>
        <tr r="BD155" s="1"/>
      </tp>
      <tp t="s">
        <v>N/A</v>
        <stp/>
        <stp>VOLUME</stp>
        <stp>.NDXP250731P19800</stp>
        <tr r="N164" s="2"/>
      </tp>
      <tp>
        <v>4</v>
        <stp/>
        <stp>VOLUME</stp>
        <stp>.NDXP250530P19900</stp>
        <tr r="I160" s="2"/>
        <tr r="I160" s="2"/>
      </tp>
      <tp t="s">
        <v>N/A</v>
        <stp/>
        <stp>VOLUME</stp>
        <stp>.SPXW250930C5740</stp>
        <tr r="R99" s="2"/>
      </tp>
      <tp>
        <v>13</v>
        <stp/>
        <stp>VOLUME</stp>
        <stp>.SPXW250516C5520</stp>
        <tr r="BE120" s="1"/>
        <tr r="BE120" s="1"/>
      </tp>
      <tp>
        <v>15</v>
        <stp/>
        <stp>VOLUME</stp>
        <stp>.SPXW250530C5740</stp>
        <tr r="I99" s="2"/>
        <tr r="I99" s="2"/>
      </tp>
      <tp>
        <v>4</v>
        <stp/>
        <stp>VOLUME</stp>
        <stp>.SPXW250731C5750</stp>
        <tr r="N98" s="2"/>
        <tr r="N98" s="2"/>
      </tp>
      <tp t="s">
        <v>N/A</v>
        <stp/>
        <stp>VOLUME</stp>
        <stp>.SPXW250606C5420</stp>
        <tr r="J131" s="2"/>
      </tp>
      <tp>
        <v>4</v>
        <stp/>
        <stp>VOLUME</stp>
        <stp>.SPXW250630C5740</stp>
        <tr r="L99" s="2"/>
        <tr r="L99" s="2"/>
      </tp>
      <tp t="s">
        <v>N/A</v>
        <stp/>
        <stp>VOLUME</stp>
        <stp>.SPXW251031C5750</stp>
        <tr r="T98" s="2"/>
      </tp>
      <tp t="s">
        <v>N/A</v>
        <stp/>
        <stp>VOLUME</stp>
        <stp>.SPXW251231C5750</stp>
        <tr r="X98" s="2"/>
      </tp>
      <tp t="s">
        <v>N/A</v>
        <stp/>
        <stp>VOLUME</stp>
        <stp>.SPXW251031P5750</stp>
        <tr r="T98" s="2"/>
      </tp>
      <tp t="s">
        <v>N/A</v>
        <stp/>
        <stp>VOLUME</stp>
        <stp>.SPXW251231P5750</stp>
        <tr r="X98" s="2"/>
      </tp>
      <tp t="s">
        <v>N/A</v>
        <stp/>
        <stp>VOLUME</stp>
        <stp>.SPXW250930P5740</stp>
        <tr r="R99" s="2"/>
      </tp>
      <tp>
        <v>457</v>
        <stp/>
        <stp>VOLUME</stp>
        <stp>.SPXW250516P5520</stp>
        <tr r="BF120" s="1"/>
        <tr r="BF120" s="1"/>
      </tp>
      <tp>
        <v>2</v>
        <stp/>
        <stp>VOLUME</stp>
        <stp>.SPXW250530P5740</stp>
        <tr r="I99" s="2"/>
        <tr r="I99" s="2"/>
      </tp>
      <tp>
        <v>1</v>
        <stp/>
        <stp>VOLUME</stp>
        <stp>.SPXW250731P5750</stp>
        <tr r="N98" s="2"/>
        <tr r="N98" s="2"/>
      </tp>
      <tp>
        <v>1</v>
        <stp/>
        <stp>VOLUME</stp>
        <stp>.SPXW250606P5420</stp>
        <tr r="J131" s="2"/>
        <tr r="J131" s="2"/>
      </tp>
      <tp t="s">
        <v>N/A</v>
        <stp/>
        <stp>VOLUME</stp>
        <stp>.SPXW250630P5740</stp>
        <tr r="L99" s="2"/>
      </tp>
      <tp t="s">
        <v>N/A</v>
        <stp/>
        <stp>VOLUME</stp>
        <stp>.NDXP251231P19800</stp>
        <tr r="X164" s="2"/>
      </tp>
      <tp t="s">
        <v>N/A</v>
        <stp/>
        <stp>VOLUME</stp>
        <stp>.NDXP251128P20100</stp>
        <tr r="V152" s="2"/>
      </tp>
      <tp t="s">
        <v>N/A</v>
        <stp/>
        <stp>VOLUME</stp>
        <stp>.NDXP251031P19800</stp>
        <tr r="T164" s="2"/>
      </tp>
      <tp>
        <v>1</v>
        <stp/>
        <stp>VOLUME</stp>
        <stp>.SPXW250930C5750</stp>
        <tr r="R98" s="2"/>
        <tr r="R98" s="2"/>
      </tp>
      <tp>
        <v>5</v>
        <stp/>
        <stp>VOLUME</stp>
        <stp>.SPXW250516C5530</stp>
        <tr r="BE119" s="1"/>
        <tr r="BE119" s="1"/>
      </tp>
      <tp>
        <v>90</v>
        <stp/>
        <stp>VOLUME</stp>
        <stp>.SPXW250530C5750</stp>
        <tr r="I98" s="2"/>
        <tr r="I98" s="2"/>
      </tp>
      <tp>
        <v>12</v>
        <stp/>
        <stp>VOLUME</stp>
        <stp>.SPXW250731C5740</stp>
        <tr r="N99" s="2"/>
        <tr r="N99" s="2"/>
      </tp>
      <tp t="s">
        <v>N/A</v>
        <stp/>
        <stp>VOLUME</stp>
        <stp>.SPXW250606C5430</stp>
        <tr r="J130" s="2"/>
      </tp>
      <tp>
        <v>17</v>
        <stp/>
        <stp>VOLUME</stp>
        <stp>.SPXW250630C5750</stp>
        <tr r="L98" s="2"/>
        <tr r="L98" s="2"/>
      </tp>
      <tp t="s">
        <v>N/A</v>
        <stp/>
        <stp>VOLUME</stp>
        <stp>.SPXW251031C5740</stp>
        <tr r="T99" s="2"/>
      </tp>
      <tp t="s">
        <v>N/A</v>
        <stp/>
        <stp>VOLUME</stp>
        <stp>.SPXW251231C5740</stp>
        <tr r="X99" s="2"/>
      </tp>
      <tp t="s">
        <v>N/A</v>
        <stp/>
        <stp>VOLUME</stp>
        <stp>.SPXW251031P5740</stp>
        <tr r="T99" s="2"/>
      </tp>
      <tp t="s">
        <v>N/A</v>
        <stp/>
        <stp>VOLUME</stp>
        <stp>.SPXW251231P5740</stp>
        <tr r="X99" s="2"/>
      </tp>
      <tp t="s">
        <v>N/A</v>
        <stp/>
        <stp>VOLUME</stp>
        <stp>.SPXW250930P5750</stp>
        <tr r="R98" s="2"/>
      </tp>
      <tp>
        <v>963</v>
        <stp/>
        <stp>VOLUME</stp>
        <stp>.SPXW250516P5530</stp>
        <tr r="BF119" s="1"/>
        <tr r="BF119" s="1"/>
      </tp>
      <tp>
        <v>6</v>
        <stp/>
        <stp>VOLUME</stp>
        <stp>.SPXW250530P5750</stp>
        <tr r="I98" s="2"/>
        <tr r="I98" s="2"/>
      </tp>
      <tp>
        <v>3</v>
        <stp/>
        <stp>VOLUME</stp>
        <stp>.SPXW250731P5740</stp>
        <tr r="N99" s="2"/>
        <tr r="N99" s="2"/>
      </tp>
      <tp>
        <v>5</v>
        <stp/>
        <stp>VOLUME</stp>
        <stp>.SPXW250606P5430</stp>
        <tr r="J130" s="2"/>
        <tr r="J130" s="2"/>
      </tp>
      <tp>
        <v>1</v>
        <stp/>
        <stp>VOLUME</stp>
        <stp>.SPXW250630P5750</stp>
        <tr r="L98" s="2"/>
        <tr r="L98" s="2"/>
      </tp>
      <tp t="s">
        <v>N/A</v>
        <stp/>
        <stp>VOLUME</stp>
        <stp>.NDXP250829P20025</stp>
        <tr r="P155" s="2"/>
      </tp>
      <tp t="s">
        <v>N/A</v>
        <stp/>
        <stp>VOLUME</stp>
        <stp>.NDXP250930P19925</stp>
        <tr r="R159" s="2"/>
      </tp>
      <tp t="s">
        <v>N/A</v>
        <stp/>
        <stp>VOLUME</stp>
        <stp>.NDXP250731P19825</stp>
        <tr r="N163" s="2"/>
      </tp>
      <tp t="s">
        <v>N/A</v>
        <stp/>
        <stp>VOLUME</stp>
        <stp>.NDXP250630P19925</stp>
        <tr r="L159" s="2"/>
      </tp>
      <tp>
        <v>247</v>
        <stp/>
        <stp>VOLUME</stp>
        <stp>.NDXP250509P20025</stp>
        <tr r="BD154" s="1"/>
        <tr r="BD154" s="1"/>
      </tp>
      <tp t="s">
        <v>N/A</v>
        <stp/>
        <stp>VOLUME</stp>
        <stp>.NDXP250530P19925</stp>
        <tr r="I159" s="2"/>
      </tp>
      <tp>
        <v>4</v>
        <stp/>
        <stp>VOLUME</stp>
        <stp>.SPXW250930C5760</stp>
        <tr r="R97" s="2"/>
        <tr r="R97" s="2"/>
      </tp>
      <tp t="s">
        <v>N/A</v>
        <stp/>
        <stp>VOLUME</stp>
        <stp>.SPXW250505C5430</stp>
        <tr r="BA129" s="1"/>
      </tp>
      <tp>
        <v>140</v>
        <stp/>
        <stp>VOLUME</stp>
        <stp>.SPXW250516C5500</stp>
        <tr r="BE122" s="1"/>
        <tr r="BE122" s="1"/>
      </tp>
      <tp>
        <v>57</v>
        <stp/>
        <stp>VOLUME</stp>
        <stp>.SPXW250530C5760</stp>
        <tr r="I97" s="2"/>
        <tr r="I97" s="2"/>
      </tp>
      <tp t="s">
        <v>N/A</v>
        <stp/>
        <stp>VOLUME</stp>
        <stp>.SPXW250731C5770</stp>
        <tr r="N96" s="2"/>
      </tp>
      <tp>
        <v>1</v>
        <stp/>
        <stp>VOLUME</stp>
        <stp>.SPXW250630C5760</stp>
        <tr r="L97" s="2"/>
        <tr r="L97" s="2"/>
      </tp>
      <tp t="s">
        <v>N/A</v>
        <stp/>
        <stp>VOLUME</stp>
        <stp>.SPXW251031C5770</stp>
        <tr r="T96" s="2"/>
      </tp>
      <tp t="s">
        <v>N/A</v>
        <stp/>
        <stp>VOLUME</stp>
        <stp>.SPXW251231C5770</stp>
        <tr r="X96" s="2"/>
      </tp>
      <tp>
        <v>2</v>
        <stp/>
        <stp>VOLUME</stp>
        <stp>.SPXW251031P5770</stp>
        <tr r="T96" s="2"/>
        <tr r="T96" s="2"/>
      </tp>
      <tp t="s">
        <v>N/A</v>
        <stp/>
        <stp>VOLUME</stp>
        <stp>.SPXW251231P5770</stp>
        <tr r="X96" s="2"/>
      </tp>
      <tp t="s">
        <v>N/A</v>
        <stp/>
        <stp>VOLUME</stp>
        <stp>.SPXW250930P5760</stp>
        <tr r="R97" s="2"/>
      </tp>
      <tp t="s">
        <v>N/A</v>
        <stp/>
        <stp>VOLUME</stp>
        <stp>.SPXW250505P5430</stp>
        <tr r="BB129" s="1"/>
      </tp>
      <tp>
        <v>1048</v>
        <stp/>
        <stp>VOLUME</stp>
        <stp>.SPXW250516P5500</stp>
        <tr r="BF122" s="1"/>
        <tr r="BF122" s="1"/>
      </tp>
      <tp>
        <v>4</v>
        <stp/>
        <stp>VOLUME</stp>
        <stp>.SPXW250530P5760</stp>
        <tr r="I97" s="2"/>
        <tr r="I97" s="2"/>
      </tp>
      <tp t="s">
        <v>N/A</v>
        <stp/>
        <stp>VOLUME</stp>
        <stp>.SPXW250731P5770</stp>
        <tr r="N96" s="2"/>
      </tp>
      <tp t="s">
        <v>N/A</v>
        <stp/>
        <stp>VOLUME</stp>
        <stp>.SPXW250630P5760</stp>
        <tr r="L97" s="2"/>
      </tp>
      <tp t="s">
        <v>N/A</v>
        <stp/>
        <stp>VOLUME</stp>
        <stp>.NDXP251231P19825</stp>
        <tr r="X163" s="2"/>
      </tp>
      <tp t="s">
        <v>N/A</v>
        <stp/>
        <stp>VOLUME</stp>
        <stp>.NDXP251128P20125</stp>
        <tr r="V151" s="2"/>
      </tp>
      <tp t="s">
        <v>N/A</v>
        <stp/>
        <stp>VOLUME</stp>
        <stp>.NDXP251031P19825</stp>
        <tr r="T163" s="2"/>
      </tp>
      <tp t="s">
        <v>N/A</v>
        <stp/>
        <stp>VOLUME</stp>
        <stp>.SPXW250930C5770</stp>
        <tr r="R96" s="2"/>
      </tp>
      <tp t="s">
        <v>N/A</v>
        <stp/>
        <stp>VOLUME</stp>
        <stp>.SPXW250505C5420</stp>
        <tr r="BA130" s="1"/>
      </tp>
      <tp>
        <v>1</v>
        <stp/>
        <stp>VOLUME</stp>
        <stp>.SPXW250516C5510</stp>
        <tr r="BE121" s="1"/>
        <tr r="BE121" s="1"/>
      </tp>
      <tp>
        <v>51</v>
        <stp/>
        <stp>VOLUME</stp>
        <stp>.SPXW250530C5770</stp>
        <tr r="I96" s="2"/>
        <tr r="I96" s="2"/>
      </tp>
      <tp t="s">
        <v>N/A</v>
        <stp/>
        <stp>VOLUME</stp>
        <stp>.SPXW250731C5760</stp>
        <tr r="N97" s="2"/>
      </tp>
      <tp t="s">
        <v>N/A</v>
        <stp/>
        <stp>VOLUME</stp>
        <stp>.SPXW250630C5770</stp>
        <tr r="L96" s="2"/>
      </tp>
      <tp t="s">
        <v>N/A</v>
        <stp/>
        <stp>VOLUME</stp>
        <stp>.SPXW251031C5760</stp>
        <tr r="T97" s="2"/>
      </tp>
      <tp t="s">
        <v>N/A</v>
        <stp/>
        <stp>VOLUME</stp>
        <stp>.SPXW251231C5760</stp>
        <tr r="X97" s="2"/>
      </tp>
      <tp t="s">
        <v>N/A</v>
        <stp/>
        <stp>VOLUME</stp>
        <stp>.SPXW251031P5760</stp>
        <tr r="T97" s="2"/>
      </tp>
      <tp t="s">
        <v>N/A</v>
        <stp/>
        <stp>VOLUME</stp>
        <stp>.SPXW251231P5760</stp>
        <tr r="X97" s="2"/>
      </tp>
      <tp t="s">
        <v>N/A</v>
        <stp/>
        <stp>VOLUME</stp>
        <stp>.SPXW250930P5770</stp>
        <tr r="R96" s="2"/>
      </tp>
      <tp t="s">
        <v>N/A</v>
        <stp/>
        <stp>VOLUME</stp>
        <stp>.SPXW250505P5420</stp>
        <tr r="BB130" s="1"/>
      </tp>
      <tp>
        <v>237</v>
        <stp/>
        <stp>VOLUME</stp>
        <stp>.SPXW250516P5510</stp>
        <tr r="BF121" s="1"/>
        <tr r="BF121" s="1"/>
      </tp>
      <tp>
        <v>14</v>
        <stp/>
        <stp>VOLUME</stp>
        <stp>.SPXW250530P5770</stp>
        <tr r="I96" s="2"/>
        <tr r="I96" s="2"/>
      </tp>
      <tp t="s">
        <v>N/A</v>
        <stp/>
        <stp>VOLUME</stp>
        <stp>.SPXW250731P5760</stp>
        <tr r="N97" s="2"/>
      </tp>
      <tp t="s">
        <v>N/A</v>
        <stp/>
        <stp>VOLUME</stp>
        <stp>.SPXW250630P5770</stp>
        <tr r="L96" s="2"/>
      </tp>
      <tp>
        <v>18</v>
        <stp/>
        <stp>OPEN_INT</stp>
        <stp>.NDXP250505C19600</stp>
        <tr r="AS171" s="1"/>
        <tr r="AS171" s="1"/>
      </tp>
      <tp>
        <v>0</v>
        <stp/>
        <stp>OPEN_INT</stp>
        <stp>.NDXP250505C19625</stp>
        <tr r="AS170" s="1"/>
        <tr r="AS170" s="1"/>
      </tp>
      <tp>
        <v>1</v>
        <stp/>
        <stp>OPEN_INT</stp>
        <stp>.NDXP250505C19650</stp>
        <tr r="AS169" s="1"/>
        <tr r="AS169" s="1"/>
      </tp>
      <tp>
        <v>1</v>
        <stp/>
        <stp>OPEN_INT</stp>
        <stp>.NDXP250505C19675</stp>
        <tr r="AS168" s="1"/>
        <tr r="AS168" s="1"/>
      </tp>
      <tp>
        <v>3</v>
        <stp/>
        <stp>OPEN_INT</stp>
        <stp>.NDXP250505P19625</stp>
        <tr r="AT170" s="1"/>
        <tr r="AT170" s="1"/>
      </tp>
      <tp>
        <v>64</v>
        <stp/>
        <stp>OPEN_INT</stp>
        <stp>.NDXP250505P19600</stp>
        <tr r="AT171" s="1"/>
        <tr r="AT171" s="1"/>
      </tp>
      <tp>
        <v>10</v>
        <stp/>
        <stp>OPEN_INT</stp>
        <stp>.NDXP250505P19675</stp>
        <tr r="AT168" s="1"/>
        <tr r="AT168" s="1"/>
      </tp>
      <tp>
        <v>7</v>
        <stp/>
        <stp>OPEN_INT</stp>
        <stp>.NDXP250505P19650</stp>
        <tr r="AT169" s="1"/>
        <tr r="AT169" s="1"/>
      </tp>
      <tp>
        <v>-0.06</v>
        <stp/>
        <stp>DELTA</stp>
        <stp>.NDXP250509P20025</stp>
        <tr r="CG154" s="1"/>
        <tr r="CG154" s="1"/>
      </tp>
      <tp>
        <v>-0.01</v>
        <stp/>
        <stp>DELTA</stp>
        <stp>.NDXP250509P20000</stp>
        <tr r="CG155" s="1"/>
        <tr r="CG155" s="1"/>
      </tp>
      <tp>
        <v>-0.93</v>
        <stp/>
        <stp>DELTA</stp>
        <stp>.NDXP250509P20075</stp>
        <tr r="CG152" s="1"/>
        <tr r="CG152" s="1"/>
      </tp>
      <tp>
        <v>-0.11</v>
        <stp/>
        <stp>DELTA</stp>
        <stp>.NDXP250509P20050</stp>
        <tr r="CG153" s="1"/>
        <tr r="CG153" s="1"/>
      </tp>
      <tp>
        <v>1</v>
        <stp/>
        <stp>DELTA</stp>
        <stp>.NDXP250509C20000</stp>
        <tr r="CF155" s="1"/>
        <tr r="CF155" s="1"/>
      </tp>
      <tp>
        <v>1</v>
        <stp/>
        <stp>DELTA</stp>
        <stp>.NDXP250509C20025</stp>
        <tr r="CF154" s="1"/>
        <tr r="CF154" s="1"/>
      </tp>
      <tp>
        <v>0.76</v>
        <stp/>
        <stp>DELTA</stp>
        <stp>.NDXP250509C20050</stp>
        <tr r="CF153" s="1"/>
        <tr r="CF153" s="1"/>
      </tp>
      <tp>
        <v>0.09</v>
        <stp/>
        <stp>DELTA</stp>
        <stp>.NDXP250509C20075</stp>
        <tr r="CF152" s="1"/>
        <tr r="CF152" s="1"/>
      </tp>
      <tp t="s">
        <v>N/A</v>
        <stp/>
        <stp>VOLUME</stp>
        <stp>.NDXP250829C20375</stp>
        <tr r="P141" s="2"/>
      </tp>
      <tp t="s">
        <v>N/A</v>
        <stp/>
        <stp>VOLUME</stp>
        <stp>.NDXP250829C19375</stp>
        <tr r="P181" s="2"/>
      </tp>
      <tp>
        <v>117</v>
        <stp/>
        <stp>VOLUME</stp>
        <stp>.NDXP250509C20375</stp>
        <tr r="BC140" s="1"/>
        <tr r="BC140" s="1"/>
      </tp>
      <tp t="s">
        <v>N/A</v>
        <stp/>
        <stp>VOLUME</stp>
        <stp>.NDXP250509C19375</stp>
        <tr r="BC180" s="1"/>
      </tp>
      <tp t="s">
        <v>N/A</v>
        <stp/>
        <stp>VOLUME</stp>
        <stp>.NDXP251128C20275</stp>
        <tr r="V145" s="2"/>
      </tp>
      <tp t="s">
        <v>N/A</v>
        <stp/>
        <stp>VOLUME</stp>
        <stp>.NDXP251128C19275</stp>
        <tr r="V185" s="2"/>
      </tp>
      <tp t="s">
        <v>N/A</v>
        <stp/>
        <stp>VOLUME</stp>
        <stp>.NDXP250829C20350</stp>
        <tr r="P142" s="2"/>
      </tp>
      <tp t="s">
        <v>N/A</v>
        <stp/>
        <stp>VOLUME</stp>
        <stp>.NDXP250829C19350</stp>
        <tr r="P182" s="2"/>
      </tp>
      <tp>
        <v>360</v>
        <stp/>
        <stp>VOLUME</stp>
        <stp>.NDXP250509C20350</stp>
        <tr r="BC141" s="1"/>
        <tr r="BC141" s="1"/>
      </tp>
      <tp t="s">
        <v>N/A</v>
        <stp/>
        <stp>VOLUME</stp>
        <stp>.NDXP250509C19350</stp>
        <tr r="BC181" s="1"/>
      </tp>
      <tp t="s">
        <v>N/A</v>
        <stp/>
        <stp>VOLUME</stp>
        <stp>.NDXP251128C20250</stp>
        <tr r="V146" s="2"/>
      </tp>
      <tp t="s">
        <v>N/A</v>
        <stp/>
        <stp>VOLUME</stp>
        <stp>.NDXP251128C19250</stp>
        <tr r="V186" s="2"/>
      </tp>
      <tp t="s">
        <v>N/A</v>
        <stp/>
        <stp>VOLUME</stp>
        <stp>.NDXP251128C20225</stp>
        <tr r="V147" s="2"/>
      </tp>
      <tp t="s">
        <v>N/A</v>
        <stp/>
        <stp>VOLUME</stp>
        <stp>.NDXP251128C19225</stp>
        <tr r="V187" s="2"/>
      </tp>
      <tp t="s">
        <v>N/A</v>
        <stp/>
        <stp>VOLUME</stp>
        <stp>.NDXP250829C20325</stp>
        <tr r="P143" s="2"/>
      </tp>
      <tp t="s">
        <v>N/A</v>
        <stp/>
        <stp>VOLUME</stp>
        <stp>.NDXP250829C19325</stp>
        <tr r="P183" s="2"/>
      </tp>
      <tp>
        <v>100</v>
        <stp/>
        <stp>VOLUME</stp>
        <stp>.NDXP250509C20325</stp>
        <tr r="BC142" s="1"/>
        <tr r="BC142" s="1"/>
      </tp>
      <tp t="s">
        <v>N/A</v>
        <stp/>
        <stp>VOLUME</stp>
        <stp>.NDXP250509C19325</stp>
        <tr r="BC182" s="1"/>
      </tp>
      <tp t="s">
        <v>N/A</v>
        <stp/>
        <stp>VOLUME</stp>
        <stp>.NDXP251128C20200</stp>
        <tr r="V148" s="2"/>
      </tp>
      <tp t="s">
        <v>N/A</v>
        <stp/>
        <stp>VOLUME</stp>
        <stp>.NDXP251128C19200</stp>
        <tr r="V188" s="2"/>
      </tp>
      <tp t="s">
        <v>N/A</v>
        <stp/>
        <stp>VOLUME</stp>
        <stp>.NDXP250829C20300</stp>
        <tr r="P144" s="2"/>
      </tp>
      <tp t="s">
        <v>N/A</v>
        <stp/>
        <stp>VOLUME</stp>
        <stp>.NDXP250829C19300</stp>
        <tr r="P184" s="2"/>
      </tp>
      <tp>
        <v>755</v>
        <stp/>
        <stp>VOLUME</stp>
        <stp>.NDXP250509C20300</stp>
        <tr r="BC143" s="1"/>
        <tr r="BC143" s="1"/>
      </tp>
      <tp t="s">
        <v>N/A</v>
        <stp/>
        <stp>VOLUME</stp>
        <stp>.NDXP250509C19300</stp>
        <tr r="BC183" s="1"/>
      </tp>
      <tp t="s">
        <v>N/A</v>
        <stp/>
        <stp>VOLUME</stp>
        <stp>.SPXW250930C5480</stp>
        <tr r="R125" s="2"/>
      </tp>
      <tp t="s">
        <v>N/A</v>
        <stp/>
        <stp>VOLUME</stp>
        <stp>.SPXW250829C5510</stp>
        <tr r="P122" s="2"/>
      </tp>
      <tp>
        <v>30639</v>
        <stp/>
        <stp>VOLUME</stp>
        <stp>.SPXW250509C5710</stp>
        <tr r="BC101" s="1"/>
        <tr r="BC101" s="1"/>
      </tp>
      <tp>
        <v>1</v>
        <stp/>
        <stp>VOLUME</stp>
        <stp>.SPXW250530C5480</stp>
        <tr r="I125" s="2"/>
        <tr r="I125" s="2"/>
      </tp>
      <tp t="s">
        <v>N/A</v>
        <stp/>
        <stp>VOLUME</stp>
        <stp>.SPXW250731C5490</stp>
        <tr r="N124" s="2"/>
      </tp>
      <tp t="s">
        <v>N/A</v>
        <stp/>
        <stp>VOLUME</stp>
        <stp>.SPXW250630C5480</stp>
        <tr r="L125" s="2"/>
      </tp>
      <tp t="s">
        <v>N/A</v>
        <stp/>
        <stp>VOLUME</stp>
        <stp>.SPXW251128C5500</stp>
        <tr r="V123" s="2"/>
      </tp>
      <tp t="s">
        <v>N/A</v>
        <stp/>
        <stp>VOLUME</stp>
        <stp>.SPXW251031C5490</stp>
        <tr r="T124" s="2"/>
      </tp>
      <tp t="s">
        <v>N/A</v>
        <stp/>
        <stp>VOLUME</stp>
        <stp>.SPXW251231C5490</stp>
        <tr r="X124" s="2"/>
      </tp>
      <tp t="s">
        <v>N/A</v>
        <stp/>
        <stp>VOLUME</stp>
        <stp>.SPXW251128P5500</stp>
        <tr r="V123" s="2"/>
      </tp>
      <tp t="s">
        <v>N/A</v>
        <stp/>
        <stp>VOLUME</stp>
        <stp>.SPXW251031P5490</stp>
        <tr r="T124" s="2"/>
      </tp>
      <tp>
        <v>1</v>
        <stp/>
        <stp>VOLUME</stp>
        <stp>.SPXW251231P5490</stp>
        <tr r="X124" s="2"/>
        <tr r="X124" s="2"/>
      </tp>
      <tp t="s">
        <v>N/A</v>
        <stp/>
        <stp>VOLUME</stp>
        <stp>.SPXW250930P5480</stp>
        <tr r="R125" s="2"/>
      </tp>
      <tp>
        <v>1</v>
        <stp/>
        <stp>VOLUME</stp>
        <stp>.SPXW250829P5510</stp>
        <tr r="P122" s="2"/>
        <tr r="P122" s="2"/>
      </tp>
      <tp>
        <v>1186</v>
        <stp/>
        <stp>VOLUME</stp>
        <stp>.SPXW250509P5710</stp>
        <tr r="BD101" s="1"/>
        <tr r="BD101" s="1"/>
      </tp>
      <tp>
        <v>197</v>
        <stp/>
        <stp>VOLUME</stp>
        <stp>.SPXW250530P5480</stp>
        <tr r="I125" s="2"/>
        <tr r="I125" s="2"/>
      </tp>
      <tp t="s">
        <v>N/A</v>
        <stp/>
        <stp>VOLUME</stp>
        <stp>.SPXW250731P5490</stp>
        <tr r="N124" s="2"/>
      </tp>
      <tp t="s">
        <v>N/A</v>
        <stp/>
        <stp>VOLUME</stp>
        <stp>.SPXW250630P5480</stp>
        <tr r="L125" s="2"/>
      </tp>
      <tp t="s">
        <v>N/A</v>
        <stp/>
        <stp>VOLUME</stp>
        <stp>.SPXW250930C5490</stp>
        <tr r="R124" s="2"/>
      </tp>
      <tp t="s">
        <v>N/A</v>
        <stp/>
        <stp>VOLUME</stp>
        <stp>.SPXW250829C5500</stp>
        <tr r="P123" s="2"/>
      </tp>
      <tp>
        <v>86529</v>
        <stp/>
        <stp>VOLUME</stp>
        <stp>.SPXW250509C5700</stp>
        <tr r="BC102" s="1"/>
        <tr r="BC102" s="1"/>
      </tp>
      <tp>
        <v>2</v>
        <stp/>
        <stp>VOLUME</stp>
        <stp>.SPXW250530C5490</stp>
        <tr r="I124" s="2"/>
        <tr r="I124" s="2"/>
      </tp>
      <tp t="s">
        <v>N/A</v>
        <stp/>
        <stp>VOLUME</stp>
        <stp>.SPXW250731C5480</stp>
        <tr r="N125" s="2"/>
      </tp>
      <tp t="s">
        <v>N/A</v>
        <stp/>
        <stp>VOLUME</stp>
        <stp>.SPXW250630C5490</stp>
        <tr r="L124" s="2"/>
      </tp>
      <tp t="s">
        <v>N/A</v>
        <stp/>
        <stp>VOLUME</stp>
        <stp>.SPXW251128C5510</stp>
        <tr r="V122" s="2"/>
      </tp>
      <tp t="s">
        <v>N/A</v>
        <stp/>
        <stp>VOLUME</stp>
        <stp>.SPXW251031C5480</stp>
        <tr r="T125" s="2"/>
      </tp>
      <tp t="s">
        <v>N/A</v>
        <stp/>
        <stp>VOLUME</stp>
        <stp>.SPXW251231C5480</stp>
        <tr r="X125" s="2"/>
      </tp>
      <tp t="s">
        <v>N/A</v>
        <stp/>
        <stp>VOLUME</stp>
        <stp>.SPXW251128P5510</stp>
        <tr r="V122" s="2"/>
      </tp>
      <tp t="s">
        <v>N/A</v>
        <stp/>
        <stp>VOLUME</stp>
        <stp>.SPXW251031P5480</stp>
        <tr r="T125" s="2"/>
      </tp>
      <tp t="s">
        <v>N/A</v>
        <stp/>
        <stp>VOLUME</stp>
        <stp>.SPXW251231P5480</stp>
        <tr r="X125" s="2"/>
      </tp>
      <tp t="s">
        <v>N/A</v>
        <stp/>
        <stp>VOLUME</stp>
        <stp>.SPXW250930P5490</stp>
        <tr r="R124" s="2"/>
      </tp>
      <tp>
        <v>81</v>
        <stp/>
        <stp>VOLUME</stp>
        <stp>.SPXW250829P5500</stp>
        <tr r="P123" s="2"/>
        <tr r="P123" s="2"/>
      </tp>
      <tp>
        <v>7039</v>
        <stp/>
        <stp>VOLUME</stp>
        <stp>.SPXW250509P5700</stp>
        <tr r="BD102" s="1"/>
        <tr r="BD102" s="1"/>
      </tp>
      <tp>
        <v>21</v>
        <stp/>
        <stp>VOLUME</stp>
        <stp>.SPXW250530P5490</stp>
        <tr r="I124" s="2"/>
        <tr r="I124" s="2"/>
      </tp>
      <tp t="s">
        <v>N/A</v>
        <stp/>
        <stp>VOLUME</stp>
        <stp>.SPXW250731P5480</stp>
        <tr r="N125" s="2"/>
      </tp>
      <tp t="s">
        <v>N/A</v>
        <stp/>
        <stp>VOLUME</stp>
        <stp>.SPXW250630P5490</stp>
        <tr r="L124" s="2"/>
      </tp>
      <tp t="s">
        <v>N/A</v>
        <stp/>
        <stp>VOLUME</stp>
        <stp>.SPXW250829C5530</stp>
        <tr r="P120" s="2"/>
      </tp>
      <tp>
        <v>25877</v>
        <stp/>
        <stp>VOLUME</stp>
        <stp>.SPXW250509C5730</stp>
        <tr r="BC99" s="1"/>
        <tr r="BC99" s="1"/>
      </tp>
      <tp t="s">
        <v>N/A</v>
        <stp/>
        <stp>VOLUME</stp>
        <stp>.SPXW251128C5520</stp>
        <tr r="V121" s="2"/>
      </tp>
      <tp t="s">
        <v>N/A</v>
        <stp/>
        <stp>VOLUME</stp>
        <stp>.SPXW251128P5520</stp>
        <tr r="V121" s="2"/>
      </tp>
      <tp>
        <v>5</v>
        <stp/>
        <stp>VOLUME</stp>
        <stp>.SPXW250829P5530</stp>
        <tr r="P120" s="2"/>
        <tr r="P120" s="2"/>
      </tp>
      <tp>
        <v>790</v>
        <stp/>
        <stp>VOLUME</stp>
        <stp>.SPXW250509P5730</stp>
        <tr r="BD99" s="1"/>
        <tr r="BD99" s="1"/>
      </tp>
      <tp t="s">
        <v>N/A</v>
        <stp/>
        <stp>VOLUME</stp>
        <stp>.SPXW250829C5520</stp>
        <tr r="P121" s="2"/>
      </tp>
      <tp t="s">
        <v>N/A</v>
        <stp/>
        <stp>VOLUME</stp>
        <stp>.SPXW250509C5720</stp>
        <tr r="BC100" s="1"/>
      </tp>
      <tp t="s">
        <v>N/A</v>
        <stp/>
        <stp>VOLUME</stp>
        <stp>.SPXW251128C5530</stp>
        <tr r="V120" s="2"/>
      </tp>
      <tp t="s">
        <v>N/A</v>
        <stp/>
        <stp>VOLUME</stp>
        <stp>.SPXW251128P5530</stp>
        <tr r="V120" s="2"/>
      </tp>
      <tp>
        <v>2</v>
        <stp/>
        <stp>VOLUME</stp>
        <stp>.SPXW250829P5520</stp>
        <tr r="P121" s="2"/>
        <tr r="P121" s="2"/>
      </tp>
      <tp t="s">
        <v>N/A</v>
        <stp/>
        <stp>VOLUME</stp>
        <stp>.SPXW250509P5720</stp>
        <tr r="BD100" s="1"/>
      </tp>
      <tp t="s">
        <v>N/A</v>
        <stp/>
        <stp>VOLUME</stp>
        <stp>.SPXW250829C5550</stp>
        <tr r="P118" s="2"/>
      </tp>
      <tp t="s">
        <v>N/A</v>
        <stp/>
        <stp>VOLUME</stp>
        <stp>.SPXW250505C5790</stp>
        <tr r="BA93" s="1"/>
      </tp>
      <tp>
        <v>17502</v>
        <stp/>
        <stp>VOLUME</stp>
        <stp>.SPXW250509C5750</stp>
        <tr r="BC97" s="1"/>
        <tr r="BC97" s="1"/>
      </tp>
      <tp t="s">
        <v>N/A</v>
        <stp/>
        <stp>VOLUME</stp>
        <stp>.SPXW251128C5540</stp>
        <tr r="V119" s="2"/>
      </tp>
      <tp t="s">
        <v>N/A</v>
        <stp/>
        <stp>VOLUME</stp>
        <stp>.SPXW251128P5540</stp>
        <tr r="V119" s="2"/>
      </tp>
      <tp t="s">
        <v>N/A</v>
        <stp/>
        <stp>VOLUME</stp>
        <stp>.SPXW250829P5550</stp>
        <tr r="P118" s="2"/>
      </tp>
      <tp t="s">
        <v>N/A</v>
        <stp/>
        <stp>VOLUME</stp>
        <stp>.SPXW250505P5790</stp>
        <tr r="BB93" s="1"/>
      </tp>
      <tp>
        <v>752</v>
        <stp/>
        <stp>VOLUME</stp>
        <stp>.SPXW250509P5750</stp>
        <tr r="BD97" s="1"/>
        <tr r="BD97" s="1"/>
      </tp>
      <tp t="s">
        <v>N/A</v>
        <stp/>
        <stp>VOLUME</stp>
        <stp>.SPYP580</stp>
        <tr r="B7" s="2"/>
        <tr r="D7" s="2"/>
        <tr r="G7" s="2"/>
        <tr r="E7" s="2"/>
        <tr r="C7" s="2"/>
        <tr r="F7" s="2"/>
      </tp>
      <tp t="s">
        <v>N/A</v>
        <stp/>
        <stp>VOLUME</stp>
        <stp>.SPYC580</stp>
        <tr r="B7" s="2"/>
        <tr r="D7" s="2"/>
        <tr r="G7" s="2"/>
        <tr r="E7" s="2"/>
        <tr r="C7" s="2"/>
        <tr r="F7" s="2"/>
      </tp>
      <tp t="s">
        <v>N/A</v>
        <stp/>
        <stp>VOLUME</stp>
        <stp>.SPYP581</stp>
        <tr r="B6" s="2"/>
        <tr r="F6" s="2"/>
        <tr r="C6" s="2"/>
        <tr r="E6" s="2"/>
        <tr r="G6" s="2"/>
        <tr r="D6" s="2"/>
      </tp>
      <tp t="s">
        <v>N/A</v>
        <stp/>
        <stp>VOLUME</stp>
        <stp>.SPYC581</stp>
        <tr r="B6" s="2"/>
        <tr r="F6" s="2"/>
        <tr r="C6" s="2"/>
        <tr r="E6" s="2"/>
        <tr r="G6" s="2"/>
        <tr r="D6" s="2"/>
      </tp>
      <tp t="s">
        <v>N/A</v>
        <stp/>
        <stp>VOLUME</stp>
        <stp>.SPYP582</stp>
        <tr r="G5" s="2"/>
        <tr r="F5" s="2"/>
        <tr r="E5" s="2"/>
        <tr r="D5" s="2"/>
        <tr r="C5" s="2"/>
        <tr r="B5" s="2"/>
      </tp>
      <tp t="s">
        <v>N/A</v>
        <stp/>
        <stp>VOLUME</stp>
        <stp>.SPYC582</stp>
        <tr r="G5" s="2"/>
        <tr r="F5" s="2"/>
        <tr r="E5" s="2"/>
        <tr r="D5" s="2"/>
        <tr r="C5" s="2"/>
        <tr r="B5" s="2"/>
      </tp>
      <tp t="s">
        <v>N/A</v>
        <stp/>
        <stp>VOLUME</stp>
        <stp>.SPXW250829C5540</stp>
        <tr r="P119" s="2"/>
      </tp>
      <tp t="s">
        <v>N/A</v>
        <stp/>
        <stp>VOLUME</stp>
        <stp>.SPXW250505C5780</stp>
        <tr r="BA94" s="1"/>
      </tp>
      <tp>
        <v>20166</v>
        <stp/>
        <stp>VOLUME</stp>
        <stp>.SPXW250509C5740</stp>
        <tr r="BC98" s="1"/>
        <tr r="BC98" s="1"/>
      </tp>
      <tp t="s">
        <v>N/A</v>
        <stp/>
        <stp>VOLUME</stp>
        <stp>.SPXW251128C5550</stp>
        <tr r="V118" s="2"/>
      </tp>
      <tp t="s">
        <v>N/A</v>
        <stp/>
        <stp>VOLUME</stp>
        <stp>.SPXW251128P5550</stp>
        <tr r="V118" s="2"/>
      </tp>
      <tp t="s">
        <v>N/A</v>
        <stp/>
        <stp>VOLUME</stp>
        <stp>.SPXW250829P5540</stp>
        <tr r="P119" s="2"/>
      </tp>
      <tp t="s">
        <v>N/A</v>
        <stp/>
        <stp>VOLUME</stp>
        <stp>.SPXW250505P5780</stp>
        <tr r="BB94" s="1"/>
      </tp>
      <tp>
        <v>499</v>
        <stp/>
        <stp>VOLUME</stp>
        <stp>.SPXW250509P5740</stp>
        <tr r="BD98" s="1"/>
        <tr r="BD98" s="1"/>
      </tp>
      <tp t="s">
        <v>N/A</v>
        <stp/>
        <stp>VOLUME</stp>
        <stp>.SPXW250829C5570</stp>
        <tr r="P116" s="2"/>
      </tp>
      <tp>
        <v>7032</v>
        <stp/>
        <stp>VOLUME</stp>
        <stp>.SPXW250509C5770</stp>
        <tr r="BC95" s="1"/>
        <tr r="BC95" s="1"/>
      </tp>
      <tp>
        <v>301</v>
        <stp/>
        <stp>VOLUME</stp>
        <stp>.SPXW250516C5680</stp>
        <tr r="BE104" s="1"/>
        <tr r="BE104" s="1"/>
      </tp>
      <tp>
        <v>555</v>
        <stp/>
        <stp>VOLUME</stp>
        <stp>.SPXW250606C5780</stp>
        <tr r="J95" s="2"/>
        <tr r="J95" s="2"/>
      </tp>
      <tp t="s">
        <v>N/A</v>
        <stp/>
        <stp>VOLUME</stp>
        <stp>.SPXW251128C5560</stp>
        <tr r="V117" s="2"/>
      </tp>
      <tp t="s">
        <v>N/A</v>
        <stp/>
        <stp>VOLUME</stp>
        <stp>.SPXW251128P5560</stp>
        <tr r="V117" s="2"/>
      </tp>
      <tp t="s">
        <v>N/A</v>
        <stp/>
        <stp>VOLUME</stp>
        <stp>.SPXW250829P5570</stp>
        <tr r="P116" s="2"/>
      </tp>
      <tp>
        <v>797</v>
        <stp/>
        <stp>VOLUME</stp>
        <stp>.SPXW250509P5770</stp>
        <tr r="BD95" s="1"/>
        <tr r="BD95" s="1"/>
      </tp>
      <tp>
        <v>182</v>
        <stp/>
        <stp>VOLUME</stp>
        <stp>.SPXW250516P5680</stp>
        <tr r="BF104" s="1"/>
        <tr r="BF104" s="1"/>
      </tp>
      <tp>
        <v>2</v>
        <stp/>
        <stp>VOLUME</stp>
        <stp>.SPXW250606P5780</stp>
        <tr r="J95" s="2"/>
        <tr r="J95" s="2"/>
      </tp>
      <tp t="s">
        <v>N/A</v>
        <stp/>
        <stp>VOLUME</stp>
        <stp>.SPXW250829C5560</stp>
        <tr r="P117" s="2"/>
      </tp>
      <tp>
        <v>11802</v>
        <stp/>
        <stp>VOLUME</stp>
        <stp>.SPXW250509C5760</stp>
        <tr r="BC96" s="1"/>
        <tr r="BC96" s="1"/>
      </tp>
      <tp>
        <v>284</v>
        <stp/>
        <stp>VOLUME</stp>
        <stp>.SPXW250516C5690</stp>
        <tr r="BE103" s="1"/>
        <tr r="BE103" s="1"/>
      </tp>
      <tp>
        <v>256</v>
        <stp/>
        <stp>VOLUME</stp>
        <stp>.SPXW250606C5790</stp>
        <tr r="J94" s="2"/>
        <tr r="J94" s="2"/>
      </tp>
      <tp t="s">
        <v>N/A</v>
        <stp/>
        <stp>VOLUME</stp>
        <stp>.SPXW251128C5570</stp>
        <tr r="V116" s="2"/>
      </tp>
      <tp t="s">
        <v>N/A</v>
        <stp/>
        <stp>VOLUME</stp>
        <stp>.SPXW251128P5570</stp>
        <tr r="V116" s="2"/>
      </tp>
      <tp>
        <v>2</v>
        <stp/>
        <stp>VOLUME</stp>
        <stp>.SPXW250829P5560</stp>
        <tr r="P117" s="2"/>
        <tr r="P117" s="2"/>
      </tp>
      <tp>
        <v>521</v>
        <stp/>
        <stp>VOLUME</stp>
        <stp>.SPXW250509P5760</stp>
        <tr r="BD96" s="1"/>
        <tr r="BD96" s="1"/>
      </tp>
      <tp>
        <v>307</v>
        <stp/>
        <stp>VOLUME</stp>
        <stp>.SPXW250516P5690</stp>
        <tr r="BF103" s="1"/>
        <tr r="BF103" s="1"/>
      </tp>
      <tp t="s">
        <v>N/A</v>
        <stp/>
        <stp>VOLUME</stp>
        <stp>.SPXW250606P5790</stp>
        <tr r="J94" s="2"/>
      </tp>
      <tp t="s">
        <v>N/A</v>
        <stp/>
        <stp>VOLUME</stp>
        <stp>.SPYP554</stp>
        <tr r="C33" s="2"/>
        <tr r="D33" s="2"/>
        <tr r="E33" s="2"/>
        <tr r="F33" s="2"/>
        <tr r="B33" s="2"/>
        <tr r="G33" s="2"/>
      </tp>
      <tp t="s">
        <v>N/A</v>
        <stp/>
        <stp>VOLUME</stp>
        <stp>.SPYC554</stp>
        <tr r="C33" s="2"/>
        <tr r="D33" s="2"/>
        <tr r="E33" s="2"/>
        <tr r="F33" s="2"/>
        <tr r="B33" s="2"/>
        <tr r="G33" s="2"/>
      </tp>
      <tp t="s">
        <v>N/A</v>
        <stp/>
        <stp>VOLUME</stp>
        <stp>.SPYP555</stp>
        <tr r="B32" s="2"/>
        <tr r="E32" s="2"/>
        <tr r="D32" s="2"/>
        <tr r="G32" s="2"/>
        <tr r="C32" s="2"/>
        <tr r="F32" s="2"/>
      </tp>
      <tp t="s">
        <v>N/A</v>
        <stp/>
        <stp>VOLUME</stp>
        <stp>.SPYC555</stp>
        <tr r="B32" s="2"/>
        <tr r="E32" s="2"/>
        <tr r="D32" s="2"/>
        <tr r="G32" s="2"/>
        <tr r="C32" s="2"/>
        <tr r="F32" s="2"/>
      </tp>
      <tp t="s">
        <v>N/A</v>
        <stp/>
        <stp>VOLUME</stp>
        <stp>.SPYP556</stp>
        <tr r="C31" s="2"/>
        <tr r="F31" s="2"/>
        <tr r="D31" s="2"/>
        <tr r="B31" s="2"/>
        <tr r="E31" s="2"/>
        <tr r="G31" s="2"/>
      </tp>
      <tp t="s">
        <v>N/A</v>
        <stp/>
        <stp>VOLUME</stp>
        <stp>.SPYC556</stp>
        <tr r="C31" s="2"/>
        <tr r="F31" s="2"/>
        <tr r="D31" s="2"/>
        <tr r="B31" s="2"/>
        <tr r="E31" s="2"/>
        <tr r="G31" s="2"/>
      </tp>
      <tp t="s">
        <v>N/A</v>
        <stp/>
        <stp>VOLUME</stp>
        <stp>.SPYP557</stp>
        <tr r="G30" s="2"/>
        <tr r="B30" s="2"/>
        <tr r="E30" s="2"/>
        <tr r="D30" s="2"/>
        <tr r="C30" s="2"/>
        <tr r="F30" s="2"/>
      </tp>
      <tp t="s">
        <v>N/A</v>
        <stp/>
        <stp>VOLUME</stp>
        <stp>.SPYC557</stp>
        <tr r="G30" s="2"/>
        <tr r="B30" s="2"/>
        <tr r="E30" s="2"/>
        <tr r="D30" s="2"/>
        <tr r="C30" s="2"/>
        <tr r="F30" s="2"/>
      </tp>
      <tp t="s">
        <v>N/A</v>
        <stp/>
        <stp>VOLUME</stp>
        <stp>.SPYP550</stp>
        <tr r="F37" s="2"/>
        <tr r="D37" s="2"/>
        <tr r="G37" s="2"/>
        <tr r="E37" s="2"/>
        <tr r="B37" s="2"/>
        <tr r="C37" s="2"/>
      </tp>
      <tp t="s">
        <v>N/A</v>
        <stp/>
        <stp>VOLUME</stp>
        <stp>.SPYC550</stp>
        <tr r="F37" s="2"/>
        <tr r="D37" s="2"/>
        <tr r="G37" s="2"/>
        <tr r="E37" s="2"/>
        <tr r="B37" s="2"/>
        <tr r="C37" s="2"/>
      </tp>
      <tp t="s">
        <v>N/A</v>
        <stp/>
        <stp>VOLUME</stp>
        <stp>.SPYP551</stp>
        <tr r="E36" s="2"/>
        <tr r="F36" s="2"/>
        <tr r="G36" s="2"/>
        <tr r="C36" s="2"/>
        <tr r="D36" s="2"/>
        <tr r="B36" s="2"/>
      </tp>
      <tp t="s">
        <v>N/A</v>
        <stp/>
        <stp>VOLUME</stp>
        <stp>.SPYC551</stp>
        <tr r="E36" s="2"/>
        <tr r="F36" s="2"/>
        <tr r="G36" s="2"/>
        <tr r="C36" s="2"/>
        <tr r="D36" s="2"/>
        <tr r="B36" s="2"/>
      </tp>
      <tp t="s">
        <v>N/A</v>
        <stp/>
        <stp>VOLUME</stp>
        <stp>.SPYP552</stp>
        <tr r="B35" s="2"/>
        <tr r="C35" s="2"/>
        <tr r="D35" s="2"/>
        <tr r="G35" s="2"/>
        <tr r="E35" s="2"/>
        <tr r="F35" s="2"/>
      </tp>
      <tp t="s">
        <v>N/A</v>
        <stp/>
        <stp>VOLUME</stp>
        <stp>.SPYC552</stp>
        <tr r="B35" s="2"/>
        <tr r="C35" s="2"/>
        <tr r="D35" s="2"/>
        <tr r="G35" s="2"/>
        <tr r="E35" s="2"/>
        <tr r="F35" s="2"/>
      </tp>
      <tp t="s">
        <v>N/A</v>
        <stp/>
        <stp>VOLUME</stp>
        <stp>.SPYP553</stp>
        <tr r="C34" s="2"/>
        <tr r="G34" s="2"/>
        <tr r="D34" s="2"/>
        <tr r="E34" s="2"/>
        <tr r="F34" s="2"/>
        <tr r="B34" s="2"/>
      </tp>
      <tp t="s">
        <v>N/A</v>
        <stp/>
        <stp>VOLUME</stp>
        <stp>.SPYC553</stp>
        <tr r="C34" s="2"/>
        <tr r="G34" s="2"/>
        <tr r="D34" s="2"/>
        <tr r="E34" s="2"/>
        <tr r="F34" s="2"/>
        <tr r="B34" s="2"/>
      </tp>
      <tp t="s">
        <v>N/A</v>
        <stp/>
        <stp>VOLUME</stp>
        <stp>.SPYP558</stp>
        <tr r="C29" s="2"/>
        <tr r="B29" s="2"/>
        <tr r="F29" s="2"/>
        <tr r="E29" s="2"/>
        <tr r="G29" s="2"/>
        <tr r="D29" s="2"/>
      </tp>
      <tp t="s">
        <v>N/A</v>
        <stp/>
        <stp>VOLUME</stp>
        <stp>.SPYC558</stp>
        <tr r="C29" s="2"/>
        <tr r="B29" s="2"/>
        <tr r="F29" s="2"/>
        <tr r="E29" s="2"/>
        <tr r="G29" s="2"/>
        <tr r="D29" s="2"/>
      </tp>
      <tp t="s">
        <v>N/A</v>
        <stp/>
        <stp>VOLUME</stp>
        <stp>.SPYP559</stp>
        <tr r="B28" s="2"/>
        <tr r="F28" s="2"/>
        <tr r="D28" s="2"/>
        <tr r="E28" s="2"/>
        <tr r="G28" s="2"/>
        <tr r="C28" s="2"/>
      </tp>
      <tp t="s">
        <v>N/A</v>
        <stp/>
        <stp>VOLUME</stp>
        <stp>.SPYC559</stp>
        <tr r="B28" s="2"/>
        <tr r="F28" s="2"/>
        <tr r="D28" s="2"/>
        <tr r="E28" s="2"/>
        <tr r="G28" s="2"/>
        <tr r="C28" s="2"/>
      </tp>
      <tp t="s">
        <v>N/A</v>
        <stp/>
        <stp>VOLUME</stp>
        <stp>.NDXP251128P20250</stp>
        <tr r="V146" s="2"/>
      </tp>
      <tp t="s">
        <v>N/A</v>
        <stp/>
        <stp>VOLUME</stp>
        <stp>.NDXP251128P19250</stp>
        <tr r="V186" s="2"/>
      </tp>
      <tp t="s">
        <v>N/A</v>
        <stp/>
        <stp>VOLUME</stp>
        <stp>.SPXW250829C5590</stp>
        <tr r="P114" s="2"/>
      </tp>
      <tp t="s">
        <v>N/A</v>
        <stp/>
        <stp>VOLUME</stp>
        <stp>.SPXW250505C5750</stp>
        <tr r="BA97" s="1"/>
      </tp>
      <tp>
        <v>3345</v>
        <stp/>
        <stp>VOLUME</stp>
        <stp>.SPXW250509C5790</stp>
        <tr r="BC93" s="1"/>
        <tr r="BC93" s="1"/>
      </tp>
      <tp>
        <v>795</v>
        <stp/>
        <stp>VOLUME</stp>
        <stp>.SPXW250516C5660</stp>
        <tr r="BE106" s="1"/>
        <tr r="BE106" s="1"/>
      </tp>
      <tp>
        <v>534</v>
        <stp/>
        <stp>VOLUME</stp>
        <stp>.SPXW250606C5760</stp>
        <tr r="J97" s="2"/>
        <tr r="J97" s="2"/>
      </tp>
      <tp t="s">
        <v>N/A</v>
        <stp/>
        <stp>VOLUME</stp>
        <stp>.SPXW251128C5580</stp>
        <tr r="V115" s="2"/>
      </tp>
      <tp t="s">
        <v>N/A</v>
        <stp/>
        <stp>VOLUME</stp>
        <stp>.SPXW251128P5580</stp>
        <tr r="V115" s="2"/>
      </tp>
      <tp t="s">
        <v>N/A</v>
        <stp/>
        <stp>VOLUME</stp>
        <stp>.SPXW250829P5590</stp>
        <tr r="P114" s="2"/>
      </tp>
      <tp t="s">
        <v>N/A</v>
        <stp/>
        <stp>VOLUME</stp>
        <stp>.SPXW250505P5750</stp>
        <tr r="BB97" s="1"/>
      </tp>
      <tp>
        <v>759</v>
        <stp/>
        <stp>VOLUME</stp>
        <stp>.SPXW250509P5790</stp>
        <tr r="BD93" s="1"/>
        <tr r="BD93" s="1"/>
      </tp>
      <tp>
        <v>1111</v>
        <stp/>
        <stp>VOLUME</stp>
        <stp>.SPXW250516P5660</stp>
        <tr r="BF106" s="1"/>
        <tr r="BF106" s="1"/>
      </tp>
      <tp t="s">
        <v>N/A</v>
        <stp/>
        <stp>VOLUME</stp>
        <stp>.SPXW250606P5760</stp>
        <tr r="J97" s="2"/>
      </tp>
      <tp t="s">
        <v>N/A</v>
        <stp/>
        <stp>VOLUME</stp>
        <stp>.SPYP548</stp>
        <tr r="B39" s="2"/>
        <tr r="C39" s="2"/>
        <tr r="E39" s="2"/>
        <tr r="D39" s="2"/>
        <tr r="F39" s="2"/>
        <tr r="G39" s="2"/>
      </tp>
      <tp t="s">
        <v>N/A</v>
        <stp/>
        <stp>VOLUME</stp>
        <stp>.SPYC548</stp>
        <tr r="B39" s="2"/>
        <tr r="C39" s="2"/>
        <tr r="E39" s="2"/>
        <tr r="D39" s="2"/>
        <tr r="F39" s="2"/>
        <tr r="G39" s="2"/>
      </tp>
      <tp t="s">
        <v>N/A</v>
        <stp/>
        <stp>VOLUME</stp>
        <stp>.SPYP549</stp>
        <tr r="F38" s="2"/>
        <tr r="C38" s="2"/>
        <tr r="B38" s="2"/>
        <tr r="G38" s="2"/>
        <tr r="E38" s="2"/>
        <tr r="D38" s="2"/>
      </tp>
      <tp t="s">
        <v>N/A</v>
        <stp/>
        <stp>VOLUME</stp>
        <stp>.SPYC549</stp>
        <tr r="F38" s="2"/>
        <tr r="C38" s="2"/>
        <tr r="B38" s="2"/>
        <tr r="G38" s="2"/>
        <tr r="E38" s="2"/>
        <tr r="D38" s="2"/>
      </tp>
      <tp t="s">
        <v>N/A</v>
        <stp/>
        <stp>VOLUME</stp>
        <stp>.NDXP250829P20350</stp>
        <tr r="P142" s="2"/>
      </tp>
      <tp t="s">
        <v>N/A</v>
        <stp/>
        <stp>VOLUME</stp>
        <stp>.NDXP250829P19350</stp>
        <tr r="P182" s="2"/>
      </tp>
      <tp>
        <v>8</v>
        <stp/>
        <stp>VOLUME</stp>
        <stp>.NDXP250509P20350</stp>
        <tr r="BD141" s="1"/>
        <tr r="BD141" s="1"/>
      </tp>
      <tp>
        <v>402</v>
        <stp/>
        <stp>VOLUME</stp>
        <stp>.NDXP250509P19350</stp>
        <tr r="BD181" s="1"/>
        <tr r="BD181" s="1"/>
      </tp>
      <tp t="s">
        <v>N/A</v>
        <stp/>
        <stp>VOLUME</stp>
        <stp>.SPXW250829C5580</stp>
        <tr r="P115" s="2"/>
      </tp>
      <tp t="s">
        <v>N/A</v>
        <stp/>
        <stp>VOLUME</stp>
        <stp>.SPXW250505C5740</stp>
        <tr r="BA98" s="1"/>
      </tp>
      <tp>
        <v>4989</v>
        <stp/>
        <stp>VOLUME</stp>
        <stp>.SPXW250509C5780</stp>
        <tr r="BC94" s="1"/>
        <tr r="BC94" s="1"/>
      </tp>
      <tp>
        <v>471</v>
        <stp/>
        <stp>VOLUME</stp>
        <stp>.SPXW250516C5670</stp>
        <tr r="BE105" s="1"/>
        <tr r="BE105" s="1"/>
      </tp>
      <tp>
        <v>980</v>
        <stp/>
        <stp>VOLUME</stp>
        <stp>.SPXW250606C5770</stp>
        <tr r="J96" s="2"/>
        <tr r="J96" s="2"/>
      </tp>
      <tp t="s">
        <v>N/A</v>
        <stp/>
        <stp>VOLUME</stp>
        <stp>.SPXW251128C5590</stp>
        <tr r="V114" s="2"/>
      </tp>
      <tp t="s">
        <v>N/A</v>
        <stp/>
        <stp>VOLUME</stp>
        <stp>.SPXW251128P5590</stp>
        <tr r="V114" s="2"/>
      </tp>
      <tp t="s">
        <v>N/A</v>
        <stp/>
        <stp>VOLUME</stp>
        <stp>.SPXW250829P5580</stp>
        <tr r="P115" s="2"/>
      </tp>
      <tp t="s">
        <v>N/A</v>
        <stp/>
        <stp>VOLUME</stp>
        <stp>.SPXW250505P5740</stp>
        <tr r="BB98" s="1"/>
      </tp>
      <tp>
        <v>685</v>
        <stp/>
        <stp>VOLUME</stp>
        <stp>.SPXW250509P5780</stp>
        <tr r="BD94" s="1"/>
        <tr r="BD94" s="1"/>
      </tp>
      <tp>
        <v>274</v>
        <stp/>
        <stp>VOLUME</stp>
        <stp>.SPXW250516P5670</stp>
        <tr r="BF105" s="1"/>
        <tr r="BF105" s="1"/>
      </tp>
      <tp t="s">
        <v>N/A</v>
        <stp/>
        <stp>VOLUME</stp>
        <stp>.SPXW250606P5770</stp>
        <tr r="J96" s="2"/>
      </tp>
      <tp t="s">
        <v>N/A</v>
        <stp/>
        <stp>VOLUME</stp>
        <stp>.SPYP574</stp>
        <tr r="D13" s="2"/>
        <tr r="B13" s="2"/>
        <tr r="G13" s="2"/>
        <tr r="F13" s="2"/>
        <tr r="C13" s="2"/>
        <tr r="E13" s="2"/>
      </tp>
      <tp t="s">
        <v>N/A</v>
        <stp/>
        <stp>VOLUME</stp>
        <stp>.SPYC574</stp>
        <tr r="D13" s="2"/>
        <tr r="B13" s="2"/>
        <tr r="G13" s="2"/>
        <tr r="F13" s="2"/>
        <tr r="C13" s="2"/>
        <tr r="E13" s="2"/>
      </tp>
      <tp t="s">
        <v>N/A</v>
        <stp/>
        <stp>VOLUME</stp>
        <stp>.SPYP575</stp>
        <tr r="E12" s="2"/>
        <tr r="G12" s="2"/>
        <tr r="B12" s="2"/>
        <tr r="F12" s="2"/>
        <tr r="C12" s="2"/>
        <tr r="D12" s="2"/>
      </tp>
      <tp t="s">
        <v>N/A</v>
        <stp/>
        <stp>VOLUME</stp>
        <stp>.SPYC575</stp>
        <tr r="E12" s="2"/>
        <tr r="G12" s="2"/>
        <tr r="B12" s="2"/>
        <tr r="F12" s="2"/>
        <tr r="C12" s="2"/>
        <tr r="D12" s="2"/>
      </tp>
      <tp t="s">
        <v>N/A</v>
        <stp/>
        <stp>VOLUME</stp>
        <stp>.SPYP576</stp>
        <tr r="C11" s="2"/>
        <tr r="E11" s="2"/>
        <tr r="G11" s="2"/>
        <tr r="F11" s="2"/>
        <tr r="B11" s="2"/>
        <tr r="D11" s="2"/>
      </tp>
      <tp t="s">
        <v>N/A</v>
        <stp/>
        <stp>VOLUME</stp>
        <stp>.SPYC576</stp>
        <tr r="C11" s="2"/>
        <tr r="E11" s="2"/>
        <tr r="G11" s="2"/>
        <tr r="F11" s="2"/>
        <tr r="B11" s="2"/>
        <tr r="D11" s="2"/>
      </tp>
      <tp t="s">
        <v>N/A</v>
        <stp/>
        <stp>VOLUME</stp>
        <stp>.SPYP577</stp>
        <tr r="E10" s="2"/>
        <tr r="C10" s="2"/>
        <tr r="D10" s="2"/>
        <tr r="G10" s="2"/>
        <tr r="B10" s="2"/>
        <tr r="F10" s="2"/>
      </tp>
      <tp t="s">
        <v>N/A</v>
        <stp/>
        <stp>VOLUME</stp>
        <stp>.SPYC577</stp>
        <tr r="E10" s="2"/>
        <tr r="C10" s="2"/>
        <tr r="D10" s="2"/>
        <tr r="G10" s="2"/>
        <tr r="B10" s="2"/>
        <tr r="F10" s="2"/>
      </tp>
      <tp t="s">
        <v>N/A</v>
        <stp/>
        <stp>VOLUME</stp>
        <stp>.SPYP570</stp>
        <tr r="E17" s="2"/>
        <tr r="D17" s="2"/>
        <tr r="B17" s="2"/>
        <tr r="F17" s="2"/>
        <tr r="G17" s="2"/>
        <tr r="C17" s="2"/>
      </tp>
      <tp t="s">
        <v>N/A</v>
        <stp/>
        <stp>VOLUME</stp>
        <stp>.SPYC570</stp>
        <tr r="E17" s="2"/>
        <tr r="D17" s="2"/>
        <tr r="B17" s="2"/>
        <tr r="F17" s="2"/>
        <tr r="G17" s="2"/>
        <tr r="C17" s="2"/>
      </tp>
      <tp t="s">
        <v>N/A</v>
        <stp/>
        <stp>VOLUME</stp>
        <stp>.SPYP571</stp>
        <tr r="F16" s="2"/>
        <tr r="G16" s="2"/>
        <tr r="B16" s="2"/>
        <tr r="E16" s="2"/>
        <tr r="C16" s="2"/>
        <tr r="D16" s="2"/>
      </tp>
      <tp t="s">
        <v>N/A</v>
        <stp/>
        <stp>VOLUME</stp>
        <stp>.SPYC571</stp>
        <tr r="F16" s="2"/>
        <tr r="G16" s="2"/>
        <tr r="B16" s="2"/>
        <tr r="E16" s="2"/>
        <tr r="C16" s="2"/>
        <tr r="D16" s="2"/>
      </tp>
      <tp t="s">
        <v>N/A</v>
        <stp/>
        <stp>VOLUME</stp>
        <stp>.SPYP572</stp>
        <tr r="B15" s="2"/>
        <tr r="D15" s="2"/>
        <tr r="G15" s="2"/>
        <tr r="E15" s="2"/>
        <tr r="C15" s="2"/>
        <tr r="F15" s="2"/>
      </tp>
      <tp t="s">
        <v>N/A</v>
        <stp/>
        <stp>VOLUME</stp>
        <stp>.SPYC572</stp>
        <tr r="B15" s="2"/>
        <tr r="D15" s="2"/>
        <tr r="G15" s="2"/>
        <tr r="E15" s="2"/>
        <tr r="C15" s="2"/>
        <tr r="F15" s="2"/>
      </tp>
      <tp t="s">
        <v>N/A</v>
        <stp/>
        <stp>VOLUME</stp>
        <stp>.SPYP573</stp>
        <tr r="E14" s="2"/>
        <tr r="B14" s="2"/>
        <tr r="F14" s="2"/>
        <tr r="G14" s="2"/>
        <tr r="C14" s="2"/>
        <tr r="D14" s="2"/>
      </tp>
      <tp t="s">
        <v>N/A</v>
        <stp/>
        <stp>VOLUME</stp>
        <stp>.SPYC573</stp>
        <tr r="E14" s="2"/>
        <tr r="B14" s="2"/>
        <tr r="F14" s="2"/>
        <tr r="G14" s="2"/>
        <tr r="C14" s="2"/>
        <tr r="D14" s="2"/>
      </tp>
      <tp t="s">
        <v>N/A</v>
        <stp/>
        <stp>VOLUME</stp>
        <stp>.SPYP578</stp>
        <tr r="D9" s="2"/>
        <tr r="F9" s="2"/>
        <tr r="B9" s="2"/>
        <tr r="C9" s="2"/>
        <tr r="G9" s="2"/>
        <tr r="E9" s="2"/>
      </tp>
      <tp t="s">
        <v>N/A</v>
        <stp/>
        <stp>VOLUME</stp>
        <stp>.SPYC578</stp>
        <tr r="D9" s="2"/>
        <tr r="F9" s="2"/>
        <tr r="B9" s="2"/>
        <tr r="C9" s="2"/>
        <tr r="G9" s="2"/>
        <tr r="E9" s="2"/>
      </tp>
      <tp t="s">
        <v>N/A</v>
        <stp/>
        <stp>VOLUME</stp>
        <stp>.SPYP579</stp>
        <tr r="B8" s="2"/>
        <tr r="C8" s="2"/>
        <tr r="F8" s="2"/>
        <tr r="E8" s="2"/>
        <tr r="D8" s="2"/>
        <tr r="G8" s="2"/>
      </tp>
      <tp t="s">
        <v>N/A</v>
        <stp/>
        <stp>VOLUME</stp>
        <stp>.SPYC579</stp>
        <tr r="B8" s="2"/>
        <tr r="C8" s="2"/>
        <tr r="F8" s="2"/>
        <tr r="E8" s="2"/>
        <tr r="D8" s="2"/>
        <tr r="G8" s="2"/>
      </tp>
      <tp t="s">
        <v>N/A</v>
        <stp/>
        <stp>VOLUME</stp>
        <stp>.NDXP251128P20275</stp>
        <tr r="V145" s="2"/>
      </tp>
      <tp t="s">
        <v>N/A</v>
        <stp/>
        <stp>VOLUME</stp>
        <stp>.NDXP251128P19275</stp>
        <tr r="V185" s="2"/>
      </tp>
      <tp t="s">
        <v>N/A</v>
        <stp/>
        <stp>VOLUME</stp>
        <stp>.SPXW250930C5420</stp>
        <tr r="R131" s="2"/>
      </tp>
      <tp t="s">
        <v>N/A</v>
        <stp/>
        <stp>VOLUME</stp>
        <stp>.SPXW250505C5770</stp>
        <tr r="BA95" s="1"/>
      </tp>
      <tp>
        <v>104</v>
        <stp/>
        <stp>VOLUME</stp>
        <stp>.SPXW250516C5640</stp>
        <tr r="BE108" s="1"/>
        <tr r="BE108" s="1"/>
      </tp>
      <tp t="s">
        <v>N/A</v>
        <stp/>
        <stp>VOLUME</stp>
        <stp>.SPXW250530C5420</stp>
        <tr r="I131" s="2"/>
      </tp>
      <tp t="s">
        <v>N/A</v>
        <stp/>
        <stp>VOLUME</stp>
        <stp>.SPXW250731C5430</stp>
        <tr r="N130" s="2"/>
      </tp>
      <tp>
        <v>6</v>
        <stp/>
        <stp>VOLUME</stp>
        <stp>.SPXW250606C5740</stp>
        <tr r="J99" s="2"/>
        <tr r="J99" s="2"/>
      </tp>
      <tp t="s">
        <v>N/A</v>
        <stp/>
        <stp>VOLUME</stp>
        <stp>.SPXW250630C5420</stp>
        <tr r="L131" s="2"/>
      </tp>
      <tp t="s">
        <v>N/A</v>
        <stp/>
        <stp>VOLUME</stp>
        <stp>.SPXW251031C5430</stp>
        <tr r="T130" s="2"/>
      </tp>
      <tp t="s">
        <v>N/A</v>
        <stp/>
        <stp>VOLUME</stp>
        <stp>.SPXW251231C5430</stp>
        <tr r="X130" s="2"/>
      </tp>
      <tp t="s">
        <v>N/A</v>
        <stp/>
        <stp>VOLUME</stp>
        <stp>.SPXW251031P5430</stp>
        <tr r="T130" s="2"/>
      </tp>
      <tp t="s">
        <v>N/A</v>
        <stp/>
        <stp>VOLUME</stp>
        <stp>.SPXW251231P5430</stp>
        <tr r="X130" s="2"/>
      </tp>
      <tp t="s">
        <v>N/A</v>
        <stp/>
        <stp>VOLUME</stp>
        <stp>.SPXW250930P5420</stp>
        <tr r="R131" s="2"/>
      </tp>
      <tp t="s">
        <v>N/A</v>
        <stp/>
        <stp>VOLUME</stp>
        <stp>.SPXW250505P5770</stp>
        <tr r="BB95" s="1"/>
      </tp>
      <tp>
        <v>240</v>
        <stp/>
        <stp>VOLUME</stp>
        <stp>.SPXW250516P5640</stp>
        <tr r="BF108" s="1"/>
        <tr r="BF108" s="1"/>
      </tp>
      <tp>
        <v>3</v>
        <stp/>
        <stp>VOLUME</stp>
        <stp>.SPXW250530P5420</stp>
        <tr r="I131" s="2"/>
        <tr r="I131" s="2"/>
      </tp>
      <tp>
        <v>88</v>
        <stp/>
        <stp>VOLUME</stp>
        <stp>.SPXW250731P5430</stp>
        <tr r="N130" s="2"/>
        <tr r="N130" s="2"/>
      </tp>
      <tp>
        <v>1</v>
        <stp/>
        <stp>VOLUME</stp>
        <stp>.SPXW250606P5740</stp>
        <tr r="J99" s="2"/>
        <tr r="J99" s="2"/>
      </tp>
      <tp t="s">
        <v>N/A</v>
        <stp/>
        <stp>VOLUME</stp>
        <stp>.SPXW250630P5420</stp>
        <tr r="L131" s="2"/>
      </tp>
      <tp t="s">
        <v>N/A</v>
        <stp/>
        <stp>VOLUME</stp>
        <stp>.SPYP564</stp>
        <tr r="B23" s="2"/>
        <tr r="E23" s="2"/>
        <tr r="F23" s="2"/>
        <tr r="C23" s="2"/>
        <tr r="D23" s="2"/>
        <tr r="G23" s="2"/>
      </tp>
      <tp t="s">
        <v>N/A</v>
        <stp/>
        <stp>VOLUME</stp>
        <stp>.SPYC564</stp>
        <tr r="B23" s="2"/>
        <tr r="E23" s="2"/>
        <tr r="F23" s="2"/>
        <tr r="C23" s="2"/>
        <tr r="D23" s="2"/>
        <tr r="G23" s="2"/>
      </tp>
      <tp t="s">
        <v>N/A</v>
        <stp/>
        <stp>VOLUME</stp>
        <stp>.SPYP565</stp>
        <tr r="F22" s="2"/>
        <tr r="G22" s="2"/>
        <tr r="E22" s="2"/>
        <tr r="B22" s="2"/>
        <tr r="D22" s="2"/>
        <tr r="C22" s="2"/>
      </tp>
      <tp t="s">
        <v>N/A</v>
        <stp/>
        <stp>VOLUME</stp>
        <stp>.SPYC565</stp>
        <tr r="F22" s="2"/>
        <tr r="G22" s="2"/>
        <tr r="E22" s="2"/>
        <tr r="B22" s="2"/>
        <tr r="D22" s="2"/>
        <tr r="C22" s="2"/>
      </tp>
      <tp t="s">
        <v>N/A</v>
        <stp/>
        <stp>VOLUME</stp>
        <stp>.SPYP566</stp>
        <tr r="G21" s="2"/>
        <tr r="D21" s="2"/>
        <tr r="F21" s="2"/>
        <tr r="B21" s="2"/>
        <tr r="E21" s="2"/>
        <tr r="C21" s="2"/>
      </tp>
      <tp t="s">
        <v>N/A</v>
        <stp/>
        <stp>VOLUME</stp>
        <stp>.SPYC566</stp>
        <tr r="G21" s="2"/>
        <tr r="D21" s="2"/>
        <tr r="F21" s="2"/>
        <tr r="B21" s="2"/>
        <tr r="E21" s="2"/>
        <tr r="C21" s="2"/>
      </tp>
      <tp t="s">
        <v>N/A</v>
        <stp/>
        <stp>VOLUME</stp>
        <stp>.SPYP567</stp>
        <tr r="G20" s="2"/>
        <tr r="D20" s="2"/>
        <tr r="B20" s="2"/>
        <tr r="F20" s="2"/>
        <tr r="E20" s="2"/>
        <tr r="C20" s="2"/>
      </tp>
      <tp t="s">
        <v>N/A</v>
        <stp/>
        <stp>VOLUME</stp>
        <stp>.SPYC567</stp>
        <tr r="G20" s="2"/>
        <tr r="D20" s="2"/>
        <tr r="B20" s="2"/>
        <tr r="F20" s="2"/>
        <tr r="E20" s="2"/>
        <tr r="C20" s="2"/>
      </tp>
      <tp t="s">
        <v>N/A</v>
        <stp/>
        <stp>VOLUME</stp>
        <stp>.SPYP560</stp>
        <tr r="G27" s="2"/>
        <tr r="C27" s="2"/>
        <tr r="B27" s="2"/>
        <tr r="E27" s="2"/>
        <tr r="D27" s="2"/>
        <tr r="F27" s="2"/>
      </tp>
      <tp t="s">
        <v>N/A</v>
        <stp/>
        <stp>VOLUME</stp>
        <stp>.SPYC560</stp>
        <tr r="G27" s="2"/>
        <tr r="C27" s="2"/>
        <tr r="B27" s="2"/>
        <tr r="E27" s="2"/>
        <tr r="D27" s="2"/>
        <tr r="F27" s="2"/>
      </tp>
      <tp t="s">
        <v>N/A</v>
        <stp/>
        <stp>VOLUME</stp>
        <stp>.SPYP561</stp>
        <tr r="E26" s="2"/>
        <tr r="D26" s="2"/>
        <tr r="C26" s="2"/>
        <tr r="F26" s="2"/>
        <tr r="G26" s="2"/>
        <tr r="B26" s="2"/>
      </tp>
      <tp t="s">
        <v>N/A</v>
        <stp/>
        <stp>VOLUME</stp>
        <stp>.SPYC561</stp>
        <tr r="E26" s="2"/>
        <tr r="D26" s="2"/>
        <tr r="C26" s="2"/>
        <tr r="F26" s="2"/>
        <tr r="G26" s="2"/>
        <tr r="B26" s="2"/>
      </tp>
      <tp t="s">
        <v>N/A</v>
        <stp/>
        <stp>VOLUME</stp>
        <stp>.SPYP562</stp>
        <tr r="B25" s="2"/>
        <tr r="C25" s="2"/>
        <tr r="F25" s="2"/>
        <tr r="D25" s="2"/>
        <tr r="E25" s="2"/>
        <tr r="G25" s="2"/>
      </tp>
      <tp t="s">
        <v>N/A</v>
        <stp/>
        <stp>VOLUME</stp>
        <stp>.SPYC562</stp>
        <tr r="B25" s="2"/>
        <tr r="C25" s="2"/>
        <tr r="F25" s="2"/>
        <tr r="D25" s="2"/>
        <tr r="E25" s="2"/>
        <tr r="G25" s="2"/>
      </tp>
      <tp t="s">
        <v>N/A</v>
        <stp/>
        <stp>VOLUME</stp>
        <stp>.SPYP563</stp>
        <tr r="G24" s="2"/>
        <tr r="F24" s="2"/>
        <tr r="B24" s="2"/>
        <tr r="C24" s="2"/>
        <tr r="E24" s="2"/>
        <tr r="D24" s="2"/>
      </tp>
      <tp t="s">
        <v>N/A</v>
        <stp/>
        <stp>VOLUME</stp>
        <stp>.SPYC563</stp>
        <tr r="G24" s="2"/>
        <tr r="F24" s="2"/>
        <tr r="B24" s="2"/>
        <tr r="C24" s="2"/>
        <tr r="E24" s="2"/>
        <tr r="D24" s="2"/>
      </tp>
      <tp t="s">
        <v>N/A</v>
        <stp/>
        <stp>VOLUME</stp>
        <stp>.SPYP568</stp>
        <tr r="D19" s="2"/>
        <tr r="G19" s="2"/>
        <tr r="E19" s="2"/>
        <tr r="F19" s="2"/>
        <tr r="C19" s="2"/>
        <tr r="B19" s="2"/>
      </tp>
      <tp t="s">
        <v>N/A</v>
        <stp/>
        <stp>VOLUME</stp>
        <stp>.SPYC568</stp>
        <tr r="D19" s="2"/>
        <tr r="G19" s="2"/>
        <tr r="E19" s="2"/>
        <tr r="F19" s="2"/>
        <tr r="C19" s="2"/>
        <tr r="B19" s="2"/>
      </tp>
      <tp t="s">
        <v>N/A</v>
        <stp/>
        <stp>VOLUME</stp>
        <stp>.SPYP569</stp>
        <tr r="D18" s="2"/>
        <tr r="G18" s="2"/>
        <tr r="B18" s="2"/>
        <tr r="F18" s="2"/>
        <tr r="E18" s="2"/>
        <tr r="C18" s="2"/>
      </tp>
      <tp t="s">
        <v>N/A</v>
        <stp/>
        <stp>VOLUME</stp>
        <stp>.SPYC569</stp>
        <tr r="D18" s="2"/>
        <tr r="G18" s="2"/>
        <tr r="B18" s="2"/>
        <tr r="F18" s="2"/>
        <tr r="E18" s="2"/>
        <tr r="C18" s="2"/>
      </tp>
      <tp t="s">
        <v>N/A</v>
        <stp/>
        <stp>VOLUME</stp>
        <stp>.NDXP250829P20375</stp>
        <tr r="P141" s="2"/>
      </tp>
      <tp t="s">
        <v>N/A</v>
        <stp/>
        <stp>VOLUME</stp>
        <stp>.NDXP250829P19375</stp>
        <tr r="P181" s="2"/>
      </tp>
      <tp t="s">
        <v>N/A</v>
        <stp/>
        <stp>VOLUME</stp>
        <stp>.NDXP250509P20375</stp>
        <tr r="BD140" s="1"/>
      </tp>
      <tp>
        <v>1</v>
        <stp/>
        <stp>VOLUME</stp>
        <stp>.NDXP250509P19375</stp>
        <tr r="BD180" s="1"/>
        <tr r="BD180" s="1"/>
      </tp>
      <tp t="s">
        <v>N/A</v>
        <stp/>
        <stp>VOLUME</stp>
        <stp>.SPXW250930C5430</stp>
        <tr r="R130" s="2"/>
      </tp>
      <tp t="s">
        <v>N/A</v>
        <stp/>
        <stp>VOLUME</stp>
        <stp>.SPXW250505C5760</stp>
        <tr r="BA96" s="1"/>
      </tp>
      <tp>
        <v>412</v>
        <stp/>
        <stp>VOLUME</stp>
        <stp>.SPXW250516C5650</stp>
        <tr r="BE107" s="1"/>
        <tr r="BE107" s="1"/>
      </tp>
      <tp t="s">
        <v>N/A</v>
        <stp/>
        <stp>VOLUME</stp>
        <stp>.SPXW250530C5430</stp>
        <tr r="I130" s="2"/>
      </tp>
      <tp t="s">
        <v>N/A</v>
        <stp/>
        <stp>VOLUME</stp>
        <stp>.SPXW250731C5420</stp>
        <tr r="N131" s="2"/>
      </tp>
      <tp>
        <v>69</v>
        <stp/>
        <stp>VOLUME</stp>
        <stp>.SPXW250606C5750</stp>
        <tr r="J98" s="2"/>
        <tr r="J98" s="2"/>
      </tp>
      <tp t="s">
        <v>N/A</v>
        <stp/>
        <stp>VOLUME</stp>
        <stp>.SPXW250630C5430</stp>
        <tr r="L130" s="2"/>
      </tp>
      <tp t="s">
        <v>N/A</v>
        <stp/>
        <stp>VOLUME</stp>
        <stp>.SPXW251031C5420</stp>
        <tr r="T131" s="2"/>
      </tp>
      <tp t="s">
        <v>N/A</v>
        <stp/>
        <stp>VOLUME</stp>
        <stp>.SPXW251231C5420</stp>
        <tr r="X131" s="2"/>
      </tp>
      <tp t="s">
        <v>N/A</v>
        <stp/>
        <stp>VOLUME</stp>
        <stp>.SPXW251031P5420</stp>
        <tr r="T131" s="2"/>
      </tp>
      <tp t="s">
        <v>N/A</v>
        <stp/>
        <stp>VOLUME</stp>
        <stp>.SPXW251231P5420</stp>
        <tr r="X131" s="2"/>
      </tp>
      <tp t="s">
        <v>N/A</v>
        <stp/>
        <stp>VOLUME</stp>
        <stp>.SPXW250930P5430</stp>
        <tr r="R130" s="2"/>
      </tp>
      <tp t="s">
        <v>N/A</v>
        <stp/>
        <stp>VOLUME</stp>
        <stp>.SPXW250505P5760</stp>
        <tr r="BB96" s="1"/>
      </tp>
      <tp>
        <v>735</v>
        <stp/>
        <stp>VOLUME</stp>
        <stp>.SPXW250516P5650</stp>
        <tr r="BF107" s="1"/>
        <tr r="BF107" s="1"/>
      </tp>
      <tp>
        <v>13</v>
        <stp/>
        <stp>VOLUME</stp>
        <stp>.SPXW250530P5430</stp>
        <tr r="I130" s="2"/>
        <tr r="I130" s="2"/>
      </tp>
      <tp>
        <v>4</v>
        <stp/>
        <stp>VOLUME</stp>
        <stp>.SPXW250731P5420</stp>
        <tr r="N131" s="2"/>
        <tr r="N131" s="2"/>
      </tp>
      <tp>
        <v>3</v>
        <stp/>
        <stp>VOLUME</stp>
        <stp>.SPXW250606P5750</stp>
        <tr r="J98" s="2"/>
        <tr r="J98" s="2"/>
      </tp>
      <tp t="s">
        <v>N/A</v>
        <stp/>
        <stp>VOLUME</stp>
        <stp>.SPXW250630P5430</stp>
        <tr r="L130" s="2"/>
      </tp>
      <tp t="s">
        <v>N/A</v>
        <stp/>
        <stp>VOLUME</stp>
        <stp>.NDXP250829P20300</stp>
        <tr r="P144" s="2"/>
      </tp>
      <tp t="s">
        <v>N/A</v>
        <stp/>
        <stp>VOLUME</stp>
        <stp>.NDXP250829P19300</stp>
        <tr r="P184" s="2"/>
      </tp>
      <tp>
        <v>3</v>
        <stp/>
        <stp>VOLUME</stp>
        <stp>.NDXP250509P20300</stp>
        <tr r="BD143" s="1"/>
        <tr r="BD143" s="1"/>
      </tp>
      <tp>
        <v>214</v>
        <stp/>
        <stp>VOLUME</stp>
        <stp>.NDXP250509P19300</stp>
        <tr r="BD183" s="1"/>
        <tr r="BD183" s="1"/>
      </tp>
      <tp t="s">
        <v>N/A</v>
        <stp/>
        <stp>VOLUME</stp>
        <stp>.SPXW250930C5440</stp>
        <tr r="R129" s="2"/>
      </tp>
      <tp t="s">
        <v>N/A</v>
        <stp/>
        <stp>VOLUME</stp>
        <stp>.SPXW250505C5710</stp>
        <tr r="BA101" s="1"/>
      </tp>
      <tp>
        <v>34</v>
        <stp/>
        <stp>VOLUME</stp>
        <stp>.SPXW250516C5620</stp>
        <tr r="BE110" s="1"/>
        <tr r="BE110" s="1"/>
      </tp>
      <tp t="s">
        <v>N/A</v>
        <stp/>
        <stp>VOLUME</stp>
        <stp>.SPXW250530C5440</stp>
        <tr r="I129" s="2"/>
      </tp>
      <tp t="s">
        <v>N/A</v>
        <stp/>
        <stp>VOLUME</stp>
        <stp>.SPXW250731C5450</stp>
        <tr r="N128" s="2"/>
      </tp>
      <tp>
        <v>87</v>
        <stp/>
        <stp>VOLUME</stp>
        <stp>.SPXW250606C5720</stp>
        <tr r="J101" s="2"/>
        <tr r="J101" s="2"/>
      </tp>
      <tp t="s">
        <v>N/A</v>
        <stp/>
        <stp>VOLUME</stp>
        <stp>.SPXW250630C5440</stp>
        <tr r="L129" s="2"/>
      </tp>
      <tp t="s">
        <v>N/A</v>
        <stp/>
        <stp>VOLUME</stp>
        <stp>.SPXW251031C5450</stp>
        <tr r="T128" s="2"/>
      </tp>
      <tp t="s">
        <v>N/A</v>
        <stp/>
        <stp>VOLUME</stp>
        <stp>.SPXW251231C5450</stp>
        <tr r="X128" s="2"/>
      </tp>
      <tp t="s">
        <v>N/A</v>
        <stp/>
        <stp>VOLUME</stp>
        <stp>.SPXW251031P5450</stp>
        <tr r="T128" s="2"/>
      </tp>
      <tp>
        <v>3</v>
        <stp/>
        <stp>VOLUME</stp>
        <stp>.SPXW251231P5450</stp>
        <tr r="X128" s="2"/>
        <tr r="X128" s="2"/>
      </tp>
      <tp t="s">
        <v>N/A</v>
        <stp/>
        <stp>VOLUME</stp>
        <stp>.SPXW250930P5440</stp>
        <tr r="R129" s="2"/>
      </tp>
      <tp t="s">
        <v>N/A</v>
        <stp/>
        <stp>VOLUME</stp>
        <stp>.SPXW250505P5710</stp>
        <tr r="BB101" s="1"/>
      </tp>
      <tp>
        <v>182</v>
        <stp/>
        <stp>VOLUME</stp>
        <stp>.SPXW250516P5620</stp>
        <tr r="BF110" s="1"/>
        <tr r="BF110" s="1"/>
      </tp>
      <tp>
        <v>33</v>
        <stp/>
        <stp>VOLUME</stp>
        <stp>.SPXW250530P5440</stp>
        <tr r="I129" s="2"/>
        <tr r="I129" s="2"/>
      </tp>
      <tp>
        <v>5</v>
        <stp/>
        <stp>VOLUME</stp>
        <stp>.SPXW250731P5450</stp>
        <tr r="N128" s="2"/>
        <tr r="N128" s="2"/>
      </tp>
      <tp>
        <v>24</v>
        <stp/>
        <stp>VOLUME</stp>
        <stp>.SPXW250606P5720</stp>
        <tr r="J101" s="2"/>
        <tr r="J101" s="2"/>
      </tp>
      <tp t="s">
        <v>N/A</v>
        <stp/>
        <stp>VOLUME</stp>
        <stp>.SPXW250630P5440</stp>
        <tr r="L129" s="2"/>
      </tp>
      <tp t="s">
        <v>N/A</v>
        <stp/>
        <stp>VOLUME</stp>
        <stp>.NDXP251128P20200</stp>
        <tr r="V148" s="2"/>
      </tp>
      <tp t="s">
        <v>N/A</v>
        <stp/>
        <stp>VOLUME</stp>
        <stp>.NDXP251128P19200</stp>
        <tr r="V188" s="2"/>
      </tp>
      <tp t="s">
        <v>N/A</v>
        <stp/>
        <stp>VOLUME</stp>
        <stp>.SPXW250930C5450</stp>
        <tr r="R128" s="2"/>
      </tp>
      <tp t="s">
        <v>N/A</v>
        <stp/>
        <stp>VOLUME</stp>
        <stp>.SPXW250505C5700</stp>
        <tr r="BA102" s="1"/>
      </tp>
      <tp>
        <v>98</v>
        <stp/>
        <stp>VOLUME</stp>
        <stp>.SPXW250516C5630</stp>
        <tr r="BE109" s="1"/>
        <tr r="BE109" s="1"/>
      </tp>
      <tp>
        <v>6</v>
        <stp/>
        <stp>VOLUME</stp>
        <stp>.SPXW250530C5450</stp>
        <tr r="I128" s="2"/>
        <tr r="I128" s="2"/>
      </tp>
      <tp>
        <v>2</v>
        <stp/>
        <stp>VOLUME</stp>
        <stp>.SPXW250731C5440</stp>
        <tr r="N129" s="2"/>
        <tr r="N129" s="2"/>
      </tp>
      <tp>
        <v>24</v>
        <stp/>
        <stp>VOLUME</stp>
        <stp>.SPXW250606C5730</stp>
        <tr r="J100" s="2"/>
        <tr r="J100" s="2"/>
      </tp>
      <tp t="s">
        <v>N/A</v>
        <stp/>
        <stp>VOLUME</stp>
        <stp>.SPXW250630C5450</stp>
        <tr r="L128" s="2"/>
      </tp>
      <tp t="s">
        <v>N/A</v>
        <stp/>
        <stp>VOLUME</stp>
        <stp>.SPXW251031C5440</stp>
        <tr r="T129" s="2"/>
      </tp>
      <tp t="s">
        <v>N/A</v>
        <stp/>
        <stp>VOLUME</stp>
        <stp>.SPXW251231C5440</stp>
        <tr r="X129" s="2"/>
      </tp>
      <tp t="s">
        <v>N/A</v>
        <stp/>
        <stp>VOLUME</stp>
        <stp>.SPXW251031P5440</stp>
        <tr r="T129" s="2"/>
      </tp>
      <tp t="s">
        <v>N/A</v>
        <stp/>
        <stp>VOLUME</stp>
        <stp>.SPXW251231P5440</stp>
        <tr r="X129" s="2"/>
      </tp>
      <tp>
        <v>1</v>
        <stp/>
        <stp>VOLUME</stp>
        <stp>.SPXW250930P5450</stp>
        <tr r="R128" s="2"/>
        <tr r="R128" s="2"/>
      </tp>
      <tp t="s">
        <v>N/A</v>
        <stp/>
        <stp>VOLUME</stp>
        <stp>.SPXW250505P5700</stp>
        <tr r="BB102" s="1"/>
      </tp>
      <tp>
        <v>270</v>
        <stp/>
        <stp>VOLUME</stp>
        <stp>.SPXW250516P5630</stp>
        <tr r="BF109" s="1"/>
        <tr r="BF109" s="1"/>
      </tp>
      <tp>
        <v>117</v>
        <stp/>
        <stp>VOLUME</stp>
        <stp>.SPXW250530P5450</stp>
        <tr r="I128" s="2"/>
        <tr r="I128" s="2"/>
      </tp>
      <tp>
        <v>11</v>
        <stp/>
        <stp>VOLUME</stp>
        <stp>.SPXW250731P5440</stp>
        <tr r="N129" s="2"/>
        <tr r="N129" s="2"/>
      </tp>
      <tp>
        <v>20</v>
        <stp/>
        <stp>VOLUME</stp>
        <stp>.SPXW250606P5730</stp>
        <tr r="J100" s="2"/>
        <tr r="J100" s="2"/>
      </tp>
      <tp>
        <v>71</v>
        <stp/>
        <stp>VOLUME</stp>
        <stp>.SPXW250630P5450</stp>
        <tr r="L128" s="2"/>
        <tr r="L128" s="2"/>
      </tp>
      <tp t="s">
        <v>N/A</v>
        <stp/>
        <stp>VOLUME</stp>
        <stp>.NDXP250829P20325</stp>
        <tr r="P143" s="2"/>
      </tp>
      <tp t="s">
        <v>N/A</v>
        <stp/>
        <stp>VOLUME</stp>
        <stp>.NDXP250829P19325</stp>
        <tr r="P183" s="2"/>
      </tp>
      <tp t="s">
        <v>N/A</v>
        <stp/>
        <stp>VOLUME</stp>
        <stp>.NDXP250509P20325</stp>
        <tr r="BD142" s="1"/>
      </tp>
      <tp>
        <v>1</v>
        <stp/>
        <stp>VOLUME</stp>
        <stp>.NDXP250509P19325</stp>
        <tr r="BD182" s="1"/>
        <tr r="BD182" s="1"/>
      </tp>
      <tp t="s">
        <v>N/A</v>
        <stp/>
        <stp>VOLUME</stp>
        <stp>.SPXW250930C5460</stp>
        <tr r="R127" s="2"/>
      </tp>
      <tp t="s">
        <v>N/A</v>
        <stp/>
        <stp>VOLUME</stp>
        <stp>.SPXW250505C5730</stp>
        <tr r="BA99" s="1"/>
      </tp>
      <tp>
        <v>1371</v>
        <stp/>
        <stp>VOLUME</stp>
        <stp>.SPXW250516C5600</stp>
        <tr r="BE112" s="1"/>
        <tr r="BE112" s="1"/>
      </tp>
      <tp t="s">
        <v>N/A</v>
        <stp/>
        <stp>VOLUME</stp>
        <stp>.SPXW250530C5460</stp>
        <tr r="I127" s="2"/>
      </tp>
      <tp t="s">
        <v>N/A</v>
        <stp/>
        <stp>VOLUME</stp>
        <stp>.SPXW250731C5470</stp>
        <tr r="N126" s="2"/>
      </tp>
      <tp t="s">
        <v>N/A</v>
        <stp/>
        <stp>VOLUME</stp>
        <stp>.SPXW250606C5700</stp>
        <tr r="J103" s="2"/>
      </tp>
      <tp t="s">
        <v>N/A</v>
        <stp/>
        <stp>VOLUME</stp>
        <stp>.SPXW250630C5460</stp>
        <tr r="L127" s="2"/>
      </tp>
      <tp t="s">
        <v>N/A</v>
        <stp/>
        <stp>VOLUME</stp>
        <stp>.SPXW251031C5470</stp>
        <tr r="T126" s="2"/>
      </tp>
      <tp t="s">
        <v>N/A</v>
        <stp/>
        <stp>VOLUME</stp>
        <stp>.SPXW251231C5470</stp>
        <tr r="X126" s="2"/>
      </tp>
      <tp t="s">
        <v>N/A</v>
        <stp/>
        <stp>VOLUME</stp>
        <stp>.SPXW251031P5470</stp>
        <tr r="T126" s="2"/>
      </tp>
      <tp t="s">
        <v>N/A</v>
        <stp/>
        <stp>VOLUME</stp>
        <stp>.SPXW251231P5470</stp>
        <tr r="X126" s="2"/>
      </tp>
      <tp t="s">
        <v>N/A</v>
        <stp/>
        <stp>VOLUME</stp>
        <stp>.SPXW250930P5460</stp>
        <tr r="R127" s="2"/>
      </tp>
      <tp t="s">
        <v>N/A</v>
        <stp/>
        <stp>VOLUME</stp>
        <stp>.SPXW250505P5730</stp>
        <tr r="BB99" s="1"/>
      </tp>
      <tp>
        <v>1474</v>
        <stp/>
        <stp>VOLUME</stp>
        <stp>.SPXW250516P5600</stp>
        <tr r="BF112" s="1"/>
        <tr r="BF112" s="1"/>
      </tp>
      <tp>
        <v>25</v>
        <stp/>
        <stp>VOLUME</stp>
        <stp>.SPXW250530P5460</stp>
        <tr r="I127" s="2"/>
        <tr r="I127" s="2"/>
      </tp>
      <tp t="s">
        <v>N/A</v>
        <stp/>
        <stp>VOLUME</stp>
        <stp>.SPXW250731P5470</stp>
        <tr r="N126" s="2"/>
      </tp>
      <tp t="s">
        <v>N/A</v>
        <stp/>
        <stp>VOLUME</stp>
        <stp>.SPXW250606P5700</stp>
        <tr r="J103" s="2"/>
      </tp>
      <tp t="s">
        <v>N/A</v>
        <stp/>
        <stp>VOLUME</stp>
        <stp>.SPXW250630P5460</stp>
        <tr r="L127" s="2"/>
      </tp>
      <tp t="s">
        <v>N/A</v>
        <stp/>
        <stp>VOLUME</stp>
        <stp>.NDXP251128P20225</stp>
        <tr r="V147" s="2"/>
      </tp>
      <tp t="s">
        <v>N/A</v>
        <stp/>
        <stp>VOLUME</stp>
        <stp>.NDXP251128P19225</stp>
        <tr r="V187" s="2"/>
      </tp>
      <tp t="s">
        <v>N/A</v>
        <stp/>
        <stp>VOLUME</stp>
        <stp>.SPXW250930C5470</stp>
        <tr r="R126" s="2"/>
      </tp>
      <tp t="s">
        <v>N/A</v>
        <stp/>
        <stp>VOLUME</stp>
        <stp>.SPXW250505C5720</stp>
        <tr r="BA100" s="1"/>
      </tp>
      <tp>
        <v>1096</v>
        <stp/>
        <stp>VOLUME</stp>
        <stp>.SPXW250516C5610</stp>
        <tr r="BE111" s="1"/>
        <tr r="BE111" s="1"/>
      </tp>
      <tp>
        <v>3</v>
        <stp/>
        <stp>VOLUME</stp>
        <stp>.SPXW250530C5470</stp>
        <tr r="I126" s="2"/>
        <tr r="I126" s="2"/>
      </tp>
      <tp t="s">
        <v>N/A</v>
        <stp/>
        <stp>VOLUME</stp>
        <stp>.SPXW250731C5460</stp>
        <tr r="N127" s="2"/>
      </tp>
      <tp t="s">
        <v>N/A</v>
        <stp/>
        <stp>VOLUME</stp>
        <stp>.SPXW250606C5710</stp>
        <tr r="J102" s="2"/>
      </tp>
      <tp t="s">
        <v>N/A</v>
        <stp/>
        <stp>VOLUME</stp>
        <stp>.SPXW250630C5470</stp>
        <tr r="L126" s="2"/>
      </tp>
      <tp t="s">
        <v>N/A</v>
        <stp/>
        <stp>VOLUME</stp>
        <stp>.SPXW251031C5460</stp>
        <tr r="T127" s="2"/>
      </tp>
      <tp t="s">
        <v>N/A</v>
        <stp/>
        <stp>VOLUME</stp>
        <stp>.SPXW251231C5460</stp>
        <tr r="X127" s="2"/>
      </tp>
      <tp t="s">
        <v>N/A</v>
        <stp/>
        <stp>VOLUME</stp>
        <stp>.SPXW251031P5460</stp>
        <tr r="T127" s="2"/>
      </tp>
      <tp t="s">
        <v>N/A</v>
        <stp/>
        <stp>VOLUME</stp>
        <stp>.SPXW251231P5460</stp>
        <tr r="X127" s="2"/>
      </tp>
      <tp t="s">
        <v>N/A</v>
        <stp/>
        <stp>VOLUME</stp>
        <stp>.SPXW250930P5470</stp>
        <tr r="R126" s="2"/>
      </tp>
      <tp t="s">
        <v>N/A</v>
        <stp/>
        <stp>VOLUME</stp>
        <stp>.SPXW250505P5720</stp>
        <tr r="BB100" s="1"/>
      </tp>
      <tp>
        <v>621</v>
        <stp/>
        <stp>VOLUME</stp>
        <stp>.SPXW250516P5610</stp>
        <tr r="BF111" s="1"/>
        <tr r="BF111" s="1"/>
      </tp>
      <tp>
        <v>15</v>
        <stp/>
        <stp>VOLUME</stp>
        <stp>.SPXW250530P5470</stp>
        <tr r="I126" s="2"/>
        <tr r="I126" s="2"/>
      </tp>
      <tp t="s">
        <v>N/A</v>
        <stp/>
        <stp>VOLUME</stp>
        <stp>.SPXW250731P5460</stp>
        <tr r="N127" s="2"/>
      </tp>
      <tp t="s">
        <v>N/A</v>
        <stp/>
        <stp>VOLUME</stp>
        <stp>.SPXW250606P5710</stp>
        <tr r="J102" s="2"/>
      </tp>
      <tp>
        <v>1</v>
        <stp/>
        <stp>VOLUME</stp>
        <stp>.SPXW250630P5470</stp>
        <tr r="L126" s="2"/>
        <tr r="L126" s="2"/>
      </tp>
      <tp>
        <v>10</v>
        <stp/>
        <stp>OPEN_INT</stp>
        <stp>.NDXP250505C19700</stp>
        <tr r="AS167" s="1"/>
        <tr r="AS167" s="1"/>
      </tp>
      <tp>
        <v>1</v>
        <stp/>
        <stp>OPEN_INT</stp>
        <stp>.NDXP250505C19725</stp>
        <tr r="AS166" s="1"/>
        <tr r="AS166" s="1"/>
      </tp>
      <tp>
        <v>3</v>
        <stp/>
        <stp>OPEN_INT</stp>
        <stp>.NDXP250505C19750</stp>
        <tr r="AS165" s="1"/>
        <tr r="AS165" s="1"/>
      </tp>
      <tp>
        <v>4</v>
        <stp/>
        <stp>OPEN_INT</stp>
        <stp>.NDXP250505C19775</stp>
        <tr r="AS164" s="1"/>
        <tr r="AS164" s="1"/>
      </tp>
      <tp>
        <v>9</v>
        <stp/>
        <stp>OPEN_INT</stp>
        <stp>.NDXP250505P19725</stp>
        <tr r="AT166" s="1"/>
        <tr r="AT166" s="1"/>
      </tp>
      <tp>
        <v>16</v>
        <stp/>
        <stp>OPEN_INT</stp>
        <stp>.NDXP250505P19700</stp>
        <tr r="AT167" s="1"/>
        <tr r="AT167" s="1"/>
      </tp>
      <tp>
        <v>23</v>
        <stp/>
        <stp>OPEN_INT</stp>
        <stp>.NDXP250505P19775</stp>
        <tr r="AT164" s="1"/>
        <tr r="AT164" s="1"/>
      </tp>
      <tp>
        <v>23</v>
        <stp/>
        <stp>OPEN_INT</stp>
        <stp>.NDXP250505P19750</stp>
        <tr r="AT165" s="1"/>
        <tr r="AT165" s="1"/>
      </tp>
      <tp>
        <v>-1</v>
        <stp/>
        <stp>DELTA</stp>
        <stp>.NDXP250509P20125</stp>
        <tr r="CG150" s="1"/>
        <tr r="CG150" s="1"/>
      </tp>
      <tp>
        <v>-1</v>
        <stp/>
        <stp>DELTA</stp>
        <stp>.NDXP250509P20100</stp>
        <tr r="CG151" s="1"/>
        <tr r="CG151" s="1"/>
      </tp>
      <tp>
        <v>-0.88</v>
        <stp/>
        <stp>DELTA</stp>
        <stp>.NDXP250509P20175</stp>
        <tr r="CG148" s="1"/>
        <tr r="CG148" s="1"/>
      </tp>
      <tp>
        <v>-0.04</v>
        <stp/>
        <stp>DELTA</stp>
        <stp>.NDXP250509P19175</stp>
        <tr r="CG188" s="1"/>
        <tr r="CG188" s="1"/>
      </tp>
      <tp>
        <v>-0.86</v>
        <stp/>
        <stp>DELTA</stp>
        <stp>.NDXP250509P20150</stp>
        <tr r="CG149" s="1"/>
        <tr r="CG149" s="1"/>
      </tp>
      <tp>
        <v>-0.04</v>
        <stp/>
        <stp>DELTA</stp>
        <stp>.NDXP250509P19150</stp>
        <tr r="CG189" s="1"/>
        <tr r="CG189" s="1"/>
      </tp>
      <tp>
        <v>0.05</v>
        <stp/>
        <stp>DELTA</stp>
        <stp>.NDXP250509C20100</stp>
        <tr r="CF151" s="1"/>
        <tr r="CF151" s="1"/>
      </tp>
      <tp>
        <v>0</v>
        <stp/>
        <stp>DELTA</stp>
        <stp>.NDXP250509C20125</stp>
        <tr r="CF150" s="1"/>
        <tr r="CF150" s="1"/>
      </tp>
      <tp>
        <v>0</v>
        <stp/>
        <stp>DELTA</stp>
        <stp>.NDXP250509C20150</stp>
        <tr r="CF149" s="1"/>
        <tr r="CF149" s="1"/>
      </tp>
      <tp>
        <v>0.99</v>
        <stp/>
        <stp>DELTA</stp>
        <stp>.NDXP250509C19150</stp>
        <tr r="CF189" s="1"/>
        <tr r="CF189" s="1"/>
      </tp>
      <tp>
        <v>0.16</v>
        <stp/>
        <stp>DELTA</stp>
        <stp>.NDXP250509C20175</stp>
        <tr r="CF148" s="1"/>
        <tr r="CF148" s="1"/>
      </tp>
      <tp>
        <v>0.92</v>
        <stp/>
        <stp>DELTA</stp>
        <stp>.NDXP250509C19175</stp>
        <tr r="CF188" s="1"/>
        <tr r="CF188" s="1"/>
      </tp>
      <tp t="s">
        <v>N/A</v>
        <stp/>
        <stp>VOLUME</stp>
        <stp>.NDXP250829C20275</stp>
        <tr r="P145" s="2"/>
      </tp>
      <tp t="s">
        <v>N/A</v>
        <stp/>
        <stp>VOLUME</stp>
        <stp>.NDXP250829C19275</stp>
        <tr r="P185" s="2"/>
      </tp>
      <tp>
        <v>110</v>
        <stp/>
        <stp>VOLUME</stp>
        <stp>.NDXP250509C20275</stp>
        <tr r="BC144" s="1"/>
        <tr r="BC144" s="1"/>
      </tp>
      <tp t="s">
        <v>N/A</v>
        <stp/>
        <stp>VOLUME</stp>
        <stp>.NDXP250509C19275</stp>
        <tr r="BC184" s="1"/>
      </tp>
      <tp t="s">
        <v>N/A</v>
        <stp/>
        <stp>VOLUME</stp>
        <stp>.NDXP251128C20375</stp>
        <tr r="V141" s="2"/>
      </tp>
      <tp t="s">
        <v>N/A</v>
        <stp/>
        <stp>VOLUME</stp>
        <stp>.NDXP251128C19375</stp>
        <tr r="V181" s="2"/>
      </tp>
      <tp t="s">
        <v>N/A</v>
        <stp/>
        <stp>VOLUME</stp>
        <stp>.NDXP250829C20250</stp>
        <tr r="P146" s="2"/>
      </tp>
      <tp t="s">
        <v>N/A</v>
        <stp/>
        <stp>VOLUME</stp>
        <stp>.NDXP250829C19250</stp>
        <tr r="P186" s="2"/>
      </tp>
      <tp>
        <v>400</v>
        <stp/>
        <stp>VOLUME</stp>
        <stp>.NDXP250509C20250</stp>
        <tr r="BC145" s="1"/>
        <tr r="BC145" s="1"/>
      </tp>
      <tp t="s">
        <v>N/A</v>
        <stp/>
        <stp>VOLUME</stp>
        <stp>.NDXP250509C19250</stp>
        <tr r="BC185" s="1"/>
      </tp>
      <tp t="s">
        <v>N/A</v>
        <stp/>
        <stp>VOLUME</stp>
        <stp>.NDXP251128C20350</stp>
        <tr r="V142" s="2"/>
      </tp>
      <tp t="s">
        <v>N/A</v>
        <stp/>
        <stp>VOLUME</stp>
        <stp>.NDXP251128C19350</stp>
        <tr r="V182" s="2"/>
      </tp>
      <tp t="s">
        <v>N/A</v>
        <stp/>
        <stp>VOLUME</stp>
        <stp>.NDXP251128C20325</stp>
        <tr r="V143" s="2"/>
      </tp>
      <tp t="s">
        <v>N/A</v>
        <stp/>
        <stp>VOLUME</stp>
        <stp>.NDXP251128C19325</stp>
        <tr r="V183" s="2"/>
      </tp>
      <tp t="s">
        <v>N/A</v>
        <stp/>
        <stp>VOLUME</stp>
        <stp>.NDXP250829C20225</stp>
        <tr r="P147" s="2"/>
      </tp>
      <tp t="s">
        <v>N/A</v>
        <stp/>
        <stp>VOLUME</stp>
        <stp>.NDXP250829C19225</stp>
        <tr r="P187" s="2"/>
      </tp>
      <tp>
        <v>97</v>
        <stp/>
        <stp>VOLUME</stp>
        <stp>.NDXP250509C20225</stp>
        <tr r="BC146" s="1"/>
        <tr r="BC146" s="1"/>
      </tp>
      <tp>
        <v>1</v>
        <stp/>
        <stp>VOLUME</stp>
        <stp>.NDXP250509C19225</stp>
        <tr r="BC186" s="1"/>
        <tr r="BC186" s="1"/>
      </tp>
      <tp t="s">
        <v>N/A</v>
        <stp/>
        <stp>VOLUME</stp>
        <stp>.NDXP251128C20300</stp>
        <tr r="V144" s="2"/>
      </tp>
      <tp t="s">
        <v>N/A</v>
        <stp/>
        <stp>VOLUME</stp>
        <stp>.NDXP251128C19300</stp>
        <tr r="V184" s="2"/>
      </tp>
      <tp t="s">
        <v>N/A</v>
        <stp/>
        <stp>VOLUME</stp>
        <stp>.NDXP250829C20200</stp>
        <tr r="P148" s="2"/>
      </tp>
      <tp t="s">
        <v>N/A</v>
        <stp/>
        <stp>VOLUME</stp>
        <stp>.NDXP250829C19200</stp>
        <tr r="P188" s="2"/>
      </tp>
      <tp>
        <v>1232</v>
        <stp/>
        <stp>VOLUME</stp>
        <stp>.NDXP250509C20200</stp>
        <tr r="BC147" s="1"/>
        <tr r="BC147" s="1"/>
      </tp>
      <tp>
        <v>35</v>
        <stp/>
        <stp>VOLUME</stp>
        <stp>.NDXP250509C19200</stp>
        <tr r="BC187" s="1"/>
        <tr r="BC187" s="1"/>
      </tp>
      <tp t="s">
        <v>N/A</v>
        <stp/>
        <stp>VOLUME</stp>
        <stp>.SPXW250930C5580</stp>
        <tr r="R115" s="2"/>
      </tp>
      <tp>
        <v>794</v>
        <stp/>
        <stp>VOLUME</stp>
        <stp>.SPXW250509C5610</stp>
        <tr r="BC111" s="1"/>
        <tr r="BC111" s="1"/>
      </tp>
      <tp t="s">
        <v>N/A</v>
        <stp/>
        <stp>VOLUME</stp>
        <stp>.SPXW250530C5580</stp>
        <tr r="I115" s="2"/>
      </tp>
      <tp t="s">
        <v>N/A</v>
        <stp/>
        <stp>VOLUME</stp>
        <stp>.SPXW250731C5590</stp>
        <tr r="N114" s="2"/>
      </tp>
      <tp t="s">
        <v>N/A</v>
        <stp/>
        <stp>VOLUME</stp>
        <stp>.SPXW250630C5580</stp>
        <tr r="L115" s="2"/>
      </tp>
      <tp t="s">
        <v>N/A</v>
        <stp/>
        <stp>VOLUME</stp>
        <stp>.SPXW251031C5590</stp>
        <tr r="T114" s="2"/>
      </tp>
      <tp t="s">
        <v>N/A</v>
        <stp/>
        <stp>VOLUME</stp>
        <stp>.SPXW251231C5590</stp>
        <tr r="X114" s="2"/>
      </tp>
      <tp t="s">
        <v>N/A</v>
        <stp/>
        <stp>VOLUME</stp>
        <stp>.SPXW251031P5590</stp>
        <tr r="T114" s="2"/>
      </tp>
      <tp t="s">
        <v>N/A</v>
        <stp/>
        <stp>VOLUME</stp>
        <stp>.SPXW251231P5590</stp>
        <tr r="X114" s="2"/>
      </tp>
      <tp t="s">
        <v>N/A</v>
        <stp/>
        <stp>VOLUME</stp>
        <stp>.SPXW250930P5580</stp>
        <tr r="R115" s="2"/>
      </tp>
      <tp>
        <v>30254</v>
        <stp/>
        <stp>VOLUME</stp>
        <stp>.SPXW250509P5610</stp>
        <tr r="BD111" s="1"/>
        <tr r="BD111" s="1"/>
      </tp>
      <tp t="s">
        <v>N/A</v>
        <stp/>
        <stp>VOLUME</stp>
        <stp>.SPXW250530P5580</stp>
        <tr r="I115" s="2"/>
      </tp>
      <tp>
        <v>2</v>
        <stp/>
        <stp>VOLUME</stp>
        <stp>.SPXW250731P5590</stp>
        <tr r="N114" s="2"/>
        <tr r="N114" s="2"/>
      </tp>
      <tp t="s">
        <v>N/A</v>
        <stp/>
        <stp>VOLUME</stp>
        <stp>.SPXW250630P5580</stp>
        <tr r="L115" s="2"/>
      </tp>
      <tp t="s">
        <v>N/A</v>
        <stp/>
        <stp>VOLUME</stp>
        <stp>.SPXW250930C5590</stp>
        <tr r="R114" s="2"/>
      </tp>
      <tp>
        <v>1372</v>
        <stp/>
        <stp>VOLUME</stp>
        <stp>.SPXW250509C5600</stp>
        <tr r="BC112" s="1"/>
        <tr r="BC112" s="1"/>
      </tp>
      <tp t="s">
        <v>N/A</v>
        <stp/>
        <stp>VOLUME</stp>
        <stp>.SPXW250530C5590</stp>
        <tr r="I114" s="2"/>
      </tp>
      <tp t="s">
        <v>N/A</v>
        <stp/>
        <stp>VOLUME</stp>
        <stp>.SPXW250731C5580</stp>
        <tr r="N115" s="2"/>
      </tp>
      <tp t="s">
        <v>N/A</v>
        <stp/>
        <stp>VOLUME</stp>
        <stp>.SPXW250630C5590</stp>
        <tr r="L114" s="2"/>
      </tp>
      <tp t="s">
        <v>N/A</v>
        <stp/>
        <stp>VOLUME</stp>
        <stp>.SPXW251031C5580</stp>
        <tr r="T115" s="2"/>
      </tp>
      <tp t="s">
        <v>N/A</v>
        <stp/>
        <stp>VOLUME</stp>
        <stp>.SPXW251231C5580</stp>
        <tr r="X115" s="2"/>
      </tp>
      <tp t="s">
        <v>N/A</v>
        <stp/>
        <stp>VOLUME</stp>
        <stp>.SPXW251031P5580</stp>
        <tr r="T115" s="2"/>
      </tp>
      <tp t="s">
        <v>N/A</v>
        <stp/>
        <stp>VOLUME</stp>
        <stp>.SPXW251231P5580</stp>
        <tr r="X115" s="2"/>
      </tp>
      <tp t="s">
        <v>N/A</v>
        <stp/>
        <stp>VOLUME</stp>
        <stp>.SPXW250930P5590</stp>
        <tr r="R114" s="2"/>
      </tp>
      <tp>
        <v>50603</v>
        <stp/>
        <stp>VOLUME</stp>
        <stp>.SPXW250509P5600</stp>
        <tr r="BD112" s="1"/>
        <tr r="BD112" s="1"/>
      </tp>
      <tp>
        <v>4</v>
        <stp/>
        <stp>VOLUME</stp>
        <stp>.SPXW250530P5590</stp>
        <tr r="I114" s="2"/>
        <tr r="I114" s="2"/>
      </tp>
      <tp>
        <v>1</v>
        <stp/>
        <stp>VOLUME</stp>
        <stp>.SPXW250731P5580</stp>
        <tr r="N115" s="2"/>
        <tr r="N115" s="2"/>
      </tp>
      <tp>
        <v>3</v>
        <stp/>
        <stp>VOLUME</stp>
        <stp>.SPXW250630P5590</stp>
        <tr r="L114" s="2"/>
        <tr r="L114" s="2"/>
      </tp>
      <tp t="s">
        <v>N/A</v>
        <stp/>
        <stp>VOLUME</stp>
        <stp>.SPXW250829C5430</stp>
        <tr r="P130" s="2"/>
      </tp>
      <tp>
        <v>2307</v>
        <stp/>
        <stp>VOLUME</stp>
        <stp>.SPXW250509C5630</stp>
        <tr r="BC109" s="1"/>
        <tr r="BC109" s="1"/>
      </tp>
      <tp t="s">
        <v>N/A</v>
        <stp/>
        <stp>VOLUME</stp>
        <stp>.SPXW251128C5420</stp>
        <tr r="V131" s="2"/>
      </tp>
      <tp t="s">
        <v>N/A</v>
        <stp/>
        <stp>VOLUME</stp>
        <stp>.SPXW251128P5420</stp>
        <tr r="V131" s="2"/>
      </tp>
      <tp>
        <v>4</v>
        <stp/>
        <stp>VOLUME</stp>
        <stp>.SPXW250829P5430</stp>
        <tr r="P130" s="2"/>
        <tr r="P130" s="2"/>
      </tp>
      <tp>
        <v>43735</v>
        <stp/>
        <stp>VOLUME</stp>
        <stp>.SPXW250509P5630</stp>
        <tr r="BD109" s="1"/>
        <tr r="BD109" s="1"/>
      </tp>
      <tp t="s">
        <v>N/A</v>
        <stp/>
        <stp>VOLUME</stp>
        <stp>.SPXW250829C5420</stp>
        <tr r="P131" s="2"/>
      </tp>
      <tp>
        <v>1489</v>
        <stp/>
        <stp>VOLUME</stp>
        <stp>.SPXW250509C5620</stp>
        <tr r="BC110" s="1"/>
        <tr r="BC110" s="1"/>
      </tp>
      <tp t="s">
        <v>N/A</v>
        <stp/>
        <stp>VOLUME</stp>
        <stp>.SPXW251128C5430</stp>
        <tr r="V130" s="2"/>
      </tp>
      <tp t="s">
        <v>N/A</v>
        <stp/>
        <stp>VOLUME</stp>
        <stp>.SPXW251128P5430</stp>
        <tr r="V130" s="2"/>
      </tp>
      <tp>
        <v>2</v>
        <stp/>
        <stp>VOLUME</stp>
        <stp>.SPXW250829P5420</stp>
        <tr r="P131" s="2"/>
        <tr r="P131" s="2"/>
      </tp>
      <tp>
        <v>44849</v>
        <stp/>
        <stp>VOLUME</stp>
        <stp>.SPXW250509P5620</stp>
        <tr r="BD110" s="1"/>
        <tr r="BD110" s="1"/>
      </tp>
      <tp t="s">
        <v>N/A</v>
        <stp/>
        <stp>VOLUME</stp>
        <stp>.SPXW250829C5450</stp>
        <tr r="P128" s="2"/>
      </tp>
      <tp t="s">
        <v>N/A</v>
        <stp/>
        <stp>VOLUME</stp>
        <stp>.SPXW250505C5690</stp>
        <tr r="BA103" s="1"/>
      </tp>
      <tp>
        <v>21738</v>
        <stp/>
        <stp>VOLUME</stp>
        <stp>.SPXW250509C5650</stp>
        <tr r="BC107" s="1"/>
        <tr r="BC107" s="1"/>
      </tp>
      <tp t="s">
        <v>N/A</v>
        <stp/>
        <stp>VOLUME</stp>
        <stp>.SPXW251128C5440</stp>
        <tr r="V129" s="2"/>
      </tp>
      <tp t="s">
        <v>N/A</v>
        <stp/>
        <stp>VOLUME</stp>
        <stp>.SPXW251128P5440</stp>
        <tr r="V129" s="2"/>
      </tp>
      <tp>
        <v>14</v>
        <stp/>
        <stp>VOLUME</stp>
        <stp>.SPXW250829P5450</stp>
        <tr r="P128" s="2"/>
        <tr r="P128" s="2"/>
      </tp>
      <tp t="s">
        <v>N/A</v>
        <stp/>
        <stp>VOLUME</stp>
        <stp>.SPXW250505P5690</stp>
        <tr r="BB103" s="1"/>
      </tp>
      <tp>
        <v>91277</v>
        <stp/>
        <stp>VOLUME</stp>
        <stp>.SPXW250509P5650</stp>
        <tr r="BD107" s="1"/>
        <tr r="BD107" s="1"/>
      </tp>
      <tp t="s">
        <v>N/A</v>
        <stp/>
        <stp>VOLUME</stp>
        <stp>.SPXW250829C5440</stp>
        <tr r="P129" s="2"/>
      </tp>
      <tp t="s">
        <v>N/A</v>
        <stp/>
        <stp>VOLUME</stp>
        <stp>.SPXW250505C5680</stp>
        <tr r="BA104" s="1"/>
      </tp>
      <tp>
        <v>4974</v>
        <stp/>
        <stp>VOLUME</stp>
        <stp>.SPXW250509C5640</stp>
        <tr r="BC108" s="1"/>
        <tr r="BC108" s="1"/>
      </tp>
      <tp t="s">
        <v>N/A</v>
        <stp/>
        <stp>VOLUME</stp>
        <stp>.SPXW251128C5450</stp>
        <tr r="V128" s="2"/>
      </tp>
      <tp t="s">
        <v>N/A</v>
        <stp/>
        <stp>VOLUME</stp>
        <stp>.SPXW251128P5450</stp>
        <tr r="V128" s="2"/>
      </tp>
      <tp>
        <v>3</v>
        <stp/>
        <stp>VOLUME</stp>
        <stp>.SPXW250829P5440</stp>
        <tr r="P129" s="2"/>
        <tr r="P129" s="2"/>
      </tp>
      <tp t="s">
        <v>N/A</v>
        <stp/>
        <stp>VOLUME</stp>
        <stp>.SPXW250505P5680</stp>
        <tr r="BB104" s="1"/>
      </tp>
      <tp>
        <v>58189</v>
        <stp/>
        <stp>VOLUME</stp>
        <stp>.SPXW250509P5640</stp>
        <tr r="BD108" s="1"/>
        <tr r="BD108" s="1"/>
      </tp>
      <tp t="s">
        <v>N/A</v>
        <stp/>
        <stp>VOLUME</stp>
        <stp>.SPXW250829C5470</stp>
        <tr r="P126" s="2"/>
      </tp>
      <tp>
        <v>75748</v>
        <stp/>
        <stp>VOLUME</stp>
        <stp>.SPXW250509C5670</stp>
        <tr r="BC105" s="1"/>
        <tr r="BC105" s="1"/>
      </tp>
      <tp>
        <v>511</v>
        <stp/>
        <stp>VOLUME</stp>
        <stp>.SPXW250516C5780</stp>
        <tr r="BE94" s="1"/>
        <tr r="BE94" s="1"/>
      </tp>
      <tp>
        <v>62</v>
        <stp/>
        <stp>VOLUME</stp>
        <stp>.SPXW250606C5680</stp>
        <tr r="J105" s="2"/>
        <tr r="J105" s="2"/>
      </tp>
      <tp t="s">
        <v>N/A</v>
        <stp/>
        <stp>VOLUME</stp>
        <stp>.SPXW251128C5460</stp>
        <tr r="V127" s="2"/>
      </tp>
      <tp t="s">
        <v>N/A</v>
        <stp/>
        <stp>VOLUME</stp>
        <stp>.SPXW251128P5460</stp>
        <tr r="V127" s="2"/>
      </tp>
      <tp>
        <v>7</v>
        <stp/>
        <stp>VOLUME</stp>
        <stp>.SPXW250829P5470</stp>
        <tr r="P126" s="2"/>
        <tr r="P126" s="2"/>
      </tp>
      <tp>
        <v>31774</v>
        <stp/>
        <stp>VOLUME</stp>
        <stp>.SPXW250509P5670</stp>
        <tr r="BD105" s="1"/>
        <tr r="BD105" s="1"/>
      </tp>
      <tp t="s">
        <v>N/A</v>
        <stp/>
        <stp>VOLUME</stp>
        <stp>.SPXW250516P5780</stp>
        <tr r="BF94" s="1"/>
      </tp>
      <tp>
        <v>197</v>
        <stp/>
        <stp>VOLUME</stp>
        <stp>.SPXW250606P5680</stp>
        <tr r="J105" s="2"/>
        <tr r="J105" s="2"/>
      </tp>
      <tp t="s">
        <v>N/A</v>
        <stp/>
        <stp>VOLUME</stp>
        <stp>.SPXW250829C5460</stp>
        <tr r="P127" s="2"/>
      </tp>
      <tp>
        <v>58277</v>
        <stp/>
        <stp>VOLUME</stp>
        <stp>.SPXW250509C5660</stp>
        <tr r="BC106" s="1"/>
        <tr r="BC106" s="1"/>
      </tp>
      <tp>
        <v>291</v>
        <stp/>
        <stp>VOLUME</stp>
        <stp>.SPXW250516C5790</stp>
        <tr r="BE93" s="1"/>
        <tr r="BE93" s="1"/>
      </tp>
      <tp>
        <v>2</v>
        <stp/>
        <stp>VOLUME</stp>
        <stp>.SPXW250606C5690</stp>
        <tr r="J104" s="2"/>
        <tr r="J104" s="2"/>
      </tp>
      <tp t="s">
        <v>N/A</v>
        <stp/>
        <stp>VOLUME</stp>
        <stp>.SPXW251128C5470</stp>
        <tr r="V126" s="2"/>
      </tp>
      <tp t="s">
        <v>N/A</v>
        <stp/>
        <stp>VOLUME</stp>
        <stp>.SPXW251128P5470</stp>
        <tr r="V126" s="2"/>
      </tp>
      <tp t="s">
        <v>N/A</v>
        <stp/>
        <stp>VOLUME</stp>
        <stp>.SPXW250829P5460</stp>
        <tr r="P127" s="2"/>
      </tp>
      <tp>
        <v>77180</v>
        <stp/>
        <stp>VOLUME</stp>
        <stp>.SPXW250509P5660</stp>
        <tr r="BD106" s="1"/>
        <tr r="BD106" s="1"/>
      </tp>
      <tp>
        <v>2</v>
        <stp/>
        <stp>VOLUME</stp>
        <stp>.SPXW250516P5790</stp>
        <tr r="BF93" s="1"/>
        <tr r="BF93" s="1"/>
      </tp>
      <tp>
        <v>4</v>
        <stp/>
        <stp>VOLUME</stp>
        <stp>.SPXW250606P5690</stp>
        <tr r="J104" s="2"/>
        <tr r="J104" s="2"/>
      </tp>
      <tp t="s">
        <v>N/A</v>
        <stp/>
        <stp>VOLUME</stp>
        <stp>.NDXP251128P20350</stp>
        <tr r="V142" s="2"/>
      </tp>
      <tp t="s">
        <v>N/A</v>
        <stp/>
        <stp>VOLUME</stp>
        <stp>.NDXP251128P19350</stp>
        <tr r="V182" s="2"/>
      </tp>
      <tp t="s">
        <v>N/A</v>
        <stp/>
        <stp>VOLUME</stp>
        <stp>.SPXW250930C5500</stp>
        <tr r="R123" s="2"/>
      </tp>
      <tp t="s">
        <v>N/A</v>
        <stp/>
        <stp>VOLUME</stp>
        <stp>.SPXW250829C5490</stp>
        <tr r="P124" s="2"/>
      </tp>
      <tp t="s">
        <v>N/A</v>
        <stp/>
        <stp>VOLUME</stp>
        <stp>.SPXW250505C5650</stp>
        <tr r="BA107" s="1"/>
      </tp>
      <tp>
        <v>58065</v>
        <stp/>
        <stp>VOLUME</stp>
        <stp>.SPXW250509C5690</stp>
        <tr r="BC103" s="1"/>
        <tr r="BC103" s="1"/>
      </tp>
      <tp>
        <v>499</v>
        <stp/>
        <stp>VOLUME</stp>
        <stp>.SPXW250516C5760</stp>
        <tr r="BE96" s="1"/>
        <tr r="BE96" s="1"/>
      </tp>
      <tp>
        <v>12</v>
        <stp/>
        <stp>VOLUME</stp>
        <stp>.SPXW250530C5500</stp>
        <tr r="I123" s="2"/>
        <tr r="I123" s="2"/>
      </tp>
      <tp t="s">
        <v>N/A</v>
        <stp/>
        <stp>VOLUME</stp>
        <stp>.SPXW250731C5510</stp>
        <tr r="N122" s="2"/>
      </tp>
      <tp>
        <v>13</v>
        <stp/>
        <stp>VOLUME</stp>
        <stp>.SPXW250606C5660</stp>
        <tr r="J107" s="2"/>
        <tr r="J107" s="2"/>
      </tp>
      <tp>
        <v>20</v>
        <stp/>
        <stp>VOLUME</stp>
        <stp>.SPXW250630C5500</stp>
        <tr r="L123" s="2"/>
        <tr r="L123" s="2"/>
      </tp>
      <tp t="s">
        <v>N/A</v>
        <stp/>
        <stp>VOLUME</stp>
        <stp>.SPXW251128C5480</stp>
        <tr r="V125" s="2"/>
      </tp>
      <tp t="s">
        <v>N/A</v>
        <stp/>
        <stp>VOLUME</stp>
        <stp>.SPXW251031C5510</stp>
        <tr r="T122" s="2"/>
      </tp>
      <tp t="s">
        <v>N/A</v>
        <stp/>
        <stp>VOLUME</stp>
        <stp>.SPXW251231C5510</stp>
        <tr r="X122" s="2"/>
      </tp>
      <tp t="s">
        <v>N/A</v>
        <stp/>
        <stp>VOLUME</stp>
        <stp>.SPXW251128P5480</stp>
        <tr r="V125" s="2"/>
      </tp>
      <tp t="s">
        <v>N/A</v>
        <stp/>
        <stp>VOLUME</stp>
        <stp>.SPXW251031P5510</stp>
        <tr r="T122" s="2"/>
      </tp>
      <tp t="s">
        <v>N/A</v>
        <stp/>
        <stp>VOLUME</stp>
        <stp>.SPXW251231P5510</stp>
        <tr r="X122" s="2"/>
      </tp>
      <tp>
        <v>54</v>
        <stp/>
        <stp>VOLUME</stp>
        <stp>.SPXW250930P5500</stp>
        <tr r="R123" s="2"/>
        <tr r="R123" s="2"/>
      </tp>
      <tp t="s">
        <v>N/A</v>
        <stp/>
        <stp>VOLUME</stp>
        <stp>.SPXW250829P5490</stp>
        <tr r="P124" s="2"/>
      </tp>
      <tp t="s">
        <v>N/A</v>
        <stp/>
        <stp>VOLUME</stp>
        <stp>.SPXW250505P5650</stp>
        <tr r="BB107" s="1"/>
      </tp>
      <tp>
        <v>6408</v>
        <stp/>
        <stp>VOLUME</stp>
        <stp>.SPXW250509P5690</stp>
        <tr r="BD103" s="1"/>
        <tr r="BD103" s="1"/>
      </tp>
      <tp>
        <v>10</v>
        <stp/>
        <stp>VOLUME</stp>
        <stp>.SPXW250516P5760</stp>
        <tr r="BF96" s="1"/>
        <tr r="BF96" s="1"/>
      </tp>
      <tp>
        <v>1223</v>
        <stp/>
        <stp>VOLUME</stp>
        <stp>.SPXW250530P5500</stp>
        <tr r="I123" s="2"/>
        <tr r="I123" s="2"/>
      </tp>
      <tp t="s">
        <v>N/A</v>
        <stp/>
        <stp>VOLUME</stp>
        <stp>.SPXW250731P5510</stp>
        <tr r="N122" s="2"/>
      </tp>
      <tp>
        <v>479</v>
        <stp/>
        <stp>VOLUME</stp>
        <stp>.SPXW250606P5660</stp>
        <tr r="J107" s="2"/>
        <tr r="J107" s="2"/>
      </tp>
      <tp>
        <v>431</v>
        <stp/>
        <stp>VOLUME</stp>
        <stp>.SPXW250630P5500</stp>
        <tr r="L123" s="2"/>
        <tr r="L123" s="2"/>
      </tp>
      <tp t="s">
        <v>N/A</v>
        <stp/>
        <stp>VOLUME</stp>
        <stp>.NDXP250829P20250</stp>
        <tr r="P146" s="2"/>
      </tp>
      <tp t="s">
        <v>N/A</v>
        <stp/>
        <stp>VOLUME</stp>
        <stp>.NDXP250829P19250</stp>
        <tr r="P186" s="2"/>
      </tp>
      <tp>
        <v>27</v>
        <stp/>
        <stp>VOLUME</stp>
        <stp>.NDXP250509P20250</stp>
        <tr r="BD145" s="1"/>
        <tr r="BD145" s="1"/>
      </tp>
      <tp>
        <v>8</v>
        <stp/>
        <stp>VOLUME</stp>
        <stp>.NDXP250509P19250</stp>
        <tr r="BD185" s="1"/>
        <tr r="BD185" s="1"/>
      </tp>
      <tp t="s">
        <v>N/A</v>
        <stp/>
        <stp>VOLUME</stp>
        <stp>.SPXW250930C5510</stp>
        <tr r="R122" s="2"/>
      </tp>
      <tp t="s">
        <v>N/A</v>
        <stp/>
        <stp>VOLUME</stp>
        <stp>.SPXW250829C5480</stp>
        <tr r="P125" s="2"/>
      </tp>
      <tp t="s">
        <v>N/A</v>
        <stp/>
        <stp>VOLUME</stp>
        <stp>.SPXW250505C5640</stp>
        <tr r="BA108" s="1"/>
      </tp>
      <tp>
        <v>88798</v>
        <stp/>
        <stp>VOLUME</stp>
        <stp>.SPXW250509C5680</stp>
        <tr r="BC104" s="1"/>
        <tr r="BC104" s="1"/>
      </tp>
      <tp>
        <v>952</v>
        <stp/>
        <stp>VOLUME</stp>
        <stp>.SPXW250516C5770</stp>
        <tr r="BE95" s="1"/>
        <tr r="BE95" s="1"/>
      </tp>
      <tp t="s">
        <v>N/A</v>
        <stp/>
        <stp>VOLUME</stp>
        <stp>.SPXW250530C5510</stp>
        <tr r="I122" s="2"/>
      </tp>
      <tp>
        <v>1</v>
        <stp/>
        <stp>VOLUME</stp>
        <stp>.SPXW250731C5500</stp>
        <tr r="N123" s="2"/>
        <tr r="N123" s="2"/>
      </tp>
      <tp>
        <v>18</v>
        <stp/>
        <stp>VOLUME</stp>
        <stp>.SPXW250606C5670</stp>
        <tr r="J106" s="2"/>
        <tr r="J106" s="2"/>
      </tp>
      <tp>
        <v>3</v>
        <stp/>
        <stp>VOLUME</stp>
        <stp>.SPXW250630C5510</stp>
        <tr r="L122" s="2"/>
        <tr r="L122" s="2"/>
      </tp>
      <tp t="s">
        <v>N/A</v>
        <stp/>
        <stp>VOLUME</stp>
        <stp>.SPXW251128C5490</stp>
        <tr r="V124" s="2"/>
      </tp>
      <tp>
        <v>10</v>
        <stp/>
        <stp>VOLUME</stp>
        <stp>.SPXW251031C5500</stp>
        <tr r="T123" s="2"/>
        <tr r="T123" s="2"/>
      </tp>
      <tp t="s">
        <v>N/A</v>
        <stp/>
        <stp>VOLUME</stp>
        <stp>.SPXW251231C5500</stp>
        <tr r="X123" s="2"/>
      </tp>
      <tp t="s">
        <v>N/A</v>
        <stp/>
        <stp>VOLUME</stp>
        <stp>.SPXW251128P5490</stp>
        <tr r="V124" s="2"/>
      </tp>
      <tp>
        <v>19</v>
        <stp/>
        <stp>VOLUME</stp>
        <stp>.SPXW251031P5500</stp>
        <tr r="T123" s="2"/>
        <tr r="T123" s="2"/>
      </tp>
      <tp t="s">
        <v>N/A</v>
        <stp/>
        <stp>VOLUME</stp>
        <stp>.SPXW251231P5500</stp>
        <tr r="X123" s="2"/>
      </tp>
      <tp t="s">
        <v>N/A</v>
        <stp/>
        <stp>VOLUME</stp>
        <stp>.SPXW250930P5510</stp>
        <tr r="R122" s="2"/>
      </tp>
      <tp>
        <v>3</v>
        <stp/>
        <stp>VOLUME</stp>
        <stp>.SPXW250829P5480</stp>
        <tr r="P125" s="2"/>
        <tr r="P125" s="2"/>
      </tp>
      <tp t="s">
        <v>N/A</v>
        <stp/>
        <stp>VOLUME</stp>
        <stp>.SPXW250505P5640</stp>
        <tr r="BB108" s="1"/>
      </tp>
      <tp>
        <v>15233</v>
        <stp/>
        <stp>VOLUME</stp>
        <stp>.SPXW250509P5680</stp>
        <tr r="BD104" s="1"/>
        <tr r="BD104" s="1"/>
      </tp>
      <tp>
        <v>11</v>
        <stp/>
        <stp>VOLUME</stp>
        <stp>.SPXW250516P5770</stp>
        <tr r="BF95" s="1"/>
        <tr r="BF95" s="1"/>
      </tp>
      <tp>
        <v>8</v>
        <stp/>
        <stp>VOLUME</stp>
        <stp>.SPXW250530P5510</stp>
        <tr r="I122" s="2"/>
        <tr r="I122" s="2"/>
      </tp>
      <tp>
        <v>5</v>
        <stp/>
        <stp>VOLUME</stp>
        <stp>.SPXW250731P5500</stp>
        <tr r="N123" s="2"/>
        <tr r="N123" s="2"/>
      </tp>
      <tp>
        <v>11</v>
        <stp/>
        <stp>VOLUME</stp>
        <stp>.SPXW250606P5670</stp>
        <tr r="J106" s="2"/>
        <tr r="J106" s="2"/>
      </tp>
      <tp t="s">
        <v>N/A</v>
        <stp/>
        <stp>VOLUME</stp>
        <stp>.SPXW250630P5510</stp>
        <tr r="L122" s="2"/>
      </tp>
      <tp t="s">
        <v>N/A</v>
        <stp/>
        <stp>VOLUME</stp>
        <stp>.NDXP251128P20375</stp>
        <tr r="V141" s="2"/>
      </tp>
      <tp t="s">
        <v>N/A</v>
        <stp/>
        <stp>VOLUME</stp>
        <stp>.NDXP251128P19375</stp>
        <tr r="V181" s="2"/>
      </tp>
      <tp t="s">
        <v>N/A</v>
        <stp/>
        <stp>VOLUME</stp>
        <stp>.SPXW250930C5520</stp>
        <tr r="R121" s="2"/>
      </tp>
      <tp t="s">
        <v>N/A</v>
        <stp/>
        <stp>VOLUME</stp>
        <stp>.SPXW250505C5670</stp>
        <tr r="BA105" s="1"/>
      </tp>
      <tp>
        <v>299</v>
        <stp/>
        <stp>VOLUME</stp>
        <stp>.SPXW250516C5740</stp>
        <tr r="BE98" s="1"/>
        <tr r="BE98" s="1"/>
      </tp>
      <tp>
        <v>6</v>
        <stp/>
        <stp>VOLUME</stp>
        <stp>.SPXW250530C5520</stp>
        <tr r="I121" s="2"/>
        <tr r="I121" s="2"/>
      </tp>
      <tp t="s">
        <v>N/A</v>
        <stp/>
        <stp>VOLUME</stp>
        <stp>.SPXW250731C5530</stp>
        <tr r="N120" s="2"/>
      </tp>
      <tp>
        <v>3</v>
        <stp/>
        <stp>VOLUME</stp>
        <stp>.SPXW250606C5640</stp>
        <tr r="J109" s="2"/>
        <tr r="J109" s="2"/>
      </tp>
      <tp>
        <v>2</v>
        <stp/>
        <stp>VOLUME</stp>
        <stp>.SPXW250630C5520</stp>
        <tr r="L121" s="2"/>
        <tr r="L121" s="2"/>
      </tp>
      <tp t="s">
        <v>N/A</v>
        <stp/>
        <stp>VOLUME</stp>
        <stp>.SPXW251031C5530</stp>
        <tr r="T120" s="2"/>
      </tp>
      <tp t="s">
        <v>N/A</v>
        <stp/>
        <stp>VOLUME</stp>
        <stp>.SPXW251231C5530</stp>
        <tr r="X120" s="2"/>
      </tp>
      <tp t="s">
        <v>N/A</v>
        <stp/>
        <stp>VOLUME</stp>
        <stp>.SPXW251031P5530</stp>
        <tr r="T120" s="2"/>
      </tp>
      <tp t="s">
        <v>N/A</v>
        <stp/>
        <stp>VOLUME</stp>
        <stp>.SPXW251231P5530</stp>
        <tr r="X120" s="2"/>
      </tp>
      <tp t="s">
        <v>N/A</v>
        <stp/>
        <stp>VOLUME</stp>
        <stp>.SPXW250930P5520</stp>
        <tr r="R121" s="2"/>
      </tp>
      <tp t="s">
        <v>N/A</v>
        <stp/>
        <stp>VOLUME</stp>
        <stp>.SPXW250505P5670</stp>
        <tr r="BB105" s="1"/>
      </tp>
      <tp>
        <v>160</v>
        <stp/>
        <stp>VOLUME</stp>
        <stp>.SPXW250516P5740</stp>
        <tr r="BF98" s="1"/>
        <tr r="BF98" s="1"/>
      </tp>
      <tp>
        <v>7</v>
        <stp/>
        <stp>VOLUME</stp>
        <stp>.SPXW250530P5520</stp>
        <tr r="I121" s="2"/>
        <tr r="I121" s="2"/>
      </tp>
      <tp t="s">
        <v>N/A</v>
        <stp/>
        <stp>VOLUME</stp>
        <stp>.SPXW250731P5530</stp>
        <tr r="N120" s="2"/>
      </tp>
      <tp>
        <v>40</v>
        <stp/>
        <stp>VOLUME</stp>
        <stp>.SPXW250606P5640</stp>
        <tr r="J109" s="2"/>
        <tr r="J109" s="2"/>
      </tp>
      <tp t="s">
        <v>N/A</v>
        <stp/>
        <stp>VOLUME</stp>
        <stp>.SPXW250630P5520</stp>
        <tr r="L121" s="2"/>
      </tp>
      <tp t="s">
        <v>N/A</v>
        <stp/>
        <stp>VOLUME</stp>
        <stp>.NDXP250829P20275</stp>
        <tr r="P145" s="2"/>
      </tp>
      <tp t="s">
        <v>N/A</v>
        <stp/>
        <stp>VOLUME</stp>
        <stp>.NDXP250829P19275</stp>
        <tr r="P185" s="2"/>
      </tp>
      <tp>
        <v>1</v>
        <stp/>
        <stp>VOLUME</stp>
        <stp>.NDXP250509P20275</stp>
        <tr r="BD144" s="1"/>
        <tr r="BD144" s="1"/>
      </tp>
      <tp>
        <v>1</v>
        <stp/>
        <stp>VOLUME</stp>
        <stp>.NDXP250509P19275</stp>
        <tr r="BD184" s="1"/>
        <tr r="BD184" s="1"/>
      </tp>
      <tp t="s">
        <v>N/A</v>
        <stp/>
        <stp>VOLUME</stp>
        <stp>.SPXW250930C5530</stp>
        <tr r="R120" s="2"/>
      </tp>
      <tp t="s">
        <v>N/A</v>
        <stp/>
        <stp>VOLUME</stp>
        <stp>.SPXW250505C5660</stp>
        <tr r="BA106" s="1"/>
      </tp>
      <tp>
        <v>1063</v>
        <stp/>
        <stp>VOLUME</stp>
        <stp>.SPXW250516C5750</stp>
        <tr r="BE97" s="1"/>
        <tr r="BE97" s="1"/>
      </tp>
      <tp t="s">
        <v>N/A</v>
        <stp/>
        <stp>VOLUME</stp>
        <stp>.SPXW250530C5530</stp>
        <tr r="I120" s="2"/>
      </tp>
      <tp t="s">
        <v>N/A</v>
        <stp/>
        <stp>VOLUME</stp>
        <stp>.SPXW250731C5520</stp>
        <tr r="N121" s="2"/>
      </tp>
      <tp>
        <v>108</v>
        <stp/>
        <stp>VOLUME</stp>
        <stp>.SPXW250606C5650</stp>
        <tr r="J108" s="2"/>
        <tr r="J108" s="2"/>
      </tp>
      <tp t="s">
        <v>N/A</v>
        <stp/>
        <stp>VOLUME</stp>
        <stp>.SPXW250630C5530</stp>
        <tr r="L120" s="2"/>
      </tp>
      <tp t="s">
        <v>N/A</v>
        <stp/>
        <stp>VOLUME</stp>
        <stp>.SPXW251031C5520</stp>
        <tr r="T121" s="2"/>
      </tp>
      <tp t="s">
        <v>N/A</v>
        <stp/>
        <stp>VOLUME</stp>
        <stp>.SPXW251231C5520</stp>
        <tr r="X121" s="2"/>
      </tp>
      <tp t="s">
        <v>N/A</v>
        <stp/>
        <stp>VOLUME</stp>
        <stp>.SPXW251031P5520</stp>
        <tr r="T121" s="2"/>
      </tp>
      <tp t="s">
        <v>N/A</v>
        <stp/>
        <stp>VOLUME</stp>
        <stp>.SPXW251231P5520</stp>
        <tr r="X121" s="2"/>
      </tp>
      <tp t="s">
        <v>N/A</v>
        <stp/>
        <stp>VOLUME</stp>
        <stp>.SPXW250930P5530</stp>
        <tr r="R120" s="2"/>
      </tp>
      <tp t="s">
        <v>N/A</v>
        <stp/>
        <stp>VOLUME</stp>
        <stp>.SPXW250505P5660</stp>
        <tr r="BB106" s="1"/>
      </tp>
      <tp>
        <v>36</v>
        <stp/>
        <stp>VOLUME</stp>
        <stp>.SPXW250516P5750</stp>
        <tr r="BF97" s="1"/>
        <tr r="BF97" s="1"/>
      </tp>
      <tp>
        <v>9</v>
        <stp/>
        <stp>VOLUME</stp>
        <stp>.SPXW250530P5530</stp>
        <tr r="I120" s="2"/>
        <tr r="I120" s="2"/>
      </tp>
      <tp t="s">
        <v>N/A</v>
        <stp/>
        <stp>VOLUME</stp>
        <stp>.SPXW250731P5520</stp>
        <tr r="N121" s="2"/>
      </tp>
      <tp>
        <v>27</v>
        <stp/>
        <stp>VOLUME</stp>
        <stp>.SPXW250606P5650</stp>
        <tr r="J108" s="2"/>
        <tr r="J108" s="2"/>
      </tp>
      <tp>
        <v>1</v>
        <stp/>
        <stp>VOLUME</stp>
        <stp>.SPXW250630P5530</stp>
        <tr r="L120" s="2"/>
        <tr r="L120" s="2"/>
      </tp>
      <tp t="s">
        <v>N/A</v>
        <stp/>
        <stp>VOLUME</stp>
        <stp>.NDXP250829P20200</stp>
        <tr r="P148" s="2"/>
      </tp>
      <tp t="s">
        <v>N/A</v>
        <stp/>
        <stp>VOLUME</stp>
        <stp>.NDXP250829P19200</stp>
        <tr r="P188" s="2"/>
      </tp>
      <tp>
        <v>58</v>
        <stp/>
        <stp>VOLUME</stp>
        <stp>.NDXP250509P20200</stp>
        <tr r="BD147" s="1"/>
        <tr r="BD147" s="1"/>
      </tp>
      <tp>
        <v>8</v>
        <stp/>
        <stp>VOLUME</stp>
        <stp>.NDXP250509P19200</stp>
        <tr r="BD187" s="1"/>
        <tr r="BD187" s="1"/>
      </tp>
      <tp t="s">
        <v>N/A</v>
        <stp/>
        <stp>VOLUME</stp>
        <stp>.SPXW250930C5540</stp>
        <tr r="R119" s="2"/>
      </tp>
      <tp t="s">
        <v>N/A</v>
        <stp/>
        <stp>VOLUME</stp>
        <stp>.SPXW250505C5610</stp>
        <tr r="BA111" s="1"/>
      </tp>
      <tp>
        <v>236</v>
        <stp/>
        <stp>VOLUME</stp>
        <stp>.SPXW250516C5720</stp>
        <tr r="BE100" s="1"/>
        <tr r="BE100" s="1"/>
      </tp>
      <tp t="s">
        <v>N/A</v>
        <stp/>
        <stp>VOLUME</stp>
        <stp>.SPXW250530C5540</stp>
        <tr r="I119" s="2"/>
      </tp>
      <tp t="s">
        <v>N/A</v>
        <stp/>
        <stp>VOLUME</stp>
        <stp>.SPXW250731C5550</stp>
        <tr r="N118" s="2"/>
      </tp>
      <tp>
        <v>4</v>
        <stp/>
        <stp>VOLUME</stp>
        <stp>.SPXW250606C5620</stp>
        <tr r="J111" s="2"/>
        <tr r="J111" s="2"/>
      </tp>
      <tp>
        <v>2</v>
        <stp/>
        <stp>VOLUME</stp>
        <stp>.SPXW250630C5540</stp>
        <tr r="L119" s="2"/>
        <tr r="L119" s="2"/>
      </tp>
      <tp t="s">
        <v>N/A</v>
        <stp/>
        <stp>VOLUME</stp>
        <stp>.SPXW251031C5550</stp>
        <tr r="T118" s="2"/>
      </tp>
      <tp t="s">
        <v>N/A</v>
        <stp/>
        <stp>VOLUME</stp>
        <stp>.SPXW251231C5550</stp>
        <tr r="X118" s="2"/>
      </tp>
      <tp t="s">
        <v>N/A</v>
        <stp/>
        <stp>VOLUME</stp>
        <stp>.SPXW251031P5550</stp>
        <tr r="T118" s="2"/>
      </tp>
      <tp t="s">
        <v>N/A</v>
        <stp/>
        <stp>VOLUME</stp>
        <stp>.SPXW251231P5550</stp>
        <tr r="X118" s="2"/>
      </tp>
      <tp t="s">
        <v>N/A</v>
        <stp/>
        <stp>VOLUME</stp>
        <stp>.SPXW250930P5540</stp>
        <tr r="R119" s="2"/>
      </tp>
      <tp t="s">
        <v>N/A</v>
        <stp/>
        <stp>VOLUME</stp>
        <stp>.SPXW250505P5610</stp>
        <tr r="BB111" s="1"/>
      </tp>
      <tp>
        <v>32</v>
        <stp/>
        <stp>VOLUME</stp>
        <stp>.SPXW250516P5720</stp>
        <tr r="BF100" s="1"/>
        <tr r="BF100" s="1"/>
      </tp>
      <tp>
        <v>9</v>
        <stp/>
        <stp>VOLUME</stp>
        <stp>.SPXW250530P5540</stp>
        <tr r="I119" s="2"/>
        <tr r="I119" s="2"/>
      </tp>
      <tp>
        <v>2</v>
        <stp/>
        <stp>VOLUME</stp>
        <stp>.SPXW250731P5550</stp>
        <tr r="N118" s="2"/>
        <tr r="N118" s="2"/>
      </tp>
      <tp t="s">
        <v>N/A</v>
        <stp/>
        <stp>VOLUME</stp>
        <stp>.SPXW250606P5620</stp>
        <tr r="J111" s="2"/>
      </tp>
      <tp t="s">
        <v>N/A</v>
        <stp/>
        <stp>VOLUME</stp>
        <stp>.SPXW250630P5540</stp>
        <tr r="L119" s="2"/>
      </tp>
      <tp t="s">
        <v>N/A</v>
        <stp/>
        <stp>VOLUME</stp>
        <stp>.NDXP251128P20300</stp>
        <tr r="V144" s="2"/>
      </tp>
      <tp t="s">
        <v>N/A</v>
        <stp/>
        <stp>VOLUME</stp>
        <stp>.NDXP251128P19300</stp>
        <tr r="V184" s="2"/>
      </tp>
      <tp t="s">
        <v>N/A</v>
        <stp/>
        <stp>VOLUME</stp>
        <stp>.SPXW250930C5550</stp>
        <tr r="R118" s="2"/>
      </tp>
      <tp t="s">
        <v>N/A</v>
        <stp/>
        <stp>VOLUME</stp>
        <stp>.SPXW250505C5600</stp>
        <tr r="BA112" s="1"/>
      </tp>
      <tp>
        <v>206</v>
        <stp/>
        <stp>VOLUME</stp>
        <stp>.SPXW250516C5730</stp>
        <tr r="BE99" s="1"/>
        <tr r="BE99" s="1"/>
      </tp>
      <tp>
        <v>25</v>
        <stp/>
        <stp>VOLUME</stp>
        <stp>.SPXW250530C5550</stp>
        <tr r="I118" s="2"/>
        <tr r="I118" s="2"/>
      </tp>
      <tp t="s">
        <v>N/A</v>
        <stp/>
        <stp>VOLUME</stp>
        <stp>.SPXW250731C5540</stp>
        <tr r="N119" s="2"/>
      </tp>
      <tp>
        <v>3</v>
        <stp/>
        <stp>VOLUME</stp>
        <stp>.SPXW250606C5630</stp>
        <tr r="J110" s="2"/>
        <tr r="J110" s="2"/>
      </tp>
      <tp t="s">
        <v>N/A</v>
        <stp/>
        <stp>VOLUME</stp>
        <stp>.SPXW250630C5550</stp>
        <tr r="L118" s="2"/>
      </tp>
      <tp t="s">
        <v>N/A</v>
        <stp/>
        <stp>VOLUME</stp>
        <stp>.SPXW251031C5540</stp>
        <tr r="T119" s="2"/>
      </tp>
      <tp t="s">
        <v>N/A</v>
        <stp/>
        <stp>VOLUME</stp>
        <stp>.SPXW251231C5540</stp>
        <tr r="X119" s="2"/>
      </tp>
      <tp t="s">
        <v>N/A</v>
        <stp/>
        <stp>VOLUME</stp>
        <stp>.SPXW251031P5540</stp>
        <tr r="T119" s="2"/>
      </tp>
      <tp t="s">
        <v>N/A</v>
        <stp/>
        <stp>VOLUME</stp>
        <stp>.SPXW251231P5540</stp>
        <tr r="X119" s="2"/>
      </tp>
      <tp t="s">
        <v>N/A</v>
        <stp/>
        <stp>VOLUME</stp>
        <stp>.SPXW250930P5550</stp>
        <tr r="R118" s="2"/>
      </tp>
      <tp t="s">
        <v>N/A</v>
        <stp/>
        <stp>VOLUME</stp>
        <stp>.SPXW250505P5600</stp>
        <tr r="BB112" s="1"/>
      </tp>
      <tp>
        <v>26</v>
        <stp/>
        <stp>VOLUME</stp>
        <stp>.SPXW250516P5730</stp>
        <tr r="BF99" s="1"/>
        <tr r="BF99" s="1"/>
      </tp>
      <tp>
        <v>202</v>
        <stp/>
        <stp>VOLUME</stp>
        <stp>.SPXW250530P5550</stp>
        <tr r="I118" s="2"/>
        <tr r="I118" s="2"/>
      </tp>
      <tp>
        <v>2</v>
        <stp/>
        <stp>VOLUME</stp>
        <stp>.SPXW250731P5540</stp>
        <tr r="N119" s="2"/>
        <tr r="N119" s="2"/>
      </tp>
      <tp t="s">
        <v>N/A</v>
        <stp/>
        <stp>VOLUME</stp>
        <stp>.SPXW250606P5630</stp>
        <tr r="J110" s="2"/>
      </tp>
      <tp>
        <v>313</v>
        <stp/>
        <stp>VOLUME</stp>
        <stp>.SPXW250630P5550</stp>
        <tr r="L118" s="2"/>
        <tr r="L118" s="2"/>
      </tp>
      <tp t="s">
        <v>N/A</v>
        <stp/>
        <stp>VOLUME</stp>
        <stp>.NDXP250829P20225</stp>
        <tr r="P147" s="2"/>
      </tp>
      <tp t="s">
        <v>N/A</v>
        <stp/>
        <stp>VOLUME</stp>
        <stp>.NDXP250829P19225</stp>
        <tr r="P187" s="2"/>
      </tp>
      <tp>
        <v>33</v>
        <stp/>
        <stp>VOLUME</stp>
        <stp>.NDXP250509P20225</stp>
        <tr r="BD146" s="1"/>
        <tr r="BD146" s="1"/>
      </tp>
      <tp t="s">
        <v>N/A</v>
        <stp/>
        <stp>VOLUME</stp>
        <stp>.NDXP250509P19225</stp>
        <tr r="BD186" s="1"/>
      </tp>
      <tp t="s">
        <v>N/A</v>
        <stp/>
        <stp>VOLUME</stp>
        <stp>.SPXW250930C5560</stp>
        <tr r="R117" s="2"/>
      </tp>
      <tp t="s">
        <v>N/A</v>
        <stp/>
        <stp>VOLUME</stp>
        <stp>.SPXW250505C5630</stp>
        <tr r="BA109" s="1"/>
      </tp>
      <tp>
        <v>1004</v>
        <stp/>
        <stp>VOLUME</stp>
        <stp>.SPXW250516C5700</stp>
        <tr r="BE102" s="1"/>
        <tr r="BE102" s="1"/>
      </tp>
      <tp>
        <v>1</v>
        <stp/>
        <stp>VOLUME</stp>
        <stp>.SPXW250530C5560</stp>
        <tr r="I117" s="2"/>
        <tr r="I117" s="2"/>
      </tp>
      <tp t="s">
        <v>N/A</v>
        <stp/>
        <stp>VOLUME</stp>
        <stp>.SPXW250731C5570</stp>
        <tr r="N116" s="2"/>
      </tp>
      <tp>
        <v>63</v>
        <stp/>
        <stp>VOLUME</stp>
        <stp>.SPXW250606C5600</stp>
        <tr r="J113" s="2"/>
        <tr r="J113" s="2"/>
      </tp>
      <tp t="s">
        <v>N/A</v>
        <stp/>
        <stp>VOLUME</stp>
        <stp>.SPXW250630C5560</stp>
        <tr r="L117" s="2"/>
      </tp>
      <tp t="s">
        <v>N/A</v>
        <stp/>
        <stp>VOLUME</stp>
        <stp>.SPXW251031C5570</stp>
        <tr r="T116" s="2"/>
      </tp>
      <tp t="s">
        <v>N/A</v>
        <stp/>
        <stp>VOLUME</stp>
        <stp>.SPXW251231C5570</stp>
        <tr r="X116" s="2"/>
      </tp>
      <tp t="s">
        <v>N/A</v>
        <stp/>
        <stp>VOLUME</stp>
        <stp>.SPXW251031P5570</stp>
        <tr r="T116" s="2"/>
      </tp>
      <tp t="s">
        <v>N/A</v>
        <stp/>
        <stp>VOLUME</stp>
        <stp>.SPXW251231P5570</stp>
        <tr r="X116" s="2"/>
      </tp>
      <tp t="s">
        <v>N/A</v>
        <stp/>
        <stp>VOLUME</stp>
        <stp>.SPXW250930P5560</stp>
        <tr r="R117" s="2"/>
      </tp>
      <tp t="s">
        <v>N/A</v>
        <stp/>
        <stp>VOLUME</stp>
        <stp>.SPXW250505P5630</stp>
        <tr r="BB109" s="1"/>
      </tp>
      <tp>
        <v>292</v>
        <stp/>
        <stp>VOLUME</stp>
        <stp>.SPXW250516P5700</stp>
        <tr r="BF102" s="1"/>
        <tr r="BF102" s="1"/>
      </tp>
      <tp>
        <v>18</v>
        <stp/>
        <stp>VOLUME</stp>
        <stp>.SPXW250530P5560</stp>
        <tr r="I117" s="2"/>
        <tr r="I117" s="2"/>
      </tp>
      <tp>
        <v>1</v>
        <stp/>
        <stp>VOLUME</stp>
        <stp>.SPXW250731P5570</stp>
        <tr r="N116" s="2"/>
        <tr r="N116" s="2"/>
      </tp>
      <tp>
        <v>85</v>
        <stp/>
        <stp>VOLUME</stp>
        <stp>.SPXW250606P5600</stp>
        <tr r="J113" s="2"/>
        <tr r="J113" s="2"/>
      </tp>
      <tp t="s">
        <v>N/A</v>
        <stp/>
        <stp>VOLUME</stp>
        <stp>.SPXW250630P5560</stp>
        <tr r="L117" s="2"/>
      </tp>
      <tp t="s">
        <v>N/A</v>
        <stp/>
        <stp>VOLUME</stp>
        <stp>.NDXP251128P20325</stp>
        <tr r="V143" s="2"/>
      </tp>
      <tp t="s">
        <v>N/A</v>
        <stp/>
        <stp>VOLUME</stp>
        <stp>.NDXP251128P19325</stp>
        <tr r="V183" s="2"/>
      </tp>
      <tp t="s">
        <v>N/A</v>
        <stp/>
        <stp>VOLUME</stp>
        <stp>.SPXW250930C5570</stp>
        <tr r="R116" s="2"/>
      </tp>
      <tp t="s">
        <v>N/A</v>
        <stp/>
        <stp>VOLUME</stp>
        <stp>.SPXW250505C5620</stp>
        <tr r="BA110" s="1"/>
      </tp>
      <tp>
        <v>148</v>
        <stp/>
        <stp>VOLUME</stp>
        <stp>.SPXW250516C5710</stp>
        <tr r="BE101" s="1"/>
        <tr r="BE101" s="1"/>
      </tp>
      <tp>
        <v>1</v>
        <stp/>
        <stp>VOLUME</stp>
        <stp>.SPXW250530C5570</stp>
        <tr r="I116" s="2"/>
        <tr r="I116" s="2"/>
      </tp>
      <tp t="s">
        <v>N/A</v>
        <stp/>
        <stp>VOLUME</stp>
        <stp>.SPXW250731C5560</stp>
        <tr r="N117" s="2"/>
      </tp>
      <tp t="s">
        <v>N/A</v>
        <stp/>
        <stp>VOLUME</stp>
        <stp>.SPXW250606C5610</stp>
        <tr r="J112" s="2"/>
      </tp>
      <tp t="s">
        <v>N/A</v>
        <stp/>
        <stp>VOLUME</stp>
        <stp>.SPXW250630C5570</stp>
        <tr r="L116" s="2"/>
      </tp>
      <tp t="s">
        <v>N/A</v>
        <stp/>
        <stp>VOLUME</stp>
        <stp>.SPXW251031C5560</stp>
        <tr r="T117" s="2"/>
      </tp>
      <tp t="s">
        <v>N/A</v>
        <stp/>
        <stp>VOLUME</stp>
        <stp>.SPXW251231C5560</stp>
        <tr r="X117" s="2"/>
      </tp>
      <tp t="s">
        <v>N/A</v>
        <stp/>
        <stp>VOLUME</stp>
        <stp>.SPXW251031P5560</stp>
        <tr r="T117" s="2"/>
      </tp>
      <tp t="s">
        <v>N/A</v>
        <stp/>
        <stp>VOLUME</stp>
        <stp>.SPXW251231P5560</stp>
        <tr r="X117" s="2"/>
      </tp>
      <tp t="s">
        <v>N/A</v>
        <stp/>
        <stp>VOLUME</stp>
        <stp>.SPXW250930P5570</stp>
        <tr r="R116" s="2"/>
      </tp>
      <tp t="s">
        <v>N/A</v>
        <stp/>
        <stp>VOLUME</stp>
        <stp>.SPXW250505P5620</stp>
        <tr r="BB110" s="1"/>
      </tp>
      <tp>
        <v>86</v>
        <stp/>
        <stp>VOLUME</stp>
        <stp>.SPXW250516P5710</stp>
        <tr r="BF101" s="1"/>
        <tr r="BF101" s="1"/>
      </tp>
      <tp>
        <v>54</v>
        <stp/>
        <stp>VOLUME</stp>
        <stp>.SPXW250530P5570</stp>
        <tr r="I116" s="2"/>
        <tr r="I116" s="2"/>
      </tp>
      <tp t="s">
        <v>N/A</v>
        <stp/>
        <stp>VOLUME</stp>
        <stp>.SPXW250731P5560</stp>
        <tr r="N117" s="2"/>
      </tp>
      <tp t="s">
        <v>N/A</v>
        <stp/>
        <stp>VOLUME</stp>
        <stp>.SPXW250606P5610</stp>
        <tr r="J112" s="2"/>
      </tp>
      <tp>
        <v>3</v>
        <stp/>
        <stp>VOLUME</stp>
        <stp>.SPXW250630P5570</stp>
        <tr r="L116" s="2"/>
        <tr r="L116" s="2"/>
      </tp>
      <tp>
        <v>25</v>
        <stp/>
        <stp>OPEN_INT</stp>
        <stp>.NDXP250505C19800</stp>
        <tr r="AS163" s="1"/>
        <tr r="AS163" s="1"/>
      </tp>
      <tp>
        <v>9</v>
        <stp/>
        <stp>OPEN_INT</stp>
        <stp>.NDXP250509C19400</stp>
        <tr r="AU179" s="1"/>
        <tr r="AU179" s="1"/>
      </tp>
      <tp>
        <v>66</v>
        <stp/>
        <stp>OPEN_INT</stp>
        <stp>.NDXP250509C20400</stp>
        <tr r="AU139" s="1"/>
        <tr r="AU139" s="1"/>
      </tp>
      <tp>
        <v>1</v>
        <stp/>
        <stp>OPEN_INT</stp>
        <stp>.NDXP250505C19825</stp>
        <tr r="AS162" s="1"/>
        <tr r="AS162" s="1"/>
      </tp>
      <tp>
        <v>1</v>
        <stp/>
        <stp>OPEN_INT</stp>
        <stp>.NDXP250509C19425</stp>
        <tr r="AU178" s="1"/>
        <tr r="AU178" s="1"/>
      </tp>
      <tp>
        <v>4</v>
        <stp/>
        <stp>OPEN_INT</stp>
        <stp>.NDXP250509C20425</stp>
        <tr r="AU138" s="1"/>
        <tr r="AU138" s="1"/>
      </tp>
      <tp>
        <v>0</v>
        <stp/>
        <stp>OPEN_INT</stp>
        <stp>.NDXP250505C19850</stp>
        <tr r="AS161" s="1"/>
        <tr r="AS161" s="1"/>
      </tp>
      <tp>
        <v>8</v>
        <stp/>
        <stp>OPEN_INT</stp>
        <stp>.NDXP250509C19450</stp>
        <tr r="AU177" s="1"/>
        <tr r="AU177" s="1"/>
      </tp>
      <tp>
        <v>40</v>
        <stp/>
        <stp>OPEN_INT</stp>
        <stp>.NDXP250509C20450</stp>
        <tr r="AU137" s="1"/>
        <tr r="AU137" s="1"/>
      </tp>
      <tp>
        <v>3</v>
        <stp/>
        <stp>OPEN_INT</stp>
        <stp>.NDXP250505C19875</stp>
        <tr r="AS160" s="1"/>
        <tr r="AS160" s="1"/>
      </tp>
      <tp>
        <v>1</v>
        <stp/>
        <stp>OPEN_INT</stp>
        <stp>.NDXP250509C19475</stp>
        <tr r="AU176" s="1"/>
        <tr r="AU176" s="1"/>
      </tp>
      <tp>
        <v>5</v>
        <stp/>
        <stp>OPEN_INT</stp>
        <stp>.NDXP250505P19825</stp>
        <tr r="AT162" s="1"/>
        <tr r="AT162" s="1"/>
      </tp>
      <tp>
        <v>36</v>
        <stp/>
        <stp>OPEN_INT</stp>
        <stp>.NDXP250509P19425</stp>
        <tr r="AV178" s="1"/>
        <tr r="AV178" s="1"/>
      </tp>
      <tp>
        <v>3</v>
        <stp/>
        <stp>OPEN_INT</stp>
        <stp>.NDXP250509P20425</stp>
        <tr r="AV138" s="1"/>
        <tr r="AV138" s="1"/>
      </tp>
      <tp>
        <v>58</v>
        <stp/>
        <stp>OPEN_INT</stp>
        <stp>.NDXP250505P19800</stp>
        <tr r="AT163" s="1"/>
        <tr r="AT163" s="1"/>
      </tp>
      <tp>
        <v>40</v>
        <stp/>
        <stp>OPEN_INT</stp>
        <stp>.NDXP250509P19400</stp>
        <tr r="AV179" s="1"/>
        <tr r="AV179" s="1"/>
      </tp>
      <tp>
        <v>1</v>
        <stp/>
        <stp>OPEN_INT</stp>
        <stp>.NDXP250509P20400</stp>
        <tr r="AV139" s="1"/>
        <tr r="AV139" s="1"/>
      </tp>
      <tp>
        <v>2</v>
        <stp/>
        <stp>OPEN_INT</stp>
        <stp>.NDXP250505P19875</stp>
        <tr r="AT160" s="1"/>
        <tr r="AT160" s="1"/>
      </tp>
      <tp>
        <v>10</v>
        <stp/>
        <stp>OPEN_INT</stp>
        <stp>.NDXP250509P19475</stp>
        <tr r="AV176" s="1"/>
        <tr r="AV176" s="1"/>
      </tp>
      <tp>
        <v>14</v>
        <stp/>
        <stp>OPEN_INT</stp>
        <stp>.NDXP250505P19850</stp>
        <tr r="AT161" s="1"/>
        <tr r="AT161" s="1"/>
      </tp>
      <tp>
        <v>18</v>
        <stp/>
        <stp>OPEN_INT</stp>
        <stp>.NDXP250509P19450</stp>
        <tr r="AV177" s="1"/>
        <tr r="AV177" s="1"/>
      </tp>
      <tp>
        <v>2</v>
        <stp/>
        <stp>OPEN_INT</stp>
        <stp>.NDXP250509P20450</stp>
        <tr r="AV137" s="1"/>
        <tr r="AV137" s="1"/>
      </tp>
      <tp>
        <v>-0.66</v>
        <stp/>
        <stp>DELTA</stp>
        <stp>.NDXP250505P20225</stp>
        <tr r="CE146" s="1"/>
        <tr r="CE146" s="1"/>
      </tp>
      <tp>
        <v>-0.05</v>
        <stp/>
        <stp>DELTA</stp>
        <stp>.NDXP250505P19225</stp>
        <tr r="CE186" s="1"/>
        <tr r="CE186" s="1"/>
      </tp>
      <tp>
        <v>-0.65</v>
        <stp/>
        <stp>DELTA</stp>
        <stp>.NDXP250505P20200</stp>
        <tr r="CE147" s="1"/>
        <tr r="CE147" s="1"/>
      </tp>
      <tp>
        <v>0</v>
        <stp/>
        <stp>DELTA</stp>
        <stp>.NDXP250505P19200</stp>
        <tr r="CE187" s="1"/>
        <tr r="CE187" s="1"/>
      </tp>
      <tp>
        <v>-0.69</v>
        <stp/>
        <stp>DELTA</stp>
        <stp>.NDXP250505P20275</stp>
        <tr r="CE144" s="1"/>
        <tr r="CE144" s="1"/>
      </tp>
      <tp>
        <v>-0.05</v>
        <stp/>
        <stp>DELTA</stp>
        <stp>.NDXP250505P19275</stp>
        <tr r="CE184" s="1"/>
        <tr r="CE184" s="1"/>
      </tp>
      <tp>
        <v>-0.68</v>
        <stp/>
        <stp>DELTA</stp>
        <stp>.NDXP250505P20250</stp>
        <tr r="CE145" s="1"/>
        <tr r="CE145" s="1"/>
      </tp>
      <tp>
        <v>-0.05</v>
        <stp/>
        <stp>DELTA</stp>
        <stp>.NDXP250505P19250</stp>
        <tr r="CE185" s="1"/>
        <tr r="CE185" s="1"/>
      </tp>
      <tp>
        <v>0</v>
        <stp/>
        <stp>DELTA</stp>
        <stp>.NDXP250505C20200</stp>
        <tr r="CD147" s="1"/>
        <tr r="CD147" s="1"/>
      </tp>
      <tp>
        <v>1</v>
        <stp/>
        <stp>DELTA</stp>
        <stp>.NDXP250505C19200</stp>
        <tr r="CD187" s="1"/>
        <tr r="CD187" s="1"/>
      </tp>
      <tp>
        <v>0</v>
        <stp/>
        <stp>DELTA</stp>
        <stp>.NDXP250505C20225</stp>
        <tr r="CD146" s="1"/>
        <tr r="CD146" s="1"/>
      </tp>
      <tp>
        <v>1</v>
        <stp/>
        <stp>DELTA</stp>
        <stp>.NDXP250505C19225</stp>
        <tr r="CD186" s="1"/>
        <tr r="CD186" s="1"/>
      </tp>
      <tp>
        <v>0</v>
        <stp/>
        <stp>DELTA</stp>
        <stp>.NDXP250505C20250</stp>
        <tr r="CD145" s="1"/>
        <tr r="CD145" s="1"/>
      </tp>
      <tp>
        <v>1</v>
        <stp/>
        <stp>DELTA</stp>
        <stp>.NDXP250505C19250</stp>
        <tr r="CD185" s="1"/>
        <tr r="CD185" s="1"/>
      </tp>
      <tp>
        <v>0</v>
        <stp/>
        <stp>DELTA</stp>
        <stp>.NDXP250505C20275</stp>
        <tr r="CD144" s="1"/>
        <tr r="CD144" s="1"/>
      </tp>
      <tp>
        <v>1</v>
        <stp/>
        <stp>DELTA</stp>
        <stp>.NDXP250505C19275</stp>
        <tr r="CD184" s="1"/>
        <tr r="CD184" s="1"/>
      </tp>
      <tp t="s">
        <v>N/A</v>
        <stp/>
        <stp>VOLUME</stp>
        <stp>.NDXP250930C19475</stp>
        <tr r="R177" s="2"/>
      </tp>
      <tp t="s">
        <v>N/A</v>
        <stp/>
        <stp>VOLUME</stp>
        <stp>.NDXP250731C19575</stp>
        <tr r="N173" s="2"/>
      </tp>
      <tp t="s">
        <v>N/A</v>
        <stp/>
        <stp>VOLUME</stp>
        <stp>.NDXP250606C19275</stp>
        <tr r="J185" s="2"/>
      </tp>
      <tp t="s">
        <v>N/A</v>
        <stp/>
        <stp>VOLUME</stp>
        <stp>.NDXP250630C19475</stp>
        <tr r="L177" s="2"/>
      </tp>
      <tp t="s">
        <v>N/A</v>
        <stp/>
        <stp>VOLUME</stp>
        <stp>.NDXP250505C20175</stp>
        <tr r="BA148" s="1"/>
      </tp>
      <tp t="s">
        <v>N/A</v>
        <stp/>
        <stp>VOLUME</stp>
        <stp>.NDXP250505C19175</stp>
        <tr r="BA188" s="1"/>
      </tp>
      <tp t="s">
        <v>N/A</v>
        <stp/>
        <stp>VOLUME</stp>
        <stp>.NDXP250530C19475</stp>
        <tr r="I177" s="2"/>
      </tp>
      <tp t="s">
        <v>N/A</v>
        <stp/>
        <stp>VOLUME</stp>
        <stp>.NDXP250606C20275</stp>
        <tr r="J145" s="2"/>
      </tp>
      <tp t="s">
        <v>N/A</v>
        <stp/>
        <stp>VOLUME</stp>
        <stp>.NDXP251231C19575</stp>
        <tr r="X173" s="2"/>
      </tp>
      <tp t="s">
        <v>N/A</v>
        <stp/>
        <stp>VOLUME</stp>
        <stp>.NDXP251031C19575</stp>
        <tr r="T173" s="2"/>
      </tp>
      <tp t="s">
        <v>N/A</v>
        <stp/>
        <stp>VOLUME</stp>
        <stp>.NDXP250930C20450</stp>
        <tr r="R138" s="2"/>
      </tp>
      <tp t="s">
        <v>N/A</v>
        <stp/>
        <stp>VOLUME</stp>
        <stp>.NDXP250930C19450</stp>
        <tr r="R178" s="2"/>
      </tp>
      <tp>
        <v>1</v>
        <stp/>
        <stp>VOLUME</stp>
        <stp>.NDXP250606C19250</stp>
        <tr r="J186" s="2"/>
        <tr r="J186" s="2"/>
      </tp>
      <tp t="s">
        <v>N/A</v>
        <stp/>
        <stp>VOLUME</stp>
        <stp>.NDXP250630C19450</stp>
        <tr r="L178" s="2"/>
      </tp>
      <tp t="s">
        <v>N/A</v>
        <stp/>
        <stp>VOLUME</stp>
        <stp>.NDXP250505C20150</stp>
        <tr r="BA149" s="1"/>
      </tp>
      <tp t="s">
        <v>N/A</v>
        <stp/>
        <stp>VOLUME</stp>
        <stp>.NDXP250530C20450</stp>
        <tr r="I138" s="2"/>
      </tp>
      <tp t="s">
        <v>N/A</v>
        <stp/>
        <stp>VOLUME</stp>
        <stp>.NDXP250731C19550</stp>
        <tr r="N174" s="2"/>
      </tp>
      <tp t="s">
        <v>N/A</v>
        <stp/>
        <stp>VOLUME</stp>
        <stp>.NDXP250505C19150</stp>
        <tr r="BA189" s="1"/>
      </tp>
      <tp t="s">
        <v>N/A</v>
        <stp/>
        <stp>VOLUME</stp>
        <stp>.NDXP250530C19450</stp>
        <tr r="I178" s="2"/>
      </tp>
      <tp>
        <v>1</v>
        <stp/>
        <stp>VOLUME</stp>
        <stp>.NDXP250606C20250</stp>
        <tr r="J146" s="2"/>
        <tr r="J146" s="2"/>
      </tp>
      <tp t="s">
        <v>N/A</v>
        <stp/>
        <stp>VOLUME</stp>
        <stp>.NDXP250630C20450</stp>
        <tr r="L138" s="2"/>
      </tp>
      <tp t="s">
        <v>N/A</v>
        <stp/>
        <stp>VOLUME</stp>
        <stp>.NDXP251231C19550</stp>
        <tr r="X174" s="2"/>
      </tp>
      <tp t="s">
        <v>N/A</v>
        <stp/>
        <stp>VOLUME</stp>
        <stp>.NDXP251031C19550</stp>
        <tr r="T174" s="2"/>
      </tp>
      <tp t="s">
        <v>N/A</v>
        <stp/>
        <stp>VOLUME</stp>
        <stp>.NDXP251231C19525</stp>
        <tr r="X175" s="2"/>
      </tp>
      <tp t="s">
        <v>N/A</v>
        <stp/>
        <stp>VOLUME</stp>
        <stp>.NDXP251031C19525</stp>
        <tr r="T175" s="2"/>
      </tp>
      <tp t="s">
        <v>N/A</v>
        <stp/>
        <stp>VOLUME</stp>
        <stp>.NDXP250930C20425</stp>
        <tr r="R139" s="2"/>
      </tp>
      <tp t="s">
        <v>N/A</v>
        <stp/>
        <stp>VOLUME</stp>
        <stp>.NDXP250930C19425</stp>
        <tr r="R179" s="2"/>
      </tp>
      <tp t="s">
        <v>N/A</v>
        <stp/>
        <stp>VOLUME</stp>
        <stp>.NDXP250731C19525</stp>
        <tr r="N175" s="2"/>
      </tp>
      <tp t="s">
        <v>N/A</v>
        <stp/>
        <stp>VOLUME</stp>
        <stp>.NDXP250606C19225</stp>
        <tr r="J187" s="2"/>
      </tp>
      <tp t="s">
        <v>N/A</v>
        <stp/>
        <stp>VOLUME</stp>
        <stp>.NDXP250630C19425</stp>
        <tr r="L179" s="2"/>
      </tp>
      <tp t="s">
        <v>N/A</v>
        <stp/>
        <stp>VOLUME</stp>
        <stp>.NDXP250505C20125</stp>
        <tr r="BA150" s="1"/>
      </tp>
      <tp t="s">
        <v>N/A</v>
        <stp/>
        <stp>VOLUME</stp>
        <stp>.NDXP250530C20425</stp>
        <tr r="I139" s="2"/>
      </tp>
      <tp t="s">
        <v>N/A</v>
        <stp/>
        <stp>VOLUME</stp>
        <stp>.NDXP250530C19425</stp>
        <tr r="I179" s="2"/>
      </tp>
      <tp t="s">
        <v>N/A</v>
        <stp/>
        <stp>VOLUME</stp>
        <stp>.NDXP250606C20225</stp>
        <tr r="J147" s="2"/>
      </tp>
      <tp t="s">
        <v>N/A</v>
        <stp/>
        <stp>VOLUME</stp>
        <stp>.NDXP250630C20425</stp>
        <tr r="L139" s="2"/>
      </tp>
      <tp t="s">
        <v>N/A</v>
        <stp/>
        <stp>VOLUME</stp>
        <stp>.NDXP251231C19500</stp>
        <tr r="X176" s="2"/>
      </tp>
      <tp t="s">
        <v>N/A</v>
        <stp/>
        <stp>VOLUME</stp>
        <stp>.NDXP251031C19500</stp>
        <tr r="T176" s="2"/>
      </tp>
      <tp t="s">
        <v>N/A</v>
        <stp/>
        <stp>VOLUME</stp>
        <stp>.NDXP250930C20400</stp>
        <tr r="R140" s="2"/>
      </tp>
      <tp t="s">
        <v>N/A</v>
        <stp/>
        <stp>VOLUME</stp>
        <stp>.NDXP250930C19400</stp>
        <tr r="R180" s="2"/>
      </tp>
      <tp t="s">
        <v>N/A</v>
        <stp/>
        <stp>VOLUME</stp>
        <stp>.NDXP250606C19200</stp>
        <tr r="J188" s="2"/>
      </tp>
      <tp t="s">
        <v>N/A</v>
        <stp/>
        <stp>VOLUME</stp>
        <stp>.NDXP250630C19400</stp>
        <tr r="L180" s="2"/>
      </tp>
      <tp t="s">
        <v>N/A</v>
        <stp/>
        <stp>VOLUME</stp>
        <stp>.NDXP250505C20100</stp>
        <tr r="BA151" s="1"/>
      </tp>
      <tp>
        <v>9</v>
        <stp/>
        <stp>VOLUME</stp>
        <stp>.NDXP250530C20400</stp>
        <tr r="I140" s="2"/>
        <tr r="I140" s="2"/>
      </tp>
      <tp t="s">
        <v>N/A</v>
        <stp/>
        <stp>VOLUME</stp>
        <stp>.NDXP250731C19500</stp>
        <tr r="N176" s="2"/>
      </tp>
      <tp t="s">
        <v>N/A</v>
        <stp/>
        <stp>VOLUME</stp>
        <stp>.NDXP250530C19400</stp>
        <tr r="I180" s="2"/>
      </tp>
      <tp>
        <v>2</v>
        <stp/>
        <stp>VOLUME</stp>
        <stp>.NDXP250606C20200</stp>
        <tr r="J148" s="2"/>
        <tr r="J148" s="2"/>
      </tp>
      <tp t="s">
        <v>N/A</v>
        <stp/>
        <stp>VOLUME</stp>
        <stp>.NDXP250630C20400</stp>
        <tr r="L140" s="2"/>
      </tp>
      <tp t="s">
        <v>N/A</v>
        <stp/>
        <stp>VOLUME</stp>
        <stp>.NDXP251231P19550</stp>
        <tr r="X174" s="2"/>
      </tp>
      <tp t="s">
        <v>N/A</v>
        <stp/>
        <stp>VOLUME</stp>
        <stp>.NDXP251031P19550</stp>
        <tr r="T174" s="2"/>
      </tp>
      <tp>
        <v>204</v>
        <stp/>
        <stp>VOLUME</stp>
        <stp>.SPXW250516C5860</stp>
        <tr r="BE86" s="1"/>
        <tr r="BE86" s="1"/>
      </tp>
      <tp t="s">
        <v>N/A</v>
        <stp/>
        <stp>VOLUME</stp>
        <stp>.SPXW250516P5860</stp>
        <tr r="BF86" s="1"/>
      </tp>
      <tp t="s">
        <v>N/A</v>
        <stp/>
        <stp>VOLUME</stp>
        <stp>.NDXP250930P20450</stp>
        <tr r="R138" s="2"/>
      </tp>
      <tp t="s">
        <v>N/A</v>
        <stp/>
        <stp>VOLUME</stp>
        <stp>.NDXP250930P19450</stp>
        <tr r="R178" s="2"/>
      </tp>
      <tp t="s">
        <v>N/A</v>
        <stp/>
        <stp>VOLUME</stp>
        <stp>.NDXP250606P19250</stp>
        <tr r="J186" s="2"/>
      </tp>
      <tp t="s">
        <v>N/A</v>
        <stp/>
        <stp>VOLUME</stp>
        <stp>.NDXP250630P19450</stp>
        <tr r="L178" s="2"/>
      </tp>
      <tp t="s">
        <v>N/A</v>
        <stp/>
        <stp>VOLUME</stp>
        <stp>.NDXP250505P20150</stp>
        <tr r="BB149" s="1"/>
      </tp>
      <tp t="s">
        <v>N/A</v>
        <stp/>
        <stp>VOLUME</stp>
        <stp>.NDXP250530P20450</stp>
        <tr r="I138" s="2"/>
      </tp>
      <tp t="s">
        <v>N/A</v>
        <stp/>
        <stp>VOLUME</stp>
        <stp>.NDXP250731P19550</stp>
        <tr r="N174" s="2"/>
      </tp>
      <tp t="s">
        <v>N/A</v>
        <stp/>
        <stp>VOLUME</stp>
        <stp>.NDXP250505P19150</stp>
        <tr r="BB189" s="1"/>
      </tp>
      <tp t="s">
        <v>N/A</v>
        <stp/>
        <stp>VOLUME</stp>
        <stp>.NDXP250530P19450</stp>
        <tr r="I178" s="2"/>
      </tp>
      <tp t="s">
        <v>N/A</v>
        <stp/>
        <stp>VOLUME</stp>
        <stp>.NDXP250606P20250</stp>
        <tr r="J146" s="2"/>
      </tp>
      <tp t="s">
        <v>N/A</v>
        <stp/>
        <stp>VOLUME</stp>
        <stp>.NDXP250630P20450</stp>
        <tr r="L138" s="2"/>
      </tp>
      <tp>
        <v>138</v>
        <stp/>
        <stp>VOLUME</stp>
        <stp>.SPXW250516C5870</stp>
        <tr r="BE85" s="1"/>
        <tr r="BE85" s="1"/>
      </tp>
      <tp>
        <v>15</v>
        <stp/>
        <stp>VOLUME</stp>
        <stp>.SPXW250516P5870</stp>
        <tr r="BF85" s="1"/>
        <tr r="BF85" s="1"/>
      </tp>
      <tp t="s">
        <v>N/A</v>
        <stp/>
        <stp>VOLUME</stp>
        <stp>.NDXP251231P19575</stp>
        <tr r="X173" s="2"/>
      </tp>
      <tp t="s">
        <v>N/A</v>
        <stp/>
        <stp>VOLUME</stp>
        <stp>.NDXP251031P19575</stp>
        <tr r="T173" s="2"/>
      </tp>
      <tp>
        <v>308</v>
        <stp/>
        <stp>VOLUME</stp>
        <stp>.SPXW250516C5840</stp>
        <tr r="BE88" s="1"/>
        <tr r="BE88" s="1"/>
      </tp>
      <tp>
        <v>25</v>
        <stp/>
        <stp>VOLUME</stp>
        <stp>.SPXW250516P5840</stp>
        <tr r="BF88" s="1"/>
        <tr r="BF88" s="1"/>
      </tp>
      <tp t="s">
        <v>N/A</v>
        <stp/>
        <stp>VOLUME</stp>
        <stp>.NDXP250930P19475</stp>
        <tr r="R177" s="2"/>
      </tp>
      <tp t="s">
        <v>N/A</v>
        <stp/>
        <stp>VOLUME</stp>
        <stp>.NDXP250731P19575</stp>
        <tr r="N173" s="2"/>
      </tp>
      <tp t="s">
        <v>N/A</v>
        <stp/>
        <stp>VOLUME</stp>
        <stp>.NDXP250606P19275</stp>
        <tr r="J185" s="2"/>
      </tp>
      <tp t="s">
        <v>N/A</v>
        <stp/>
        <stp>VOLUME</stp>
        <stp>.NDXP250630P19475</stp>
        <tr r="L177" s="2"/>
      </tp>
      <tp t="s">
        <v>N/A</v>
        <stp/>
        <stp>VOLUME</stp>
        <stp>.NDXP250505P20175</stp>
        <tr r="BB148" s="1"/>
      </tp>
      <tp t="s">
        <v>N/A</v>
        <stp/>
        <stp>VOLUME</stp>
        <stp>.NDXP250505P19175</stp>
        <tr r="BB188" s="1"/>
      </tp>
      <tp t="s">
        <v>N/A</v>
        <stp/>
        <stp>VOLUME</stp>
        <stp>.NDXP250530P19475</stp>
        <tr r="I177" s="2"/>
      </tp>
      <tp t="s">
        <v>N/A</v>
        <stp/>
        <stp>VOLUME</stp>
        <stp>.NDXP250606P20275</stp>
        <tr r="J145" s="2"/>
      </tp>
      <tp>
        <v>1725</v>
        <stp/>
        <stp>VOLUME</stp>
        <stp>.SPXW250516C5850</stp>
        <tr r="BE87" s="1"/>
        <tr r="BE87" s="1"/>
      </tp>
      <tp>
        <v>13</v>
        <stp/>
        <stp>VOLUME</stp>
        <stp>.SPXW250516P5850</stp>
        <tr r="BF87" s="1"/>
        <tr r="BF87" s="1"/>
      </tp>
      <tp t="s">
        <v>N/A</v>
        <stp/>
        <stp>VOLUME</stp>
        <stp>.NDXP250930P20400</stp>
        <tr r="R140" s="2"/>
      </tp>
      <tp t="s">
        <v>N/A</v>
        <stp/>
        <stp>VOLUME</stp>
        <stp>.NDXP250930P19400</stp>
        <tr r="R180" s="2"/>
      </tp>
      <tp t="s">
        <v>N/A</v>
        <stp/>
        <stp>VOLUME</stp>
        <stp>.NDXP250606P19200</stp>
        <tr r="J188" s="2"/>
      </tp>
      <tp t="s">
        <v>N/A</v>
        <stp/>
        <stp>VOLUME</stp>
        <stp>.NDXP250630P19400</stp>
        <tr r="L180" s="2"/>
      </tp>
      <tp t="s">
        <v>N/A</v>
        <stp/>
        <stp>VOLUME</stp>
        <stp>.NDXP250505P20100</stp>
        <tr r="BB151" s="1"/>
      </tp>
      <tp t="s">
        <v>N/A</v>
        <stp/>
        <stp>VOLUME</stp>
        <stp>.NDXP250530P20400</stp>
        <tr r="I140" s="2"/>
      </tp>
      <tp t="s">
        <v>N/A</v>
        <stp/>
        <stp>VOLUME</stp>
        <stp>.NDXP250731P19500</stp>
        <tr r="N176" s="2"/>
      </tp>
      <tp t="s">
        <v>N/A</v>
        <stp/>
        <stp>VOLUME</stp>
        <stp>.NDXP250530P19400</stp>
        <tr r="I180" s="2"/>
      </tp>
      <tp t="s">
        <v>N/A</v>
        <stp/>
        <stp>VOLUME</stp>
        <stp>.NDXP250606P20200</stp>
        <tr r="J148" s="2"/>
      </tp>
      <tp t="s">
        <v>N/A</v>
        <stp/>
        <stp>VOLUME</stp>
        <stp>.NDXP250630P20400</stp>
        <tr r="L140" s="2"/>
      </tp>
      <tp>
        <v>687</v>
        <stp/>
        <stp>VOLUME</stp>
        <stp>.SPXW250516C5820</stp>
        <tr r="BE90" s="1"/>
        <tr r="BE90" s="1"/>
      </tp>
      <tp>
        <v>1</v>
        <stp/>
        <stp>VOLUME</stp>
        <stp>.SPXW250516P5820</stp>
        <tr r="BF90" s="1"/>
        <tr r="BF90" s="1"/>
      </tp>
      <tp t="s">
        <v>N/A</v>
        <stp/>
        <stp>VOLUME</stp>
        <stp>.NDXP251231P19500</stp>
        <tr r="X176" s="2"/>
      </tp>
      <tp t="s">
        <v>N/A</v>
        <stp/>
        <stp>VOLUME</stp>
        <stp>.NDXP251031P19500</stp>
        <tr r="T176" s="2"/>
      </tp>
      <tp>
        <v>178</v>
        <stp/>
        <stp>VOLUME</stp>
        <stp>.SPXW250516C5830</stp>
        <tr r="BE89" s="1"/>
        <tr r="BE89" s="1"/>
      </tp>
      <tp>
        <v>105</v>
        <stp/>
        <stp>VOLUME</stp>
        <stp>.SPXW250516P5830</stp>
        <tr r="BF89" s="1"/>
        <tr r="BF89" s="1"/>
      </tp>
      <tp t="s">
        <v>N/A</v>
        <stp/>
        <stp>VOLUME</stp>
        <stp>.NDXP250930P20425</stp>
        <tr r="R139" s="2"/>
      </tp>
      <tp t="s">
        <v>N/A</v>
        <stp/>
        <stp>VOLUME</stp>
        <stp>.NDXP250930P19425</stp>
        <tr r="R179" s="2"/>
      </tp>
      <tp t="s">
        <v>N/A</v>
        <stp/>
        <stp>VOLUME</stp>
        <stp>.NDXP250731P19525</stp>
        <tr r="N175" s="2"/>
      </tp>
      <tp t="s">
        <v>N/A</v>
        <stp/>
        <stp>VOLUME</stp>
        <stp>.NDXP250606P19225</stp>
        <tr r="J187" s="2"/>
      </tp>
      <tp t="s">
        <v>N/A</v>
        <stp/>
        <stp>VOLUME</stp>
        <stp>.NDXP250630P19425</stp>
        <tr r="L179" s="2"/>
      </tp>
      <tp t="s">
        <v>N/A</v>
        <stp/>
        <stp>VOLUME</stp>
        <stp>.NDXP250505P20125</stp>
        <tr r="BB150" s="1"/>
      </tp>
      <tp t="s">
        <v>N/A</v>
        <stp/>
        <stp>VOLUME</stp>
        <stp>.NDXP250530P20425</stp>
        <tr r="I139" s="2"/>
      </tp>
      <tp t="s">
        <v>N/A</v>
        <stp/>
        <stp>VOLUME</stp>
        <stp>.NDXP250530P19425</stp>
        <tr r="I179" s="2"/>
      </tp>
      <tp t="s">
        <v>N/A</v>
        <stp/>
        <stp>VOLUME</stp>
        <stp>.NDXP250606P20225</stp>
        <tr r="J147" s="2"/>
      </tp>
      <tp t="s">
        <v>N/A</v>
        <stp/>
        <stp>VOLUME</stp>
        <stp>.NDXP250630P20425</stp>
        <tr r="L139" s="2"/>
      </tp>
      <tp>
        <v>2957</v>
        <stp/>
        <stp>VOLUME</stp>
        <stp>.SPXW250516C5800</stp>
        <tr r="BE92" s="1"/>
        <tr r="BE92" s="1"/>
      </tp>
      <tp>
        <v>44</v>
        <stp/>
        <stp>VOLUME</stp>
        <stp>.SPXW250516P5800</stp>
        <tr r="BF92" s="1"/>
        <tr r="BF92" s="1"/>
      </tp>
      <tp t="s">
        <v>N/A</v>
        <stp/>
        <stp>VOLUME</stp>
        <stp>.NDXP251231P19525</stp>
        <tr r="X175" s="2"/>
      </tp>
      <tp t="s">
        <v>N/A</v>
        <stp/>
        <stp>VOLUME</stp>
        <stp>.NDXP251031P19525</stp>
        <tr r="T175" s="2"/>
      </tp>
      <tp>
        <v>923</v>
        <stp/>
        <stp>VOLUME</stp>
        <stp>.SPXW250516C5810</stp>
        <tr r="BE91" s="1"/>
        <tr r="BE91" s="1"/>
      </tp>
      <tp>
        <v>11</v>
        <stp/>
        <stp>VOLUME</stp>
        <stp>.SPXW250516P5810</stp>
        <tr r="BF91" s="1"/>
        <tr r="BF91" s="1"/>
      </tp>
      <tp>
        <v>73</v>
        <stp/>
        <stp>OPEN_INT</stp>
        <stp>.NDXP250505C19900</stp>
        <tr r="AS159" s="1"/>
        <tr r="AS159" s="1"/>
      </tp>
      <tp>
        <v>15</v>
        <stp/>
        <stp>OPEN_INT</stp>
        <stp>.NDXP250509C19500</stp>
        <tr r="AU175" s="1"/>
        <tr r="AU175" s="1"/>
      </tp>
      <tp>
        <v>2</v>
        <stp/>
        <stp>OPEN_INT</stp>
        <stp>.NDXP250505C19925</stp>
        <tr r="AS158" s="1"/>
        <tr r="AS158" s="1"/>
      </tp>
      <tp>
        <v>4</v>
        <stp/>
        <stp>OPEN_INT</stp>
        <stp>.NDXP250509C19525</stp>
        <tr r="AU174" s="1"/>
        <tr r="AU174" s="1"/>
      </tp>
      <tp>
        <v>9</v>
        <stp/>
        <stp>OPEN_INT</stp>
        <stp>.NDXP250505C19950</stp>
        <tr r="AS157" s="1"/>
        <tr r="AS157" s="1"/>
      </tp>
      <tp>
        <v>5</v>
        <stp/>
        <stp>OPEN_INT</stp>
        <stp>.NDXP250509C19550</stp>
        <tr r="AU173" s="1"/>
        <tr r="AU173" s="1"/>
      </tp>
      <tp>
        <v>5</v>
        <stp/>
        <stp>OPEN_INT</stp>
        <stp>.NDXP250505C19975</stp>
        <tr r="AS156" s="1"/>
        <tr r="AS156" s="1"/>
      </tp>
      <tp>
        <v>16</v>
        <stp/>
        <stp>OPEN_INT</stp>
        <stp>.NDXP250509C19575</stp>
        <tr r="AU172" s="1"/>
        <tr r="AU172" s="1"/>
      </tp>
      <tp>
        <v>4</v>
        <stp/>
        <stp>OPEN_INT</stp>
        <stp>.NDXP250505P19925</stp>
        <tr r="AT158" s="1"/>
        <tr r="AT158" s="1"/>
      </tp>
      <tp>
        <v>6</v>
        <stp/>
        <stp>OPEN_INT</stp>
        <stp>.NDXP250509P19525</stp>
        <tr r="AV174" s="1"/>
        <tr r="AV174" s="1"/>
      </tp>
      <tp>
        <v>103</v>
        <stp/>
        <stp>OPEN_INT</stp>
        <stp>.NDXP250505P19900</stp>
        <tr r="AT159" s="1"/>
        <tr r="AT159" s="1"/>
      </tp>
      <tp>
        <v>37</v>
        <stp/>
        <stp>OPEN_INT</stp>
        <stp>.NDXP250509P19500</stp>
        <tr r="AV175" s="1"/>
        <tr r="AV175" s="1"/>
      </tp>
      <tp>
        <v>12</v>
        <stp/>
        <stp>OPEN_INT</stp>
        <stp>.NDXP250505P19975</stp>
        <tr r="AT156" s="1"/>
        <tr r="AT156" s="1"/>
      </tp>
      <tp>
        <v>6</v>
        <stp/>
        <stp>OPEN_INT</stp>
        <stp>.NDXP250509P19575</stp>
        <tr r="AV172" s="1"/>
        <tr r="AV172" s="1"/>
      </tp>
      <tp>
        <v>23</v>
        <stp/>
        <stp>OPEN_INT</stp>
        <stp>.NDXP250505P19950</stp>
        <tr r="AT157" s="1"/>
        <tr r="AT157" s="1"/>
      </tp>
      <tp>
        <v>12</v>
        <stp/>
        <stp>OPEN_INT</stp>
        <stp>.NDXP250509P19550</stp>
        <tr r="AV173" s="1"/>
        <tr r="AV173" s="1"/>
      </tp>
      <tp>
        <v>-0.71</v>
        <stp/>
        <stp>DELTA</stp>
        <stp>.NDXP250505P20325</stp>
        <tr r="CE142" s="1"/>
        <tr r="CE142" s="1"/>
      </tp>
      <tp>
        <v>-0.05</v>
        <stp/>
        <stp>DELTA</stp>
        <stp>.NDXP250505P19325</stp>
        <tr r="CE182" s="1"/>
        <tr r="CE182" s="1"/>
      </tp>
      <tp>
        <v>-0.7</v>
        <stp/>
        <stp>DELTA</stp>
        <stp>.NDXP250505P20300</stp>
        <tr r="CE143" s="1"/>
        <tr r="CE143" s="1"/>
      </tp>
      <tp>
        <v>0</v>
        <stp/>
        <stp>DELTA</stp>
        <stp>.NDXP250505P19300</stp>
        <tr r="CE183" s="1"/>
        <tr r="CE183" s="1"/>
      </tp>
      <tp>
        <v>-0.73</v>
        <stp/>
        <stp>DELTA</stp>
        <stp>.NDXP250505P20375</stp>
        <tr r="CE140" s="1"/>
        <tr r="CE140" s="1"/>
      </tp>
      <tp>
        <v>-0.05</v>
        <stp/>
        <stp>DELTA</stp>
        <stp>.NDXP250505P19375</stp>
        <tr r="CE180" s="1"/>
        <tr r="CE180" s="1"/>
      </tp>
      <tp>
        <v>-0.72</v>
        <stp/>
        <stp>DELTA</stp>
        <stp>.NDXP250505P20350</stp>
        <tr r="CE141" s="1"/>
        <tr r="CE141" s="1"/>
      </tp>
      <tp>
        <v>-0.05</v>
        <stp/>
        <stp>DELTA</stp>
        <stp>.NDXP250505P19350</stp>
        <tr r="CE181" s="1"/>
        <tr r="CE181" s="1"/>
      </tp>
      <tp>
        <v>0</v>
        <stp/>
        <stp>DELTA</stp>
        <stp>.NDXP250505C20300</stp>
        <tr r="CD143" s="1"/>
        <tr r="CD143" s="1"/>
      </tp>
      <tp>
        <v>1</v>
        <stp/>
        <stp>DELTA</stp>
        <stp>.NDXP250505C19300</stp>
        <tr r="CD183" s="1"/>
        <tr r="CD183" s="1"/>
      </tp>
      <tp>
        <v>0.1</v>
        <stp/>
        <stp>DELTA</stp>
        <stp>.NDXP250505C20325</stp>
        <tr r="CD142" s="1"/>
        <tr r="CD142" s="1"/>
      </tp>
      <tp>
        <v>1</v>
        <stp/>
        <stp>DELTA</stp>
        <stp>.NDXP250505C19325</stp>
        <tr r="CD182" s="1"/>
        <tr r="CD182" s="1"/>
      </tp>
      <tp>
        <v>0</v>
        <stp/>
        <stp>DELTA</stp>
        <stp>.NDXP250505C20350</stp>
        <tr r="CD141" s="1"/>
        <tr r="CD141" s="1"/>
      </tp>
      <tp>
        <v>1</v>
        <stp/>
        <stp>DELTA</stp>
        <stp>.NDXP250505C19350</stp>
        <tr r="CD181" s="1"/>
        <tr r="CD181" s="1"/>
      </tp>
      <tp>
        <v>0</v>
        <stp/>
        <stp>DELTA</stp>
        <stp>.NDXP250505C20375</stp>
        <tr r="CD140" s="1"/>
        <tr r="CD140" s="1"/>
      </tp>
      <tp>
        <v>1</v>
        <stp/>
        <stp>DELTA</stp>
        <stp>.NDXP250505C19375</stp>
        <tr r="CD180" s="1"/>
        <tr r="CD180" s="1"/>
      </tp>
      <tp t="s">
        <v>N/A</v>
        <stp/>
        <stp>VOLUME</stp>
        <stp>.NDXP250930C19575</stp>
        <tr r="R173" s="2"/>
      </tp>
      <tp t="s">
        <v>N/A</v>
        <stp/>
        <stp>VOLUME</stp>
        <stp>.NDXP250731C19475</stp>
        <tr r="N177" s="2"/>
      </tp>
      <tp t="s">
        <v>N/A</v>
        <stp/>
        <stp>VOLUME</stp>
        <stp>.NDXP250606C19375</stp>
        <tr r="J181" s="2"/>
      </tp>
      <tp t="s">
        <v>N/A</v>
        <stp/>
        <stp>VOLUME</stp>
        <stp>.NDXP250630C19575</stp>
        <tr r="L173" s="2"/>
      </tp>
      <tp t="s">
        <v>N/A</v>
        <stp/>
        <stp>VOLUME</stp>
        <stp>.NDXP250505C20075</stp>
        <tr r="BA152" s="1"/>
      </tp>
      <tp t="s">
        <v>N/A</v>
        <stp/>
        <stp>VOLUME</stp>
        <stp>.NDXP250530C19575</stp>
        <tr r="I173" s="2"/>
      </tp>
      <tp t="s">
        <v>N/A</v>
        <stp/>
        <stp>VOLUME</stp>
        <stp>.NDXP250606C20375</stp>
        <tr r="J141" s="2"/>
      </tp>
      <tp t="s">
        <v>N/A</v>
        <stp/>
        <stp>VOLUME</stp>
        <stp>.NDXP251231C19475</stp>
        <tr r="X177" s="2"/>
      </tp>
      <tp t="s">
        <v>N/A</v>
        <stp/>
        <stp>VOLUME</stp>
        <stp>.NDXP251031C19475</stp>
        <tr r="T177" s="2"/>
      </tp>
      <tp t="s">
        <v>N/A</v>
        <stp/>
        <stp>VOLUME</stp>
        <stp>.NDXP250930C19550</stp>
        <tr r="R174" s="2"/>
      </tp>
      <tp t="s">
        <v>N/A</v>
        <stp/>
        <stp>VOLUME</stp>
        <stp>.NDXP250606C19350</stp>
        <tr r="J182" s="2"/>
      </tp>
      <tp t="s">
        <v>N/A</v>
        <stp/>
        <stp>VOLUME</stp>
        <stp>.NDXP250630C19550</stp>
        <tr r="L174" s="2"/>
      </tp>
      <tp t="s">
        <v>N/A</v>
        <stp/>
        <stp>VOLUME</stp>
        <stp>.NDXP250505C20050</stp>
        <tr r="BA153" s="1"/>
      </tp>
      <tp t="s">
        <v>N/A</v>
        <stp/>
        <stp>VOLUME</stp>
        <stp>.NDXP250731C19450</stp>
        <tr r="N178" s="2"/>
      </tp>
      <tp t="s">
        <v>N/A</v>
        <stp/>
        <stp>VOLUME</stp>
        <stp>.NDXP250731C20450</stp>
        <tr r="N138" s="2"/>
      </tp>
      <tp>
        <v>1</v>
        <stp/>
        <stp>VOLUME</stp>
        <stp>.NDXP250530C19550</stp>
        <tr r="I174" s="2"/>
        <tr r="I174" s="2"/>
      </tp>
      <tp t="s">
        <v>N/A</v>
        <stp/>
        <stp>VOLUME</stp>
        <stp>.NDXP250606C20350</stp>
        <tr r="J142" s="2"/>
      </tp>
      <tp t="s">
        <v>N/A</v>
        <stp/>
        <stp>VOLUME</stp>
        <stp>.NDXP251231C19450</stp>
        <tr r="X178" s="2"/>
      </tp>
      <tp t="s">
        <v>N/A</v>
        <stp/>
        <stp>VOLUME</stp>
        <stp>.NDXP251031C20450</stp>
        <tr r="T138" s="2"/>
      </tp>
      <tp t="s">
        <v>N/A</v>
        <stp/>
        <stp>VOLUME</stp>
        <stp>.NDXP251031C19450</stp>
        <tr r="T178" s="2"/>
      </tp>
      <tp t="s">
        <v>N/A</v>
        <stp/>
        <stp>VOLUME</stp>
        <stp>.NDXP251231C20450</stp>
        <tr r="X138" s="2"/>
      </tp>
      <tp t="s">
        <v>N/A</v>
        <stp/>
        <stp>VOLUME</stp>
        <stp>.NDXP251031C20425</stp>
        <tr r="T139" s="2"/>
      </tp>
      <tp t="s">
        <v>N/A</v>
        <stp/>
        <stp>VOLUME</stp>
        <stp>.NDXP251231C19425</stp>
        <tr r="X179" s="2"/>
      </tp>
      <tp t="s">
        <v>N/A</v>
        <stp/>
        <stp>VOLUME</stp>
        <stp>.NDXP251231C20425</stp>
        <tr r="X139" s="2"/>
      </tp>
      <tp t="s">
        <v>N/A</v>
        <stp/>
        <stp>VOLUME</stp>
        <stp>.NDXP251031C19425</stp>
        <tr r="T179" s="2"/>
      </tp>
      <tp t="s">
        <v>N/A</v>
        <stp/>
        <stp>VOLUME</stp>
        <stp>.NDXP250930C19525</stp>
        <tr r="R175" s="2"/>
      </tp>
      <tp t="s">
        <v>N/A</v>
        <stp/>
        <stp>VOLUME</stp>
        <stp>.NDXP250731C19425</stp>
        <tr r="N179" s="2"/>
      </tp>
      <tp t="s">
        <v>N/A</v>
        <stp/>
        <stp>VOLUME</stp>
        <stp>.NDXP250606C19325</stp>
        <tr r="J183" s="2"/>
      </tp>
      <tp t="s">
        <v>N/A</v>
        <stp/>
        <stp>VOLUME</stp>
        <stp>.NDXP250630C19525</stp>
        <tr r="L175" s="2"/>
      </tp>
      <tp t="s">
        <v>N/A</v>
        <stp/>
        <stp>VOLUME</stp>
        <stp>.NDXP250505C20025</stp>
        <tr r="BA154" s="1"/>
      </tp>
      <tp t="s">
        <v>N/A</v>
        <stp/>
        <stp>VOLUME</stp>
        <stp>.NDXP250530C19525</stp>
        <tr r="I175" s="2"/>
      </tp>
      <tp t="s">
        <v>N/A</v>
        <stp/>
        <stp>VOLUME</stp>
        <stp>.NDXP250606C20325</stp>
        <tr r="J143" s="2"/>
      </tp>
      <tp t="s">
        <v>N/A</v>
        <stp/>
        <stp>VOLUME</stp>
        <stp>.NDXP250731C20425</stp>
        <tr r="N139" s="2"/>
      </tp>
      <tp t="s">
        <v>N/A</v>
        <stp/>
        <stp>VOLUME</stp>
        <stp>.NDXP251231C19400</stp>
        <tr r="X180" s="2"/>
      </tp>
      <tp t="s">
        <v>N/A</v>
        <stp/>
        <stp>VOLUME</stp>
        <stp>.NDXP251031C20400</stp>
        <tr r="T140" s="2"/>
      </tp>
      <tp t="s">
        <v>N/A</v>
        <stp/>
        <stp>VOLUME</stp>
        <stp>.NDXP251031C19400</stp>
        <tr r="T180" s="2"/>
      </tp>
      <tp t="s">
        <v>N/A</v>
        <stp/>
        <stp>VOLUME</stp>
        <stp>.NDXP251231C20400</stp>
        <tr r="X140" s="2"/>
      </tp>
      <tp t="s">
        <v>N/A</v>
        <stp/>
        <stp>VOLUME</stp>
        <stp>.NDXP250930C19500</stp>
        <tr r="R176" s="2"/>
      </tp>
      <tp t="s">
        <v>N/A</v>
        <stp/>
        <stp>VOLUME</stp>
        <stp>.NDXP250606C19300</stp>
        <tr r="J184" s="2"/>
      </tp>
      <tp t="s">
        <v>N/A</v>
        <stp/>
        <stp>VOLUME</stp>
        <stp>.NDXP250630C19500</stp>
        <tr r="L176" s="2"/>
      </tp>
      <tp t="s">
        <v>N/A</v>
        <stp/>
        <stp>VOLUME</stp>
        <stp>.NDXP250505C20000</stp>
        <tr r="BA155" s="1"/>
      </tp>
      <tp t="s">
        <v>N/A</v>
        <stp/>
        <stp>VOLUME</stp>
        <stp>.NDXP250731C19400</stp>
        <tr r="N180" s="2"/>
      </tp>
      <tp t="s">
        <v>N/A</v>
        <stp/>
        <stp>VOLUME</stp>
        <stp>.NDXP250731C20400</stp>
        <tr r="N140" s="2"/>
      </tp>
      <tp>
        <v>1</v>
        <stp/>
        <stp>VOLUME</stp>
        <stp>.NDXP250530C19500</stp>
        <tr r="I176" s="2"/>
        <tr r="I176" s="2"/>
      </tp>
      <tp>
        <v>3</v>
        <stp/>
        <stp>VOLUME</stp>
        <stp>.NDXP250606C20300</stp>
        <tr r="J144" s="2"/>
        <tr r="J144" s="2"/>
      </tp>
      <tp>
        <v>2890</v>
        <stp/>
        <stp>VOLUME</stp>
        <stp>.SPXW250509C5810</stp>
        <tr r="BC91" s="1"/>
        <tr r="BC91" s="1"/>
      </tp>
      <tp>
        <v>103</v>
        <stp/>
        <stp>VOLUME</stp>
        <stp>.SPXW250509P5810</stp>
        <tr r="BD91" s="1"/>
        <tr r="BD91" s="1"/>
      </tp>
      <tp>
        <v>19006</v>
        <stp/>
        <stp>VOLUME</stp>
        <stp>.SPXW250509C5800</stp>
        <tr r="BC92" s="1"/>
        <tr r="BC92" s="1"/>
      </tp>
      <tp>
        <v>136</v>
        <stp/>
        <stp>VOLUME</stp>
        <stp>.SPXW250509P5800</stp>
        <tr r="BD92" s="1"/>
        <tr r="BD92" s="1"/>
      </tp>
      <tp>
        <v>2231</v>
        <stp/>
        <stp>VOLUME</stp>
        <stp>.SPXW250509C5830</stp>
        <tr r="BC89" s="1"/>
        <tr r="BC89" s="1"/>
      </tp>
      <tp>
        <v>394</v>
        <stp/>
        <stp>VOLUME</stp>
        <stp>.SPXW250509P5830</stp>
        <tr r="BD89" s="1"/>
        <tr r="BD89" s="1"/>
      </tp>
      <tp>
        <v>2986</v>
        <stp/>
        <stp>VOLUME</stp>
        <stp>.SPXW250509C5820</stp>
        <tr r="BC90" s="1"/>
        <tr r="BC90" s="1"/>
      </tp>
      <tp>
        <v>300</v>
        <stp/>
        <stp>VOLUME</stp>
        <stp>.SPXW250509P5820</stp>
        <tr r="BD90" s="1"/>
        <tr r="BD90" s="1"/>
      </tp>
      <tp>
        <v>2180</v>
        <stp/>
        <stp>VOLUME</stp>
        <stp>.SPXW250509C5850</stp>
        <tr r="BC87" s="1"/>
        <tr r="BC87" s="1"/>
      </tp>
      <tp>
        <v>174</v>
        <stp/>
        <stp>VOLUME</stp>
        <stp>.SPXW250509P5850</stp>
        <tr r="BD87" s="1"/>
        <tr r="BD87" s="1"/>
      </tp>
      <tp>
        <v>1796</v>
        <stp/>
        <stp>VOLUME</stp>
        <stp>.SPXW250509C5840</stp>
        <tr r="BC88" s="1"/>
        <tr r="BC88" s="1"/>
      </tp>
      <tp>
        <v>16</v>
        <stp/>
        <stp>VOLUME</stp>
        <stp>.SPXW250509P5840</stp>
        <tr r="BD88" s="1"/>
        <tr r="BD88" s="1"/>
      </tp>
      <tp>
        <v>1442</v>
        <stp/>
        <stp>VOLUME</stp>
        <stp>.SPXW250509C5870</stp>
        <tr r="BC85" s="1"/>
        <tr r="BC85" s="1"/>
      </tp>
      <tp t="s">
        <v>N/A</v>
        <stp/>
        <stp>VOLUME</stp>
        <stp>.SPXW250509P5870</stp>
        <tr r="BD85" s="1"/>
      </tp>
      <tp>
        <v>1920</v>
        <stp/>
        <stp>VOLUME</stp>
        <stp>.SPXW250509C5860</stp>
        <tr r="BC86" s="1"/>
        <tr r="BC86" s="1"/>
      </tp>
      <tp t="s">
        <v>N/A</v>
        <stp/>
        <stp>VOLUME</stp>
        <stp>.SPXW250509P5860</stp>
        <tr r="BD86" s="1"/>
      </tp>
      <tp t="s">
        <v>N/A</v>
        <stp/>
        <stp>VOLUME</stp>
        <stp>.NDXP251231P19450</stp>
        <tr r="X178" s="2"/>
      </tp>
      <tp t="s">
        <v>N/A</v>
        <stp/>
        <stp>VOLUME</stp>
        <stp>.NDXP251031P20450</stp>
        <tr r="T138" s="2"/>
      </tp>
      <tp t="s">
        <v>N/A</v>
        <stp/>
        <stp>VOLUME</stp>
        <stp>.NDXP251031P19450</stp>
        <tr r="T178" s="2"/>
      </tp>
      <tp t="s">
        <v>N/A</v>
        <stp/>
        <stp>VOLUME</stp>
        <stp>.NDXP251231P20450</stp>
        <tr r="X138" s="2"/>
      </tp>
      <tp t="s">
        <v>N/A</v>
        <stp/>
        <stp>VOLUME</stp>
        <stp>.SPXW250505C5850</stp>
        <tr r="BA87" s="1"/>
      </tp>
      <tp t="s">
        <v>N/A</v>
        <stp/>
        <stp>VOLUME</stp>
        <stp>.SPXW250606C5860</stp>
        <tr r="J87" s="2"/>
      </tp>
      <tp t="s">
        <v>N/A</v>
        <stp/>
        <stp>VOLUME</stp>
        <stp>.SPXW250505P5850</stp>
        <tr r="BB87" s="1"/>
      </tp>
      <tp t="s">
        <v>N/A</v>
        <stp/>
        <stp>VOLUME</stp>
        <stp>.SPXW250606P5860</stp>
        <tr r="J87" s="2"/>
      </tp>
      <tp t="s">
        <v>N/A</v>
        <stp/>
        <stp>VOLUME</stp>
        <stp>.NDXP250930P19550</stp>
        <tr r="R174" s="2"/>
      </tp>
      <tp>
        <v>4</v>
        <stp/>
        <stp>VOLUME</stp>
        <stp>.NDXP250606P19350</stp>
        <tr r="J182" s="2"/>
        <tr r="J182" s="2"/>
      </tp>
      <tp t="s">
        <v>N/A</v>
        <stp/>
        <stp>VOLUME</stp>
        <stp>.NDXP250630P19550</stp>
        <tr r="L174" s="2"/>
      </tp>
      <tp t="s">
        <v>N/A</v>
        <stp/>
        <stp>VOLUME</stp>
        <stp>.NDXP250505P20050</stp>
        <tr r="BB153" s="1"/>
      </tp>
      <tp t="s">
        <v>N/A</v>
        <stp/>
        <stp>VOLUME</stp>
        <stp>.NDXP250731P19450</stp>
        <tr r="N178" s="2"/>
      </tp>
      <tp t="s">
        <v>N/A</v>
        <stp/>
        <stp>VOLUME</stp>
        <stp>.NDXP250731P20450</stp>
        <tr r="N138" s="2"/>
      </tp>
      <tp>
        <v>2</v>
        <stp/>
        <stp>VOLUME</stp>
        <stp>.NDXP250530P19550</stp>
        <tr r="I174" s="2"/>
        <tr r="I174" s="2"/>
      </tp>
      <tp t="s">
        <v>N/A</v>
        <stp/>
        <stp>VOLUME</stp>
        <stp>.NDXP250606P20350</stp>
        <tr r="J142" s="2"/>
      </tp>
      <tp t="s">
        <v>N/A</v>
        <stp/>
        <stp>VOLUME</stp>
        <stp>.SPXW250505C5840</stp>
        <tr r="BA88" s="1"/>
      </tp>
      <tp>
        <v>45</v>
        <stp/>
        <stp>VOLUME</stp>
        <stp>.SPXW250606C5870</stp>
        <tr r="J86" s="2"/>
        <tr r="J86" s="2"/>
      </tp>
      <tp t="s">
        <v>N/A</v>
        <stp/>
        <stp>VOLUME</stp>
        <stp>.SPXW250505P5840</stp>
        <tr r="BB88" s="1"/>
      </tp>
      <tp t="s">
        <v>N/A</v>
        <stp/>
        <stp>VOLUME</stp>
        <stp>.SPXW250606P5870</stp>
        <tr r="J86" s="2"/>
      </tp>
      <tp t="s">
        <v>N/A</v>
        <stp/>
        <stp>VOLUME</stp>
        <stp>.NDXP251231P19475</stp>
        <tr r="X177" s="2"/>
      </tp>
      <tp t="s">
        <v>N/A</v>
        <stp/>
        <stp>VOLUME</stp>
        <stp>.NDXP251031P19475</stp>
        <tr r="T177" s="2"/>
      </tp>
      <tp t="s">
        <v>N/A</v>
        <stp/>
        <stp>VOLUME</stp>
        <stp>.SPXW250505C5870</stp>
        <tr r="BA85" s="1"/>
      </tp>
      <tp>
        <v>14</v>
        <stp/>
        <stp>VOLUME</stp>
        <stp>.SPXW250606C5840</stp>
        <tr r="J89" s="2"/>
        <tr r="J89" s="2"/>
      </tp>
      <tp t="s">
        <v>N/A</v>
        <stp/>
        <stp>VOLUME</stp>
        <stp>.SPXW250505P5870</stp>
        <tr r="BB85" s="1"/>
      </tp>
      <tp t="s">
        <v>N/A</v>
        <stp/>
        <stp>VOLUME</stp>
        <stp>.SPXW250606P5840</stp>
        <tr r="J89" s="2"/>
      </tp>
      <tp t="s">
        <v>N/A</v>
        <stp/>
        <stp>VOLUME</stp>
        <stp>.NDXP250930P19575</stp>
        <tr r="R173" s="2"/>
      </tp>
      <tp t="s">
        <v>N/A</v>
        <stp/>
        <stp>VOLUME</stp>
        <stp>.NDXP250731P19475</stp>
        <tr r="N177" s="2"/>
      </tp>
      <tp t="s">
        <v>N/A</v>
        <stp/>
        <stp>VOLUME</stp>
        <stp>.NDXP250606P19375</stp>
        <tr r="J181" s="2"/>
      </tp>
      <tp t="s">
        <v>N/A</v>
        <stp/>
        <stp>VOLUME</stp>
        <stp>.NDXP250630P19575</stp>
        <tr r="L173" s="2"/>
      </tp>
      <tp t="s">
        <v>N/A</v>
        <stp/>
        <stp>VOLUME</stp>
        <stp>.NDXP250505P20075</stp>
        <tr r="BB152" s="1"/>
      </tp>
      <tp t="s">
        <v>N/A</v>
        <stp/>
        <stp>VOLUME</stp>
        <stp>.NDXP250530P19575</stp>
        <tr r="I173" s="2"/>
      </tp>
      <tp t="s">
        <v>N/A</v>
        <stp/>
        <stp>VOLUME</stp>
        <stp>.NDXP250606P20375</stp>
        <tr r="J141" s="2"/>
      </tp>
      <tp t="s">
        <v>N/A</v>
        <stp/>
        <stp>VOLUME</stp>
        <stp>.SPXW250505C5860</stp>
        <tr r="BA86" s="1"/>
      </tp>
      <tp>
        <v>35</v>
        <stp/>
        <stp>VOLUME</stp>
        <stp>.SPXW250606C5850</stp>
        <tr r="J88" s="2"/>
        <tr r="J88" s="2"/>
      </tp>
      <tp t="s">
        <v>N/A</v>
        <stp/>
        <stp>VOLUME</stp>
        <stp>.SPXW250505P5860</stp>
        <tr r="BB86" s="1"/>
      </tp>
      <tp>
        <v>1</v>
        <stp/>
        <stp>VOLUME</stp>
        <stp>.SPXW250606P5850</stp>
        <tr r="J88" s="2"/>
        <tr r="J88" s="2"/>
      </tp>
      <tp t="s">
        <v>N/A</v>
        <stp/>
        <stp>VOLUME</stp>
        <stp>.NDXP250930P19500</stp>
        <tr r="R176" s="2"/>
      </tp>
      <tp>
        <v>3</v>
        <stp/>
        <stp>VOLUME</stp>
        <stp>.NDXP250606P19300</stp>
        <tr r="J184" s="2"/>
        <tr r="J184" s="2"/>
      </tp>
      <tp t="s">
        <v>N/A</v>
        <stp/>
        <stp>VOLUME</stp>
        <stp>.NDXP250630P19500</stp>
        <tr r="L176" s="2"/>
      </tp>
      <tp t="s">
        <v>N/A</v>
        <stp/>
        <stp>VOLUME</stp>
        <stp>.NDXP250505P20000</stp>
        <tr r="BB155" s="1"/>
      </tp>
      <tp t="s">
        <v>N/A</v>
        <stp/>
        <stp>VOLUME</stp>
        <stp>.NDXP250731P19400</stp>
        <tr r="N180" s="2"/>
      </tp>
      <tp t="s">
        <v>N/A</v>
        <stp/>
        <stp>VOLUME</stp>
        <stp>.NDXP250731P20400</stp>
        <tr r="N140" s="2"/>
      </tp>
      <tp>
        <v>3</v>
        <stp/>
        <stp>VOLUME</stp>
        <stp>.NDXP250530P19500</stp>
        <tr r="I176" s="2"/>
        <tr r="I176" s="2"/>
      </tp>
      <tp t="s">
        <v>N/A</v>
        <stp/>
        <stp>VOLUME</stp>
        <stp>.NDXP250606P20300</stp>
        <tr r="J144" s="2"/>
      </tp>
      <tp t="s">
        <v>N/A</v>
        <stp/>
        <stp>VOLUME</stp>
        <stp>.SPXW250505C5810</stp>
        <tr r="BA91" s="1"/>
      </tp>
      <tp>
        <v>20</v>
        <stp/>
        <stp>VOLUME</stp>
        <stp>.SPXW250606C5820</stp>
        <tr r="J91" s="2"/>
        <tr r="J91" s="2"/>
      </tp>
      <tp t="s">
        <v>N/A</v>
        <stp/>
        <stp>VOLUME</stp>
        <stp>.SPXW250505P5810</stp>
        <tr r="BB91" s="1"/>
      </tp>
      <tp t="s">
        <v>N/A</v>
        <stp/>
        <stp>VOLUME</stp>
        <stp>.SPXW250606P5820</stp>
        <tr r="J91" s="2"/>
      </tp>
      <tp t="s">
        <v>N/A</v>
        <stp/>
        <stp>VOLUME</stp>
        <stp>.NDXP251231P19400</stp>
        <tr r="X180" s="2"/>
      </tp>
      <tp t="s">
        <v>N/A</v>
        <stp/>
        <stp>VOLUME</stp>
        <stp>.NDXP251031P20400</stp>
        <tr r="T140" s="2"/>
      </tp>
      <tp t="s">
        <v>N/A</v>
        <stp/>
        <stp>VOLUME</stp>
        <stp>.NDXP251031P19400</stp>
        <tr r="T180" s="2"/>
      </tp>
      <tp t="s">
        <v>N/A</v>
        <stp/>
        <stp>VOLUME</stp>
        <stp>.NDXP251231P20400</stp>
        <tr r="X140" s="2"/>
      </tp>
      <tp t="s">
        <v>N/A</v>
        <stp/>
        <stp>VOLUME</stp>
        <stp>.SPXW250505C5800</stp>
        <tr r="BA92" s="1"/>
      </tp>
      <tp>
        <v>87</v>
        <stp/>
        <stp>VOLUME</stp>
        <stp>.SPXW250606C5830</stp>
        <tr r="J90" s="2"/>
        <tr r="J90" s="2"/>
      </tp>
      <tp t="s">
        <v>N/A</v>
        <stp/>
        <stp>VOLUME</stp>
        <stp>.SPXW250505P5800</stp>
        <tr r="BB92" s="1"/>
      </tp>
      <tp t="s">
        <v>N/A</v>
        <stp/>
        <stp>VOLUME</stp>
        <stp>.SPXW250606P5830</stp>
        <tr r="J90" s="2"/>
      </tp>
      <tp t="s">
        <v>N/A</v>
        <stp/>
        <stp>VOLUME</stp>
        <stp>.NDXP250930P19525</stp>
        <tr r="R175" s="2"/>
      </tp>
      <tp t="s">
        <v>N/A</v>
        <stp/>
        <stp>VOLUME</stp>
        <stp>.NDXP250731P19425</stp>
        <tr r="N179" s="2"/>
      </tp>
      <tp t="s">
        <v>N/A</v>
        <stp/>
        <stp>VOLUME</stp>
        <stp>.NDXP250606P19325</stp>
        <tr r="J183" s="2"/>
      </tp>
      <tp t="s">
        <v>N/A</v>
        <stp/>
        <stp>VOLUME</stp>
        <stp>.NDXP250630P19525</stp>
        <tr r="L175" s="2"/>
      </tp>
      <tp t="s">
        <v>N/A</v>
        <stp/>
        <stp>VOLUME</stp>
        <stp>.NDXP250505P20025</stp>
        <tr r="BB154" s="1"/>
      </tp>
      <tp t="s">
        <v>N/A</v>
        <stp/>
        <stp>VOLUME</stp>
        <stp>.NDXP250530P19525</stp>
        <tr r="I175" s="2"/>
      </tp>
      <tp t="s">
        <v>N/A</v>
        <stp/>
        <stp>VOLUME</stp>
        <stp>.NDXP250606P20325</stp>
        <tr r="J143" s="2"/>
      </tp>
      <tp t="s">
        <v>N/A</v>
        <stp/>
        <stp>VOLUME</stp>
        <stp>.NDXP250731P20425</stp>
        <tr r="N139" s="2"/>
      </tp>
      <tp t="s">
        <v>N/A</v>
        <stp/>
        <stp>VOLUME</stp>
        <stp>.SPXW250505C5830</stp>
        <tr r="BA89" s="1"/>
      </tp>
      <tp>
        <v>877</v>
        <stp/>
        <stp>VOLUME</stp>
        <stp>.SPXW250606C5800</stp>
        <tr r="J93" s="2"/>
        <tr r="J93" s="2"/>
      </tp>
      <tp t="s">
        <v>N/A</v>
        <stp/>
        <stp>VOLUME</stp>
        <stp>.SPXW250505P5830</stp>
        <tr r="BB89" s="1"/>
      </tp>
      <tp>
        <v>2</v>
        <stp/>
        <stp>VOLUME</stp>
        <stp>.SPXW250606P5800</stp>
        <tr r="J93" s="2"/>
        <tr r="J93" s="2"/>
      </tp>
      <tp t="s">
        <v>N/A</v>
        <stp/>
        <stp>VOLUME</stp>
        <stp>.NDXP251031P20425</stp>
        <tr r="T139" s="2"/>
      </tp>
      <tp t="s">
        <v>N/A</v>
        <stp/>
        <stp>VOLUME</stp>
        <stp>.NDXP251231P19425</stp>
        <tr r="X179" s="2"/>
      </tp>
      <tp t="s">
        <v>N/A</v>
        <stp/>
        <stp>VOLUME</stp>
        <stp>.NDXP251231P20425</stp>
        <tr r="X139" s="2"/>
      </tp>
      <tp t="s">
        <v>N/A</v>
        <stp/>
        <stp>VOLUME</stp>
        <stp>.NDXP251031P19425</stp>
        <tr r="T179" s="2"/>
      </tp>
      <tp t="s">
        <v>N/A</v>
        <stp/>
        <stp>VOLUME</stp>
        <stp>.SPXW250505C5820</stp>
        <tr r="BA90" s="1"/>
      </tp>
      <tp>
        <v>240</v>
        <stp/>
        <stp>VOLUME</stp>
        <stp>.SPXW250606C5810</stp>
        <tr r="J92" s="2"/>
        <tr r="J92" s="2"/>
      </tp>
      <tp t="s">
        <v>N/A</v>
        <stp/>
        <stp>VOLUME</stp>
        <stp>.SPXW250505P5820</stp>
        <tr r="BB90" s="1"/>
      </tp>
      <tp t="s">
        <v>N/A</v>
        <stp/>
        <stp>VOLUME</stp>
        <stp>.SPXW250606P5810</stp>
        <tr r="J92" s="2"/>
      </tp>
      <tp>
        <v>11</v>
        <stp/>
        <stp>OPEN_INT</stp>
        <stp>.NDXP250509C19600</stp>
        <tr r="AU171" s="1"/>
        <tr r="AU171" s="1"/>
      </tp>
      <tp>
        <v>4</v>
        <stp/>
        <stp>OPEN_INT</stp>
        <stp>.NDXP250509C19625</stp>
        <tr r="AU170" s="1"/>
        <tr r="AU170" s="1"/>
      </tp>
      <tp>
        <v>95</v>
        <stp/>
        <stp>OPEN_INT</stp>
        <stp>.NDXP250509C19650</stp>
        <tr r="AU169" s="1"/>
        <tr r="AU169" s="1"/>
      </tp>
      <tp>
        <v>5</v>
        <stp/>
        <stp>OPEN_INT</stp>
        <stp>.NDXP250509C19675</stp>
        <tr r="AU168" s="1"/>
        <tr r="AU168" s="1"/>
      </tp>
      <tp>
        <v>4</v>
        <stp/>
        <stp>OPEN_INT</stp>
        <stp>.NDXP250509P19625</stp>
        <tr r="AV170" s="1"/>
        <tr r="AV170" s="1"/>
      </tp>
      <tp>
        <v>22</v>
        <stp/>
        <stp>OPEN_INT</stp>
        <stp>.NDXP250509P19600</stp>
        <tr r="AV171" s="1"/>
        <tr r="AV171" s="1"/>
      </tp>
      <tp>
        <v>7</v>
        <stp/>
        <stp>OPEN_INT</stp>
        <stp>.NDXP250509P19675</stp>
        <tr r="AV168" s="1"/>
        <tr r="AV168" s="1"/>
      </tp>
      <tp>
        <v>24</v>
        <stp/>
        <stp>OPEN_INT</stp>
        <stp>.NDXP250509P19650</stp>
        <tr r="AV169" s="1"/>
        <tr r="AV169" s="1"/>
      </tp>
      <tp>
        <v>-0.41</v>
        <stp/>
        <stp>DELTA</stp>
        <stp>.NDXP250505P20025</stp>
        <tr r="CE154" s="1"/>
        <tr r="CE154" s="1"/>
      </tp>
      <tp>
        <v>-0.32</v>
        <stp/>
        <stp>DELTA</stp>
        <stp>.NDXP250505P20000</stp>
        <tr r="CE155" s="1"/>
        <tr r="CE155" s="1"/>
      </tp>
      <tp>
        <v>-0.52</v>
        <stp/>
        <stp>DELTA</stp>
        <stp>.NDXP250505P20075</stp>
        <tr r="CE152" s="1"/>
        <tr r="CE152" s="1"/>
      </tp>
      <tp>
        <v>-0.48</v>
        <stp/>
        <stp>DELTA</stp>
        <stp>.NDXP250505P20050</stp>
        <tr r="CE153" s="1"/>
        <tr r="CE153" s="1"/>
      </tp>
      <tp>
        <v>1</v>
        <stp/>
        <stp>DELTA</stp>
        <stp>.NDXP250505C20000</stp>
        <tr r="CD155" s="1"/>
        <tr r="CD155" s="1"/>
      </tp>
      <tp>
        <v>1</v>
        <stp/>
        <stp>DELTA</stp>
        <stp>.NDXP250505C20025</stp>
        <tr r="CD154" s="1"/>
        <tr r="CD154" s="1"/>
      </tp>
      <tp>
        <v>1</v>
        <stp/>
        <stp>DELTA</stp>
        <stp>.NDXP250505C20050</stp>
        <tr r="CD153" s="1"/>
        <tr r="CD153" s="1"/>
      </tp>
      <tp>
        <v>0.02</v>
        <stp/>
        <stp>DELTA</stp>
        <stp>.NDXP250505C20075</stp>
        <tr r="CD152" s="1"/>
        <tr r="CD152" s="1"/>
      </tp>
      <tp t="s">
        <v>N/A</v>
        <stp/>
        <stp>VOLUME</stp>
        <stp>.NDXP250930C19675</stp>
        <tr r="R169" s="2"/>
      </tp>
      <tp t="s">
        <v>N/A</v>
        <stp/>
        <stp>VOLUME</stp>
        <stp>.NDXP250731C19775</stp>
        <tr r="N165" s="2"/>
      </tp>
      <tp t="s">
        <v>N/A</v>
        <stp/>
        <stp>VOLUME</stp>
        <stp>.NDXP250630C19675</stp>
        <tr r="L169" s="2"/>
      </tp>
      <tp t="s">
        <v>N/A</v>
        <stp/>
        <stp>VOLUME</stp>
        <stp>.NDXP250505C20375</stp>
        <tr r="BA140" s="1"/>
      </tp>
      <tp t="s">
        <v>N/A</v>
        <stp/>
        <stp>VOLUME</stp>
        <stp>.NDXP250505C19375</stp>
        <tr r="BA180" s="1"/>
      </tp>
      <tp t="s">
        <v>N/A</v>
        <stp/>
        <stp>VOLUME</stp>
        <stp>.NDXP250530C19675</stp>
        <tr r="I169" s="2"/>
      </tp>
      <tp t="s">
        <v>N/A</v>
        <stp/>
        <stp>VOLUME</stp>
        <stp>.NDXP250606C20075</stp>
        <tr r="J153" s="2"/>
      </tp>
      <tp t="s">
        <v>N/A</v>
        <stp/>
        <stp>VOLUME</stp>
        <stp>.NDXP251231C19775</stp>
        <tr r="X165" s="2"/>
      </tp>
      <tp t="s">
        <v>N/A</v>
        <stp/>
        <stp>VOLUME</stp>
        <stp>.NDXP251031C19775</stp>
        <tr r="T165" s="2"/>
      </tp>
      <tp t="s">
        <v>N/A</v>
        <stp/>
        <stp>VOLUME</stp>
        <stp>.NDXP250930C19650</stp>
        <tr r="R170" s="2"/>
      </tp>
      <tp t="s">
        <v>N/A</v>
        <stp/>
        <stp>VOLUME</stp>
        <stp>.NDXP250630C19650</stp>
        <tr r="L170" s="2"/>
      </tp>
      <tp t="s">
        <v>N/A</v>
        <stp/>
        <stp>VOLUME</stp>
        <stp>.NDXP250505C20350</stp>
        <tr r="BA141" s="1"/>
      </tp>
      <tp t="s">
        <v>N/A</v>
        <stp/>
        <stp>VOLUME</stp>
        <stp>.NDXP250731C19750</stp>
        <tr r="N166" s="2"/>
      </tp>
      <tp t="s">
        <v>N/A</v>
        <stp/>
        <stp>VOLUME</stp>
        <stp>.NDXP250505C19350</stp>
        <tr r="BA181" s="1"/>
      </tp>
      <tp t="s">
        <v>N/A</v>
        <stp/>
        <stp>VOLUME</stp>
        <stp>.NDXP250530C19650</stp>
        <tr r="I170" s="2"/>
      </tp>
      <tp t="s">
        <v>N/A</v>
        <stp/>
        <stp>VOLUME</stp>
        <stp>.NDXP250606C20050</stp>
        <tr r="J154" s="2"/>
      </tp>
      <tp t="s">
        <v>N/A</v>
        <stp/>
        <stp>VOLUME</stp>
        <stp>.NDXP251231C19750</stp>
        <tr r="X166" s="2"/>
      </tp>
      <tp t="s">
        <v>N/A</v>
        <stp/>
        <stp>VOLUME</stp>
        <stp>.NDXP251031C19750</stp>
        <tr r="T166" s="2"/>
      </tp>
      <tp t="s">
        <v>N/A</v>
        <stp/>
        <stp>VOLUME</stp>
        <stp>.NDXP251231C19725</stp>
        <tr r="X167" s="2"/>
      </tp>
      <tp t="s">
        <v>N/A</v>
        <stp/>
        <stp>VOLUME</stp>
        <stp>.NDXP251031C19725</stp>
        <tr r="T167" s="2"/>
      </tp>
      <tp t="s">
        <v>N/A</v>
        <stp/>
        <stp>VOLUME</stp>
        <stp>.NDXP250930C19625</stp>
        <tr r="R171" s="2"/>
      </tp>
      <tp t="s">
        <v>N/A</v>
        <stp/>
        <stp>VOLUME</stp>
        <stp>.NDXP250731C19725</stp>
        <tr r="N167" s="2"/>
      </tp>
      <tp t="s">
        <v>N/A</v>
        <stp/>
        <stp>VOLUME</stp>
        <stp>.NDXP250630C19625</stp>
        <tr r="L171" s="2"/>
      </tp>
      <tp t="s">
        <v>N/A</v>
        <stp/>
        <stp>VOLUME</stp>
        <stp>.NDXP250505C20325</stp>
        <tr r="BA142" s="1"/>
      </tp>
      <tp t="s">
        <v>N/A</v>
        <stp/>
        <stp>VOLUME</stp>
        <stp>.NDXP250505C19325</stp>
        <tr r="BA182" s="1"/>
      </tp>
      <tp t="s">
        <v>N/A</v>
        <stp/>
        <stp>VOLUME</stp>
        <stp>.NDXP250530C19625</stp>
        <tr r="I171" s="2"/>
      </tp>
      <tp t="s">
        <v>N/A</v>
        <stp/>
        <stp>VOLUME</stp>
        <stp>.NDXP250606C20025</stp>
        <tr r="J155" s="2"/>
      </tp>
      <tp t="s">
        <v>N/A</v>
        <stp/>
        <stp>VOLUME</stp>
        <stp>.NDXP251231C19700</stp>
        <tr r="X168" s="2"/>
      </tp>
      <tp t="s">
        <v>N/A</v>
        <stp/>
        <stp>VOLUME</stp>
        <stp>.NDXP251031C19700</stp>
        <tr r="T168" s="2"/>
      </tp>
      <tp t="s">
        <v>N/A</v>
        <stp/>
        <stp>VOLUME</stp>
        <stp>.NDXP250930C19600</stp>
        <tr r="R172" s="2"/>
      </tp>
      <tp t="s">
        <v>N/A</v>
        <stp/>
        <stp>VOLUME</stp>
        <stp>.NDXP250630C19600</stp>
        <tr r="L172" s="2"/>
      </tp>
      <tp t="s">
        <v>N/A</v>
        <stp/>
        <stp>VOLUME</stp>
        <stp>.NDXP250505C20300</stp>
        <tr r="BA143" s="1"/>
      </tp>
      <tp t="s">
        <v>N/A</v>
        <stp/>
        <stp>VOLUME</stp>
        <stp>.NDXP250731C19700</stp>
        <tr r="N168" s="2"/>
      </tp>
      <tp t="s">
        <v>N/A</v>
        <stp/>
        <stp>VOLUME</stp>
        <stp>.NDXP250505C19300</stp>
        <tr r="BA183" s="1"/>
      </tp>
      <tp t="s">
        <v>N/A</v>
        <stp/>
        <stp>VOLUME</stp>
        <stp>.NDXP250530C19600</stp>
        <tr r="I172" s="2"/>
      </tp>
      <tp t="s">
        <v>N/A</v>
        <stp/>
        <stp>VOLUME</stp>
        <stp>.NDXP250606C20000</stp>
        <tr r="J156" s="2"/>
      </tp>
      <tp t="s">
        <v>N/A</v>
        <stp/>
        <stp>VOLUME</stp>
        <stp>.NDXP251231P19750</stp>
        <tr r="X166" s="2"/>
      </tp>
      <tp t="s">
        <v>N/A</v>
        <stp/>
        <stp>VOLUME</stp>
        <stp>.NDXP251031P19750</stp>
        <tr r="T166" s="2"/>
      </tp>
      <tp>
        <v>240</v>
        <stp/>
        <stp>VOLUME</stp>
        <stp>.SPXW250930C5800</stp>
        <tr r="R93" s="2"/>
        <tr r="R93" s="2"/>
      </tp>
      <tp>
        <v>1225</v>
        <stp/>
        <stp>VOLUME</stp>
        <stp>.SPXW250530C5800</stp>
        <tr r="I93" s="2"/>
        <tr r="I93" s="2"/>
      </tp>
      <tp>
        <v>4</v>
        <stp/>
        <stp>VOLUME</stp>
        <stp>.SPXW250731C5810</stp>
        <tr r="N92" s="2"/>
        <tr r="N92" s="2"/>
      </tp>
      <tp>
        <v>2</v>
        <stp/>
        <stp>VOLUME</stp>
        <stp>.SPXW250630C5800</stp>
        <tr r="L93" s="2"/>
        <tr r="L93" s="2"/>
      </tp>
      <tp t="s">
        <v>N/A</v>
        <stp/>
        <stp>VOLUME</stp>
        <stp>.SPXW251031C5810</stp>
        <tr r="T92" s="2"/>
      </tp>
      <tp t="s">
        <v>N/A</v>
        <stp/>
        <stp>VOLUME</stp>
        <stp>.SPXW251231C5810</stp>
        <tr r="X92" s="2"/>
      </tp>
      <tp t="s">
        <v>N/A</v>
        <stp/>
        <stp>VOLUME</stp>
        <stp>.SPXW251031P5810</stp>
        <tr r="T92" s="2"/>
      </tp>
      <tp t="s">
        <v>N/A</v>
        <stp/>
        <stp>VOLUME</stp>
        <stp>.SPXW251231P5810</stp>
        <tr r="X92" s="2"/>
      </tp>
      <tp t="s">
        <v>N/A</v>
        <stp/>
        <stp>VOLUME</stp>
        <stp>.SPXW250930P5800</stp>
        <tr r="R93" s="2"/>
      </tp>
      <tp>
        <v>37</v>
        <stp/>
        <stp>VOLUME</stp>
        <stp>.SPXW250530P5800</stp>
        <tr r="I93" s="2"/>
        <tr r="I93" s="2"/>
      </tp>
      <tp t="s">
        <v>N/A</v>
        <stp/>
        <stp>VOLUME</stp>
        <stp>.SPXW250731P5810</stp>
        <tr r="N92" s="2"/>
      </tp>
      <tp t="s">
        <v>N/A</v>
        <stp/>
        <stp>VOLUME</stp>
        <stp>.SPXW250630P5800</stp>
        <tr r="L93" s="2"/>
      </tp>
      <tp t="s">
        <v>N/A</v>
        <stp/>
        <stp>VOLUME</stp>
        <stp>.NDXP250930P19650</stp>
        <tr r="R170" s="2"/>
      </tp>
      <tp t="s">
        <v>N/A</v>
        <stp/>
        <stp>VOLUME</stp>
        <stp>.NDXP250630P19650</stp>
        <tr r="L170" s="2"/>
      </tp>
      <tp t="s">
        <v>N/A</v>
        <stp/>
        <stp>VOLUME</stp>
        <stp>.NDXP250505P20350</stp>
        <tr r="BB141" s="1"/>
      </tp>
      <tp t="s">
        <v>N/A</v>
        <stp/>
        <stp>VOLUME</stp>
        <stp>.NDXP250731P19750</stp>
        <tr r="N166" s="2"/>
      </tp>
      <tp t="s">
        <v>N/A</v>
        <stp/>
        <stp>VOLUME</stp>
        <stp>.NDXP250505P19350</stp>
        <tr r="BB181" s="1"/>
      </tp>
      <tp t="s">
        <v>N/A</v>
        <stp/>
        <stp>VOLUME</stp>
        <stp>.NDXP250530P19650</stp>
        <tr r="I170" s="2"/>
      </tp>
      <tp t="s">
        <v>N/A</v>
        <stp/>
        <stp>VOLUME</stp>
        <stp>.NDXP250606P20050</stp>
        <tr r="J154" s="2"/>
      </tp>
      <tp t="s">
        <v>N/A</v>
        <stp/>
        <stp>VOLUME</stp>
        <stp>.SPXW250930C5810</stp>
        <tr r="R92" s="2"/>
      </tp>
      <tp>
        <v>22</v>
        <stp/>
        <stp>VOLUME</stp>
        <stp>.SPXW250530C5810</stp>
        <tr r="I92" s="2"/>
        <tr r="I92" s="2"/>
      </tp>
      <tp>
        <v>5</v>
        <stp/>
        <stp>VOLUME</stp>
        <stp>.SPXW250731C5800</stp>
        <tr r="N93" s="2"/>
        <tr r="N93" s="2"/>
      </tp>
      <tp>
        <v>52</v>
        <stp/>
        <stp>VOLUME</stp>
        <stp>.SPXW250630C5810</stp>
        <tr r="L92" s="2"/>
        <tr r="L92" s="2"/>
      </tp>
      <tp t="s">
        <v>N/A</v>
        <stp/>
        <stp>VOLUME</stp>
        <stp>.SPXW251031C5800</stp>
        <tr r="T93" s="2"/>
      </tp>
      <tp>
        <v>1</v>
        <stp/>
        <stp>VOLUME</stp>
        <stp>.SPXW251231C5800</stp>
        <tr r="X93" s="2"/>
        <tr r="X93" s="2"/>
      </tp>
      <tp t="s">
        <v>N/A</v>
        <stp/>
        <stp>VOLUME</stp>
        <stp>.SPXW251031P5800</stp>
        <tr r="T93" s="2"/>
      </tp>
      <tp>
        <v>2</v>
        <stp/>
        <stp>VOLUME</stp>
        <stp>.SPXW251231P5800</stp>
        <tr r="X93" s="2"/>
        <tr r="X93" s="2"/>
      </tp>
      <tp t="s">
        <v>N/A</v>
        <stp/>
        <stp>VOLUME</stp>
        <stp>.SPXW250930P5810</stp>
        <tr r="R92" s="2"/>
      </tp>
      <tp>
        <v>10</v>
        <stp/>
        <stp>VOLUME</stp>
        <stp>.SPXW250530P5810</stp>
        <tr r="I92" s="2"/>
        <tr r="I92" s="2"/>
      </tp>
      <tp t="s">
        <v>N/A</v>
        <stp/>
        <stp>VOLUME</stp>
        <stp>.SPXW250731P5800</stp>
        <tr r="N93" s="2"/>
      </tp>
      <tp t="s">
        <v>N/A</v>
        <stp/>
        <stp>VOLUME</stp>
        <stp>.SPXW250630P5810</stp>
        <tr r="L92" s="2"/>
      </tp>
      <tp t="s">
        <v>N/A</v>
        <stp/>
        <stp>VOLUME</stp>
        <stp>.NDXP251231P19775</stp>
        <tr r="X165" s="2"/>
      </tp>
      <tp t="s">
        <v>N/A</v>
        <stp/>
        <stp>VOLUME</stp>
        <stp>.NDXP251031P19775</stp>
        <tr r="T165" s="2"/>
      </tp>
      <tp>
        <v>14</v>
        <stp/>
        <stp>VOLUME</stp>
        <stp>.SPXW250930C5820</stp>
        <tr r="R91" s="2"/>
        <tr r="R91" s="2"/>
      </tp>
      <tp>
        <v>54</v>
        <stp/>
        <stp>VOLUME</stp>
        <stp>.SPXW250530C5820</stp>
        <tr r="I91" s="2"/>
        <tr r="I91" s="2"/>
      </tp>
      <tp>
        <v>1</v>
        <stp/>
        <stp>VOLUME</stp>
        <stp>.SPXW250731C5830</stp>
        <tr r="N90" s="2"/>
        <tr r="N90" s="2"/>
      </tp>
      <tp t="s">
        <v>N/A</v>
        <stp/>
        <stp>VOLUME</stp>
        <stp>.SPXW250630C5820</stp>
        <tr r="L91" s="2"/>
      </tp>
      <tp t="s">
        <v>N/A</v>
        <stp/>
        <stp>VOLUME</stp>
        <stp>.SPXW251031C5830</stp>
        <tr r="T90" s="2"/>
      </tp>
      <tp t="s">
        <v>N/A</v>
        <stp/>
        <stp>VOLUME</stp>
        <stp>.SPXW251231C5830</stp>
        <tr r="X90" s="2"/>
      </tp>
      <tp t="s">
        <v>N/A</v>
        <stp/>
        <stp>VOLUME</stp>
        <stp>.SPXW251031P5830</stp>
        <tr r="T90" s="2"/>
      </tp>
      <tp t="s">
        <v>N/A</v>
        <stp/>
        <stp>VOLUME</stp>
        <stp>.SPXW251231P5830</stp>
        <tr r="X90" s="2"/>
      </tp>
      <tp t="s">
        <v>N/A</v>
        <stp/>
        <stp>VOLUME</stp>
        <stp>.SPXW250930P5820</stp>
        <tr r="R91" s="2"/>
      </tp>
      <tp>
        <v>10</v>
        <stp/>
        <stp>VOLUME</stp>
        <stp>.SPXW250530P5820</stp>
        <tr r="I91" s="2"/>
        <tr r="I91" s="2"/>
      </tp>
      <tp t="s">
        <v>N/A</v>
        <stp/>
        <stp>VOLUME</stp>
        <stp>.SPXW250731P5830</stp>
        <tr r="N90" s="2"/>
      </tp>
      <tp t="s">
        <v>N/A</v>
        <stp/>
        <stp>VOLUME</stp>
        <stp>.SPXW250630P5820</stp>
        <tr r="L91" s="2"/>
      </tp>
      <tp t="s">
        <v>N/A</v>
        <stp/>
        <stp>VOLUME</stp>
        <stp>.NDXP250930P19675</stp>
        <tr r="R169" s="2"/>
      </tp>
      <tp t="s">
        <v>N/A</v>
        <stp/>
        <stp>VOLUME</stp>
        <stp>.NDXP250731P19775</stp>
        <tr r="N165" s="2"/>
      </tp>
      <tp t="s">
        <v>N/A</v>
        <stp/>
        <stp>VOLUME</stp>
        <stp>.NDXP250630P19675</stp>
        <tr r="L169" s="2"/>
      </tp>
      <tp t="s">
        <v>N/A</v>
        <stp/>
        <stp>VOLUME</stp>
        <stp>.NDXP250505P20375</stp>
        <tr r="BB140" s="1"/>
      </tp>
      <tp t="s">
        <v>N/A</v>
        <stp/>
        <stp>VOLUME</stp>
        <stp>.NDXP250505P19375</stp>
        <tr r="BB180" s="1"/>
      </tp>
      <tp>
        <v>2</v>
        <stp/>
        <stp>VOLUME</stp>
        <stp>.NDXP250530P19675</stp>
        <tr r="I169" s="2"/>
        <tr r="I169" s="2"/>
      </tp>
      <tp t="s">
        <v>N/A</v>
        <stp/>
        <stp>VOLUME</stp>
        <stp>.NDXP250606P20075</stp>
        <tr r="J153" s="2"/>
      </tp>
      <tp t="s">
        <v>N/A</v>
        <stp/>
        <stp>VOLUME</stp>
        <stp>.SPXW250930C5830</stp>
        <tr r="R90" s="2"/>
      </tp>
      <tp>
        <v>90</v>
        <stp/>
        <stp>VOLUME</stp>
        <stp>.SPXW250530C5830</stp>
        <tr r="I90" s="2"/>
        <tr r="I90" s="2"/>
      </tp>
      <tp t="s">
        <v>N/A</v>
        <stp/>
        <stp>VOLUME</stp>
        <stp>.SPXW250731C5820</stp>
        <tr r="N91" s="2"/>
      </tp>
      <tp t="s">
        <v>N/A</v>
        <stp/>
        <stp>VOLUME</stp>
        <stp>.SPXW250630C5830</stp>
        <tr r="L90" s="2"/>
      </tp>
      <tp t="s">
        <v>N/A</v>
        <stp/>
        <stp>VOLUME</stp>
        <stp>.SPXW251031C5820</stp>
        <tr r="T91" s="2"/>
      </tp>
      <tp t="s">
        <v>N/A</v>
        <stp/>
        <stp>VOLUME</stp>
        <stp>.SPXW251231C5820</stp>
        <tr r="X91" s="2"/>
      </tp>
      <tp t="s">
        <v>N/A</v>
        <stp/>
        <stp>VOLUME</stp>
        <stp>.SPXW251031P5820</stp>
        <tr r="T91" s="2"/>
      </tp>
      <tp t="s">
        <v>N/A</v>
        <stp/>
        <stp>VOLUME</stp>
        <stp>.SPXW251231P5820</stp>
        <tr r="X91" s="2"/>
      </tp>
      <tp t="s">
        <v>N/A</v>
        <stp/>
        <stp>VOLUME</stp>
        <stp>.SPXW250930P5830</stp>
        <tr r="R90" s="2"/>
      </tp>
      <tp t="s">
        <v>N/A</v>
        <stp/>
        <stp>VOLUME</stp>
        <stp>.SPXW250530P5830</stp>
        <tr r="I90" s="2"/>
      </tp>
      <tp t="s">
        <v>N/A</v>
        <stp/>
        <stp>VOLUME</stp>
        <stp>.SPXW250731P5820</stp>
        <tr r="N91" s="2"/>
      </tp>
      <tp t="s">
        <v>N/A</v>
        <stp/>
        <stp>VOLUME</stp>
        <stp>.SPXW250630P5830</stp>
        <tr r="L90" s="2"/>
      </tp>
      <tp t="s">
        <v>N/A</v>
        <stp/>
        <stp>VOLUME</stp>
        <stp>.NDXP250930P19600</stp>
        <tr r="R172" s="2"/>
      </tp>
      <tp t="s">
        <v>N/A</v>
        <stp/>
        <stp>VOLUME</stp>
        <stp>.NDXP250630P19600</stp>
        <tr r="L172" s="2"/>
      </tp>
      <tp t="s">
        <v>N/A</v>
        <stp/>
        <stp>VOLUME</stp>
        <stp>.NDXP250505P20300</stp>
        <tr r="BB143" s="1"/>
      </tp>
      <tp t="s">
        <v>N/A</v>
        <stp/>
        <stp>VOLUME</stp>
        <stp>.NDXP250731P19700</stp>
        <tr r="N168" s="2"/>
      </tp>
      <tp t="s">
        <v>N/A</v>
        <stp/>
        <stp>VOLUME</stp>
        <stp>.NDXP250505P19300</stp>
        <tr r="BB183" s="1"/>
      </tp>
      <tp t="s">
        <v>N/A</v>
        <stp/>
        <stp>VOLUME</stp>
        <stp>.NDXP250530P19600</stp>
        <tr r="I172" s="2"/>
      </tp>
      <tp t="s">
        <v>N/A</v>
        <stp/>
        <stp>VOLUME</stp>
        <stp>.NDXP250606P20000</stp>
        <tr r="J156" s="2"/>
      </tp>
      <tp t="s">
        <v>N/A</v>
        <stp/>
        <stp>VOLUME</stp>
        <stp>.SPXW250930C5840</stp>
        <tr r="R89" s="2"/>
      </tp>
      <tp>
        <v>214</v>
        <stp/>
        <stp>VOLUME</stp>
        <stp>.SPXW250530C5840</stp>
        <tr r="I89" s="2"/>
        <tr r="I89" s="2"/>
      </tp>
      <tp>
        <v>4</v>
        <stp/>
        <stp>VOLUME</stp>
        <stp>.SPXW250731C5850</stp>
        <tr r="N88" s="2"/>
        <tr r="N88" s="2"/>
      </tp>
      <tp t="s">
        <v>N/A</v>
        <stp/>
        <stp>VOLUME</stp>
        <stp>.SPXW250630C5840</stp>
        <tr r="L89" s="2"/>
      </tp>
      <tp t="s">
        <v>N/A</v>
        <stp/>
        <stp>VOLUME</stp>
        <stp>.SPXW251031C5850</stp>
        <tr r="T88" s="2"/>
      </tp>
      <tp t="s">
        <v>N/A</v>
        <stp/>
        <stp>VOLUME</stp>
        <stp>.SPXW251231C5850</stp>
        <tr r="X88" s="2"/>
      </tp>
      <tp t="s">
        <v>N/A</v>
        <stp/>
        <stp>VOLUME</stp>
        <stp>.SPXW251031P5850</stp>
        <tr r="T88" s="2"/>
      </tp>
      <tp t="s">
        <v>N/A</v>
        <stp/>
        <stp>VOLUME</stp>
        <stp>.SPXW251231P5850</stp>
        <tr r="X88" s="2"/>
      </tp>
      <tp t="s">
        <v>N/A</v>
        <stp/>
        <stp>VOLUME</stp>
        <stp>.SPXW250930P5840</stp>
        <tr r="R89" s="2"/>
      </tp>
      <tp t="s">
        <v>N/A</v>
        <stp/>
        <stp>VOLUME</stp>
        <stp>.SPXW250530P5840</stp>
        <tr r="I89" s="2"/>
      </tp>
      <tp t="s">
        <v>N/A</v>
        <stp/>
        <stp>VOLUME</stp>
        <stp>.SPXW250731P5850</stp>
        <tr r="N88" s="2"/>
      </tp>
      <tp t="s">
        <v>N/A</v>
        <stp/>
        <stp>VOLUME</stp>
        <stp>.SPXW250630P5840</stp>
        <tr r="L89" s="2"/>
      </tp>
      <tp t="s">
        <v>N/A</v>
        <stp/>
        <stp>VOLUME</stp>
        <stp>.NDXP251231P19700</stp>
        <tr r="X168" s="2"/>
      </tp>
      <tp t="s">
        <v>N/A</v>
        <stp/>
        <stp>VOLUME</stp>
        <stp>.NDXP251031P19700</stp>
        <tr r="T168" s="2"/>
      </tp>
      <tp>
        <v>14</v>
        <stp/>
        <stp>VOLUME</stp>
        <stp>.SPXW250930C5850</stp>
        <tr r="R88" s="2"/>
        <tr r="R88" s="2"/>
      </tp>
      <tp>
        <v>271</v>
        <stp/>
        <stp>VOLUME</stp>
        <stp>.SPXW250530C5850</stp>
        <tr r="I88" s="2"/>
        <tr r="I88" s="2"/>
      </tp>
      <tp>
        <v>1</v>
        <stp/>
        <stp>VOLUME</stp>
        <stp>.SPXW250731C5840</stp>
        <tr r="N89" s="2"/>
        <tr r="N89" s="2"/>
      </tp>
      <tp>
        <v>18</v>
        <stp/>
        <stp>VOLUME</stp>
        <stp>.SPXW250630C5850</stp>
        <tr r="L88" s="2"/>
        <tr r="L88" s="2"/>
      </tp>
      <tp t="s">
        <v>N/A</v>
        <stp/>
        <stp>VOLUME</stp>
        <stp>.SPXW251031C5840</stp>
        <tr r="T89" s="2"/>
      </tp>
      <tp t="s">
        <v>N/A</v>
        <stp/>
        <stp>VOLUME</stp>
        <stp>.SPXW251231C5840</stp>
        <tr r="X89" s="2"/>
      </tp>
      <tp t="s">
        <v>N/A</v>
        <stp/>
        <stp>VOLUME</stp>
        <stp>.SPXW251031P5840</stp>
        <tr r="T89" s="2"/>
      </tp>
      <tp t="s">
        <v>N/A</v>
        <stp/>
        <stp>VOLUME</stp>
        <stp>.SPXW251231P5840</stp>
        <tr r="X89" s="2"/>
      </tp>
      <tp t="s">
        <v>N/A</v>
        <stp/>
        <stp>VOLUME</stp>
        <stp>.SPXW250930P5850</stp>
        <tr r="R88" s="2"/>
      </tp>
      <tp t="s">
        <v>N/A</v>
        <stp/>
        <stp>VOLUME</stp>
        <stp>.SPXW250530P5850</stp>
        <tr r="I88" s="2"/>
      </tp>
      <tp t="s">
        <v>N/A</v>
        <stp/>
        <stp>VOLUME</stp>
        <stp>.SPXW250731P5840</stp>
        <tr r="N89" s="2"/>
      </tp>
      <tp t="s">
        <v>N/A</v>
        <stp/>
        <stp>VOLUME</stp>
        <stp>.SPXW250630P5850</stp>
        <tr r="L88" s="2"/>
      </tp>
      <tp t="s">
        <v>N/A</v>
        <stp/>
        <stp>VOLUME</stp>
        <stp>.NDXP250930P19625</stp>
        <tr r="R171" s="2"/>
      </tp>
      <tp t="s">
        <v>N/A</v>
        <stp/>
        <stp>VOLUME</stp>
        <stp>.NDXP250731P19725</stp>
        <tr r="N167" s="2"/>
      </tp>
      <tp t="s">
        <v>N/A</v>
        <stp/>
        <stp>VOLUME</stp>
        <stp>.NDXP250630P19625</stp>
        <tr r="L171" s="2"/>
      </tp>
      <tp t="s">
        <v>N/A</v>
        <stp/>
        <stp>VOLUME</stp>
        <stp>.NDXP250505P20325</stp>
        <tr r="BB142" s="1"/>
      </tp>
      <tp t="s">
        <v>N/A</v>
        <stp/>
        <stp>VOLUME</stp>
        <stp>.NDXP250505P19325</stp>
        <tr r="BB182" s="1"/>
      </tp>
      <tp t="s">
        <v>N/A</v>
        <stp/>
        <stp>VOLUME</stp>
        <stp>.NDXP250530P19625</stp>
        <tr r="I171" s="2"/>
      </tp>
      <tp t="s">
        <v>N/A</v>
        <stp/>
        <stp>VOLUME</stp>
        <stp>.NDXP250606P20025</stp>
        <tr r="J155" s="2"/>
      </tp>
      <tp t="s">
        <v>N/A</v>
        <stp/>
        <stp>VOLUME</stp>
        <stp>.SPXW250930C5860</stp>
        <tr r="R87" s="2"/>
      </tp>
      <tp>
        <v>57</v>
        <stp/>
        <stp>VOLUME</stp>
        <stp>.SPXW250530C5860</stp>
        <tr r="I87" s="2"/>
        <tr r="I87" s="2"/>
      </tp>
      <tp t="s">
        <v>N/A</v>
        <stp/>
        <stp>VOLUME</stp>
        <stp>.SPXW250731C5870</stp>
        <tr r="N86" s="2"/>
      </tp>
      <tp>
        <v>1</v>
        <stp/>
        <stp>VOLUME</stp>
        <stp>.SPXW250630C5860</stp>
        <tr r="L87" s="2"/>
        <tr r="L87" s="2"/>
      </tp>
      <tp t="s">
        <v>N/A</v>
        <stp/>
        <stp>VOLUME</stp>
        <stp>.SPXW251031C5870</stp>
        <tr r="T86" s="2"/>
      </tp>
      <tp t="s">
        <v>N/A</v>
        <stp/>
        <stp>VOLUME</stp>
        <stp>.SPXW251231C5870</stp>
        <tr r="X86" s="2"/>
      </tp>
      <tp t="s">
        <v>N/A</v>
        <stp/>
        <stp>VOLUME</stp>
        <stp>.SPXW251031P5870</stp>
        <tr r="T86" s="2"/>
      </tp>
      <tp t="s">
        <v>N/A</v>
        <stp/>
        <stp>VOLUME</stp>
        <stp>.SPXW251231P5870</stp>
        <tr r="X86" s="2"/>
      </tp>
      <tp t="s">
        <v>N/A</v>
        <stp/>
        <stp>VOLUME</stp>
        <stp>.SPXW250930P5860</stp>
        <tr r="R87" s="2"/>
      </tp>
      <tp t="s">
        <v>N/A</v>
        <stp/>
        <stp>VOLUME</stp>
        <stp>.SPXW250530P5860</stp>
        <tr r="I87" s="2"/>
      </tp>
      <tp t="s">
        <v>N/A</v>
        <stp/>
        <stp>VOLUME</stp>
        <stp>.SPXW250731P5870</stp>
        <tr r="N86" s="2"/>
      </tp>
      <tp t="s">
        <v>N/A</v>
        <stp/>
        <stp>VOLUME</stp>
        <stp>.SPXW250630P5860</stp>
        <tr r="L87" s="2"/>
      </tp>
      <tp t="s">
        <v>N/A</v>
        <stp/>
        <stp>VOLUME</stp>
        <stp>.NDXP251231P19725</stp>
        <tr r="X167" s="2"/>
      </tp>
      <tp t="s">
        <v>N/A</v>
        <stp/>
        <stp>VOLUME</stp>
        <stp>.NDXP251031P19725</stp>
        <tr r="T167" s="2"/>
      </tp>
      <tp t="s">
        <v>N/A</v>
        <stp/>
        <stp>VOLUME</stp>
        <stp>.SPXW250930C5870</stp>
        <tr r="R86" s="2"/>
      </tp>
      <tp>
        <v>15</v>
        <stp/>
        <stp>VOLUME</stp>
        <stp>.SPXW250530C5870</stp>
        <tr r="I86" s="2"/>
        <tr r="I86" s="2"/>
      </tp>
      <tp t="s">
        <v>N/A</v>
        <stp/>
        <stp>VOLUME</stp>
        <stp>.SPXW250731C5860</stp>
        <tr r="N87" s="2"/>
      </tp>
      <tp>
        <v>1</v>
        <stp/>
        <stp>VOLUME</stp>
        <stp>.SPXW250630C5870</stp>
        <tr r="L86" s="2"/>
        <tr r="L86" s="2"/>
      </tp>
      <tp t="s">
        <v>N/A</v>
        <stp/>
        <stp>VOLUME</stp>
        <stp>.SPXW251031C5860</stp>
        <tr r="T87" s="2"/>
      </tp>
      <tp t="s">
        <v>N/A</v>
        <stp/>
        <stp>VOLUME</stp>
        <stp>.SPXW251231C5860</stp>
        <tr r="X87" s="2"/>
      </tp>
      <tp t="s">
        <v>N/A</v>
        <stp/>
        <stp>VOLUME</stp>
        <stp>.SPXW251031P5860</stp>
        <tr r="T87" s="2"/>
      </tp>
      <tp t="s">
        <v>N/A</v>
        <stp/>
        <stp>VOLUME</stp>
        <stp>.SPXW251231P5860</stp>
        <tr r="X87" s="2"/>
      </tp>
      <tp t="s">
        <v>N/A</v>
        <stp/>
        <stp>VOLUME</stp>
        <stp>.SPXW250930P5870</stp>
        <tr r="R86" s="2"/>
      </tp>
      <tp t="s">
        <v>N/A</v>
        <stp/>
        <stp>VOLUME</stp>
        <stp>.SPXW250530P5870</stp>
        <tr r="I86" s="2"/>
      </tp>
      <tp t="s">
        <v>N/A</v>
        <stp/>
        <stp>VOLUME</stp>
        <stp>.SPXW250731P5860</stp>
        <tr r="N87" s="2"/>
      </tp>
      <tp t="s">
        <v>N/A</v>
        <stp/>
        <stp>VOLUME</stp>
        <stp>.SPXW250630P5870</stp>
        <tr r="L86" s="2"/>
      </tp>
      <tp>
        <v>6</v>
        <stp/>
        <stp>OPEN_INT</stp>
        <stp>.NDXP250509C19700</stp>
        <tr r="AU167" s="1"/>
        <tr r="AU167" s="1"/>
      </tp>
      <tp>
        <v>9</v>
        <stp/>
        <stp>OPEN_INT</stp>
        <stp>.NDXP250509C19725</stp>
        <tr r="AU166" s="1"/>
        <tr r="AU166" s="1"/>
      </tp>
      <tp>
        <v>12</v>
        <stp/>
        <stp>OPEN_INT</stp>
        <stp>.NDXP250509C19750</stp>
        <tr r="AU165" s="1"/>
        <tr r="AU165" s="1"/>
      </tp>
      <tp>
        <v>12</v>
        <stp/>
        <stp>OPEN_INT</stp>
        <stp>.NDXP250509C19775</stp>
        <tr r="AU164" s="1"/>
        <tr r="AU164" s="1"/>
      </tp>
      <tp>
        <v>9</v>
        <stp/>
        <stp>OPEN_INT</stp>
        <stp>.NDXP250509P19725</stp>
        <tr r="AV166" s="1"/>
        <tr r="AV166" s="1"/>
      </tp>
      <tp>
        <v>20</v>
        <stp/>
        <stp>OPEN_INT</stp>
        <stp>.NDXP250509P19700</stp>
        <tr r="AV167" s="1"/>
        <tr r="AV167" s="1"/>
      </tp>
      <tp>
        <v>3</v>
        <stp/>
        <stp>OPEN_INT</stp>
        <stp>.NDXP250509P19775</stp>
        <tr r="AV164" s="1"/>
        <tr r="AV164" s="1"/>
      </tp>
      <tp>
        <v>15</v>
        <stp/>
        <stp>OPEN_INT</stp>
        <stp>.NDXP250509P19750</stp>
        <tr r="AV165" s="1"/>
        <tr r="AV165" s="1"/>
      </tp>
      <tp>
        <v>-0.59</v>
        <stp/>
        <stp>DELTA</stp>
        <stp>.NDXP250505P20125</stp>
        <tr r="CE150" s="1"/>
        <tr r="CE150" s="1"/>
      </tp>
      <tp>
        <v>-0.56000000000000005</v>
        <stp/>
        <stp>DELTA</stp>
        <stp>.NDXP250505P20100</stp>
        <tr r="CE151" s="1"/>
        <tr r="CE151" s="1"/>
      </tp>
      <tp>
        <v>-0.63</v>
        <stp/>
        <stp>DELTA</stp>
        <stp>.NDXP250505P20175</stp>
        <tr r="CE148" s="1"/>
        <tr r="CE148" s="1"/>
      </tp>
      <tp>
        <v>-0.04</v>
        <stp/>
        <stp>DELTA</stp>
        <stp>.NDXP250505P19175</stp>
        <tr r="CE188" s="1"/>
        <tr r="CE188" s="1"/>
      </tp>
      <tp>
        <v>-0.61</v>
        <stp/>
        <stp>DELTA</stp>
        <stp>.NDXP250505P20150</stp>
        <tr r="CE149" s="1"/>
        <tr r="CE149" s="1"/>
      </tp>
      <tp>
        <v>-0.04</v>
        <stp/>
        <stp>DELTA</stp>
        <stp>.NDXP250505P19150</stp>
        <tr r="CE189" s="1"/>
        <tr r="CE189" s="1"/>
      </tp>
      <tp>
        <v>0.01</v>
        <stp/>
        <stp>DELTA</stp>
        <stp>.NDXP250505C20100</stp>
        <tr r="CD151" s="1"/>
        <tr r="CD151" s="1"/>
      </tp>
      <tp>
        <v>0</v>
        <stp/>
        <stp>DELTA</stp>
        <stp>.NDXP250505C20125</stp>
        <tr r="CD150" s="1"/>
        <tr r="CD150" s="1"/>
      </tp>
      <tp>
        <v>0</v>
        <stp/>
        <stp>DELTA</stp>
        <stp>.NDXP250505C20150</stp>
        <tr r="CD149" s="1"/>
        <tr r="CD149" s="1"/>
      </tp>
      <tp>
        <v>1</v>
        <stp/>
        <stp>DELTA</stp>
        <stp>.NDXP250505C19150</stp>
        <tr r="CD189" s="1"/>
        <tr r="CD189" s="1"/>
      </tp>
      <tp>
        <v>0.16</v>
        <stp/>
        <stp>DELTA</stp>
        <stp>.NDXP250505C20175</stp>
        <tr r="CD148" s="1"/>
        <tr r="CD148" s="1"/>
      </tp>
      <tp>
        <v>1</v>
        <stp/>
        <stp>DELTA</stp>
        <stp>.NDXP250505C19175</stp>
        <tr r="CD188" s="1"/>
        <tr r="CD188" s="1"/>
      </tp>
      <tp t="s">
        <v>N/A</v>
        <stp/>
        <stp>VOLUME</stp>
        <stp>.NDXP250930C19775</stp>
        <tr r="R165" s="2"/>
      </tp>
      <tp t="s">
        <v>N/A</v>
        <stp/>
        <stp>VOLUME</stp>
        <stp>.NDXP250731C19675</stp>
        <tr r="N169" s="2"/>
      </tp>
      <tp t="s">
        <v>N/A</v>
        <stp/>
        <stp>VOLUME</stp>
        <stp>.NDXP250606C19175</stp>
        <tr r="J189" s="2"/>
      </tp>
      <tp t="s">
        <v>N/A</v>
        <stp/>
        <stp>VOLUME</stp>
        <stp>.NDXP250630C19775</stp>
        <tr r="L165" s="2"/>
      </tp>
      <tp t="s">
        <v>N/A</v>
        <stp/>
        <stp>VOLUME</stp>
        <stp>.NDXP250505C20275</stp>
        <tr r="BA144" s="1"/>
      </tp>
      <tp t="s">
        <v>N/A</v>
        <stp/>
        <stp>VOLUME</stp>
        <stp>.NDXP250505C19275</stp>
        <tr r="BA184" s="1"/>
      </tp>
      <tp t="s">
        <v>N/A</v>
        <stp/>
        <stp>VOLUME</stp>
        <stp>.NDXP250530C19775</stp>
        <tr r="I165" s="2"/>
      </tp>
      <tp t="s">
        <v>N/A</v>
        <stp/>
        <stp>VOLUME</stp>
        <stp>.NDXP250606C20175</stp>
        <tr r="J149" s="2"/>
      </tp>
      <tp t="s">
        <v>N/A</v>
        <stp/>
        <stp>VOLUME</stp>
        <stp>.NDXP251231C19675</stp>
        <tr r="X169" s="2"/>
      </tp>
      <tp t="s">
        <v>N/A</v>
        <stp/>
        <stp>VOLUME</stp>
        <stp>.NDXP251031C19675</stp>
        <tr r="T169" s="2"/>
      </tp>
      <tp t="s">
        <v>N/A</v>
        <stp/>
        <stp>VOLUME</stp>
        <stp>.NDXP250930C19750</stp>
        <tr r="R166" s="2"/>
      </tp>
      <tp t="s">
        <v>N/A</v>
        <stp/>
        <stp>VOLUME</stp>
        <stp>.NDXP250606C19150</stp>
        <tr r="J190" s="2"/>
      </tp>
      <tp t="s">
        <v>N/A</v>
        <stp/>
        <stp>VOLUME</stp>
        <stp>.NDXP250630C19750</stp>
        <tr r="L166" s="2"/>
      </tp>
      <tp t="s">
        <v>N/A</v>
        <stp/>
        <stp>VOLUME</stp>
        <stp>.NDXP250505C20250</stp>
        <tr r="BA145" s="1"/>
      </tp>
      <tp t="s">
        <v>N/A</v>
        <stp/>
        <stp>VOLUME</stp>
        <stp>.NDXP250731C19650</stp>
        <tr r="N170" s="2"/>
      </tp>
      <tp t="s">
        <v>N/A</v>
        <stp/>
        <stp>VOLUME</stp>
        <stp>.NDXP250505C19250</stp>
        <tr r="BA185" s="1"/>
      </tp>
      <tp t="s">
        <v>N/A</v>
        <stp/>
        <stp>VOLUME</stp>
        <stp>.NDXP250530C19750</stp>
        <tr r="I166" s="2"/>
      </tp>
      <tp>
        <v>1</v>
        <stp/>
        <stp>VOLUME</stp>
        <stp>.NDXP250606C20150</stp>
        <tr r="J150" s="2"/>
        <tr r="J150" s="2"/>
      </tp>
      <tp t="s">
        <v>N/A</v>
        <stp/>
        <stp>VOLUME</stp>
        <stp>.NDXP251231C19650</stp>
        <tr r="X170" s="2"/>
      </tp>
      <tp t="s">
        <v>N/A</v>
        <stp/>
        <stp>VOLUME</stp>
        <stp>.NDXP251031C19650</stp>
        <tr r="T170" s="2"/>
      </tp>
      <tp t="s">
        <v>N/A</v>
        <stp/>
        <stp>VOLUME</stp>
        <stp>.NDXP251231C19625</stp>
        <tr r="X171" s="2"/>
      </tp>
      <tp t="s">
        <v>N/A</v>
        <stp/>
        <stp>VOLUME</stp>
        <stp>.NDXP251031C19625</stp>
        <tr r="T171" s="2"/>
      </tp>
      <tp t="s">
        <v>N/A</v>
        <stp/>
        <stp>VOLUME</stp>
        <stp>.NDXP250930C19725</stp>
        <tr r="R167" s="2"/>
      </tp>
      <tp t="s">
        <v>N/A</v>
        <stp/>
        <stp>VOLUME</stp>
        <stp>.NDXP250731C19625</stp>
        <tr r="N171" s="2"/>
      </tp>
      <tp t="s">
        <v>N/A</v>
        <stp/>
        <stp>VOLUME</stp>
        <stp>.NDXP250630C19725</stp>
        <tr r="L167" s="2"/>
      </tp>
      <tp t="s">
        <v>N/A</v>
        <stp/>
        <stp>VOLUME</stp>
        <stp>.NDXP250505C20225</stp>
        <tr r="BA146" s="1"/>
      </tp>
      <tp t="s">
        <v>N/A</v>
        <stp/>
        <stp>VOLUME</stp>
        <stp>.NDXP250505C19225</stp>
        <tr r="BA186" s="1"/>
      </tp>
      <tp t="s">
        <v>N/A</v>
        <stp/>
        <stp>VOLUME</stp>
        <stp>.NDXP250530C19725</stp>
        <tr r="I167" s="2"/>
      </tp>
      <tp>
        <v>1</v>
        <stp/>
        <stp>VOLUME</stp>
        <stp>.NDXP250606C20125</stp>
        <tr r="J151" s="2"/>
        <tr r="J151" s="2"/>
      </tp>
      <tp t="s">
        <v>N/A</v>
        <stp/>
        <stp>VOLUME</stp>
        <stp>.NDXP251231C19600</stp>
        <tr r="X172" s="2"/>
      </tp>
      <tp t="s">
        <v>N/A</v>
        <stp/>
        <stp>VOLUME</stp>
        <stp>.NDXP251031C19600</stp>
        <tr r="T172" s="2"/>
      </tp>
      <tp t="s">
        <v>N/A</v>
        <stp/>
        <stp>VOLUME</stp>
        <stp>.NDXP250930C19700</stp>
        <tr r="R168" s="2"/>
      </tp>
      <tp t="s">
        <v>N/A</v>
        <stp/>
        <stp>VOLUME</stp>
        <stp>.NDXP250630C19700</stp>
        <tr r="L168" s="2"/>
      </tp>
      <tp t="s">
        <v>N/A</v>
        <stp/>
        <stp>VOLUME</stp>
        <stp>.NDXP250505C20200</stp>
        <tr r="BA147" s="1"/>
      </tp>
      <tp t="s">
        <v>N/A</v>
        <stp/>
        <stp>VOLUME</stp>
        <stp>.NDXP250731C19600</stp>
        <tr r="N172" s="2"/>
      </tp>
      <tp t="s">
        <v>N/A</v>
        <stp/>
        <stp>VOLUME</stp>
        <stp>.NDXP250505C19200</stp>
        <tr r="BA187" s="1"/>
      </tp>
      <tp>
        <v>2</v>
        <stp/>
        <stp>VOLUME</stp>
        <stp>.NDXP250530C19700</stp>
        <tr r="I168" s="2"/>
        <tr r="I168" s="2"/>
      </tp>
      <tp t="s">
        <v>N/A</v>
        <stp/>
        <stp>VOLUME</stp>
        <stp>.NDXP250606C20100</stp>
        <tr r="J152" s="2"/>
      </tp>
      <tp t="s">
        <v>N/A</v>
        <stp/>
        <stp>VOLUME</stp>
        <stp>.SPXW250829C5810</stp>
        <tr r="P92" s="2"/>
      </tp>
      <tp t="s">
        <v>N/A</v>
        <stp/>
        <stp>VOLUME</stp>
        <stp>.SPXW251128C5800</stp>
        <tr r="V93" s="2"/>
      </tp>
      <tp t="s">
        <v>N/A</v>
        <stp/>
        <stp>VOLUME</stp>
        <stp>.SPXW251128P5800</stp>
        <tr r="V93" s="2"/>
      </tp>
      <tp t="s">
        <v>N/A</v>
        <stp/>
        <stp>VOLUME</stp>
        <stp>.SPXW250829P5810</stp>
        <tr r="P92" s="2"/>
      </tp>
      <tp t="s">
        <v>N/A</v>
        <stp/>
        <stp>VOLUME</stp>
        <stp>.SPXW250829C5800</stp>
        <tr r="P93" s="2"/>
      </tp>
      <tp t="s">
        <v>N/A</v>
        <stp/>
        <stp>VOLUME</stp>
        <stp>.SPXW251128C5810</stp>
        <tr r="V92" s="2"/>
      </tp>
      <tp t="s">
        <v>N/A</v>
        <stp/>
        <stp>VOLUME</stp>
        <stp>.SPXW251128P5810</stp>
        <tr r="V92" s="2"/>
      </tp>
      <tp t="s">
        <v>N/A</v>
        <stp/>
        <stp>VOLUME</stp>
        <stp>.SPXW250829P5800</stp>
        <tr r="P93" s="2"/>
      </tp>
      <tp t="s">
        <v>N/A</v>
        <stp/>
        <stp>VOLUME</stp>
        <stp>.SPXW250829C5830</stp>
        <tr r="P90" s="2"/>
      </tp>
      <tp t="s">
        <v>N/A</v>
        <stp/>
        <stp>VOLUME</stp>
        <stp>.SPXW251128C5820</stp>
        <tr r="V91" s="2"/>
      </tp>
      <tp t="s">
        <v>N/A</v>
        <stp/>
        <stp>VOLUME</stp>
        <stp>.SPXW251128P5820</stp>
        <tr r="V91" s="2"/>
      </tp>
      <tp t="s">
        <v>N/A</v>
        <stp/>
        <stp>VOLUME</stp>
        <stp>.SPXW250829P5830</stp>
        <tr r="P90" s="2"/>
      </tp>
      <tp t="s">
        <v>N/A</v>
        <stp/>
        <stp>VOLUME</stp>
        <stp>.SPXW250829C5820</stp>
        <tr r="P91" s="2"/>
      </tp>
      <tp t="s">
        <v>N/A</v>
        <stp/>
        <stp>VOLUME</stp>
        <stp>.SPXW251128C5830</stp>
        <tr r="V90" s="2"/>
      </tp>
      <tp t="s">
        <v>N/A</v>
        <stp/>
        <stp>VOLUME</stp>
        <stp>.SPXW251128P5830</stp>
        <tr r="V90" s="2"/>
      </tp>
      <tp>
        <v>4</v>
        <stp/>
        <stp>VOLUME</stp>
        <stp>.SPXW250829P5820</stp>
        <tr r="P91" s="2"/>
        <tr r="P91" s="2"/>
      </tp>
      <tp t="s">
        <v>N/A</v>
        <stp/>
        <stp>VOLUME</stp>
        <stp>.SPXW250829C5850</stp>
        <tr r="P88" s="2"/>
      </tp>
      <tp t="s">
        <v>N/A</v>
        <stp/>
        <stp>VOLUME</stp>
        <stp>.SPXW251128C5840</stp>
        <tr r="V89" s="2"/>
      </tp>
      <tp t="s">
        <v>N/A</v>
        <stp/>
        <stp>VOLUME</stp>
        <stp>.SPXW251128P5840</stp>
        <tr r="V89" s="2"/>
      </tp>
      <tp t="s">
        <v>N/A</v>
        <stp/>
        <stp>VOLUME</stp>
        <stp>.SPXW250829P5850</stp>
        <tr r="P88" s="2"/>
      </tp>
      <tp t="s">
        <v>N/A</v>
        <stp/>
        <stp>VOLUME</stp>
        <stp>.SPXW250829C5840</stp>
        <tr r="P89" s="2"/>
      </tp>
      <tp t="s">
        <v>N/A</v>
        <stp/>
        <stp>VOLUME</stp>
        <stp>.SPXW251128C5850</stp>
        <tr r="V88" s="2"/>
      </tp>
      <tp t="s">
        <v>N/A</v>
        <stp/>
        <stp>VOLUME</stp>
        <stp>.SPXW251128P5850</stp>
        <tr r="V88" s="2"/>
      </tp>
      <tp t="s">
        <v>N/A</v>
        <stp/>
        <stp>VOLUME</stp>
        <stp>.SPXW250829P5840</stp>
        <tr r="P89" s="2"/>
      </tp>
      <tp t="s">
        <v>N/A</v>
        <stp/>
        <stp>VOLUME</stp>
        <stp>.SPXW250829C5870</stp>
        <tr r="P86" s="2"/>
      </tp>
      <tp t="s">
        <v>N/A</v>
        <stp/>
        <stp>VOLUME</stp>
        <stp>.SPXW251128C5860</stp>
        <tr r="V87" s="2"/>
      </tp>
      <tp t="s">
        <v>N/A</v>
        <stp/>
        <stp>VOLUME</stp>
        <stp>.SPXW251128P5860</stp>
        <tr r="V87" s="2"/>
      </tp>
      <tp t="s">
        <v>N/A</v>
        <stp/>
        <stp>VOLUME</stp>
        <stp>.SPXW250829P5870</stp>
        <tr r="P86" s="2"/>
      </tp>
      <tp t="s">
        <v>N/A</v>
        <stp/>
        <stp>VOLUME</stp>
        <stp>.SPXW250829C5860</stp>
        <tr r="P87" s="2"/>
      </tp>
      <tp t="s">
        <v>N/A</v>
        <stp/>
        <stp>VOLUME</stp>
        <stp>.SPXW251128C5870</stp>
        <tr r="V86" s="2"/>
      </tp>
      <tp t="s">
        <v>N/A</v>
        <stp/>
        <stp>VOLUME</stp>
        <stp>.SPXW251128P5870</stp>
        <tr r="V86" s="2"/>
      </tp>
      <tp t="s">
        <v>N/A</v>
        <stp/>
        <stp>VOLUME</stp>
        <stp>.SPXW250829P5860</stp>
        <tr r="P87" s="2"/>
      </tp>
      <tp t="s">
        <v>N/A</v>
        <stp/>
        <stp>VOLUME</stp>
        <stp>.NDXP251231P19650</stp>
        <tr r="X170" s="2"/>
      </tp>
      <tp t="s">
        <v>N/A</v>
        <stp/>
        <stp>VOLUME</stp>
        <stp>.NDXP251031P19650</stp>
        <tr r="T170" s="2"/>
      </tp>
      <tp t="s">
        <v>N/A</v>
        <stp/>
        <stp>VOLUME</stp>
        <stp>.NDXP250930P19750</stp>
        <tr r="R166" s="2"/>
      </tp>
      <tp t="s">
        <v>N/A</v>
        <stp/>
        <stp>VOLUME</stp>
        <stp>.NDXP250606P19150</stp>
        <tr r="J190" s="2"/>
      </tp>
      <tp t="s">
        <v>N/A</v>
        <stp/>
        <stp>VOLUME</stp>
        <stp>.NDXP250630P19750</stp>
        <tr r="L166" s="2"/>
      </tp>
      <tp t="s">
        <v>N/A</v>
        <stp/>
        <stp>VOLUME</stp>
        <stp>.NDXP250505P20250</stp>
        <tr r="BB145" s="1"/>
      </tp>
      <tp t="s">
        <v>N/A</v>
        <stp/>
        <stp>VOLUME</stp>
        <stp>.NDXP250731P19650</stp>
        <tr r="N170" s="2"/>
      </tp>
      <tp t="s">
        <v>N/A</v>
        <stp/>
        <stp>VOLUME</stp>
        <stp>.NDXP250505P19250</stp>
        <tr r="BB185" s="1"/>
      </tp>
      <tp t="s">
        <v>N/A</v>
        <stp/>
        <stp>VOLUME</stp>
        <stp>.NDXP250530P19750</stp>
        <tr r="I166" s="2"/>
      </tp>
      <tp t="s">
        <v>N/A</v>
        <stp/>
        <stp>VOLUME</stp>
        <stp>.NDXP250606P20150</stp>
        <tr r="J150" s="2"/>
      </tp>
      <tp t="s">
        <v>N/A</v>
        <stp/>
        <stp>VOLUME</stp>
        <stp>.NDXP251231P19675</stp>
        <tr r="X169" s="2"/>
      </tp>
      <tp t="s">
        <v>N/A</v>
        <stp/>
        <stp>VOLUME</stp>
        <stp>.NDXP251031P19675</stp>
        <tr r="T169" s="2"/>
      </tp>
      <tp t="s">
        <v>N/A</v>
        <stp/>
        <stp>VOLUME</stp>
        <stp>.NDXP250930P19775</stp>
        <tr r="R165" s="2"/>
      </tp>
      <tp t="s">
        <v>N/A</v>
        <stp/>
        <stp>VOLUME</stp>
        <stp>.NDXP250731P19675</stp>
        <tr r="N169" s="2"/>
      </tp>
      <tp t="s">
        <v>N/A</v>
        <stp/>
        <stp>VOLUME</stp>
        <stp>.NDXP250606P19175</stp>
        <tr r="J189" s="2"/>
      </tp>
      <tp t="s">
        <v>N/A</v>
        <stp/>
        <stp>VOLUME</stp>
        <stp>.NDXP250630P19775</stp>
        <tr r="L165" s="2"/>
      </tp>
      <tp t="s">
        <v>N/A</v>
        <stp/>
        <stp>VOLUME</stp>
        <stp>.NDXP250505P20275</stp>
        <tr r="BB144" s="1"/>
      </tp>
      <tp t="s">
        <v>N/A</v>
        <stp/>
        <stp>VOLUME</stp>
        <stp>.NDXP250505P19275</stp>
        <tr r="BB184" s="1"/>
      </tp>
      <tp t="s">
        <v>N/A</v>
        <stp/>
        <stp>VOLUME</stp>
        <stp>.NDXP250530P19775</stp>
        <tr r="I165" s="2"/>
      </tp>
      <tp t="s">
        <v>N/A</v>
        <stp/>
        <stp>VOLUME</stp>
        <stp>.NDXP250606P20175</stp>
        <tr r="J149" s="2"/>
      </tp>
      <tp t="s">
        <v>N/A</v>
        <stp/>
        <stp>VOLUME</stp>
        <stp>.NDXP250930P19700</stp>
        <tr r="R168" s="2"/>
      </tp>
      <tp t="s">
        <v>N/A</v>
        <stp/>
        <stp>VOLUME</stp>
        <stp>.NDXP250630P19700</stp>
        <tr r="L168" s="2"/>
      </tp>
      <tp t="s">
        <v>N/A</v>
        <stp/>
        <stp>VOLUME</stp>
        <stp>.NDXP250505P20200</stp>
        <tr r="BB147" s="1"/>
      </tp>
      <tp t="s">
        <v>N/A</v>
        <stp/>
        <stp>VOLUME</stp>
        <stp>.NDXP250731P19600</stp>
        <tr r="N172" s="2"/>
      </tp>
      <tp t="s">
        <v>N/A</v>
        <stp/>
        <stp>VOLUME</stp>
        <stp>.NDXP250505P19200</stp>
        <tr r="BB187" s="1"/>
      </tp>
      <tp>
        <v>2</v>
        <stp/>
        <stp>VOLUME</stp>
        <stp>.NDXP250530P19700</stp>
        <tr r="I168" s="2"/>
        <tr r="I168" s="2"/>
      </tp>
      <tp t="s">
        <v>N/A</v>
        <stp/>
        <stp>VOLUME</stp>
        <stp>.NDXP250606P20100</stp>
        <tr r="J152" s="2"/>
      </tp>
      <tp t="s">
        <v>N/A</v>
        <stp/>
        <stp>VOLUME</stp>
        <stp>.NDXP251231P19600</stp>
        <tr r="X172" s="2"/>
      </tp>
      <tp t="s">
        <v>N/A</v>
        <stp/>
        <stp>VOLUME</stp>
        <stp>.NDXP251031P19600</stp>
        <tr r="T172" s="2"/>
      </tp>
      <tp t="s">
        <v>N/A</v>
        <stp/>
        <stp>VOLUME</stp>
        <stp>.NDXP250930P19725</stp>
        <tr r="R167" s="2"/>
      </tp>
      <tp t="s">
        <v>N/A</v>
        <stp/>
        <stp>VOLUME</stp>
        <stp>.NDXP250731P19625</stp>
        <tr r="N171" s="2"/>
      </tp>
      <tp t="s">
        <v>N/A</v>
        <stp/>
        <stp>VOLUME</stp>
        <stp>.NDXP250630P19725</stp>
        <tr r="L167" s="2"/>
      </tp>
      <tp t="s">
        <v>N/A</v>
        <stp/>
        <stp>VOLUME</stp>
        <stp>.NDXP250505P20225</stp>
        <tr r="BB146" s="1"/>
      </tp>
      <tp t="s">
        <v>N/A</v>
        <stp/>
        <stp>VOLUME</stp>
        <stp>.NDXP250505P19225</stp>
        <tr r="BB186" s="1"/>
      </tp>
      <tp t="s">
        <v>N/A</v>
        <stp/>
        <stp>VOLUME</stp>
        <stp>.NDXP250530P19725</stp>
        <tr r="I167" s="2"/>
      </tp>
      <tp t="s">
        <v>N/A</v>
        <stp/>
        <stp>VOLUME</stp>
        <stp>.NDXP250606P20125</stp>
        <tr r="J151" s="2"/>
      </tp>
      <tp t="s">
        <v>N/A</v>
        <stp/>
        <stp>VOLUME</stp>
        <stp>.NDXP251231P19625</stp>
        <tr r="X171" s="2"/>
      </tp>
      <tp t="s">
        <v>N/A</v>
        <stp/>
        <stp>VOLUME</stp>
        <stp>.NDXP251031P19625</stp>
        <tr r="T171" s="2"/>
      </tp>
      <tp>
        <v>9</v>
        <stp/>
        <stp>OPEN_INT</stp>
        <stp>.NDXP250509C20000</stp>
        <tr r="AU155" s="1"/>
        <tr r="AU155" s="1"/>
      </tp>
      <tp>
        <v>8</v>
        <stp/>
        <stp>OPEN_INT</stp>
        <stp>.NDXP250509C20025</stp>
        <tr r="AU154" s="1"/>
        <tr r="AU154" s="1"/>
      </tp>
      <tp>
        <v>73</v>
        <stp/>
        <stp>OPEN_INT</stp>
        <stp>.NDXP250509C20050</stp>
        <tr r="AU153" s="1"/>
        <tr r="AU153" s="1"/>
      </tp>
      <tp>
        <v>6</v>
        <stp/>
        <stp>OPEN_INT</stp>
        <stp>.NDXP250509C20075</stp>
        <tr r="AU152" s="1"/>
        <tr r="AU152" s="1"/>
      </tp>
      <tp>
        <v>3</v>
        <stp/>
        <stp>OPEN_INT</stp>
        <stp>.NDXP250509P20025</stp>
        <tr r="AV154" s="1"/>
        <tr r="AV154" s="1"/>
      </tp>
      <tp>
        <v>27</v>
        <stp/>
        <stp>OPEN_INT</stp>
        <stp>.NDXP250509P20000</stp>
        <tr r="AV155" s="1"/>
        <tr r="AV155" s="1"/>
      </tp>
      <tp>
        <v>3</v>
        <stp/>
        <stp>OPEN_INT</stp>
        <stp>.NDXP250509P20075</stp>
        <tr r="AV152" s="1"/>
        <tr r="AV152" s="1"/>
      </tp>
      <tp>
        <v>9</v>
        <stp/>
        <stp>OPEN_INT</stp>
        <stp>.NDXP250509P20050</stp>
        <tr r="AV153" s="1"/>
        <tr r="AV153" s="1"/>
      </tp>
      <tp>
        <v>-7.0000000000000007E-2</v>
        <stp/>
        <stp>DELTA</stp>
        <stp>.NDXP250505P19625</stp>
        <tr r="CE170" s="1"/>
        <tr r="CE170" s="1"/>
      </tp>
      <tp>
        <v>-0.02</v>
        <stp/>
        <stp>DELTA</stp>
        <stp>.NDXP250505P19600</stp>
        <tr r="CE171" s="1"/>
        <tr r="CE171" s="1"/>
      </tp>
      <tp>
        <v>-0.08</v>
        <stp/>
        <stp>DELTA</stp>
        <stp>.NDXP250505P19675</stp>
        <tr r="CE168" s="1"/>
        <tr r="CE168" s="1"/>
      </tp>
      <tp>
        <v>0</v>
        <stp/>
        <stp>DELTA</stp>
        <stp>.NDXP250505P19650</stp>
        <tr r="CE169" s="1"/>
        <tr r="CE169" s="1"/>
      </tp>
      <tp>
        <v>1</v>
        <stp/>
        <stp>DELTA</stp>
        <stp>.NDXP250505C19600</stp>
        <tr r="CD171" s="1"/>
        <tr r="CD171" s="1"/>
      </tp>
      <tp>
        <v>1</v>
        <stp/>
        <stp>DELTA</stp>
        <stp>.NDXP250505C19625</stp>
        <tr r="CD170" s="1"/>
        <tr r="CD170" s="1"/>
      </tp>
      <tp>
        <v>1</v>
        <stp/>
        <stp>DELTA</stp>
        <stp>.NDXP250505C19650</stp>
        <tr r="CD169" s="1"/>
        <tr r="CD169" s="1"/>
      </tp>
      <tp>
        <v>1</v>
        <stp/>
        <stp>DELTA</stp>
        <stp>.NDXP250505C19675</stp>
        <tr r="CD168" s="1"/>
        <tr r="CD168" s="1"/>
      </tp>
      <tp t="s">
        <v>N/A</v>
        <stp/>
        <stp>VOLUME</stp>
        <stp>.NDXP250930C20075</stp>
        <tr r="R153" s="2"/>
      </tp>
      <tp t="s">
        <v>N/A</v>
        <stp/>
        <stp>VOLUME</stp>
        <stp>.NDXP250829C19975</stp>
        <tr r="P157" s="2"/>
      </tp>
      <tp t="s">
        <v>N/A</v>
        <stp/>
        <stp>VOLUME</stp>
        <stp>.NDXP250731C19175</stp>
        <tr r="N189" s="2"/>
      </tp>
      <tp t="s">
        <v>N/A</v>
        <stp/>
        <stp>VOLUME</stp>
        <stp>.NDXP250606C19675</stp>
        <tr r="J169" s="2"/>
      </tp>
      <tp t="s">
        <v>N/A</v>
        <stp/>
        <stp>VOLUME</stp>
        <stp>.NDXP250530C20075</stp>
        <tr r="I153" s="2"/>
      </tp>
      <tp t="s">
        <v>N/A</v>
        <stp/>
        <stp>VOLUME</stp>
        <stp>.NDXP250505C19575</stp>
        <tr r="BA172" s="1"/>
      </tp>
      <tp>
        <v>6</v>
        <stp/>
        <stp>VOLUME</stp>
        <stp>.NDXP250509C19975</stp>
        <tr r="BC156" s="1"/>
        <tr r="BC156" s="1"/>
      </tp>
      <tp t="s">
        <v>N/A</v>
        <stp/>
        <stp>VOLUME</stp>
        <stp>.NDXP250630C20075</stp>
        <tr r="L153" s="2"/>
      </tp>
      <tp t="s">
        <v>N/A</v>
        <stp/>
        <stp>VOLUME</stp>
        <stp>.NDXP250731C20175</stp>
        <tr r="N149" s="2"/>
      </tp>
      <tp t="s">
        <v>N/A</v>
        <stp/>
        <stp>VOLUME</stp>
        <stp>.NDXP251031C20175</stp>
        <tr r="T149" s="2"/>
      </tp>
      <tp t="s">
        <v>N/A</v>
        <stp/>
        <stp>VOLUME</stp>
        <stp>.NDXP251231C19175</stp>
        <tr r="X189" s="2"/>
      </tp>
      <tp t="s">
        <v>N/A</v>
        <stp/>
        <stp>VOLUME</stp>
        <stp>.NDXP251128C19875</stp>
        <tr r="V161" s="2"/>
      </tp>
      <tp t="s">
        <v>N/A</v>
        <stp/>
        <stp>VOLUME</stp>
        <stp>.NDXP251231C20175</stp>
        <tr r="X149" s="2"/>
      </tp>
      <tp t="s">
        <v>N/A</v>
        <stp/>
        <stp>VOLUME</stp>
        <stp>.NDXP251031C19175</stp>
        <tr r="T189" s="2"/>
      </tp>
      <tp t="s">
        <v>N/A</v>
        <stp/>
        <stp>VOLUME</stp>
        <stp>.NDXP250930C20050</stp>
        <tr r="R154" s="2"/>
      </tp>
      <tp t="s">
        <v>N/A</v>
        <stp/>
        <stp>VOLUME</stp>
        <stp>.NDXP250829C19950</stp>
        <tr r="P158" s="2"/>
      </tp>
      <tp t="s">
        <v>N/A</v>
        <stp/>
        <stp>VOLUME</stp>
        <stp>.NDXP250606C19650</stp>
        <tr r="J170" s="2"/>
      </tp>
      <tp>
        <v>2</v>
        <stp/>
        <stp>VOLUME</stp>
        <stp>.NDXP250530C20050</stp>
        <tr r="I154" s="2"/>
        <tr r="I154" s="2"/>
      </tp>
      <tp t="s">
        <v>N/A</v>
        <stp/>
        <stp>VOLUME</stp>
        <stp>.NDXP250731C19150</stp>
        <tr r="N190" s="2"/>
      </tp>
      <tp t="s">
        <v>N/A</v>
        <stp/>
        <stp>VOLUME</stp>
        <stp>.NDXP250731C20150</stp>
        <tr r="N150" s="2"/>
      </tp>
      <tp t="s">
        <v>N/A</v>
        <stp/>
        <stp>VOLUME</stp>
        <stp>.NDXP250505C19550</stp>
        <tr r="BA173" s="1"/>
      </tp>
      <tp>
        <v>22</v>
        <stp/>
        <stp>VOLUME</stp>
        <stp>.NDXP250509C19950</stp>
        <tr r="BC157" s="1"/>
        <tr r="BC157" s="1"/>
      </tp>
      <tp>
        <v>1</v>
        <stp/>
        <stp>VOLUME</stp>
        <stp>.NDXP250630C20050</stp>
        <tr r="L154" s="2"/>
        <tr r="L154" s="2"/>
      </tp>
      <tp t="s">
        <v>N/A</v>
        <stp/>
        <stp>VOLUME</stp>
        <stp>.NDXP251231C19150</stp>
        <tr r="X190" s="2"/>
      </tp>
      <tp t="s">
        <v>N/A</v>
        <stp/>
        <stp>VOLUME</stp>
        <stp>.NDXP251031C20150</stp>
        <tr r="T150" s="2"/>
      </tp>
      <tp t="s">
        <v>N/A</v>
        <stp/>
        <stp>VOLUME</stp>
        <stp>.NDXP251031C19150</stp>
        <tr r="T190" s="2"/>
      </tp>
      <tp t="s">
        <v>N/A</v>
        <stp/>
        <stp>VOLUME</stp>
        <stp>.NDXP251128C19850</stp>
        <tr r="V162" s="2"/>
      </tp>
      <tp t="s">
        <v>N/A</v>
        <stp/>
        <stp>VOLUME</stp>
        <stp>.NDXP251231C20150</stp>
        <tr r="X150" s="2"/>
      </tp>
      <tp t="s">
        <v>N/A</v>
        <stp/>
        <stp>VOLUME</stp>
        <stp>.NDXP251031C20125</stp>
        <tr r="T151" s="2"/>
      </tp>
      <tp t="s">
        <v>N/A</v>
        <stp/>
        <stp>VOLUME</stp>
        <stp>.NDXP251128C19825</stp>
        <tr r="V163" s="2"/>
      </tp>
      <tp t="s">
        <v>N/A</v>
        <stp/>
        <stp>VOLUME</stp>
        <stp>.NDXP251231C20125</stp>
        <tr r="X151" s="2"/>
      </tp>
      <tp t="s">
        <v>N/A</v>
        <stp/>
        <stp>VOLUME</stp>
        <stp>.NDXP250930C20025</stp>
        <tr r="R155" s="2"/>
      </tp>
      <tp t="s">
        <v>N/A</v>
        <stp/>
        <stp>VOLUME</stp>
        <stp>.NDXP250829C19925</stp>
        <tr r="P159" s="2"/>
      </tp>
      <tp t="s">
        <v>N/A</v>
        <stp/>
        <stp>VOLUME</stp>
        <stp>.NDXP250606C19625</stp>
        <tr r="J171" s="2"/>
      </tp>
      <tp t="s">
        <v>N/A</v>
        <stp/>
        <stp>VOLUME</stp>
        <stp>.NDXP250530C20025</stp>
        <tr r="I155" s="2"/>
      </tp>
      <tp t="s">
        <v>N/A</v>
        <stp/>
        <stp>VOLUME</stp>
        <stp>.NDXP250505C19525</stp>
        <tr r="BA174" s="1"/>
      </tp>
      <tp>
        <v>5</v>
        <stp/>
        <stp>VOLUME</stp>
        <stp>.NDXP250509C19925</stp>
        <tr r="BC158" s="1"/>
        <tr r="BC158" s="1"/>
      </tp>
      <tp t="s">
        <v>N/A</v>
        <stp/>
        <stp>VOLUME</stp>
        <stp>.NDXP250630C20025</stp>
        <tr r="L155" s="2"/>
      </tp>
      <tp t="s">
        <v>N/A</v>
        <stp/>
        <stp>VOLUME</stp>
        <stp>.NDXP250731C20125</stp>
        <tr r="N151" s="2"/>
      </tp>
      <tp t="s">
        <v>N/A</v>
        <stp/>
        <stp>VOLUME</stp>
        <stp>.NDXP251031C20100</stp>
        <tr r="T152" s="2"/>
      </tp>
      <tp t="s">
        <v>N/A</v>
        <stp/>
        <stp>VOLUME</stp>
        <stp>.NDXP251128C19800</stp>
        <tr r="V164" s="2"/>
      </tp>
      <tp t="s">
        <v>N/A</v>
        <stp/>
        <stp>VOLUME</stp>
        <stp>.NDXP251231C20100</stp>
        <tr r="X152" s="2"/>
      </tp>
      <tp t="s">
        <v>N/A</v>
        <stp/>
        <stp>VOLUME</stp>
        <stp>.NDXP250930C20000</stp>
        <tr r="R156" s="2"/>
      </tp>
      <tp t="s">
        <v>N/A</v>
        <stp/>
        <stp>VOLUME</stp>
        <stp>.NDXP250829C19900</stp>
        <tr r="P160" s="2"/>
      </tp>
      <tp t="s">
        <v>N/A</v>
        <stp/>
        <stp>VOLUME</stp>
        <stp>.NDXP250606C19600</stp>
        <tr r="J172" s="2"/>
      </tp>
      <tp t="s">
        <v>N/A</v>
        <stp/>
        <stp>VOLUME</stp>
        <stp>.NDXP250530C20000</stp>
        <tr r="I156" s="2"/>
      </tp>
      <tp t="s">
        <v>N/A</v>
        <stp/>
        <stp>VOLUME</stp>
        <stp>.NDXP250731C20100</stp>
        <tr r="N152" s="2"/>
      </tp>
      <tp t="s">
        <v>N/A</v>
        <stp/>
        <stp>VOLUME</stp>
        <stp>.NDXP250505C19500</stp>
        <tr r="BA175" s="1"/>
      </tp>
      <tp>
        <v>4</v>
        <stp/>
        <stp>VOLUME</stp>
        <stp>.NDXP250509C19900</stp>
        <tr r="BC159" s="1"/>
        <tr r="BC159" s="1"/>
      </tp>
      <tp t="s">
        <v>N/A</v>
        <stp/>
        <stp>VOLUME</stp>
        <stp>.NDXP250630C20000</stp>
        <tr r="L156" s="2"/>
      </tp>
      <tp t="s">
        <v>N/A</v>
        <stp/>
        <stp>VOLUME</stp>
        <stp>.NDXP251231P19150</stp>
        <tr r="X190" s="2"/>
      </tp>
      <tp t="s">
        <v>N/A</v>
        <stp/>
        <stp>VOLUME</stp>
        <stp>.NDXP251031P20150</stp>
        <tr r="T150" s="2"/>
      </tp>
      <tp t="s">
        <v>N/A</v>
        <stp/>
        <stp>VOLUME</stp>
        <stp>.NDXP251031P19150</stp>
        <tr r="T190" s="2"/>
      </tp>
      <tp t="s">
        <v>N/A</v>
        <stp/>
        <stp>VOLUME</stp>
        <stp>.NDXP251128P19850</stp>
        <tr r="V162" s="2"/>
      </tp>
      <tp t="s">
        <v>N/A</v>
        <stp/>
        <stp>VOLUME</stp>
        <stp>.NDXP251231P20150</stp>
        <tr r="X150" s="2"/>
      </tp>
      <tp t="s">
        <v>N/A</v>
        <stp/>
        <stp>VOLUME</stp>
        <stp>.NDXP250930P20050</stp>
        <tr r="R154" s="2"/>
      </tp>
      <tp t="s">
        <v>N/A</v>
        <stp/>
        <stp>VOLUME</stp>
        <stp>.NDXP250829P19950</stp>
        <tr r="P158" s="2"/>
      </tp>
      <tp t="s">
        <v>N/A</v>
        <stp/>
        <stp>VOLUME</stp>
        <stp>.NDXP250606P19650</stp>
        <tr r="J170" s="2"/>
      </tp>
      <tp t="s">
        <v>N/A</v>
        <stp/>
        <stp>VOLUME</stp>
        <stp>.NDXP250530P20050</stp>
        <tr r="I154" s="2"/>
      </tp>
      <tp t="s">
        <v>N/A</v>
        <stp/>
        <stp>VOLUME</stp>
        <stp>.NDXP250731P19150</stp>
        <tr r="N190" s="2"/>
      </tp>
      <tp t="s">
        <v>N/A</v>
        <stp/>
        <stp>VOLUME</stp>
        <stp>.NDXP250731P20150</stp>
        <tr r="N150" s="2"/>
      </tp>
      <tp t="s">
        <v>N/A</v>
        <stp/>
        <stp>VOLUME</stp>
        <stp>.NDXP250505P19550</stp>
        <tr r="BB173" s="1"/>
      </tp>
      <tp>
        <v>480</v>
        <stp/>
        <stp>VOLUME</stp>
        <stp>.NDXP250509P19950</stp>
        <tr r="BD157" s="1"/>
        <tr r="BD157" s="1"/>
      </tp>
      <tp>
        <v>10</v>
        <stp/>
        <stp>VOLUME</stp>
        <stp>.NDXP250630P20050</stp>
        <tr r="L154" s="2"/>
        <tr r="L154" s="2"/>
      </tp>
      <tp t="s">
        <v>N/A</v>
        <stp/>
        <stp>VOLUME</stp>
        <stp>.NDXP251031P20175</stp>
        <tr r="T149" s="2"/>
      </tp>
      <tp t="s">
        <v>N/A</v>
        <stp/>
        <stp>VOLUME</stp>
        <stp>.NDXP251231P19175</stp>
        <tr r="X189" s="2"/>
      </tp>
      <tp t="s">
        <v>N/A</v>
        <stp/>
        <stp>VOLUME</stp>
        <stp>.NDXP251128P19875</stp>
        <tr r="V161" s="2"/>
      </tp>
      <tp t="s">
        <v>N/A</v>
        <stp/>
        <stp>VOLUME</stp>
        <stp>.NDXP251231P20175</stp>
        <tr r="X149" s="2"/>
      </tp>
      <tp t="s">
        <v>N/A</v>
        <stp/>
        <stp>VOLUME</stp>
        <stp>.NDXP251031P19175</stp>
        <tr r="T189" s="2"/>
      </tp>
      <tp t="s">
        <v>N/A</v>
        <stp/>
        <stp>VOLUME</stp>
        <stp>.NDXP250930P20075</stp>
        <tr r="R153" s="2"/>
      </tp>
      <tp t="s">
        <v>N/A</v>
        <stp/>
        <stp>VOLUME</stp>
        <stp>.NDXP250829P19975</stp>
        <tr r="P157" s="2"/>
      </tp>
      <tp t="s">
        <v>N/A</v>
        <stp/>
        <stp>VOLUME</stp>
        <stp>.NDXP250731P19175</stp>
        <tr r="N189" s="2"/>
      </tp>
      <tp t="s">
        <v>N/A</v>
        <stp/>
        <stp>VOLUME</stp>
        <stp>.NDXP250606P19675</stp>
        <tr r="J169" s="2"/>
      </tp>
      <tp>
        <v>1</v>
        <stp/>
        <stp>VOLUME</stp>
        <stp>.NDXP250530P20075</stp>
        <tr r="I153" s="2"/>
        <tr r="I153" s="2"/>
      </tp>
      <tp t="s">
        <v>N/A</v>
        <stp/>
        <stp>VOLUME</stp>
        <stp>.NDXP250505P19575</stp>
        <tr r="BB172" s="1"/>
      </tp>
      <tp>
        <v>224</v>
        <stp/>
        <stp>VOLUME</stp>
        <stp>.NDXP250509P19975</stp>
        <tr r="BD156" s="1"/>
        <tr r="BD156" s="1"/>
      </tp>
      <tp t="s">
        <v>N/A</v>
        <stp/>
        <stp>VOLUME</stp>
        <stp>.NDXP250630P20075</stp>
        <tr r="L153" s="2"/>
      </tp>
      <tp t="s">
        <v>N/A</v>
        <stp/>
        <stp>VOLUME</stp>
        <stp>.NDXP250731P20175</stp>
        <tr r="N149" s="2"/>
      </tp>
      <tp t="s">
        <v>N/A</v>
        <stp/>
        <stp>VOLUME</stp>
        <stp>.NDXP250930P20000</stp>
        <tr r="R156" s="2"/>
      </tp>
      <tp t="s">
        <v>N/A</v>
        <stp/>
        <stp>VOLUME</stp>
        <stp>.NDXP250829P19900</stp>
        <tr r="P160" s="2"/>
      </tp>
      <tp t="s">
        <v>N/A</v>
        <stp/>
        <stp>VOLUME</stp>
        <stp>.NDXP250606P19600</stp>
        <tr r="J172" s="2"/>
      </tp>
      <tp t="s">
        <v>N/A</v>
        <stp/>
        <stp>VOLUME</stp>
        <stp>.NDXP250530P20000</stp>
        <tr r="I156" s="2"/>
      </tp>
      <tp t="s">
        <v>N/A</v>
        <stp/>
        <stp>VOLUME</stp>
        <stp>.NDXP250731P20100</stp>
        <tr r="N152" s="2"/>
      </tp>
      <tp t="s">
        <v>N/A</v>
        <stp/>
        <stp>VOLUME</stp>
        <stp>.NDXP250505P19500</stp>
        <tr r="BB175" s="1"/>
      </tp>
      <tp>
        <v>713</v>
        <stp/>
        <stp>VOLUME</stp>
        <stp>.NDXP250509P19900</stp>
        <tr r="BD159" s="1"/>
        <tr r="BD159" s="1"/>
      </tp>
      <tp t="s">
        <v>N/A</v>
        <stp/>
        <stp>VOLUME</stp>
        <stp>.NDXP250630P20000</stp>
        <tr r="L156" s="2"/>
      </tp>
      <tp t="s">
        <v>N/A</v>
        <stp/>
        <stp>VOLUME</stp>
        <stp>.NDXP251031P20100</stp>
        <tr r="T152" s="2"/>
      </tp>
      <tp t="s">
        <v>N/A</v>
        <stp/>
        <stp>VOLUME</stp>
        <stp>.NDXP251128P19800</stp>
        <tr r="V164" s="2"/>
      </tp>
      <tp t="s">
        <v>N/A</v>
        <stp/>
        <stp>VOLUME</stp>
        <stp>.NDXP251231P20100</stp>
        <tr r="X152" s="2"/>
      </tp>
      <tp t="s">
        <v>N/A</v>
        <stp/>
        <stp>VOLUME</stp>
        <stp>.NDXP250930P20025</stp>
        <tr r="R155" s="2"/>
      </tp>
      <tp t="s">
        <v>N/A</v>
        <stp/>
        <stp>VOLUME</stp>
        <stp>.NDXP250829P19925</stp>
        <tr r="P159" s="2"/>
      </tp>
      <tp t="s">
        <v>N/A</v>
        <stp/>
        <stp>VOLUME</stp>
        <stp>.NDXP250606P19625</stp>
        <tr r="J171" s="2"/>
      </tp>
      <tp>
        <v>3</v>
        <stp/>
        <stp>VOLUME</stp>
        <stp>.NDXP250530P20025</stp>
        <tr r="I155" s="2"/>
        <tr r="I155" s="2"/>
      </tp>
      <tp t="s">
        <v>N/A</v>
        <stp/>
        <stp>VOLUME</stp>
        <stp>.NDXP250505P19525</stp>
        <tr r="BB174" s="1"/>
      </tp>
      <tp>
        <v>138</v>
        <stp/>
        <stp>VOLUME</stp>
        <stp>.NDXP250509P19925</stp>
        <tr r="BD158" s="1"/>
        <tr r="BD158" s="1"/>
      </tp>
      <tp t="s">
        <v>N/A</v>
        <stp/>
        <stp>VOLUME</stp>
        <stp>.NDXP250630P20025</stp>
        <tr r="L155" s="2"/>
      </tp>
      <tp t="s">
        <v>N/A</v>
        <stp/>
        <stp>VOLUME</stp>
        <stp>.NDXP250731P20125</stp>
        <tr r="N151" s="2"/>
      </tp>
      <tp t="s">
        <v>N/A</v>
        <stp/>
        <stp>VOLUME</stp>
        <stp>.NDXP251031P20125</stp>
        <tr r="T151" s="2"/>
      </tp>
      <tp t="s">
        <v>N/A</v>
        <stp/>
        <stp>VOLUME</stp>
        <stp>.NDXP251128P19825</stp>
        <tr r="V163" s="2"/>
      </tp>
      <tp t="s">
        <v>N/A</v>
        <stp/>
        <stp>VOLUME</stp>
        <stp>.NDXP251231P20125</stp>
        <tr r="X151" s="2"/>
      </tp>
      <tp>
        <v>18</v>
        <stp/>
        <stp>OPEN_INT</stp>
        <stp>.NDXP250509C20100</stp>
        <tr r="AU151" s="1"/>
        <tr r="AU151" s="1"/>
      </tp>
      <tp>
        <v>7</v>
        <stp/>
        <stp>OPEN_INT</stp>
        <stp>.NDXP250509C20125</stp>
        <tr r="AU150" s="1"/>
        <tr r="AU150" s="1"/>
      </tp>
      <tp>
        <v>4</v>
        <stp/>
        <stp>OPEN_INT</stp>
        <stp>.NDXP250509C19150</stp>
        <tr r="AU189" s="1"/>
        <tr r="AU189" s="1"/>
      </tp>
      <tp>
        <v>14</v>
        <stp/>
        <stp>OPEN_INT</stp>
        <stp>.NDXP250509C20150</stp>
        <tr r="AU149" s="1"/>
        <tr r="AU149" s="1"/>
      </tp>
      <tp>
        <v>4</v>
        <stp/>
        <stp>OPEN_INT</stp>
        <stp>.NDXP250509C19175</stp>
        <tr r="AU188" s="1"/>
        <tr r="AU188" s="1"/>
      </tp>
      <tp>
        <v>21</v>
        <stp/>
        <stp>OPEN_INT</stp>
        <stp>.NDXP250509C20175</stp>
        <tr r="AU148" s="1"/>
        <tr r="AU148" s="1"/>
      </tp>
      <tp>
        <v>4</v>
        <stp/>
        <stp>OPEN_INT</stp>
        <stp>.NDXP250509P20125</stp>
        <tr r="AV150" s="1"/>
        <tr r="AV150" s="1"/>
      </tp>
      <tp>
        <v>19</v>
        <stp/>
        <stp>OPEN_INT</stp>
        <stp>.NDXP250509P20100</stp>
        <tr r="AV151" s="1"/>
        <tr r="AV151" s="1"/>
      </tp>
      <tp>
        <v>22</v>
        <stp/>
        <stp>OPEN_INT</stp>
        <stp>.NDXP250509P19175</stp>
        <tr r="AV188" s="1"/>
        <tr r="AV188" s="1"/>
      </tp>
      <tp>
        <v>1</v>
        <stp/>
        <stp>OPEN_INT</stp>
        <stp>.NDXP250509P20175</stp>
        <tr r="AV148" s="1"/>
        <tr r="AV148" s="1"/>
      </tp>
      <tp>
        <v>34</v>
        <stp/>
        <stp>OPEN_INT</stp>
        <stp>.NDXP250509P19150</stp>
        <tr r="AV189" s="1"/>
        <tr r="AV189" s="1"/>
      </tp>
      <tp>
        <v>23</v>
        <stp/>
        <stp>OPEN_INT</stp>
        <stp>.NDXP250509P20150</stp>
        <tr r="AV149" s="1"/>
        <tr r="AV149" s="1"/>
      </tp>
      <tp>
        <v>-0.09</v>
        <stp/>
        <stp>DELTA</stp>
        <stp>.NDXP250505P19725</stp>
        <tr r="CE166" s="1"/>
        <tr r="CE166" s="1"/>
      </tp>
      <tp>
        <v>0</v>
        <stp/>
        <stp>DELTA</stp>
        <stp>.NDXP250505P19700</stp>
        <tr r="CE167" s="1"/>
        <tr r="CE167" s="1"/>
      </tp>
      <tp>
        <v>-0.1</v>
        <stp/>
        <stp>DELTA</stp>
        <stp>.NDXP250505P19775</stp>
        <tr r="CE164" s="1"/>
        <tr r="CE164" s="1"/>
      </tp>
      <tp>
        <v>-0.09</v>
        <stp/>
        <stp>DELTA</stp>
        <stp>.NDXP250505P19750</stp>
        <tr r="CE165" s="1"/>
        <tr r="CE165" s="1"/>
      </tp>
      <tp>
        <v>1</v>
        <stp/>
        <stp>DELTA</stp>
        <stp>.NDXP250505C19700</stp>
        <tr r="CD167" s="1"/>
        <tr r="CD167" s="1"/>
      </tp>
      <tp>
        <v>1</v>
        <stp/>
        <stp>DELTA</stp>
        <stp>.NDXP250505C19725</stp>
        <tr r="CD166" s="1"/>
        <tr r="CD166" s="1"/>
      </tp>
      <tp>
        <v>1</v>
        <stp/>
        <stp>DELTA</stp>
        <stp>.NDXP250505C19750</stp>
        <tr r="CD165" s="1"/>
        <tr r="CD165" s="1"/>
      </tp>
      <tp>
        <v>1</v>
        <stp/>
        <stp>DELTA</stp>
        <stp>.NDXP250505C19775</stp>
        <tr r="CD164" s="1"/>
        <tr r="CD164" s="1"/>
      </tp>
      <tp t="s">
        <v>N/A</v>
        <stp/>
        <stp>VOLUME</stp>
        <stp>.NDXP250930C20175</stp>
        <tr r="R149" s="2"/>
      </tp>
      <tp t="s">
        <v>N/A</v>
        <stp/>
        <stp>VOLUME</stp>
        <stp>.NDXP250930C19175</stp>
        <tr r="R189" s="2"/>
      </tp>
      <tp t="s">
        <v>N/A</v>
        <stp/>
        <stp>VOLUME</stp>
        <stp>.NDXP250829C19875</stp>
        <tr r="P161" s="2"/>
      </tp>
      <tp t="s">
        <v>N/A</v>
        <stp/>
        <stp>VOLUME</stp>
        <stp>.NDXP250606C19775</stp>
        <tr r="J165" s="2"/>
      </tp>
      <tp t="s">
        <v>N/A</v>
        <stp/>
        <stp>VOLUME</stp>
        <stp>.NDXP250630C19175</stp>
        <tr r="L189" s="2"/>
      </tp>
      <tp t="s">
        <v>N/A</v>
        <stp/>
        <stp>VOLUME</stp>
        <stp>.NDXP250530C20175</stp>
        <tr r="I149" s="2"/>
      </tp>
      <tp t="s">
        <v>N/A</v>
        <stp/>
        <stp>VOLUME</stp>
        <stp>.NDXP250505C19475</stp>
        <tr r="BA176" s="1"/>
      </tp>
      <tp t="s">
        <v>N/A</v>
        <stp/>
        <stp>VOLUME</stp>
        <stp>.NDXP250509C19875</stp>
        <tr r="BC160" s="1"/>
      </tp>
      <tp t="s">
        <v>N/A</v>
        <stp/>
        <stp>VOLUME</stp>
        <stp>.NDXP250530C19175</stp>
        <tr r="I189" s="2"/>
      </tp>
      <tp t="s">
        <v>N/A</v>
        <stp/>
        <stp>VOLUME</stp>
        <stp>.NDXP250630C20175</stp>
        <tr r="L149" s="2"/>
      </tp>
      <tp t="s">
        <v>N/A</v>
        <stp/>
        <stp>VOLUME</stp>
        <stp>.NDXP250731C20075</stp>
        <tr r="N153" s="2"/>
      </tp>
      <tp t="s">
        <v>N/A</v>
        <stp/>
        <stp>VOLUME</stp>
        <stp>.NDXP251031C20075</stp>
        <tr r="T153" s="2"/>
      </tp>
      <tp t="s">
        <v>N/A</v>
        <stp/>
        <stp>VOLUME</stp>
        <stp>.NDXP251128C19975</stp>
        <tr r="V157" s="2"/>
      </tp>
      <tp t="s">
        <v>N/A</v>
        <stp/>
        <stp>VOLUME</stp>
        <stp>.NDXP251231C20075</stp>
        <tr r="X153" s="2"/>
      </tp>
      <tp t="s">
        <v>N/A</v>
        <stp/>
        <stp>VOLUME</stp>
        <stp>.NDXP250930C20150</stp>
        <tr r="R150" s="2"/>
      </tp>
      <tp t="s">
        <v>N/A</v>
        <stp/>
        <stp>VOLUME</stp>
        <stp>.NDXP250829C19850</stp>
        <tr r="P162" s="2"/>
      </tp>
      <tp t="s">
        <v>N/A</v>
        <stp/>
        <stp>VOLUME</stp>
        <stp>.NDXP250930C19150</stp>
        <tr r="R190" s="2"/>
      </tp>
      <tp t="s">
        <v>N/A</v>
        <stp/>
        <stp>VOLUME</stp>
        <stp>.NDXP250606C19750</stp>
        <tr r="J166" s="2"/>
      </tp>
      <tp t="s">
        <v>N/A</v>
        <stp/>
        <stp>VOLUME</stp>
        <stp>.NDXP250630C19150</stp>
        <tr r="L190" s="2"/>
      </tp>
      <tp t="s">
        <v>N/A</v>
        <stp/>
        <stp>VOLUME</stp>
        <stp>.NDXP250505C20450</stp>
        <tr r="BA137" s="1"/>
      </tp>
      <tp t="s">
        <v>N/A</v>
        <stp/>
        <stp>VOLUME</stp>
        <stp>.NDXP250530C20150</stp>
        <tr r="I150" s="2"/>
      </tp>
      <tp t="s">
        <v>N/A</v>
        <stp/>
        <stp>VOLUME</stp>
        <stp>.NDXP250731C20050</stp>
        <tr r="N154" s="2"/>
      </tp>
      <tp t="s">
        <v>N/A</v>
        <stp/>
        <stp>VOLUME</stp>
        <stp>.NDXP250505C19450</stp>
        <tr r="BA177" s="1"/>
      </tp>
      <tp>
        <v>3</v>
        <stp/>
        <stp>VOLUME</stp>
        <stp>.NDXP250509C19850</stp>
        <tr r="BC161" s="1"/>
        <tr r="BC161" s="1"/>
      </tp>
      <tp t="s">
        <v>N/A</v>
        <stp/>
        <stp>VOLUME</stp>
        <stp>.NDXP250530C19150</stp>
        <tr r="I190" s="2"/>
      </tp>
      <tp t="s">
        <v>N/A</v>
        <stp/>
        <stp>VOLUME</stp>
        <stp>.NDXP250630C20150</stp>
        <tr r="L150" s="2"/>
      </tp>
      <tp t="s">
        <v>N/A</v>
        <stp/>
        <stp>VOLUME</stp>
        <stp>.NDXP251031C20050</stp>
        <tr r="T154" s="2"/>
      </tp>
      <tp t="s">
        <v>N/A</v>
        <stp/>
        <stp>VOLUME</stp>
        <stp>.NDXP251128C19950</stp>
        <tr r="V158" s="2"/>
      </tp>
      <tp t="s">
        <v>N/A</v>
        <stp/>
        <stp>VOLUME</stp>
        <stp>.NDXP251231C20050</stp>
        <tr r="X154" s="2"/>
      </tp>
      <tp t="s">
        <v>N/A</v>
        <stp/>
        <stp>VOLUME</stp>
        <stp>.NDXP251031C20025</stp>
        <tr r="T155" s="2"/>
      </tp>
      <tp t="s">
        <v>N/A</v>
        <stp/>
        <stp>VOLUME</stp>
        <stp>.NDXP251128C19925</stp>
        <tr r="V159" s="2"/>
      </tp>
      <tp t="s">
        <v>N/A</v>
        <stp/>
        <stp>VOLUME</stp>
        <stp>.NDXP251231C20025</stp>
        <tr r="X155" s="2"/>
      </tp>
      <tp t="s">
        <v>N/A</v>
        <stp/>
        <stp>VOLUME</stp>
        <stp>.NDXP250930C20125</stp>
        <tr r="R151" s="2"/>
      </tp>
      <tp t="s">
        <v>N/A</v>
        <stp/>
        <stp>VOLUME</stp>
        <stp>.NDXP250829C19825</stp>
        <tr r="P163" s="2"/>
      </tp>
      <tp t="s">
        <v>N/A</v>
        <stp/>
        <stp>VOLUME</stp>
        <stp>.NDXP250606C19725</stp>
        <tr r="J167" s="2"/>
      </tp>
      <tp t="s">
        <v>N/A</v>
        <stp/>
        <stp>VOLUME</stp>
        <stp>.NDXP250505C20425</stp>
        <tr r="BA138" s="1"/>
      </tp>
      <tp t="s">
        <v>N/A</v>
        <stp/>
        <stp>VOLUME</stp>
        <stp>.NDXP250530C20125</stp>
        <tr r="I151" s="2"/>
      </tp>
      <tp t="s">
        <v>N/A</v>
        <stp/>
        <stp>VOLUME</stp>
        <stp>.NDXP250505C19425</stp>
        <tr r="BA178" s="1"/>
      </tp>
      <tp t="s">
        <v>N/A</v>
        <stp/>
        <stp>VOLUME</stp>
        <stp>.NDXP250509C19825</stp>
        <tr r="BC162" s="1"/>
      </tp>
      <tp t="s">
        <v>N/A</v>
        <stp/>
        <stp>VOLUME</stp>
        <stp>.NDXP250630C20125</stp>
        <tr r="L151" s="2"/>
      </tp>
      <tp t="s">
        <v>N/A</v>
        <stp/>
        <stp>VOLUME</stp>
        <stp>.NDXP250731C20025</stp>
        <tr r="N155" s="2"/>
      </tp>
      <tp t="s">
        <v>N/A</v>
        <stp/>
        <stp>VOLUME</stp>
        <stp>.NDXP251031C20000</stp>
        <tr r="T156" s="2"/>
      </tp>
      <tp t="s">
        <v>N/A</v>
        <stp/>
        <stp>VOLUME</stp>
        <stp>.NDXP251128C19900</stp>
        <tr r="V160" s="2"/>
      </tp>
      <tp t="s">
        <v>N/A</v>
        <stp/>
        <stp>VOLUME</stp>
        <stp>.NDXP251231C20000</stp>
        <tr r="X156" s="2"/>
      </tp>
      <tp t="s">
        <v>N/A</v>
        <stp/>
        <stp>VOLUME</stp>
        <stp>.NDXP250930C20100</stp>
        <tr r="R152" s="2"/>
      </tp>
      <tp t="s">
        <v>N/A</v>
        <stp/>
        <stp>VOLUME</stp>
        <stp>.NDXP250829C19800</stp>
        <tr r="P164" s="2"/>
      </tp>
      <tp t="s">
        <v>N/A</v>
        <stp/>
        <stp>VOLUME</stp>
        <stp>.NDXP250606C19700</stp>
        <tr r="J168" s="2"/>
      </tp>
      <tp t="s">
        <v>N/A</v>
        <stp/>
        <stp>VOLUME</stp>
        <stp>.NDXP250505C20400</stp>
        <tr r="BA139" s="1"/>
      </tp>
      <tp t="s">
        <v>N/A</v>
        <stp/>
        <stp>VOLUME</stp>
        <stp>.NDXP250530C20100</stp>
        <tr r="I152" s="2"/>
      </tp>
      <tp t="s">
        <v>N/A</v>
        <stp/>
        <stp>VOLUME</stp>
        <stp>.NDXP250731C20000</stp>
        <tr r="N156" s="2"/>
      </tp>
      <tp t="s">
        <v>N/A</v>
        <stp/>
        <stp>VOLUME</stp>
        <stp>.NDXP250505C19400</stp>
        <tr r="BA179" s="1"/>
      </tp>
      <tp>
        <v>17</v>
        <stp/>
        <stp>VOLUME</stp>
        <stp>.NDXP250509C19800</stp>
        <tr r="BC163" s="1"/>
        <tr r="BC163" s="1"/>
      </tp>
      <tp t="s">
        <v>N/A</v>
        <stp/>
        <stp>VOLUME</stp>
        <stp>.NDXP250630C20100</stp>
        <tr r="L152" s="2"/>
      </tp>
      <tp t="s">
        <v>N/A</v>
        <stp/>
        <stp>VOLUME</stp>
        <stp>.NDXP251031P20050</stp>
        <tr r="T154" s="2"/>
      </tp>
      <tp t="s">
        <v>N/A</v>
        <stp/>
        <stp>VOLUME</stp>
        <stp>.NDXP251128P19950</stp>
        <tr r="V158" s="2"/>
      </tp>
      <tp t="s">
        <v>N/A</v>
        <stp/>
        <stp>VOLUME</stp>
        <stp>.NDXP251231P20050</stp>
        <tr r="X154" s="2"/>
      </tp>
      <tp t="s">
        <v>N/A</v>
        <stp/>
        <stp>VOLUME</stp>
        <stp>.NDXP250930P20150</stp>
        <tr r="R150" s="2"/>
      </tp>
      <tp t="s">
        <v>N/A</v>
        <stp/>
        <stp>VOLUME</stp>
        <stp>.NDXP250829P19850</stp>
        <tr r="P162" s="2"/>
      </tp>
      <tp t="s">
        <v>N/A</v>
        <stp/>
        <stp>VOLUME</stp>
        <stp>.NDXP250930P19150</stp>
        <tr r="R190" s="2"/>
      </tp>
      <tp t="s">
        <v>N/A</v>
        <stp/>
        <stp>VOLUME</stp>
        <stp>.NDXP250606P19750</stp>
        <tr r="J166" s="2"/>
      </tp>
      <tp t="s">
        <v>N/A</v>
        <stp/>
        <stp>VOLUME</stp>
        <stp>.NDXP250630P19150</stp>
        <tr r="L190" s="2"/>
      </tp>
      <tp t="s">
        <v>N/A</v>
        <stp/>
        <stp>VOLUME</stp>
        <stp>.NDXP250505P20450</stp>
        <tr r="BB137" s="1"/>
      </tp>
      <tp t="s">
        <v>N/A</v>
        <stp/>
        <stp>VOLUME</stp>
        <stp>.NDXP250530P20150</stp>
        <tr r="I150" s="2"/>
      </tp>
      <tp t="s">
        <v>N/A</v>
        <stp/>
        <stp>VOLUME</stp>
        <stp>.NDXP250731P20050</stp>
        <tr r="N154" s="2"/>
      </tp>
      <tp t="s">
        <v>N/A</v>
        <stp/>
        <stp>VOLUME</stp>
        <stp>.NDXP250505P19450</stp>
        <tr r="BB177" s="1"/>
      </tp>
      <tp>
        <v>238</v>
        <stp/>
        <stp>VOLUME</stp>
        <stp>.NDXP250509P19850</stp>
        <tr r="BD161" s="1"/>
        <tr r="BD161" s="1"/>
      </tp>
      <tp t="s">
        <v>N/A</v>
        <stp/>
        <stp>VOLUME</stp>
        <stp>.NDXP250530P19150</stp>
        <tr r="I190" s="2"/>
      </tp>
      <tp t="s">
        <v>N/A</v>
        <stp/>
        <stp>VOLUME</stp>
        <stp>.NDXP250630P20150</stp>
        <tr r="L150" s="2"/>
      </tp>
      <tp t="s">
        <v>N/A</v>
        <stp/>
        <stp>VOLUME</stp>
        <stp>.NDXP251031P20075</stp>
        <tr r="T153" s="2"/>
      </tp>
      <tp t="s">
        <v>N/A</v>
        <stp/>
        <stp>VOLUME</stp>
        <stp>.NDXP251128P19975</stp>
        <tr r="V157" s="2"/>
      </tp>
      <tp t="s">
        <v>N/A</v>
        <stp/>
        <stp>VOLUME</stp>
        <stp>.NDXP251231P20075</stp>
        <tr r="X153" s="2"/>
      </tp>
      <tp t="s">
        <v>N/A</v>
        <stp/>
        <stp>VOLUME</stp>
        <stp>.NDXP250930P20175</stp>
        <tr r="R149" s="2"/>
      </tp>
      <tp t="s">
        <v>N/A</v>
        <stp/>
        <stp>VOLUME</stp>
        <stp>.NDXP250930P19175</stp>
        <tr r="R189" s="2"/>
      </tp>
      <tp t="s">
        <v>N/A</v>
        <stp/>
        <stp>VOLUME</stp>
        <stp>.NDXP250829P19875</stp>
        <tr r="P161" s="2"/>
      </tp>
      <tp t="s">
        <v>N/A</v>
        <stp/>
        <stp>VOLUME</stp>
        <stp>.NDXP250606P19775</stp>
        <tr r="J165" s="2"/>
      </tp>
      <tp t="s">
        <v>N/A</v>
        <stp/>
        <stp>VOLUME</stp>
        <stp>.NDXP250630P19175</stp>
        <tr r="L189" s="2"/>
      </tp>
      <tp t="s">
        <v>N/A</v>
        <stp/>
        <stp>VOLUME</stp>
        <stp>.NDXP250530P20175</stp>
        <tr r="I149" s="2"/>
      </tp>
      <tp t="s">
        <v>N/A</v>
        <stp/>
        <stp>VOLUME</stp>
        <stp>.NDXP250505P19475</stp>
        <tr r="BB176" s="1"/>
      </tp>
      <tp>
        <v>140</v>
        <stp/>
        <stp>VOLUME</stp>
        <stp>.NDXP250509P19875</stp>
        <tr r="BD160" s="1"/>
        <tr r="BD160" s="1"/>
      </tp>
      <tp t="s">
        <v>N/A</v>
        <stp/>
        <stp>VOLUME</stp>
        <stp>.NDXP250530P19175</stp>
        <tr r="I189" s="2"/>
      </tp>
      <tp t="s">
        <v>N/A</v>
        <stp/>
        <stp>VOLUME</stp>
        <stp>.NDXP250630P20175</stp>
        <tr r="L149" s="2"/>
      </tp>
      <tp t="s">
        <v>N/A</v>
        <stp/>
        <stp>VOLUME</stp>
        <stp>.NDXP250731P20075</stp>
        <tr r="N153" s="2"/>
      </tp>
      <tp t="s">
        <v>N/A</v>
        <stp/>
        <stp>VOLUME</stp>
        <stp>.NDXP250930P20100</stp>
        <tr r="R152" s="2"/>
      </tp>
      <tp t="s">
        <v>N/A</v>
        <stp/>
        <stp>VOLUME</stp>
        <stp>.NDXP250829P19800</stp>
        <tr r="P164" s="2"/>
      </tp>
      <tp t="s">
        <v>N/A</v>
        <stp/>
        <stp>VOLUME</stp>
        <stp>.NDXP250606P19700</stp>
        <tr r="J168" s="2"/>
      </tp>
      <tp t="s">
        <v>N/A</v>
        <stp/>
        <stp>VOLUME</stp>
        <stp>.NDXP250505P20400</stp>
        <tr r="BB139" s="1"/>
      </tp>
      <tp>
        <v>8</v>
        <stp/>
        <stp>VOLUME</stp>
        <stp>.NDXP250530P20100</stp>
        <tr r="I152" s="2"/>
        <tr r="I152" s="2"/>
      </tp>
      <tp t="s">
        <v>N/A</v>
        <stp/>
        <stp>VOLUME</stp>
        <stp>.NDXP250731P20000</stp>
        <tr r="N156" s="2"/>
      </tp>
      <tp t="s">
        <v>N/A</v>
        <stp/>
        <stp>VOLUME</stp>
        <stp>.NDXP250505P19400</stp>
        <tr r="BB179" s="1"/>
      </tp>
      <tp>
        <v>2752</v>
        <stp/>
        <stp>VOLUME</stp>
        <stp>.NDXP250509P19800</stp>
        <tr r="BD163" s="1"/>
        <tr r="BD163" s="1"/>
      </tp>
      <tp t="s">
        <v>N/A</v>
        <stp/>
        <stp>VOLUME</stp>
        <stp>.NDXP250630P20100</stp>
        <tr r="L152" s="2"/>
      </tp>
      <tp t="s">
        <v>N/A</v>
        <stp/>
        <stp>VOLUME</stp>
        <stp>.NDXP251031P20000</stp>
        <tr r="T156" s="2"/>
      </tp>
      <tp t="s">
        <v>N/A</v>
        <stp/>
        <stp>VOLUME</stp>
        <stp>.NDXP251128P19900</stp>
        <tr r="V160" s="2"/>
      </tp>
      <tp t="s">
        <v>N/A</v>
        <stp/>
        <stp>VOLUME</stp>
        <stp>.NDXP251231P20000</stp>
        <tr r="X156" s="2"/>
      </tp>
      <tp t="s">
        <v>N/A</v>
        <stp/>
        <stp>VOLUME</stp>
        <stp>.NDXP250930P20125</stp>
        <tr r="R151" s="2"/>
      </tp>
      <tp t="s">
        <v>N/A</v>
        <stp/>
        <stp>VOLUME</stp>
        <stp>.NDXP250829P19825</stp>
        <tr r="P163" s="2"/>
      </tp>
      <tp t="s">
        <v>N/A</v>
        <stp/>
        <stp>VOLUME</stp>
        <stp>.NDXP250606P19725</stp>
        <tr r="J167" s="2"/>
      </tp>
      <tp t="s">
        <v>N/A</v>
        <stp/>
        <stp>VOLUME</stp>
        <stp>.NDXP250505P20425</stp>
        <tr r="BB138" s="1"/>
      </tp>
      <tp>
        <v>1</v>
        <stp/>
        <stp>VOLUME</stp>
        <stp>.NDXP250530P20125</stp>
        <tr r="I151" s="2"/>
        <tr r="I151" s="2"/>
      </tp>
      <tp t="s">
        <v>N/A</v>
        <stp/>
        <stp>VOLUME</stp>
        <stp>.NDXP250505P19425</stp>
        <tr r="BB178" s="1"/>
      </tp>
      <tp>
        <v>152</v>
        <stp/>
        <stp>VOLUME</stp>
        <stp>.NDXP250509P19825</stp>
        <tr r="BD162" s="1"/>
        <tr r="BD162" s="1"/>
      </tp>
      <tp t="s">
        <v>N/A</v>
        <stp/>
        <stp>VOLUME</stp>
        <stp>.NDXP250630P20125</stp>
        <tr r="L151" s="2"/>
      </tp>
      <tp t="s">
        <v>N/A</v>
        <stp/>
        <stp>VOLUME</stp>
        <stp>.NDXP250731P20025</stp>
        <tr r="N155" s="2"/>
      </tp>
      <tp t="s">
        <v>N/A</v>
        <stp/>
        <stp>VOLUME</stp>
        <stp>.NDXP251031P20025</stp>
        <tr r="T155" s="2"/>
      </tp>
      <tp t="s">
        <v>N/A</v>
        <stp/>
        <stp>VOLUME</stp>
        <stp>.NDXP251128P19925</stp>
        <tr r="V159" s="2"/>
      </tp>
      <tp t="s">
        <v>N/A</v>
        <stp/>
        <stp>VOLUME</stp>
        <stp>.NDXP251231P20025</stp>
        <tr r="X155" s="2"/>
      </tp>
      <tp>
        <v>38</v>
        <stp/>
        <stp>OPEN_INT</stp>
        <stp>.NDXP250509C19200</stp>
        <tr r="AU187" s="1"/>
        <tr r="AU187" s="1"/>
      </tp>
      <tp>
        <v>51</v>
        <stp/>
        <stp>OPEN_INT</stp>
        <stp>.NDXP250509C20200</stp>
        <tr r="AU147" s="1"/>
        <tr r="AU147" s="1"/>
      </tp>
      <tp>
        <v>4</v>
        <stp/>
        <stp>OPEN_INT</stp>
        <stp>.NDXP250509C19225</stp>
        <tr r="AU186" s="1"/>
        <tr r="AU186" s="1"/>
      </tp>
      <tp>
        <v>10</v>
        <stp/>
        <stp>OPEN_INT</stp>
        <stp>.NDXP250509C20225</stp>
        <tr r="AU146" s="1"/>
        <tr r="AU146" s="1"/>
      </tp>
      <tp>
        <v>2</v>
        <stp/>
        <stp>OPEN_INT</stp>
        <stp>.NDXP250509C19250</stp>
        <tr r="AU185" s="1"/>
        <tr r="AU185" s="1"/>
      </tp>
      <tp>
        <v>72</v>
        <stp/>
        <stp>OPEN_INT</stp>
        <stp>.NDXP250509C20250</stp>
        <tr r="AU145" s="1"/>
        <tr r="AU145" s="1"/>
      </tp>
      <tp>
        <v>7</v>
        <stp/>
        <stp>OPEN_INT</stp>
        <stp>.NDXP250509C19275</stp>
        <tr r="AU184" s="1"/>
        <tr r="AU184" s="1"/>
      </tp>
      <tp>
        <v>28</v>
        <stp/>
        <stp>OPEN_INT</stp>
        <stp>.NDXP250509C20275</stp>
        <tr r="AU144" s="1"/>
        <tr r="AU144" s="1"/>
      </tp>
      <tp>
        <v>7</v>
        <stp/>
        <stp>OPEN_INT</stp>
        <stp>.NDXP250509P19225</stp>
        <tr r="AV186" s="1"/>
        <tr r="AV186" s="1"/>
      </tp>
      <tp>
        <v>16</v>
        <stp/>
        <stp>OPEN_INT</stp>
        <stp>.NDXP250509P20225</stp>
        <tr r="AV146" s="1"/>
        <tr r="AV146" s="1"/>
      </tp>
      <tp>
        <v>16</v>
        <stp/>
        <stp>OPEN_INT</stp>
        <stp>.NDXP250509P19200</stp>
        <tr r="AV187" s="1"/>
        <tr r="AV187" s="1"/>
      </tp>
      <tp>
        <v>12</v>
        <stp/>
        <stp>OPEN_INT</stp>
        <stp>.NDXP250509P20200</stp>
        <tr r="AV147" s="1"/>
        <tr r="AV147" s="1"/>
      </tp>
      <tp>
        <v>10</v>
        <stp/>
        <stp>OPEN_INT</stp>
        <stp>.NDXP250509P19275</stp>
        <tr r="AV184" s="1"/>
        <tr r="AV184" s="1"/>
      </tp>
      <tp>
        <v>1</v>
        <stp/>
        <stp>OPEN_INT</stp>
        <stp>.NDXP250509P20275</stp>
        <tr r="AV144" s="1"/>
        <tr r="AV144" s="1"/>
      </tp>
      <tp>
        <v>36</v>
        <stp/>
        <stp>OPEN_INT</stp>
        <stp>.NDXP250509P19250</stp>
        <tr r="AV185" s="1"/>
        <tr r="AV185" s="1"/>
      </tp>
      <tp>
        <v>8</v>
        <stp/>
        <stp>OPEN_INT</stp>
        <stp>.NDXP250509P20250</stp>
        <tr r="AV145" s="1"/>
        <tr r="AV145" s="1"/>
      </tp>
      <tp>
        <v>-0.73</v>
        <stp/>
        <stp>DELTA</stp>
        <stp>.NDXP250505P20425</stp>
        <tr r="CE138" s="1"/>
        <tr r="CE138" s="1"/>
      </tp>
      <tp>
        <v>-0.06</v>
        <stp/>
        <stp>DELTA</stp>
        <stp>.NDXP250505P19425</stp>
        <tr r="CE178" s="1"/>
        <tr r="CE178" s="1"/>
      </tp>
      <tp>
        <v>-0.11</v>
        <stp/>
        <stp>DELTA</stp>
        <stp>.NDXP250509P19825</stp>
        <tr r="CG162" s="1"/>
        <tr r="CG162" s="1"/>
      </tp>
      <tp>
        <v>-0.73</v>
        <stp/>
        <stp>DELTA</stp>
        <stp>.NDXP250505P20400</stp>
        <tr r="CE139" s="1"/>
        <tr r="CE139" s="1"/>
      </tp>
      <tp>
        <v>0</v>
        <stp/>
        <stp>DELTA</stp>
        <stp>.NDXP250505P19400</stp>
        <tr r="CE179" s="1"/>
        <tr r="CE179" s="1"/>
      </tp>
      <tp>
        <v>0</v>
        <stp/>
        <stp>DELTA</stp>
        <stp>.NDXP250509P19800</stp>
        <tr r="CG163" s="1"/>
        <tr r="CG163" s="1"/>
      </tp>
      <tp>
        <v>-0.06</v>
        <stp/>
        <stp>DELTA</stp>
        <stp>.NDXP250505P19475</stp>
        <tr r="CE176" s="1"/>
        <tr r="CE176" s="1"/>
      </tp>
      <tp>
        <v>-0.12</v>
        <stp/>
        <stp>DELTA</stp>
        <stp>.NDXP250509P19875</stp>
        <tr r="CG160" s="1"/>
        <tr r="CG160" s="1"/>
      </tp>
      <tp>
        <v>-0.73</v>
        <stp/>
        <stp>DELTA</stp>
        <stp>.NDXP250505P20450</stp>
        <tr r="CE137" s="1"/>
        <tr r="CE137" s="1"/>
      </tp>
      <tp>
        <v>-0.06</v>
        <stp/>
        <stp>DELTA</stp>
        <stp>.NDXP250505P19450</stp>
        <tr r="CE177" s="1"/>
        <tr r="CE177" s="1"/>
      </tp>
      <tp>
        <v>-0.11</v>
        <stp/>
        <stp>DELTA</stp>
        <stp>.NDXP250509P19850</stp>
        <tr r="CG161" s="1"/>
        <tr r="CG161" s="1"/>
      </tp>
      <tp>
        <v>0</v>
        <stp/>
        <stp>DELTA</stp>
        <stp>.NDXP250505C20400</stp>
        <tr r="CD139" s="1"/>
        <tr r="CD139" s="1"/>
      </tp>
      <tp>
        <v>1</v>
        <stp/>
        <stp>DELTA</stp>
        <stp>.NDXP250505C19400</stp>
        <tr r="CD179" s="1"/>
        <tr r="CD179" s="1"/>
      </tp>
      <tp>
        <v>1</v>
        <stp/>
        <stp>DELTA</stp>
        <stp>.NDXP250509C19800</stp>
        <tr r="CF163" s="1"/>
        <tr r="CF163" s="1"/>
      </tp>
      <tp>
        <v>0</v>
        <stp/>
        <stp>DELTA</stp>
        <stp>.NDXP250505C20425</stp>
        <tr r="CD138" s="1"/>
        <tr r="CD138" s="1"/>
      </tp>
      <tp>
        <v>1</v>
        <stp/>
        <stp>DELTA</stp>
        <stp>.NDXP250505C19425</stp>
        <tr r="CD178" s="1"/>
        <tr r="CD178" s="1"/>
      </tp>
      <tp>
        <v>0.98</v>
        <stp/>
        <stp>DELTA</stp>
        <stp>.NDXP250509C19825</stp>
        <tr r="CF162" s="1"/>
        <tr r="CF162" s="1"/>
      </tp>
      <tp>
        <v>0.01</v>
        <stp/>
        <stp>DELTA</stp>
        <stp>.NDXP250505C20450</stp>
        <tr r="CD137" s="1"/>
        <tr r="CD137" s="1"/>
      </tp>
      <tp>
        <v>1</v>
        <stp/>
        <stp>DELTA</stp>
        <stp>.NDXP250505C19450</stp>
        <tr r="CD177" s="1"/>
        <tr r="CD177" s="1"/>
      </tp>
      <tp>
        <v>1</v>
        <stp/>
        <stp>DELTA</stp>
        <stp>.NDXP250509C19850</stp>
        <tr r="CF161" s="1"/>
        <tr r="CF161" s="1"/>
      </tp>
      <tp>
        <v>1</v>
        <stp/>
        <stp>DELTA</stp>
        <stp>.NDXP250505C19475</stp>
        <tr r="CD176" s="1"/>
        <tr r="CD176" s="1"/>
      </tp>
      <tp>
        <v>1</v>
        <stp/>
        <stp>DELTA</stp>
        <stp>.NDXP250509C19875</stp>
        <tr r="CF160" s="1"/>
        <tr r="CF160" s="1"/>
      </tp>
      <tp t="s">
        <v>N/A</v>
        <stp/>
        <stp>VOLUME</stp>
        <stp>.NDXP250930C20275</stp>
        <tr r="R145" s="2"/>
      </tp>
      <tp t="s">
        <v>N/A</v>
        <stp/>
        <stp>VOLUME</stp>
        <stp>.NDXP250930C19275</stp>
        <tr r="R185" s="2"/>
      </tp>
      <tp t="s">
        <v>N/A</v>
        <stp/>
        <stp>VOLUME</stp>
        <stp>.NDXP250731C19375</stp>
        <tr r="N181" s="2"/>
      </tp>
      <tp t="s">
        <v>N/A</v>
        <stp/>
        <stp>VOLUME</stp>
        <stp>.NDXP250606C19475</stp>
        <tr r="J177" s="2"/>
      </tp>
      <tp t="s">
        <v>N/A</v>
        <stp/>
        <stp>VOLUME</stp>
        <stp>.NDXP250630C19275</stp>
        <tr r="L185" s="2"/>
      </tp>
      <tp t="s">
        <v>N/A</v>
        <stp/>
        <stp>VOLUME</stp>
        <stp>.NDXP250530C20275</stp>
        <tr r="I145" s="2"/>
      </tp>
      <tp t="s">
        <v>N/A</v>
        <stp/>
        <stp>VOLUME</stp>
        <stp>.NDXP250505C19775</stp>
        <tr r="BA164" s="1"/>
      </tp>
      <tp t="s">
        <v>N/A</v>
        <stp/>
        <stp>VOLUME</stp>
        <stp>.NDXP250530C19275</stp>
        <tr r="I185" s="2"/>
      </tp>
      <tp>
        <v>2</v>
        <stp/>
        <stp>VOLUME</stp>
        <stp>.NDXP250630C20275</stp>
        <tr r="L145" s="2"/>
        <tr r="L145" s="2"/>
      </tp>
      <tp t="s">
        <v>N/A</v>
        <stp/>
        <stp>VOLUME</stp>
        <stp>.NDXP250731C20375</stp>
        <tr r="N141" s="2"/>
      </tp>
      <tp t="s">
        <v>N/A</v>
        <stp/>
        <stp>VOLUME</stp>
        <stp>.NDXP251031C20375</stp>
        <tr r="T141" s="2"/>
      </tp>
      <tp t="s">
        <v>N/A</v>
        <stp/>
        <stp>VOLUME</stp>
        <stp>.NDXP251231C19375</stp>
        <tr r="X181" s="2"/>
      </tp>
      <tp t="s">
        <v>N/A</v>
        <stp/>
        <stp>VOLUME</stp>
        <stp>.NDXP251231C20375</stp>
        <tr r="X141" s="2"/>
      </tp>
      <tp t="s">
        <v>N/A</v>
        <stp/>
        <stp>VOLUME</stp>
        <stp>.NDXP251031C19375</stp>
        <tr r="T181" s="2"/>
      </tp>
      <tp t="s">
        <v>N/A</v>
        <stp/>
        <stp>VOLUME</stp>
        <stp>.NDXP250930C20250</stp>
        <tr r="R146" s="2"/>
      </tp>
      <tp t="s">
        <v>N/A</v>
        <stp/>
        <stp>VOLUME</stp>
        <stp>.NDXP250930C19250</stp>
        <tr r="R186" s="2"/>
      </tp>
      <tp t="s">
        <v>N/A</v>
        <stp/>
        <stp>VOLUME</stp>
        <stp>.NDXP250606C19450</stp>
        <tr r="J178" s="2"/>
      </tp>
      <tp t="s">
        <v>N/A</v>
        <stp/>
        <stp>VOLUME</stp>
        <stp>.NDXP250630C19250</stp>
        <tr r="L186" s="2"/>
      </tp>
      <tp t="s">
        <v>N/A</v>
        <stp/>
        <stp>VOLUME</stp>
        <stp>.NDXP250530C20250</stp>
        <tr r="I146" s="2"/>
      </tp>
      <tp t="s">
        <v>N/A</v>
        <stp/>
        <stp>VOLUME</stp>
        <stp>.NDXP250731C19350</stp>
        <tr r="N182" s="2"/>
      </tp>
      <tp t="s">
        <v>N/A</v>
        <stp/>
        <stp>VOLUME</stp>
        <stp>.NDXP250731C20350</stp>
        <tr r="N142" s="2"/>
      </tp>
      <tp t="s">
        <v>N/A</v>
        <stp/>
        <stp>VOLUME</stp>
        <stp>.NDXP250505C19750</stp>
        <tr r="BA165" s="1"/>
      </tp>
      <tp t="s">
        <v>N/A</v>
        <stp/>
        <stp>VOLUME</stp>
        <stp>.NDXP250530C19250</stp>
        <tr r="I186" s="2"/>
      </tp>
      <tp>
        <v>16</v>
        <stp/>
        <stp>VOLUME</stp>
        <stp>.NDXP250606C20450</stp>
        <tr r="J138" s="2"/>
        <tr r="J138" s="2"/>
      </tp>
      <tp t="s">
        <v>N/A</v>
        <stp/>
        <stp>VOLUME</stp>
        <stp>.NDXP250630C20250</stp>
        <tr r="L146" s="2"/>
      </tp>
      <tp t="s">
        <v>N/A</v>
        <stp/>
        <stp>VOLUME</stp>
        <stp>.NDXP251231C19350</stp>
        <tr r="X182" s="2"/>
      </tp>
      <tp t="s">
        <v>N/A</v>
        <stp/>
        <stp>VOLUME</stp>
        <stp>.NDXP251031C20350</stp>
        <tr r="T142" s="2"/>
      </tp>
      <tp t="s">
        <v>N/A</v>
        <stp/>
        <stp>VOLUME</stp>
        <stp>.NDXP251031C19350</stp>
        <tr r="T182" s="2"/>
      </tp>
      <tp t="s">
        <v>N/A</v>
        <stp/>
        <stp>VOLUME</stp>
        <stp>.NDXP251231C20350</stp>
        <tr r="X142" s="2"/>
      </tp>
      <tp t="s">
        <v>N/A</v>
        <stp/>
        <stp>VOLUME</stp>
        <stp>.NDXP251031C20325</stp>
        <tr r="T143" s="2"/>
      </tp>
      <tp t="s">
        <v>N/A</v>
        <stp/>
        <stp>VOLUME</stp>
        <stp>.NDXP251231C19325</stp>
        <tr r="X183" s="2"/>
      </tp>
      <tp t="s">
        <v>N/A</v>
        <stp/>
        <stp>VOLUME</stp>
        <stp>.NDXP251231C20325</stp>
        <tr r="X143" s="2"/>
      </tp>
      <tp t="s">
        <v>N/A</v>
        <stp/>
        <stp>VOLUME</stp>
        <stp>.NDXP251031C19325</stp>
        <tr r="T183" s="2"/>
      </tp>
      <tp t="s">
        <v>N/A</v>
        <stp/>
        <stp>VOLUME</stp>
        <stp>.NDXP250930C20225</stp>
        <tr r="R147" s="2"/>
      </tp>
      <tp t="s">
        <v>N/A</v>
        <stp/>
        <stp>VOLUME</stp>
        <stp>.NDXP250930C19225</stp>
        <tr r="R187" s="2"/>
      </tp>
      <tp t="s">
        <v>N/A</v>
        <stp/>
        <stp>VOLUME</stp>
        <stp>.NDXP250731C19325</stp>
        <tr r="N183" s="2"/>
      </tp>
      <tp t="s">
        <v>N/A</v>
        <stp/>
        <stp>VOLUME</stp>
        <stp>.NDXP250606C19425</stp>
        <tr r="J179" s="2"/>
      </tp>
      <tp t="s">
        <v>N/A</v>
        <stp/>
        <stp>VOLUME</stp>
        <stp>.NDXP250630C19225</stp>
        <tr r="L187" s="2"/>
      </tp>
      <tp t="s">
        <v>N/A</v>
        <stp/>
        <stp>VOLUME</stp>
        <stp>.NDXP250530C20225</stp>
        <tr r="I147" s="2"/>
      </tp>
      <tp t="s">
        <v>N/A</v>
        <stp/>
        <stp>VOLUME</stp>
        <stp>.NDXP250505C19725</stp>
        <tr r="BA166" s="1"/>
      </tp>
      <tp t="s">
        <v>N/A</v>
        <stp/>
        <stp>VOLUME</stp>
        <stp>.NDXP250530C19225</stp>
        <tr r="I187" s="2"/>
      </tp>
      <tp t="s">
        <v>N/A</v>
        <stp/>
        <stp>VOLUME</stp>
        <stp>.NDXP250606C20425</stp>
        <tr r="J139" s="2"/>
      </tp>
      <tp t="s">
        <v>N/A</v>
        <stp/>
        <stp>VOLUME</stp>
        <stp>.NDXP250630C20225</stp>
        <tr r="L147" s="2"/>
      </tp>
      <tp t="s">
        <v>N/A</v>
        <stp/>
        <stp>VOLUME</stp>
        <stp>.NDXP250731C20325</stp>
        <tr r="N143" s="2"/>
      </tp>
      <tp t="s">
        <v>N/A</v>
        <stp/>
        <stp>VOLUME</stp>
        <stp>.NDXP251231C19300</stp>
        <tr r="X184" s="2"/>
      </tp>
      <tp t="s">
        <v>N/A</v>
        <stp/>
        <stp>VOLUME</stp>
        <stp>.NDXP251031C20300</stp>
        <tr r="T144" s="2"/>
      </tp>
      <tp t="s">
        <v>N/A</v>
        <stp/>
        <stp>VOLUME</stp>
        <stp>.NDXP251031C19300</stp>
        <tr r="T184" s="2"/>
      </tp>
      <tp t="s">
        <v>N/A</v>
        <stp/>
        <stp>VOLUME</stp>
        <stp>.NDXP251231C20300</stp>
        <tr r="X144" s="2"/>
      </tp>
      <tp t="s">
        <v>N/A</v>
        <stp/>
        <stp>VOLUME</stp>
        <stp>.NDXP250930C20200</stp>
        <tr r="R148" s="2"/>
      </tp>
      <tp t="s">
        <v>N/A</v>
        <stp/>
        <stp>VOLUME</stp>
        <stp>.NDXP250930C19200</stp>
        <tr r="R188" s="2"/>
      </tp>
      <tp t="s">
        <v>N/A</v>
        <stp/>
        <stp>VOLUME</stp>
        <stp>.NDXP250606C19400</stp>
        <tr r="J180" s="2"/>
      </tp>
      <tp t="s">
        <v>N/A</v>
        <stp/>
        <stp>VOLUME</stp>
        <stp>.NDXP250630C19200</stp>
        <tr r="L188" s="2"/>
      </tp>
      <tp t="s">
        <v>N/A</v>
        <stp/>
        <stp>VOLUME</stp>
        <stp>.NDXP250530C20200</stp>
        <tr r="I148" s="2"/>
      </tp>
      <tp t="s">
        <v>N/A</v>
        <stp/>
        <stp>VOLUME</stp>
        <stp>.NDXP250731C19300</stp>
        <tr r="N184" s="2"/>
      </tp>
      <tp t="s">
        <v>N/A</v>
        <stp/>
        <stp>VOLUME</stp>
        <stp>.NDXP250731C20300</stp>
        <tr r="N144" s="2"/>
      </tp>
      <tp t="s">
        <v>N/A</v>
        <stp/>
        <stp>VOLUME</stp>
        <stp>.NDXP250505C19700</stp>
        <tr r="BA167" s="1"/>
      </tp>
      <tp t="s">
        <v>N/A</v>
        <stp/>
        <stp>VOLUME</stp>
        <stp>.NDXP250530C19200</stp>
        <tr r="I188" s="2"/>
      </tp>
      <tp t="s">
        <v>N/A</v>
        <stp/>
        <stp>VOLUME</stp>
        <stp>.NDXP250606C20400</stp>
        <tr r="J140" s="2"/>
      </tp>
      <tp t="s">
        <v>N/A</v>
        <stp/>
        <stp>VOLUME</stp>
        <stp>.NDXP250630C20200</stp>
        <tr r="L148" s="2"/>
      </tp>
      <tp t="s">
        <v>N/A</v>
        <stp/>
        <stp>VOLUME</stp>
        <stp>.NDXP251231P19350</stp>
        <tr r="X182" s="2"/>
      </tp>
      <tp t="s">
        <v>N/A</v>
        <stp/>
        <stp>VOLUME</stp>
        <stp>.NDXP251031P20350</stp>
        <tr r="T142" s="2"/>
      </tp>
      <tp t="s">
        <v>N/A</v>
        <stp/>
        <stp>VOLUME</stp>
        <stp>.NDXP251031P19350</stp>
        <tr r="T182" s="2"/>
      </tp>
      <tp t="s">
        <v>N/A</v>
        <stp/>
        <stp>VOLUME</stp>
        <stp>.NDXP251231P20350</stp>
        <tr r="X142" s="2"/>
      </tp>
      <tp t="s">
        <v>N/A</v>
        <stp/>
        <stp>VOLUME</stp>
        <stp>.NDXP250930P20250</stp>
        <tr r="R146" s="2"/>
      </tp>
      <tp t="s">
        <v>N/A</v>
        <stp/>
        <stp>VOLUME</stp>
        <stp>.NDXP250930P19250</stp>
        <tr r="R186" s="2"/>
      </tp>
      <tp>
        <v>2</v>
        <stp/>
        <stp>VOLUME</stp>
        <stp>.NDXP250606P19450</stp>
        <tr r="J178" s="2"/>
        <tr r="J178" s="2"/>
      </tp>
      <tp t="s">
        <v>N/A</v>
        <stp/>
        <stp>VOLUME</stp>
        <stp>.NDXP250630P19250</stp>
        <tr r="L186" s="2"/>
      </tp>
      <tp t="s">
        <v>N/A</v>
        <stp/>
        <stp>VOLUME</stp>
        <stp>.NDXP250530P20250</stp>
        <tr r="I146" s="2"/>
      </tp>
      <tp t="s">
        <v>N/A</v>
        <stp/>
        <stp>VOLUME</stp>
        <stp>.NDXP250731P19350</stp>
        <tr r="N182" s="2"/>
      </tp>
      <tp t="s">
        <v>N/A</v>
        <stp/>
        <stp>VOLUME</stp>
        <stp>.NDXP250731P20350</stp>
        <tr r="N142" s="2"/>
      </tp>
      <tp t="s">
        <v>N/A</v>
        <stp/>
        <stp>VOLUME</stp>
        <stp>.NDXP250505P19750</stp>
        <tr r="BB165" s="1"/>
      </tp>
      <tp t="s">
        <v>N/A</v>
        <stp/>
        <stp>VOLUME</stp>
        <stp>.NDXP250530P19250</stp>
        <tr r="I186" s="2"/>
      </tp>
      <tp t="s">
        <v>N/A</v>
        <stp/>
        <stp>VOLUME</stp>
        <stp>.NDXP250606P20450</stp>
        <tr r="J138" s="2"/>
      </tp>
      <tp t="s">
        <v>N/A</v>
        <stp/>
        <stp>VOLUME</stp>
        <stp>.NDXP250630P20250</stp>
        <tr r="L146" s="2"/>
      </tp>
      <tp t="s">
        <v>N/A</v>
        <stp/>
        <stp>VOLUME</stp>
        <stp>.NDXP251031P20375</stp>
        <tr r="T141" s="2"/>
      </tp>
      <tp t="s">
        <v>N/A</v>
        <stp/>
        <stp>VOLUME</stp>
        <stp>.NDXP251231P19375</stp>
        <tr r="X181" s="2"/>
      </tp>
      <tp t="s">
        <v>N/A</v>
        <stp/>
        <stp>VOLUME</stp>
        <stp>.NDXP251231P20375</stp>
        <tr r="X141" s="2"/>
      </tp>
      <tp t="s">
        <v>N/A</v>
        <stp/>
        <stp>VOLUME</stp>
        <stp>.NDXP251031P19375</stp>
        <tr r="T181" s="2"/>
      </tp>
      <tp t="s">
        <v>N/A</v>
        <stp/>
        <stp>VOLUME</stp>
        <stp>.NDXP250930P20275</stp>
        <tr r="R145" s="2"/>
      </tp>
      <tp t="s">
        <v>N/A</v>
        <stp/>
        <stp>VOLUME</stp>
        <stp>.NDXP250930P19275</stp>
        <tr r="R185" s="2"/>
      </tp>
      <tp t="s">
        <v>N/A</v>
        <stp/>
        <stp>VOLUME</stp>
        <stp>.NDXP250731P19375</stp>
        <tr r="N181" s="2"/>
      </tp>
      <tp t="s">
        <v>N/A</v>
        <stp/>
        <stp>VOLUME</stp>
        <stp>.NDXP250606P19475</stp>
        <tr r="J177" s="2"/>
      </tp>
      <tp t="s">
        <v>N/A</v>
        <stp/>
        <stp>VOLUME</stp>
        <stp>.NDXP250630P19275</stp>
        <tr r="L185" s="2"/>
      </tp>
      <tp t="s">
        <v>N/A</v>
        <stp/>
        <stp>VOLUME</stp>
        <stp>.NDXP250530P20275</stp>
        <tr r="I145" s="2"/>
      </tp>
      <tp t="s">
        <v>N/A</v>
        <stp/>
        <stp>VOLUME</stp>
        <stp>.NDXP250505P19775</stp>
        <tr r="BB164" s="1"/>
      </tp>
      <tp t="s">
        <v>N/A</v>
        <stp/>
        <stp>VOLUME</stp>
        <stp>.NDXP250530P19275</stp>
        <tr r="I185" s="2"/>
      </tp>
      <tp t="s">
        <v>N/A</v>
        <stp/>
        <stp>VOLUME</stp>
        <stp>.NDXP250630P20275</stp>
        <tr r="L145" s="2"/>
      </tp>
      <tp t="s">
        <v>N/A</v>
        <stp/>
        <stp>VOLUME</stp>
        <stp>.NDXP250731P20375</stp>
        <tr r="N141" s="2"/>
      </tp>
      <tp t="s">
        <v>N/A</v>
        <stp/>
        <stp>VOLUME</stp>
        <stp>.NDXP250930P20200</stp>
        <tr r="R148" s="2"/>
      </tp>
      <tp t="s">
        <v>N/A</v>
        <stp/>
        <stp>VOLUME</stp>
        <stp>.NDXP250930P19200</stp>
        <tr r="R188" s="2"/>
      </tp>
      <tp t="s">
        <v>N/A</v>
        <stp/>
        <stp>VOLUME</stp>
        <stp>.NDXP250606P19400</stp>
        <tr r="J180" s="2"/>
      </tp>
      <tp t="s">
        <v>N/A</v>
        <stp/>
        <stp>VOLUME</stp>
        <stp>.NDXP250630P19200</stp>
        <tr r="L188" s="2"/>
      </tp>
      <tp>
        <v>2</v>
        <stp/>
        <stp>VOLUME</stp>
        <stp>.NDXP250530P20200</stp>
        <tr r="I148" s="2"/>
        <tr r="I148" s="2"/>
      </tp>
      <tp t="s">
        <v>N/A</v>
        <stp/>
        <stp>VOLUME</stp>
        <stp>.NDXP250731P19300</stp>
        <tr r="N184" s="2"/>
      </tp>
      <tp t="s">
        <v>N/A</v>
        <stp/>
        <stp>VOLUME</stp>
        <stp>.NDXP250731P20300</stp>
        <tr r="N144" s="2"/>
      </tp>
      <tp t="s">
        <v>N/A</v>
        <stp/>
        <stp>VOLUME</stp>
        <stp>.NDXP250505P19700</stp>
        <tr r="BB167" s="1"/>
      </tp>
      <tp t="s">
        <v>N/A</v>
        <stp/>
        <stp>VOLUME</stp>
        <stp>.NDXP250530P19200</stp>
        <tr r="I188" s="2"/>
      </tp>
      <tp t="s">
        <v>N/A</v>
        <stp/>
        <stp>VOLUME</stp>
        <stp>.NDXP250606P20400</stp>
        <tr r="J140" s="2"/>
      </tp>
      <tp t="s">
        <v>N/A</v>
        <stp/>
        <stp>VOLUME</stp>
        <stp>.NDXP250630P20200</stp>
        <tr r="L148" s="2"/>
      </tp>
      <tp t="s">
        <v>N/A</v>
        <stp/>
        <stp>VOLUME</stp>
        <stp>.NDXP251231P19300</stp>
        <tr r="X184" s="2"/>
      </tp>
      <tp t="s">
        <v>N/A</v>
        <stp/>
        <stp>VOLUME</stp>
        <stp>.NDXP251031P20300</stp>
        <tr r="T144" s="2"/>
      </tp>
      <tp t="s">
        <v>N/A</v>
        <stp/>
        <stp>VOLUME</stp>
        <stp>.NDXP251031P19300</stp>
        <tr r="T184" s="2"/>
      </tp>
      <tp t="s">
        <v>N/A</v>
        <stp/>
        <stp>VOLUME</stp>
        <stp>.NDXP251231P20300</stp>
        <tr r="X144" s="2"/>
      </tp>
      <tp t="s">
        <v>N/A</v>
        <stp/>
        <stp>VOLUME</stp>
        <stp>.NDXP250930P20225</stp>
        <tr r="R147" s="2"/>
      </tp>
      <tp t="s">
        <v>N/A</v>
        <stp/>
        <stp>VOLUME</stp>
        <stp>.NDXP250930P19225</stp>
        <tr r="R187" s="2"/>
      </tp>
      <tp t="s">
        <v>N/A</v>
        <stp/>
        <stp>VOLUME</stp>
        <stp>.NDXP250731P19325</stp>
        <tr r="N183" s="2"/>
      </tp>
      <tp>
        <v>6</v>
        <stp/>
        <stp>VOLUME</stp>
        <stp>.NDXP250606P19425</stp>
        <tr r="J179" s="2"/>
        <tr r="J179" s="2"/>
      </tp>
      <tp t="s">
        <v>N/A</v>
        <stp/>
        <stp>VOLUME</stp>
        <stp>.NDXP250630P19225</stp>
        <tr r="L187" s="2"/>
      </tp>
      <tp t="s">
        <v>N/A</v>
        <stp/>
        <stp>VOLUME</stp>
        <stp>.NDXP250530P20225</stp>
        <tr r="I147" s="2"/>
      </tp>
      <tp t="s">
        <v>N/A</v>
        <stp/>
        <stp>VOLUME</stp>
        <stp>.NDXP250505P19725</stp>
        <tr r="BB166" s="1"/>
      </tp>
      <tp t="s">
        <v>N/A</v>
        <stp/>
        <stp>VOLUME</stp>
        <stp>.NDXP250530P19225</stp>
        <tr r="I187" s="2"/>
      </tp>
      <tp t="s">
        <v>N/A</v>
        <stp/>
        <stp>VOLUME</stp>
        <stp>.NDXP250606P20425</stp>
        <tr r="J139" s="2"/>
      </tp>
      <tp t="s">
        <v>N/A</v>
        <stp/>
        <stp>VOLUME</stp>
        <stp>.NDXP250630P20225</stp>
        <tr r="L147" s="2"/>
      </tp>
      <tp t="s">
        <v>N/A</v>
        <stp/>
        <stp>VOLUME</stp>
        <stp>.NDXP250731P20325</stp>
        <tr r="N143" s="2"/>
      </tp>
      <tp t="s">
        <v>N/A</v>
        <stp/>
        <stp>VOLUME</stp>
        <stp>.NDXP251031P20325</stp>
        <tr r="T143" s="2"/>
      </tp>
      <tp t="s">
        <v>N/A</v>
        <stp/>
        <stp>VOLUME</stp>
        <stp>.NDXP251231P19325</stp>
        <tr r="X183" s="2"/>
      </tp>
      <tp t="s">
        <v>N/A</v>
        <stp/>
        <stp>VOLUME</stp>
        <stp>.NDXP251231P20325</stp>
        <tr r="X143" s="2"/>
      </tp>
      <tp t="s">
        <v>N/A</v>
        <stp/>
        <stp>VOLUME</stp>
        <stp>.NDXP251031P19325</stp>
        <tr r="T183" s="2"/>
      </tp>
      <tp>
        <v>4</v>
        <stp/>
        <stp>OPEN_INT</stp>
        <stp>.NDXP250509C19300</stp>
        <tr r="AU183" s="1"/>
        <tr r="AU183" s="1"/>
      </tp>
      <tp>
        <v>23</v>
        <stp/>
        <stp>OPEN_INT</stp>
        <stp>.NDXP250509C20300</stp>
        <tr r="AU143" s="1"/>
        <tr r="AU143" s="1"/>
      </tp>
      <tp>
        <v>1</v>
        <stp/>
        <stp>OPEN_INT</stp>
        <stp>.NDXP250509C19325</stp>
        <tr r="AU182" s="1"/>
        <tr r="AU182" s="1"/>
      </tp>
      <tp>
        <v>3</v>
        <stp/>
        <stp>OPEN_INT</stp>
        <stp>.NDXP250509C20325</stp>
        <tr r="AU142" s="1"/>
        <tr r="AU142" s="1"/>
      </tp>
      <tp>
        <v>4</v>
        <stp/>
        <stp>OPEN_INT</stp>
        <stp>.NDXP250509C19350</stp>
        <tr r="AU181" s="1"/>
        <tr r="AU181" s="1"/>
      </tp>
      <tp>
        <v>60</v>
        <stp/>
        <stp>OPEN_INT</stp>
        <stp>.NDXP250509C20350</stp>
        <tr r="AU141" s="1"/>
        <tr r="AU141" s="1"/>
      </tp>
      <tp>
        <v>0</v>
        <stp/>
        <stp>OPEN_INT</stp>
        <stp>.NDXP250509C19375</stp>
        <tr r="AU180" s="1"/>
        <tr r="AU180" s="1"/>
      </tp>
      <tp>
        <v>7</v>
        <stp/>
        <stp>OPEN_INT</stp>
        <stp>.NDXP250509C20375</stp>
        <tr r="AU140" s="1"/>
        <tr r="AU140" s="1"/>
      </tp>
      <tp>
        <v>32</v>
        <stp/>
        <stp>OPEN_INT</stp>
        <stp>.NDXP250509P19325</stp>
        <tr r="AV182" s="1"/>
        <tr r="AV182" s="1"/>
      </tp>
      <tp>
        <v>0</v>
        <stp/>
        <stp>OPEN_INT</stp>
        <stp>.NDXP250509P20325</stp>
        <tr r="AV142" s="1"/>
        <tr r="AV142" s="1"/>
      </tp>
      <tp>
        <v>63</v>
        <stp/>
        <stp>OPEN_INT</stp>
        <stp>.NDXP250509P19300</stp>
        <tr r="AV183" s="1"/>
        <tr r="AV183" s="1"/>
      </tp>
      <tp>
        <v>3</v>
        <stp/>
        <stp>OPEN_INT</stp>
        <stp>.NDXP250509P20300</stp>
        <tr r="AV143" s="1"/>
        <tr r="AV143" s="1"/>
      </tp>
      <tp>
        <v>26</v>
        <stp/>
        <stp>OPEN_INT</stp>
        <stp>.NDXP250509P19375</stp>
        <tr r="AV180" s="1"/>
        <tr r="AV180" s="1"/>
      </tp>
      <tp>
        <v>1</v>
        <stp/>
        <stp>OPEN_INT</stp>
        <stp>.NDXP250509P20375</stp>
        <tr r="AV140" s="1"/>
        <tr r="AV140" s="1"/>
      </tp>
      <tp>
        <v>45</v>
        <stp/>
        <stp>OPEN_INT</stp>
        <stp>.NDXP250509P19350</stp>
        <tr r="AV181" s="1"/>
        <tr r="AV181" s="1"/>
      </tp>
      <tp>
        <v>0</v>
        <stp/>
        <stp>OPEN_INT</stp>
        <stp>.NDXP250509P20350</stp>
        <tr r="AV141" s="1"/>
        <tr r="AV141" s="1"/>
      </tp>
      <tp>
        <v>-0.06</v>
        <stp/>
        <stp>DELTA</stp>
        <stp>.NDXP250505P19525</stp>
        <tr r="CE174" s="1"/>
        <tr r="CE174" s="1"/>
      </tp>
      <tp>
        <v>0</v>
        <stp/>
        <stp>DELTA</stp>
        <stp>.NDXP250509P19925</stp>
        <tr r="CG158" s="1"/>
        <tr r="CG158" s="1"/>
      </tp>
      <tp>
        <v>0</v>
        <stp/>
        <stp>DELTA</stp>
        <stp>.NDXP250505P19500</stp>
        <tr r="CE175" s="1"/>
        <tr r="CE175" s="1"/>
      </tp>
      <tp>
        <v>0</v>
        <stp/>
        <stp>DELTA</stp>
        <stp>.NDXP250509P19900</stp>
        <tr r="CG159" s="1"/>
        <tr r="CG159" s="1"/>
      </tp>
      <tp>
        <v>-7.0000000000000007E-2</v>
        <stp/>
        <stp>DELTA</stp>
        <stp>.NDXP250505P19575</stp>
        <tr r="CE172" s="1"/>
        <tr r="CE172" s="1"/>
      </tp>
      <tp>
        <v>-0.19</v>
        <stp/>
        <stp>DELTA</stp>
        <stp>.NDXP250509P19975</stp>
        <tr r="CG156" s="1"/>
        <tr r="CG156" s="1"/>
      </tp>
      <tp>
        <v>0</v>
        <stp/>
        <stp>DELTA</stp>
        <stp>.NDXP250505P19550</stp>
        <tr r="CE173" s="1"/>
        <tr r="CE173" s="1"/>
      </tp>
      <tp>
        <v>-0.04</v>
        <stp/>
        <stp>DELTA</stp>
        <stp>.NDXP250509P19950</stp>
        <tr r="CG157" s="1"/>
        <tr r="CG157" s="1"/>
      </tp>
      <tp>
        <v>1</v>
        <stp/>
        <stp>DELTA</stp>
        <stp>.NDXP250505C19500</stp>
        <tr r="CD175" s="1"/>
        <tr r="CD175" s="1"/>
      </tp>
      <tp>
        <v>1</v>
        <stp/>
        <stp>DELTA</stp>
        <stp>.NDXP250509C19900</stp>
        <tr r="CF159" s="1"/>
        <tr r="CF159" s="1"/>
      </tp>
      <tp>
        <v>1</v>
        <stp/>
        <stp>DELTA</stp>
        <stp>.NDXP250505C19525</stp>
        <tr r="CD174" s="1"/>
        <tr r="CD174" s="1"/>
      </tp>
      <tp>
        <v>1</v>
        <stp/>
        <stp>DELTA</stp>
        <stp>.NDXP250509C19925</stp>
        <tr r="CF158" s="1"/>
        <tr r="CF158" s="1"/>
      </tp>
      <tp>
        <v>1</v>
        <stp/>
        <stp>DELTA</stp>
        <stp>.NDXP250505C19550</stp>
        <tr r="CD173" s="1"/>
        <tr r="CD173" s="1"/>
      </tp>
      <tp>
        <v>1</v>
        <stp/>
        <stp>DELTA</stp>
        <stp>.NDXP250509C19950</stp>
        <tr r="CF157" s="1"/>
        <tr r="CF157" s="1"/>
      </tp>
      <tp>
        <v>1</v>
        <stp/>
        <stp>DELTA</stp>
        <stp>.NDXP250505C19575</stp>
        <tr r="CD172" s="1"/>
        <tr r="CD172" s="1"/>
      </tp>
      <tp>
        <v>1</v>
        <stp/>
        <stp>DELTA</stp>
        <stp>.NDXP250509C19975</stp>
        <tr r="CF156" s="1"/>
        <tr r="CF156" s="1"/>
      </tp>
      <tp t="s">
        <v>N/A</v>
        <stp/>
        <stp>VOLUME</stp>
        <stp>.NDXP250930C20375</stp>
        <tr r="R141" s="2"/>
      </tp>
      <tp t="s">
        <v>N/A</v>
        <stp/>
        <stp>VOLUME</stp>
        <stp>.NDXP250930C19375</stp>
        <tr r="R181" s="2"/>
      </tp>
      <tp t="s">
        <v>N/A</v>
        <stp/>
        <stp>VOLUME</stp>
        <stp>.NDXP250731C19275</stp>
        <tr r="N185" s="2"/>
      </tp>
      <tp t="s">
        <v>N/A</v>
        <stp/>
        <stp>VOLUME</stp>
        <stp>.NDXP250606C19575</stp>
        <tr r="J173" s="2"/>
      </tp>
      <tp t="s">
        <v>N/A</v>
        <stp/>
        <stp>VOLUME</stp>
        <stp>.NDXP250630C19375</stp>
        <tr r="L181" s="2"/>
      </tp>
      <tp>
        <v>2</v>
        <stp/>
        <stp>VOLUME</stp>
        <stp>.NDXP250530C20375</stp>
        <tr r="I141" s="2"/>
        <tr r="I141" s="2"/>
      </tp>
      <tp t="s">
        <v>N/A</v>
        <stp/>
        <stp>VOLUME</stp>
        <stp>.NDXP250505C19675</stp>
        <tr r="BA168" s="1"/>
      </tp>
      <tp t="s">
        <v>N/A</v>
        <stp/>
        <stp>VOLUME</stp>
        <stp>.NDXP250530C19375</stp>
        <tr r="I181" s="2"/>
      </tp>
      <tp t="s">
        <v>N/A</v>
        <stp/>
        <stp>VOLUME</stp>
        <stp>.NDXP250630C20375</stp>
        <tr r="L141" s="2"/>
      </tp>
      <tp t="s">
        <v>N/A</v>
        <stp/>
        <stp>VOLUME</stp>
        <stp>.NDXP250731C20275</stp>
        <tr r="N145" s="2"/>
      </tp>
      <tp t="s">
        <v>N/A</v>
        <stp/>
        <stp>VOLUME</stp>
        <stp>.NDXP251031C20275</stp>
        <tr r="T145" s="2"/>
      </tp>
      <tp t="s">
        <v>N/A</v>
        <stp/>
        <stp>VOLUME</stp>
        <stp>.NDXP251231C19275</stp>
        <tr r="X185" s="2"/>
      </tp>
      <tp t="s">
        <v>N/A</v>
        <stp/>
        <stp>VOLUME</stp>
        <stp>.NDXP251231C20275</stp>
        <tr r="X145" s="2"/>
      </tp>
      <tp t="s">
        <v>N/A</v>
        <stp/>
        <stp>VOLUME</stp>
        <stp>.NDXP251031C19275</stp>
        <tr r="T185" s="2"/>
      </tp>
      <tp t="s">
        <v>N/A</v>
        <stp/>
        <stp>VOLUME</stp>
        <stp>.NDXP250930C20350</stp>
        <tr r="R142" s="2"/>
      </tp>
      <tp t="s">
        <v>N/A</v>
        <stp/>
        <stp>VOLUME</stp>
        <stp>.NDXP250930C19350</stp>
        <tr r="R182" s="2"/>
      </tp>
      <tp t="s">
        <v>N/A</v>
        <stp/>
        <stp>VOLUME</stp>
        <stp>.NDXP250606C19550</stp>
        <tr r="J174" s="2"/>
      </tp>
      <tp t="s">
        <v>N/A</v>
        <stp/>
        <stp>VOLUME</stp>
        <stp>.NDXP250630C19350</stp>
        <tr r="L182" s="2"/>
      </tp>
      <tp t="s">
        <v>N/A</v>
        <stp/>
        <stp>VOLUME</stp>
        <stp>.NDXP250530C20350</stp>
        <tr r="I142" s="2"/>
      </tp>
      <tp t="s">
        <v>N/A</v>
        <stp/>
        <stp>VOLUME</stp>
        <stp>.NDXP250731C19250</stp>
        <tr r="N186" s="2"/>
      </tp>
      <tp t="s">
        <v>N/A</v>
        <stp/>
        <stp>VOLUME</stp>
        <stp>.NDXP250731C20250</stp>
        <tr r="N146" s="2"/>
      </tp>
      <tp t="s">
        <v>N/A</v>
        <stp/>
        <stp>VOLUME</stp>
        <stp>.NDXP250505C19650</stp>
        <tr r="BA169" s="1"/>
      </tp>
      <tp t="s">
        <v>N/A</v>
        <stp/>
        <stp>VOLUME</stp>
        <stp>.NDXP250530C19350</stp>
        <tr r="I182" s="2"/>
      </tp>
      <tp t="s">
        <v>N/A</v>
        <stp/>
        <stp>VOLUME</stp>
        <stp>.NDXP250630C20350</stp>
        <tr r="L142" s="2"/>
      </tp>
      <tp t="s">
        <v>N/A</v>
        <stp/>
        <stp>VOLUME</stp>
        <stp>.NDXP251231C19250</stp>
        <tr r="X186" s="2"/>
      </tp>
      <tp t="s">
        <v>N/A</v>
        <stp/>
        <stp>VOLUME</stp>
        <stp>.NDXP251031C20250</stp>
        <tr r="T146" s="2"/>
      </tp>
      <tp t="s">
        <v>N/A</v>
        <stp/>
        <stp>VOLUME</stp>
        <stp>.NDXP251031C19250</stp>
        <tr r="T186" s="2"/>
      </tp>
      <tp t="s">
        <v>N/A</v>
        <stp/>
        <stp>VOLUME</stp>
        <stp>.NDXP251231C20250</stp>
        <tr r="X146" s="2"/>
      </tp>
      <tp t="s">
        <v>N/A</v>
        <stp/>
        <stp>VOLUME</stp>
        <stp>.NDXP251031C20225</stp>
        <tr r="T147" s="2"/>
      </tp>
      <tp t="s">
        <v>N/A</v>
        <stp/>
        <stp>VOLUME</stp>
        <stp>.NDXP251231C19225</stp>
        <tr r="X187" s="2"/>
      </tp>
      <tp t="s">
        <v>N/A</v>
        <stp/>
        <stp>VOLUME</stp>
        <stp>.NDXP251231C20225</stp>
        <tr r="X147" s="2"/>
      </tp>
      <tp t="s">
        <v>N/A</v>
        <stp/>
        <stp>VOLUME</stp>
        <stp>.NDXP251031C19225</stp>
        <tr r="T187" s="2"/>
      </tp>
      <tp t="s">
        <v>N/A</v>
        <stp/>
        <stp>VOLUME</stp>
        <stp>.NDXP250930C20325</stp>
        <tr r="R143" s="2"/>
      </tp>
      <tp t="s">
        <v>N/A</v>
        <stp/>
        <stp>VOLUME</stp>
        <stp>.NDXP250930C19325</stp>
        <tr r="R183" s="2"/>
      </tp>
      <tp t="s">
        <v>N/A</v>
        <stp/>
        <stp>VOLUME</stp>
        <stp>.NDXP250731C19225</stp>
        <tr r="N187" s="2"/>
      </tp>
      <tp t="s">
        <v>N/A</v>
        <stp/>
        <stp>VOLUME</stp>
        <stp>.NDXP250606C19525</stp>
        <tr r="J175" s="2"/>
      </tp>
      <tp t="s">
        <v>N/A</v>
        <stp/>
        <stp>VOLUME</stp>
        <stp>.NDXP250630C19325</stp>
        <tr r="L183" s="2"/>
      </tp>
      <tp t="s">
        <v>N/A</v>
        <stp/>
        <stp>VOLUME</stp>
        <stp>.NDXP250530C20325</stp>
        <tr r="I143" s="2"/>
      </tp>
      <tp t="s">
        <v>N/A</v>
        <stp/>
        <stp>VOLUME</stp>
        <stp>.NDXP250505C19625</stp>
        <tr r="BA170" s="1"/>
      </tp>
      <tp t="s">
        <v>N/A</v>
        <stp/>
        <stp>VOLUME</stp>
        <stp>.NDXP250530C19325</stp>
        <tr r="I183" s="2"/>
      </tp>
      <tp t="s">
        <v>N/A</v>
        <stp/>
        <stp>VOLUME</stp>
        <stp>.NDXP250630C20325</stp>
        <tr r="L143" s="2"/>
      </tp>
      <tp t="s">
        <v>N/A</v>
        <stp/>
        <stp>VOLUME</stp>
        <stp>.NDXP250731C20225</stp>
        <tr r="N147" s="2"/>
      </tp>
      <tp t="s">
        <v>N/A</v>
        <stp/>
        <stp>VOLUME</stp>
        <stp>.NDXP251231C19200</stp>
        <tr r="X188" s="2"/>
      </tp>
      <tp t="s">
        <v>N/A</v>
        <stp/>
        <stp>VOLUME</stp>
        <stp>.NDXP251031C20200</stp>
        <tr r="T148" s="2"/>
      </tp>
      <tp t="s">
        <v>N/A</v>
        <stp/>
        <stp>VOLUME</stp>
        <stp>.NDXP251031C19200</stp>
        <tr r="T188" s="2"/>
      </tp>
      <tp t="s">
        <v>N/A</v>
        <stp/>
        <stp>VOLUME</stp>
        <stp>.NDXP251231C20200</stp>
        <tr r="X148" s="2"/>
      </tp>
      <tp t="s">
        <v>N/A</v>
        <stp/>
        <stp>VOLUME</stp>
        <stp>.NDXP250930C20300</stp>
        <tr r="R144" s="2"/>
      </tp>
      <tp t="s">
        <v>N/A</v>
        <stp/>
        <stp>VOLUME</stp>
        <stp>.NDXP250930C19300</stp>
        <tr r="R184" s="2"/>
      </tp>
      <tp t="s">
        <v>N/A</v>
        <stp/>
        <stp>VOLUME</stp>
        <stp>.NDXP250606C19500</stp>
        <tr r="J176" s="2"/>
      </tp>
      <tp t="s">
        <v>N/A</v>
        <stp/>
        <stp>VOLUME</stp>
        <stp>.NDXP250630C19300</stp>
        <tr r="L184" s="2"/>
      </tp>
      <tp>
        <v>5</v>
        <stp/>
        <stp>VOLUME</stp>
        <stp>.NDXP250530C20300</stp>
        <tr r="I144" s="2"/>
        <tr r="I144" s="2"/>
      </tp>
      <tp t="s">
        <v>N/A</v>
        <stp/>
        <stp>VOLUME</stp>
        <stp>.NDXP250731C19200</stp>
        <tr r="N188" s="2"/>
      </tp>
      <tp t="s">
        <v>N/A</v>
        <stp/>
        <stp>VOLUME</stp>
        <stp>.NDXP250731C20200</stp>
        <tr r="N148" s="2"/>
      </tp>
      <tp t="s">
        <v>N/A</v>
        <stp/>
        <stp>VOLUME</stp>
        <stp>.NDXP250505C19600</stp>
        <tr r="BA171" s="1"/>
      </tp>
      <tp t="s">
        <v>N/A</v>
        <stp/>
        <stp>VOLUME</stp>
        <stp>.NDXP250530C19300</stp>
        <tr r="I184" s="2"/>
      </tp>
      <tp t="s">
        <v>N/A</v>
        <stp/>
        <stp>VOLUME</stp>
        <stp>.NDXP250630C20300</stp>
        <tr r="L144" s="2"/>
      </tp>
      <tp t="s">
        <v>N/A</v>
        <stp/>
        <stp>VOLUME</stp>
        <stp>.NDXP251231P19250</stp>
        <tr r="X186" s="2"/>
      </tp>
      <tp t="s">
        <v>N/A</v>
        <stp/>
        <stp>VOLUME</stp>
        <stp>.NDXP251031P20250</stp>
        <tr r="T146" s="2"/>
      </tp>
      <tp t="s">
        <v>N/A</v>
        <stp/>
        <stp>VOLUME</stp>
        <stp>.NDXP251031P19250</stp>
        <tr r="T186" s="2"/>
      </tp>
      <tp t="s">
        <v>N/A</v>
        <stp/>
        <stp>VOLUME</stp>
        <stp>.NDXP251231P20250</stp>
        <tr r="X146" s="2"/>
      </tp>
      <tp t="s">
        <v>N/A</v>
        <stp/>
        <stp>VOLUME</stp>
        <stp>.NDXP250930P20350</stp>
        <tr r="R142" s="2"/>
      </tp>
      <tp t="s">
        <v>N/A</v>
        <stp/>
        <stp>VOLUME</stp>
        <stp>.NDXP250930P19350</stp>
        <tr r="R182" s="2"/>
      </tp>
      <tp t="s">
        <v>N/A</v>
        <stp/>
        <stp>VOLUME</stp>
        <stp>.NDXP250606P19550</stp>
        <tr r="J174" s="2"/>
      </tp>
      <tp t="s">
        <v>N/A</v>
        <stp/>
        <stp>VOLUME</stp>
        <stp>.NDXP250630P19350</stp>
        <tr r="L182" s="2"/>
      </tp>
      <tp t="s">
        <v>N/A</v>
        <stp/>
        <stp>VOLUME</stp>
        <stp>.NDXP250530P20350</stp>
        <tr r="I142" s="2"/>
      </tp>
      <tp t="s">
        <v>N/A</v>
        <stp/>
        <stp>VOLUME</stp>
        <stp>.NDXP250731P19250</stp>
        <tr r="N186" s="2"/>
      </tp>
      <tp t="s">
        <v>N/A</v>
        <stp/>
        <stp>VOLUME</stp>
        <stp>.NDXP250731P20250</stp>
        <tr r="N146" s="2"/>
      </tp>
      <tp t="s">
        <v>N/A</v>
        <stp/>
        <stp>VOLUME</stp>
        <stp>.NDXP250505P19650</stp>
        <tr r="BB169" s="1"/>
      </tp>
      <tp t="s">
        <v>N/A</v>
        <stp/>
        <stp>VOLUME</stp>
        <stp>.NDXP250530P19350</stp>
        <tr r="I182" s="2"/>
      </tp>
      <tp t="s">
        <v>N/A</v>
        <stp/>
        <stp>VOLUME</stp>
        <stp>.NDXP250630P20350</stp>
        <tr r="L142" s="2"/>
      </tp>
      <tp t="s">
        <v>N/A</v>
        <stp/>
        <stp>VOLUME</stp>
        <stp>.NDXP251031P20275</stp>
        <tr r="T145" s="2"/>
      </tp>
      <tp t="s">
        <v>N/A</v>
        <stp/>
        <stp>VOLUME</stp>
        <stp>.NDXP251231P19275</stp>
        <tr r="X185" s="2"/>
      </tp>
      <tp t="s">
        <v>N/A</v>
        <stp/>
        <stp>VOLUME</stp>
        <stp>.NDXP251231P20275</stp>
        <tr r="X145" s="2"/>
      </tp>
      <tp t="s">
        <v>N/A</v>
        <stp/>
        <stp>VOLUME</stp>
        <stp>.NDXP251031P19275</stp>
        <tr r="T185" s="2"/>
      </tp>
      <tp t="s">
        <v>N/A</v>
        <stp/>
        <stp>VOLUME</stp>
        <stp>.NDXP250930P20375</stp>
        <tr r="R141" s="2"/>
      </tp>
      <tp t="s">
        <v>N/A</v>
        <stp/>
        <stp>VOLUME</stp>
        <stp>.NDXP250930P19375</stp>
        <tr r="R181" s="2"/>
      </tp>
      <tp t="s">
        <v>N/A</v>
        <stp/>
        <stp>VOLUME</stp>
        <stp>.NDXP250731P19275</stp>
        <tr r="N185" s="2"/>
      </tp>
      <tp t="s">
        <v>N/A</v>
        <stp/>
        <stp>VOLUME</stp>
        <stp>.NDXP250606P19575</stp>
        <tr r="J173" s="2"/>
      </tp>
      <tp t="s">
        <v>N/A</v>
        <stp/>
        <stp>VOLUME</stp>
        <stp>.NDXP250630P19375</stp>
        <tr r="L181" s="2"/>
      </tp>
      <tp t="s">
        <v>N/A</v>
        <stp/>
        <stp>VOLUME</stp>
        <stp>.NDXP250530P20375</stp>
        <tr r="I141" s="2"/>
      </tp>
      <tp t="s">
        <v>N/A</v>
        <stp/>
        <stp>VOLUME</stp>
        <stp>.NDXP250505P19675</stp>
        <tr r="BB168" s="1"/>
      </tp>
      <tp t="s">
        <v>N/A</v>
        <stp/>
        <stp>VOLUME</stp>
        <stp>.NDXP250530P19375</stp>
        <tr r="I181" s="2"/>
      </tp>
      <tp t="s">
        <v>N/A</v>
        <stp/>
        <stp>VOLUME</stp>
        <stp>.NDXP250630P20375</stp>
        <tr r="L141" s="2"/>
      </tp>
      <tp t="s">
        <v>N/A</v>
        <stp/>
        <stp>VOLUME</stp>
        <stp>.NDXP250731P20275</stp>
        <tr r="N145" s="2"/>
      </tp>
      <tp t="s">
        <v>N/A</v>
        <stp/>
        <stp>VOLUME</stp>
        <stp>.NDXP250930P20300</stp>
        <tr r="R144" s="2"/>
      </tp>
      <tp t="s">
        <v>N/A</v>
        <stp/>
        <stp>VOLUME</stp>
        <stp>.NDXP250930P19300</stp>
        <tr r="R184" s="2"/>
      </tp>
      <tp t="s">
        <v>N/A</v>
        <stp/>
        <stp>VOLUME</stp>
        <stp>.NDXP250606P19500</stp>
        <tr r="J176" s="2"/>
      </tp>
      <tp t="s">
        <v>N/A</v>
        <stp/>
        <stp>VOLUME</stp>
        <stp>.NDXP250630P19300</stp>
        <tr r="L184" s="2"/>
      </tp>
      <tp t="s">
        <v>N/A</v>
        <stp/>
        <stp>VOLUME</stp>
        <stp>.NDXP250530P20300</stp>
        <tr r="I144" s="2"/>
      </tp>
      <tp t="s">
        <v>N/A</v>
        <stp/>
        <stp>VOLUME</stp>
        <stp>.NDXP250731P19200</stp>
        <tr r="N188" s="2"/>
      </tp>
      <tp t="s">
        <v>N/A</v>
        <stp/>
        <stp>VOLUME</stp>
        <stp>.NDXP250731P20200</stp>
        <tr r="N148" s="2"/>
      </tp>
      <tp t="s">
        <v>N/A</v>
        <stp/>
        <stp>VOLUME</stp>
        <stp>.NDXP250505P19600</stp>
        <tr r="BB171" s="1"/>
      </tp>
      <tp t="s">
        <v>N/A</v>
        <stp/>
        <stp>VOLUME</stp>
        <stp>.NDXP250530P19300</stp>
        <tr r="I184" s="2"/>
      </tp>
      <tp t="s">
        <v>N/A</v>
        <stp/>
        <stp>VOLUME</stp>
        <stp>.NDXP250630P20300</stp>
        <tr r="L144" s="2"/>
      </tp>
      <tp t="s">
        <v>N/A</v>
        <stp/>
        <stp>VOLUME</stp>
        <stp>.NDXP251231P19200</stp>
        <tr r="X188" s="2"/>
      </tp>
      <tp t="s">
        <v>N/A</v>
        <stp/>
        <stp>VOLUME</stp>
        <stp>.NDXP251031P20200</stp>
        <tr r="T148" s="2"/>
      </tp>
      <tp t="s">
        <v>N/A</v>
        <stp/>
        <stp>VOLUME</stp>
        <stp>.NDXP251031P19200</stp>
        <tr r="T188" s="2"/>
      </tp>
      <tp t="s">
        <v>N/A</v>
        <stp/>
        <stp>VOLUME</stp>
        <stp>.NDXP251231P20200</stp>
        <tr r="X148" s="2"/>
      </tp>
      <tp t="s">
        <v>N/A</v>
        <stp/>
        <stp>VOLUME</stp>
        <stp>.NDXP250930P20325</stp>
        <tr r="R143" s="2"/>
      </tp>
      <tp t="s">
        <v>N/A</v>
        <stp/>
        <stp>VOLUME</stp>
        <stp>.NDXP250930P19325</stp>
        <tr r="R183" s="2"/>
      </tp>
      <tp t="s">
        <v>N/A</v>
        <stp/>
        <stp>VOLUME</stp>
        <stp>.NDXP250731P19225</stp>
        <tr r="N187" s="2"/>
      </tp>
      <tp t="s">
        <v>N/A</v>
        <stp/>
        <stp>VOLUME</stp>
        <stp>.NDXP250606P19525</stp>
        <tr r="J175" s="2"/>
      </tp>
      <tp t="s">
        <v>N/A</v>
        <stp/>
        <stp>VOLUME</stp>
        <stp>.NDXP250630P19325</stp>
        <tr r="L183" s="2"/>
      </tp>
      <tp t="s">
        <v>N/A</v>
        <stp/>
        <stp>VOLUME</stp>
        <stp>.NDXP250530P20325</stp>
        <tr r="I143" s="2"/>
      </tp>
      <tp t="s">
        <v>N/A</v>
        <stp/>
        <stp>VOLUME</stp>
        <stp>.NDXP250505P19625</stp>
        <tr r="BB170" s="1"/>
      </tp>
      <tp t="s">
        <v>N/A</v>
        <stp/>
        <stp>VOLUME</stp>
        <stp>.NDXP250530P19325</stp>
        <tr r="I183" s="2"/>
      </tp>
      <tp t="s">
        <v>N/A</v>
        <stp/>
        <stp>VOLUME</stp>
        <stp>.NDXP250630P20325</stp>
        <tr r="L143" s="2"/>
      </tp>
      <tp t="s">
        <v>N/A</v>
        <stp/>
        <stp>VOLUME</stp>
        <stp>.NDXP250731P20225</stp>
        <tr r="N147" s="2"/>
      </tp>
      <tp t="s">
        <v>N/A</v>
        <stp/>
        <stp>VOLUME</stp>
        <stp>.NDXP251031P20225</stp>
        <tr r="T147" s="2"/>
      </tp>
      <tp t="s">
        <v>N/A</v>
        <stp/>
        <stp>VOLUME</stp>
        <stp>.NDXP251231P19225</stp>
        <tr r="X187" s="2"/>
      </tp>
      <tp t="s">
        <v>N/A</v>
        <stp/>
        <stp>VOLUME</stp>
        <stp>.NDXP251231P20225</stp>
        <tr r="X147" s="2"/>
      </tp>
      <tp t="s">
        <v>N/A</v>
        <stp/>
        <stp>VOLUME</stp>
        <stp>.NDXP251031P19225</stp>
        <tr r="T187" s="2"/>
      </tp>
      <tp t="s">
        <v>--</v>
        <stp/>
        <stp>IMPL_VOL</stp>
        <stp>.NDXP250509C19675</stp>
        <tr r="EN168" s="1"/>
      </tp>
      <tp t="s">
        <v>--</v>
        <stp/>
        <stp>IMPL_VOL</stp>
        <stp>.NDXP250509C19650</stp>
        <tr r="EN169" s="1"/>
      </tp>
      <tp t="s">
        <v>--</v>
        <stp/>
        <stp>IMPL_VOL</stp>
        <stp>.NDXP250509C19625</stp>
        <tr r="EN170" s="1"/>
      </tp>
      <tp t="s">
        <v>166.24%</v>
        <stp/>
        <stp>IMPL_VOL</stp>
        <stp>.NDXP250509C19600</stp>
        <tr r="EN171" s="1"/>
      </tp>
      <tp t="s">
        <v>N/A</v>
        <stp/>
        <stp>VOLUME</stp>
        <stp>.NDX251219P20200</stp>
        <tr r="W148" s="2"/>
      </tp>
      <tp t="s">
        <v>N/A</v>
        <stp/>
        <stp>VOLUME</stp>
        <stp>.NDX251219P19200</stp>
        <tr r="W188" s="2"/>
      </tp>
      <tp>
        <v>1</v>
        <stp/>
        <stp>VOLUME</stp>
        <stp>.NDX250919P19200</stp>
        <tr r="Q188" s="2"/>
        <tr r="Q188" s="2"/>
      </tp>
      <tp t="s">
        <v>N/A</v>
        <stp/>
        <stp>VOLUME</stp>
        <stp>.NDX250919P20200</stp>
        <tr r="Q148" s="2"/>
      </tp>
      <tp>
        <v>5</v>
        <stp/>
        <stp>VOLUME</stp>
        <stp>.NDX250718P20300</stp>
        <tr r="M144" s="2"/>
        <tr r="M144" s="2"/>
      </tp>
      <tp t="s">
        <v>N/A</v>
        <stp/>
        <stp>VOLUME</stp>
        <stp>.NDX250523P19800</stp>
        <tr r="H164" s="2"/>
      </tp>
      <tp t="s">
        <v>N/A</v>
        <stp/>
        <stp>VOLUME</stp>
        <stp>.NDX250718P19300</stp>
        <tr r="M184" s="2"/>
      </tp>
      <tp t="s">
        <v>N/A</v>
        <stp/>
        <stp>VOLUME</stp>
        <stp>.NDX251219P20225</stp>
        <tr r="W147" s="2"/>
      </tp>
      <tp t="s">
        <v>N/A</v>
        <stp/>
        <stp>VOLUME</stp>
        <stp>.NDX251219P19225</stp>
        <tr r="W187" s="2"/>
      </tp>
      <tp t="s">
        <v>N/A</v>
        <stp/>
        <stp>VOLUME</stp>
        <stp>.NDX250919P19225</stp>
        <tr r="Q187" s="2"/>
      </tp>
      <tp t="s">
        <v>N/A</v>
        <stp/>
        <stp>VOLUME</stp>
        <stp>.NDX250919P20225</stp>
        <tr r="Q147" s="2"/>
      </tp>
      <tp t="s">
        <v>N/A</v>
        <stp/>
        <stp>VOLUME</stp>
        <stp>.NDX250523P19825</stp>
        <tr r="H163" s="2"/>
      </tp>
      <tp t="s">
        <v>N/A</v>
        <stp/>
        <stp>VOLUME</stp>
        <stp>.NDX250718P20325</stp>
        <tr r="M143" s="2"/>
      </tp>
      <tp t="s">
        <v>N/A</v>
        <stp/>
        <stp>VOLUME</stp>
        <stp>.NDX250718P19325</stp>
        <tr r="M183" s="2"/>
      </tp>
      <tp t="s">
        <v>N/A</v>
        <stp/>
        <stp>VOLUME</stp>
        <stp>.NDX250919P19250</stp>
        <tr r="Q186" s="2"/>
      </tp>
      <tp t="s">
        <v>N/A</v>
        <stp/>
        <stp>VOLUME</stp>
        <stp>.NDX250919P20250</stp>
        <tr r="Q146" s="2"/>
      </tp>
      <tp t="s">
        <v>N/A</v>
        <stp/>
        <stp>VOLUME</stp>
        <stp>.NDX250718P20350</stp>
        <tr r="M142" s="2"/>
      </tp>
      <tp t="s">
        <v>N/A</v>
        <stp/>
        <stp>VOLUME</stp>
        <stp>.NDX250523P19850</stp>
        <tr r="H162" s="2"/>
      </tp>
      <tp t="s">
        <v>N/A</v>
        <stp/>
        <stp>VOLUME</stp>
        <stp>.NDX250718P19350</stp>
        <tr r="M182" s="2"/>
      </tp>
      <tp t="s">
        <v>N/A</v>
        <stp/>
        <stp>VOLUME</stp>
        <stp>.NDX251219P20250</stp>
        <tr r="W146" s="2"/>
      </tp>
      <tp t="s">
        <v>N/A</v>
        <stp/>
        <stp>VOLUME</stp>
        <stp>.NDX251219P19250</stp>
        <tr r="W186" s="2"/>
      </tp>
      <tp t="s">
        <v>N/A</v>
        <stp/>
        <stp>VOLUME</stp>
        <stp>.NDX250919P19275</stp>
        <tr r="Q185" s="2"/>
      </tp>
      <tp t="s">
        <v>N/A</v>
        <stp/>
        <stp>VOLUME</stp>
        <stp>.NDX250919P20275</stp>
        <tr r="Q145" s="2"/>
      </tp>
      <tp t="s">
        <v>N/A</v>
        <stp/>
        <stp>VOLUME</stp>
        <stp>.NDX250523P19875</stp>
        <tr r="H161" s="2"/>
      </tp>
      <tp t="s">
        <v>N/A</v>
        <stp/>
        <stp>VOLUME</stp>
        <stp>.NDX250718P20375</stp>
        <tr r="M141" s="2"/>
      </tp>
      <tp t="s">
        <v>N/A</v>
        <stp/>
        <stp>VOLUME</stp>
        <stp>.NDX250718P19375</stp>
        <tr r="M181" s="2"/>
      </tp>
      <tp t="s">
        <v>N/A</v>
        <stp/>
        <stp>VOLUME</stp>
        <stp>.NDX251219P20275</stp>
        <tr r="W145" s="2"/>
      </tp>
      <tp t="s">
        <v>N/A</v>
        <stp/>
        <stp>VOLUME</stp>
        <stp>.NDX251219P19275</stp>
        <tr r="W185" s="2"/>
      </tp>
      <tp t="s">
        <v>192.02%</v>
        <stp/>
        <stp>IMPL_VOL</stp>
        <stp>.NDXP250509P19650</stp>
        <tr r="EO169" s="1"/>
      </tp>
      <tp t="s">
        <v>182.99%</v>
        <stp/>
        <stp>IMPL_VOL</stp>
        <stp>.NDXP250509P19675</stp>
        <tr r="EO168" s="1"/>
      </tp>
      <tp t="s">
        <v>115.29%</v>
        <stp/>
        <stp>IMPL_VOL</stp>
        <stp>.NDXP250509P19600</stp>
        <tr r="EO171" s="1"/>
      </tp>
      <tp t="s">
        <v>200.99%</v>
        <stp/>
        <stp>IMPL_VOL</stp>
        <stp>.NDXP250509P19625</stp>
        <tr r="EO170" s="1"/>
      </tp>
      <tp t="s">
        <v>N/A</v>
        <stp/>
        <stp>VOLUME</stp>
        <stp>.NDX250919C19225</stp>
        <tr r="Q187" s="2"/>
      </tp>
      <tp t="s">
        <v>N/A</v>
        <stp/>
        <stp>VOLUME</stp>
        <stp>.NDX250919C20225</stp>
        <tr r="Q147" s="2"/>
      </tp>
      <tp t="s">
        <v>N/A</v>
        <stp/>
        <stp>VOLUME</stp>
        <stp>.NDX250523C19825</stp>
        <tr r="H163" s="2"/>
      </tp>
      <tp t="s">
        <v>N/A</v>
        <stp/>
        <stp>VOLUME</stp>
        <stp>.NDX250718C20325</stp>
        <tr r="M143" s="2"/>
      </tp>
      <tp t="s">
        <v>N/A</v>
        <stp/>
        <stp>VOLUME</stp>
        <stp>.NDX250718C19325</stp>
        <tr r="M183" s="2"/>
      </tp>
      <tp t="s">
        <v>N/A</v>
        <stp/>
        <stp>VOLUME</stp>
        <stp>.NDX251219C20225</stp>
        <tr r="W147" s="2"/>
      </tp>
      <tp t="s">
        <v>N/A</v>
        <stp/>
        <stp>VOLUME</stp>
        <stp>.NDX251219C19225</stp>
        <tr r="W187" s="2"/>
      </tp>
      <tp>
        <v>1</v>
        <stp/>
        <stp>VOLUME</stp>
        <stp>.NDX250919C19200</stp>
        <tr r="Q188" s="2"/>
        <tr r="Q188" s="2"/>
      </tp>
      <tp t="s">
        <v>N/A</v>
        <stp/>
        <stp>VOLUME</stp>
        <stp>.NDX250919C20200</stp>
        <tr r="Q148" s="2"/>
      </tp>
      <tp>
        <v>13</v>
        <stp/>
        <stp>VOLUME</stp>
        <stp>.NDX250718C20300</stp>
        <tr r="M144" s="2"/>
        <tr r="M144" s="2"/>
      </tp>
      <tp t="s">
        <v>N/A</v>
        <stp/>
        <stp>VOLUME</stp>
        <stp>.NDX250523C19800</stp>
        <tr r="H164" s="2"/>
      </tp>
      <tp t="s">
        <v>N/A</v>
        <stp/>
        <stp>VOLUME</stp>
        <stp>.NDX250718C19300</stp>
        <tr r="M184" s="2"/>
      </tp>
      <tp t="s">
        <v>N/A</v>
        <stp/>
        <stp>VOLUME</stp>
        <stp>.NDX251219C20200</stp>
        <tr r="W148" s="2"/>
      </tp>
      <tp t="s">
        <v>N/A</v>
        <stp/>
        <stp>VOLUME</stp>
        <stp>.NDX251219C19200</stp>
        <tr r="W188" s="2"/>
      </tp>
      <tp t="s">
        <v>N/A</v>
        <stp/>
        <stp>VOLUME</stp>
        <stp>.NDX251219C20275</stp>
        <tr r="W145" s="2"/>
      </tp>
      <tp t="s">
        <v>N/A</v>
        <stp/>
        <stp>VOLUME</stp>
        <stp>.NDX251219C19275</stp>
        <tr r="W185" s="2"/>
      </tp>
      <tp t="s">
        <v>N/A</v>
        <stp/>
        <stp>VOLUME</stp>
        <stp>.NDX250919C19275</stp>
        <tr r="Q185" s="2"/>
      </tp>
      <tp t="s">
        <v>N/A</v>
        <stp/>
        <stp>VOLUME</stp>
        <stp>.NDX250919C20275</stp>
        <tr r="Q145" s="2"/>
      </tp>
      <tp t="s">
        <v>N/A</v>
        <stp/>
        <stp>VOLUME</stp>
        <stp>.NDX250523C19875</stp>
        <tr r="H161" s="2"/>
      </tp>
      <tp t="s">
        <v>N/A</v>
        <stp/>
        <stp>VOLUME</stp>
        <stp>.NDX250718C20375</stp>
        <tr r="M141" s="2"/>
      </tp>
      <tp t="s">
        <v>N/A</v>
        <stp/>
        <stp>VOLUME</stp>
        <stp>.NDX250718C19375</stp>
        <tr r="M181" s="2"/>
      </tp>
      <tp t="s">
        <v>N/A</v>
        <stp/>
        <stp>VOLUME</stp>
        <stp>.NDX251219C20250</stp>
        <tr r="W146" s="2"/>
      </tp>
      <tp t="s">
        <v>N/A</v>
        <stp/>
        <stp>VOLUME</stp>
        <stp>.NDX251219C19250</stp>
        <tr r="W186" s="2"/>
      </tp>
      <tp t="s">
        <v>N/A</v>
        <stp/>
        <stp>VOLUME</stp>
        <stp>.NDX250919C19250</stp>
        <tr r="Q186" s="2"/>
      </tp>
      <tp t="s">
        <v>N/A</v>
        <stp/>
        <stp>VOLUME</stp>
        <stp>.NDX250919C20250</stp>
        <tr r="Q146" s="2"/>
      </tp>
      <tp t="s">
        <v>N/A</v>
        <stp/>
        <stp>VOLUME</stp>
        <stp>.NDX250718C20350</stp>
        <tr r="M142" s="2"/>
      </tp>
      <tp t="s">
        <v>N/A</v>
        <stp/>
        <stp>VOLUME</stp>
        <stp>.NDX250523C19850</stp>
        <tr r="H162" s="2"/>
      </tp>
      <tp t="s">
        <v>N/A</v>
        <stp/>
        <stp>VOLUME</stp>
        <stp>.NDX250718C19350</stp>
        <tr r="M182" s="2"/>
      </tp>
      <tp t="s">
        <v>--</v>
        <stp/>
        <stp>IMPL_VOL</stp>
        <stp>.NDXP250509C19775</stp>
        <tr r="EN164" s="1"/>
      </tp>
      <tp t="s">
        <v>--</v>
        <stp/>
        <stp>IMPL_VOL</stp>
        <stp>.NDXP250509C19750</stp>
        <tr r="EN165" s="1"/>
      </tp>
      <tp t="s">
        <v>--</v>
        <stp/>
        <stp>IMPL_VOL</stp>
        <stp>.NDXP250509C19725</stp>
        <tr r="EN166" s="1"/>
      </tp>
      <tp t="s">
        <v>--</v>
        <stp/>
        <stp>IMPL_VOL</stp>
        <stp>.NDXP250509C19700</stp>
        <tr r="EN167" s="1"/>
      </tp>
      <tp t="s">
        <v>N/A</v>
        <stp/>
        <stp>VOLUME</stp>
        <stp>.NDX251219P20300</stp>
        <tr r="W144" s="2"/>
      </tp>
      <tp t="s">
        <v>N/A</v>
        <stp/>
        <stp>VOLUME</stp>
        <stp>.NDX251219P19300</stp>
        <tr r="W184" s="2"/>
      </tp>
      <tp t="s">
        <v>N/A</v>
        <stp/>
        <stp>VOLUME</stp>
        <stp>.NDX250919P19300</stp>
        <tr r="Q184" s="2"/>
      </tp>
      <tp t="s">
        <v>N/A</v>
        <stp/>
        <stp>VOLUME</stp>
        <stp>.NDX250919P20300</stp>
        <tr r="Q144" s="2"/>
      </tp>
      <tp t="s">
        <v>N/A</v>
        <stp/>
        <stp>VOLUME</stp>
        <stp>.NDX250718P20200</stp>
        <tr r="M148" s="2"/>
      </tp>
      <tp t="s">
        <v>N/A</v>
        <stp/>
        <stp>VOLUME</stp>
        <stp>.NDX250523P19900</stp>
        <tr r="H160" s="2"/>
      </tp>
      <tp t="s">
        <v>N/A</v>
        <stp/>
        <stp>VOLUME</stp>
        <stp>.NDX250718P19200</stp>
        <tr r="M188" s="2"/>
      </tp>
      <tp t="s">
        <v>N/A</v>
        <stp/>
        <stp>VOLUME</stp>
        <stp>.NDX251219P20325</stp>
        <tr r="W143" s="2"/>
      </tp>
      <tp t="s">
        <v>N/A</v>
        <stp/>
        <stp>VOLUME</stp>
        <stp>.NDX251219P19325</stp>
        <tr r="W183" s="2"/>
      </tp>
      <tp t="s">
        <v>N/A</v>
        <stp/>
        <stp>VOLUME</stp>
        <stp>.NDX250919P19325</stp>
        <tr r="Q183" s="2"/>
      </tp>
      <tp t="s">
        <v>N/A</v>
        <stp/>
        <stp>VOLUME</stp>
        <stp>.NDX250919P20325</stp>
        <tr r="Q143" s="2"/>
      </tp>
      <tp t="s">
        <v>N/A</v>
        <stp/>
        <stp>VOLUME</stp>
        <stp>.NDX250523P19925</stp>
        <tr r="H159" s="2"/>
      </tp>
      <tp t="s">
        <v>N/A</v>
        <stp/>
        <stp>VOLUME</stp>
        <stp>.NDX250718P20225</stp>
        <tr r="M147" s="2"/>
      </tp>
      <tp t="s">
        <v>N/A</v>
        <stp/>
        <stp>VOLUME</stp>
        <stp>.NDX250718P19225</stp>
        <tr r="M187" s="2"/>
      </tp>
      <tp t="s">
        <v>N/A</v>
        <stp/>
        <stp>VOLUME</stp>
        <stp>.NDX250919P19350</stp>
        <tr r="Q182" s="2"/>
      </tp>
      <tp t="s">
        <v>N/A</v>
        <stp/>
        <stp>VOLUME</stp>
        <stp>.NDX250919P20350</stp>
        <tr r="Q142" s="2"/>
      </tp>
      <tp t="s">
        <v>N/A</v>
        <stp/>
        <stp>VOLUME</stp>
        <stp>.NDX250718P20250</stp>
        <tr r="M146" s="2"/>
      </tp>
      <tp t="s">
        <v>N/A</v>
        <stp/>
        <stp>VOLUME</stp>
        <stp>.NDX250523P19950</stp>
        <tr r="H158" s="2"/>
      </tp>
      <tp t="s">
        <v>N/A</v>
        <stp/>
        <stp>VOLUME</stp>
        <stp>.NDX250718P19250</stp>
        <tr r="M186" s="2"/>
      </tp>
      <tp t="s">
        <v>N/A</v>
        <stp/>
        <stp>VOLUME</stp>
        <stp>.NDX251219P20350</stp>
        <tr r="W142" s="2"/>
      </tp>
      <tp t="s">
        <v>N/A</v>
        <stp/>
        <stp>VOLUME</stp>
        <stp>.NDX251219P19350</stp>
        <tr r="W182" s="2"/>
      </tp>
      <tp t="s">
        <v>N/A</v>
        <stp/>
        <stp>VOLUME</stp>
        <stp>.NDX250919P19375</stp>
        <tr r="Q181" s="2"/>
      </tp>
      <tp t="s">
        <v>N/A</v>
        <stp/>
        <stp>VOLUME</stp>
        <stp>.NDX250919P20375</stp>
        <tr r="Q141" s="2"/>
      </tp>
      <tp t="s">
        <v>N/A</v>
        <stp/>
        <stp>VOLUME</stp>
        <stp>.NDX250523P19975</stp>
        <tr r="H157" s="2"/>
      </tp>
      <tp t="s">
        <v>N/A</v>
        <stp/>
        <stp>VOLUME</stp>
        <stp>.NDX250718P20275</stp>
        <tr r="M145" s="2"/>
      </tp>
      <tp t="s">
        <v>N/A</v>
        <stp/>
        <stp>VOLUME</stp>
        <stp>.NDX250718P19275</stp>
        <tr r="M185" s="2"/>
      </tp>
      <tp t="s">
        <v>N/A</v>
        <stp/>
        <stp>VOLUME</stp>
        <stp>.NDX251219P20375</stp>
        <tr r="W141" s="2"/>
      </tp>
      <tp t="s">
        <v>N/A</v>
        <stp/>
        <stp>VOLUME</stp>
        <stp>.NDX251219P19375</stp>
        <tr r="W181" s="2"/>
      </tp>
      <tp t="s">
        <v>140.23%</v>
        <stp/>
        <stp>IMPL_VOL</stp>
        <stp>.NDXP250509P19750</stp>
        <tr r="EO165" s="1"/>
      </tp>
      <tp t="s">
        <v>145.98%</v>
        <stp/>
        <stp>IMPL_VOL</stp>
        <stp>.NDXP250509P19775</stp>
        <tr r="EO164" s="1"/>
      </tp>
      <tp t="s">
        <v>129.62%</v>
        <stp/>
        <stp>IMPL_VOL</stp>
        <stp>.NDXP250509P19700</stp>
        <tr r="EO167" s="1"/>
      </tp>
      <tp t="s">
        <v>164.68%</v>
        <stp/>
        <stp>IMPL_VOL</stp>
        <stp>.NDXP250509P19725</stp>
        <tr r="EO166" s="1"/>
      </tp>
      <tp t="s">
        <v>N/A</v>
        <stp/>
        <stp>VOLUME</stp>
        <stp>.NDX250919C19325</stp>
        <tr r="Q183" s="2"/>
      </tp>
      <tp t="s">
        <v>N/A</v>
        <stp/>
        <stp>VOLUME</stp>
        <stp>.NDX250919C20325</stp>
        <tr r="Q143" s="2"/>
      </tp>
      <tp t="s">
        <v>N/A</v>
        <stp/>
        <stp>VOLUME</stp>
        <stp>.NDX250523C19925</stp>
        <tr r="H159" s="2"/>
      </tp>
      <tp t="s">
        <v>N/A</v>
        <stp/>
        <stp>VOLUME</stp>
        <stp>.NDX250718C20225</stp>
        <tr r="M147" s="2"/>
      </tp>
      <tp t="s">
        <v>N/A</v>
        <stp/>
        <stp>VOLUME</stp>
        <stp>.NDX250718C19225</stp>
        <tr r="M187" s="2"/>
      </tp>
      <tp t="s">
        <v>N/A</v>
        <stp/>
        <stp>VOLUME</stp>
        <stp>.NDX251219C20325</stp>
        <tr r="W143" s="2"/>
      </tp>
      <tp t="s">
        <v>N/A</v>
        <stp/>
        <stp>VOLUME</stp>
        <stp>.NDX251219C19325</stp>
        <tr r="W183" s="2"/>
      </tp>
      <tp t="s">
        <v>N/A</v>
        <stp/>
        <stp>VOLUME</stp>
        <stp>.NDX250919C19300</stp>
        <tr r="Q184" s="2"/>
      </tp>
      <tp t="s">
        <v>N/A</v>
        <stp/>
        <stp>VOLUME</stp>
        <stp>.NDX250919C20300</stp>
        <tr r="Q144" s="2"/>
      </tp>
      <tp>
        <v>2</v>
        <stp/>
        <stp>VOLUME</stp>
        <stp>.NDX250718C20200</stp>
        <tr r="M148" s="2"/>
        <tr r="M148" s="2"/>
      </tp>
      <tp t="s">
        <v>N/A</v>
        <stp/>
        <stp>VOLUME</stp>
        <stp>.NDX250523C19900</stp>
        <tr r="H160" s="2"/>
      </tp>
      <tp t="s">
        <v>N/A</v>
        <stp/>
        <stp>VOLUME</stp>
        <stp>.NDX250718C19200</stp>
        <tr r="M188" s="2"/>
      </tp>
      <tp t="s">
        <v>N/A</v>
        <stp/>
        <stp>VOLUME</stp>
        <stp>.NDX251219C20300</stp>
        <tr r="W144" s="2"/>
      </tp>
      <tp>
        <v>2</v>
        <stp/>
        <stp>VOLUME</stp>
        <stp>.NDX251219C19300</stp>
        <tr r="W184" s="2"/>
        <tr r="W184" s="2"/>
      </tp>
      <tp t="s">
        <v>N/A</v>
        <stp/>
        <stp>VOLUME</stp>
        <stp>.NDX251219C20375</stp>
        <tr r="W141" s="2"/>
      </tp>
      <tp t="s">
        <v>N/A</v>
        <stp/>
        <stp>VOLUME</stp>
        <stp>.NDX251219C19375</stp>
        <tr r="W181" s="2"/>
      </tp>
      <tp t="s">
        <v>N/A</v>
        <stp/>
        <stp>VOLUME</stp>
        <stp>.NDX250919C19375</stp>
        <tr r="Q181" s="2"/>
      </tp>
      <tp t="s">
        <v>N/A</v>
        <stp/>
        <stp>VOLUME</stp>
        <stp>.NDX250919C20375</stp>
        <tr r="Q141" s="2"/>
      </tp>
      <tp t="s">
        <v>N/A</v>
        <stp/>
        <stp>VOLUME</stp>
        <stp>.NDX250523C19975</stp>
        <tr r="H157" s="2"/>
      </tp>
      <tp t="s">
        <v>N/A</v>
        <stp/>
        <stp>VOLUME</stp>
        <stp>.NDX250718C20275</stp>
        <tr r="M145" s="2"/>
      </tp>
      <tp t="s">
        <v>N/A</v>
        <stp/>
        <stp>VOLUME</stp>
        <stp>.NDX250718C19275</stp>
        <tr r="M185" s="2"/>
      </tp>
      <tp t="s">
        <v>N/A</v>
        <stp/>
        <stp>VOLUME</stp>
        <stp>.NDX251219C20350</stp>
        <tr r="W142" s="2"/>
      </tp>
      <tp t="s">
        <v>N/A</v>
        <stp/>
        <stp>VOLUME</stp>
        <stp>.NDX251219C19350</stp>
        <tr r="W182" s="2"/>
      </tp>
      <tp t="s">
        <v>N/A</v>
        <stp/>
        <stp>VOLUME</stp>
        <stp>.NDX250919C19350</stp>
        <tr r="Q182" s="2"/>
      </tp>
      <tp t="s">
        <v>N/A</v>
        <stp/>
        <stp>VOLUME</stp>
        <stp>.NDX250919C20350</stp>
        <tr r="Q142" s="2"/>
      </tp>
      <tp t="s">
        <v>N/A</v>
        <stp/>
        <stp>VOLUME</stp>
        <stp>.NDX250718C20250</stp>
        <tr r="M146" s="2"/>
      </tp>
      <tp t="s">
        <v>N/A</v>
        <stp/>
        <stp>VOLUME</stp>
        <stp>.NDX250523C19950</stp>
        <tr r="H158" s="2"/>
      </tp>
      <tp t="s">
        <v>N/A</v>
        <stp/>
        <stp>VOLUME</stp>
        <stp>.NDX250718C19250</stp>
        <tr r="M186" s="2"/>
      </tp>
      <tp t="s">
        <v>--</v>
        <stp/>
        <stp>IMPL_VOL</stp>
        <stp>.NDXP250505C19875</stp>
        <tr r="EL160" s="1"/>
      </tp>
      <tp t="s">
        <v>194.68%</v>
        <stp/>
        <stp>IMPL_VOL</stp>
        <stp>.NDXP250509C19475</stp>
        <tr r="EN176" s="1"/>
      </tp>
      <tp t="s">
        <v>143.66%</v>
        <stp/>
        <stp>IMPL_VOL</stp>
        <stp>.NDXP250509C20450</stp>
        <tr r="EN137" s="1"/>
      </tp>
      <tp t="s">
        <v>--</v>
        <stp/>
        <stp>IMPL_VOL</stp>
        <stp>.NDXP250505C19850</stp>
        <tr r="EL161" s="1"/>
      </tp>
      <tp t="s">
        <v>208.01%</v>
        <stp/>
        <stp>IMPL_VOL</stp>
        <stp>.NDXP250509C19450</stp>
        <tr r="EN177" s="1"/>
      </tp>
      <tp t="s">
        <v>171.47%</v>
        <stp/>
        <stp>IMPL_VOL</stp>
        <stp>.NDXP250509C20425</stp>
        <tr r="EN138" s="1"/>
      </tp>
      <tp t="s">
        <v>--</v>
        <stp/>
        <stp>IMPL_VOL</stp>
        <stp>.NDXP250505C19825</stp>
        <tr r="EL162" s="1"/>
      </tp>
      <tp t="s">
        <v>208.90%</v>
        <stp/>
        <stp>IMPL_VOL</stp>
        <stp>.NDXP250509C19425</stp>
        <tr r="EN178" s="1"/>
      </tp>
      <tp t="s">
        <v>70.49%</v>
        <stp/>
        <stp>IMPL_VOL</stp>
        <stp>.NDXP250509C20400</stp>
        <tr r="EN139" s="1"/>
      </tp>
      <tp t="s">
        <v>--</v>
        <stp/>
        <stp>IMPL_VOL</stp>
        <stp>.NDXP250505C19800</stp>
        <tr r="EL163" s="1"/>
      </tp>
      <tp t="s">
        <v>--</v>
        <stp/>
        <stp>IMPL_VOL</stp>
        <stp>.NDXP250509C19400</stp>
        <tr r="EN179" s="1"/>
      </tp>
      <tp t="s">
        <v>N/A</v>
        <stp/>
        <stp>VOLUME</stp>
        <stp>.NDX251121P19800</stp>
        <tr r="U164" s="2"/>
      </tp>
      <tp>
        <v>2</v>
        <stp/>
        <stp>VOLUME</stp>
        <stp>.NDX251219P20000</stp>
        <tr r="W156" s="2"/>
        <tr r="W156" s="2"/>
      </tp>
      <tp>
        <v>3</v>
        <stp/>
        <stp>VOLUME</stp>
        <stp>.NDX250919P20000</stp>
        <tr r="Q156" s="2"/>
        <tr r="Q156" s="2"/>
      </tp>
      <tp t="s">
        <v>N/A</v>
        <stp/>
        <stp>VOLUME</stp>
        <stp>.NDX250718P20100</stp>
        <tr r="M152" s="2"/>
      </tp>
      <tp>
        <v>1</v>
        <stp/>
        <stp>VOLUME</stp>
        <stp>.NDX250620P19900</stp>
        <tr r="K160" s="2"/>
        <tr r="K160" s="2"/>
      </tp>
      <tp t="s">
        <v>N/A</v>
        <stp/>
        <stp>VOLUME</stp>
        <stp>.NDX251121P19825</stp>
        <tr r="U163" s="2"/>
      </tp>
      <tp t="s">
        <v>N/A</v>
        <stp/>
        <stp>VOLUME</stp>
        <stp>.NDX251219P20025</stp>
        <tr r="W155" s="2"/>
      </tp>
      <tp t="s">
        <v>N/A</v>
        <stp/>
        <stp>VOLUME</stp>
        <stp>.NDX250919P20025</stp>
        <tr r="Q155" s="2"/>
      </tp>
      <tp t="s">
        <v>N/A</v>
        <stp/>
        <stp>VOLUME</stp>
        <stp>.NDX250718P20125</stp>
        <tr r="M151" s="2"/>
      </tp>
      <tp>
        <v>4</v>
        <stp/>
        <stp>VOLUME</stp>
        <stp>.NDX250620P19925</stp>
        <tr r="K159" s="2"/>
        <tr r="K159" s="2"/>
      </tp>
      <tp t="s">
        <v>N/A</v>
        <stp/>
        <stp>VOLUME</stp>
        <stp>.NDX250919P20050</stp>
        <tr r="Q154" s="2"/>
      </tp>
      <tp t="s">
        <v>N/A</v>
        <stp/>
        <stp>VOLUME</stp>
        <stp>.NDX250718P20150</stp>
        <tr r="M150" s="2"/>
      </tp>
      <tp>
        <v>6</v>
        <stp/>
        <stp>VOLUME</stp>
        <stp>.NDX250620P19950</stp>
        <tr r="K158" s="2"/>
        <tr r="K158" s="2"/>
      </tp>
      <tp t="s">
        <v>N/A</v>
        <stp/>
        <stp>VOLUME</stp>
        <stp>.NDX250718P19150</stp>
        <tr r="M190" s="2"/>
      </tp>
      <tp t="s">
        <v>N/A</v>
        <stp/>
        <stp>VOLUME</stp>
        <stp>.NDX251121P19850</stp>
        <tr r="U162" s="2"/>
      </tp>
      <tp t="s">
        <v>N/A</v>
        <stp/>
        <stp>VOLUME</stp>
        <stp>.NDX251219P20050</stp>
        <tr r="W154" s="2"/>
      </tp>
      <tp t="s">
        <v>N/A</v>
        <stp/>
        <stp>VOLUME</stp>
        <stp>.NDX250919P20075</stp>
        <tr r="Q153" s="2"/>
      </tp>
      <tp t="s">
        <v>N/A</v>
        <stp/>
        <stp>VOLUME</stp>
        <stp>.NDX250718P20175</stp>
        <tr r="M149" s="2"/>
      </tp>
      <tp t="s">
        <v>N/A</v>
        <stp/>
        <stp>VOLUME</stp>
        <stp>.NDX250718P19175</stp>
        <tr r="M189" s="2"/>
      </tp>
      <tp>
        <v>4</v>
        <stp/>
        <stp>VOLUME</stp>
        <stp>.NDX250620P19975</stp>
        <tr r="K157" s="2"/>
        <tr r="K157" s="2"/>
      </tp>
      <tp t="s">
        <v>N/A</v>
        <stp/>
        <stp>VOLUME</stp>
        <stp>.NDX251121P19875</stp>
        <tr r="U161" s="2"/>
      </tp>
      <tp t="s">
        <v>N/A</v>
        <stp/>
        <stp>VOLUME</stp>
        <stp>.NDX251219P20075</stp>
        <tr r="W153" s="2"/>
      </tp>
      <tp t="s">
        <v>129.34%</v>
        <stp/>
        <stp>IMPL_VOL</stp>
        <stp>.NDXP250509P20450</stp>
        <tr r="EO137" s="1"/>
      </tp>
      <tp t="s">
        <v>97.79%</v>
        <stp/>
        <stp>IMPL_VOL</stp>
        <stp>.NDXP250505P19850</stp>
        <tr r="EM161" s="1"/>
      </tp>
      <tp t="s">
        <v>262.15%</v>
        <stp/>
        <stp>IMPL_VOL</stp>
        <stp>.NDXP250509P19450</stp>
        <tr r="EO177" s="1"/>
      </tp>
      <tp t="s">
        <v>61.31%</v>
        <stp/>
        <stp>IMPL_VOL</stp>
        <stp>.NDXP250505P19875</stp>
        <tr r="EM160" s="1"/>
      </tp>
      <tp t="s">
        <v>253.55%</v>
        <stp/>
        <stp>IMPL_VOL</stp>
        <stp>.NDXP250509P19475</stp>
        <tr r="EO176" s="1"/>
      </tp>
      <tp t="s">
        <v>115.41%</v>
        <stp/>
        <stp>IMPL_VOL</stp>
        <stp>.NDXP250509P20400</stp>
        <tr r="EO139" s="1"/>
      </tp>
      <tp t="s">
        <v>136.46%</v>
        <stp/>
        <stp>IMPL_VOL</stp>
        <stp>.NDXP250505P19800</stp>
        <tr r="EM163" s="1"/>
      </tp>
      <tp t="s">
        <v>279.22%</v>
        <stp/>
        <stp>IMPL_VOL</stp>
        <stp>.NDXP250509P19400</stp>
        <tr r="EO179" s="1"/>
      </tp>
      <tp t="s">
        <v>127.42%</v>
        <stp/>
        <stp>IMPL_VOL</stp>
        <stp>.NDXP250509P20425</stp>
        <tr r="EO138" s="1"/>
      </tp>
      <tp t="s">
        <v>126.80%</v>
        <stp/>
        <stp>IMPL_VOL</stp>
        <stp>.NDXP250505P19825</stp>
        <tr r="EM162" s="1"/>
      </tp>
      <tp t="s">
        <v>270.70%</v>
        <stp/>
        <stp>IMPL_VOL</stp>
        <stp>.NDXP250509P19425</stp>
        <tr r="EO178" s="1"/>
      </tp>
      <tp t="s">
        <v>N/A</v>
        <stp/>
        <stp>VOLUME</stp>
        <stp>.NDX250919C20025</stp>
        <tr r="Q155" s="2"/>
      </tp>
      <tp t="s">
        <v>N/A</v>
        <stp/>
        <stp>VOLUME</stp>
        <stp>.NDX250718C20125</stp>
        <tr r="M151" s="2"/>
      </tp>
      <tp t="s">
        <v>N/A</v>
        <stp/>
        <stp>VOLUME</stp>
        <stp>.NDX250620C19925</stp>
        <tr r="K159" s="2"/>
      </tp>
      <tp t="s">
        <v>N/A</v>
        <stp/>
        <stp>VOLUME</stp>
        <stp>.NDX251121C19825</stp>
        <tr r="U163" s="2"/>
      </tp>
      <tp t="s">
        <v>N/A</v>
        <stp/>
        <stp>VOLUME</stp>
        <stp>.NDX251219C20025</stp>
        <tr r="W155" s="2"/>
      </tp>
      <tp>
        <v>5</v>
        <stp/>
        <stp>VOLUME</stp>
        <stp>.NDX250919C20000</stp>
        <tr r="Q156" s="2"/>
        <tr r="Q156" s="2"/>
      </tp>
      <tp>
        <v>2</v>
        <stp/>
        <stp>VOLUME</stp>
        <stp>.NDX250718C20100</stp>
        <tr r="M152" s="2"/>
        <tr r="M152" s="2"/>
      </tp>
      <tp>
        <v>2</v>
        <stp/>
        <stp>VOLUME</stp>
        <stp>.NDX250620C19900</stp>
        <tr r="K160" s="2"/>
        <tr r="K160" s="2"/>
      </tp>
      <tp t="s">
        <v>N/A</v>
        <stp/>
        <stp>VOLUME</stp>
        <stp>.NDX251121C19800</stp>
        <tr r="U164" s="2"/>
      </tp>
      <tp t="s">
        <v>N/A</v>
        <stp/>
        <stp>VOLUME</stp>
        <stp>.NDX251219C20000</stp>
        <tr r="W156" s="2"/>
      </tp>
      <tp t="s">
        <v>N/A</v>
        <stp/>
        <stp>VOLUME</stp>
        <stp>.NDX251121C19875</stp>
        <tr r="U161" s="2"/>
      </tp>
      <tp t="s">
        <v>N/A</v>
        <stp/>
        <stp>VOLUME</stp>
        <stp>.NDX251219C20075</stp>
        <tr r="W153" s="2"/>
      </tp>
      <tp t="s">
        <v>N/A</v>
        <stp/>
        <stp>VOLUME</stp>
        <stp>.NDX250919C20075</stp>
        <tr r="Q153" s="2"/>
      </tp>
      <tp t="s">
        <v>N/A</v>
        <stp/>
        <stp>VOLUME</stp>
        <stp>.NDX250718C20175</stp>
        <tr r="M149" s="2"/>
      </tp>
      <tp t="s">
        <v>N/A</v>
        <stp/>
        <stp>VOLUME</stp>
        <stp>.NDX250718C19175</stp>
        <tr r="M189" s="2"/>
      </tp>
      <tp t="s">
        <v>N/A</v>
        <stp/>
        <stp>VOLUME</stp>
        <stp>.NDX250620C19975</stp>
        <tr r="K157" s="2"/>
      </tp>
      <tp t="s">
        <v>N/A</v>
        <stp/>
        <stp>VOLUME</stp>
        <stp>.NDX251121C19850</stp>
        <tr r="U162" s="2"/>
      </tp>
      <tp t="s">
        <v>N/A</v>
        <stp/>
        <stp>VOLUME</stp>
        <stp>.NDX251219C20050</stp>
        <tr r="W154" s="2"/>
      </tp>
      <tp t="s">
        <v>N/A</v>
        <stp/>
        <stp>VOLUME</stp>
        <stp>.NDX250919C20050</stp>
        <tr r="Q154" s="2"/>
      </tp>
      <tp t="s">
        <v>N/A</v>
        <stp/>
        <stp>VOLUME</stp>
        <stp>.NDX250718C20150</stp>
        <tr r="M150" s="2"/>
      </tp>
      <tp>
        <v>4</v>
        <stp/>
        <stp>VOLUME</stp>
        <stp>.NDX250620C19950</stp>
        <tr r="K158" s="2"/>
        <tr r="K158" s="2"/>
      </tp>
      <tp t="s">
        <v>N/A</v>
        <stp/>
        <stp>VOLUME</stp>
        <stp>.NDX250718C19150</stp>
        <tr r="M190" s="2"/>
      </tp>
      <tp t="s">
        <v>--</v>
        <stp/>
        <stp>IMPL_VOL</stp>
        <stp>.NDXP250505C19975</stp>
        <tr r="EL156" s="1"/>
      </tp>
      <tp t="s">
        <v>--</v>
        <stp/>
        <stp>IMPL_VOL</stp>
        <stp>.NDXP250509C19575</stp>
        <tr r="EN172" s="1"/>
      </tp>
      <tp t="s">
        <v>--</v>
        <stp/>
        <stp>IMPL_VOL</stp>
        <stp>.NDXP250505C19950</stp>
        <tr r="EL157" s="1"/>
      </tp>
      <tp t="s">
        <v>181.25%</v>
        <stp/>
        <stp>IMPL_VOL</stp>
        <stp>.NDXP250509C19550</stp>
        <tr r="EN173" s="1"/>
      </tp>
      <tp t="s">
        <v>--</v>
        <stp/>
        <stp>IMPL_VOL</stp>
        <stp>.NDXP250505C19925</stp>
        <tr r="EL158" s="1"/>
      </tp>
      <tp t="s">
        <v>--</v>
        <stp/>
        <stp>IMPL_VOL</stp>
        <stp>.NDXP250509C19525</stp>
        <tr r="EN174" s="1"/>
      </tp>
      <tp t="s">
        <v>--</v>
        <stp/>
        <stp>IMPL_VOL</stp>
        <stp>.NDXP250505C19900</stp>
        <tr r="EL159" s="1"/>
      </tp>
      <tp t="s">
        <v>193.41%</v>
        <stp/>
        <stp>IMPL_VOL</stp>
        <stp>.NDXP250509C19500</stp>
        <tr r="EN175" s="1"/>
      </tp>
      <tp t="s">
        <v>N/A</v>
        <stp/>
        <stp>VOLUME</stp>
        <stp>.NDX251121P19900</stp>
        <tr r="U160" s="2"/>
      </tp>
      <tp>
        <v>8</v>
        <stp/>
        <stp>VOLUME</stp>
        <stp>.NDX251219P20100</stp>
        <tr r="W152" s="2"/>
        <tr r="W152" s="2"/>
      </tp>
      <tp>
        <v>1</v>
        <stp/>
        <stp>VOLUME</stp>
        <stp>.NDX250919P20100</stp>
        <tr r="Q152" s="2"/>
        <tr r="Q152" s="2"/>
      </tp>
      <tp>
        <v>2</v>
        <stp/>
        <stp>VOLUME</stp>
        <stp>.NDX250718P20000</stp>
        <tr r="M156" s="2"/>
        <tr r="M156" s="2"/>
      </tp>
      <tp>
        <v>1</v>
        <stp/>
        <stp>VOLUME</stp>
        <stp>.NDX250620P19800</stp>
        <tr r="K164" s="2"/>
        <tr r="K164" s="2"/>
      </tp>
      <tp t="s">
        <v>N/A</v>
        <stp/>
        <stp>VOLUME</stp>
        <stp>.NDX251121P19925</stp>
        <tr r="U159" s="2"/>
      </tp>
      <tp t="s">
        <v>N/A</v>
        <stp/>
        <stp>VOLUME</stp>
        <stp>.NDX251219P20125</stp>
        <tr r="W151" s="2"/>
      </tp>
      <tp t="s">
        <v>N/A</v>
        <stp/>
        <stp>VOLUME</stp>
        <stp>.NDX250919P20125</stp>
        <tr r="Q151" s="2"/>
      </tp>
      <tp t="s">
        <v>N/A</v>
        <stp/>
        <stp>VOLUME</stp>
        <stp>.NDX250718P20025</stp>
        <tr r="M155" s="2"/>
      </tp>
      <tp>
        <v>1</v>
        <stp/>
        <stp>VOLUME</stp>
        <stp>.NDX250620P19825</stp>
        <tr r="K163" s="2"/>
        <tr r="K163" s="2"/>
      </tp>
      <tp t="s">
        <v>N/A</v>
        <stp/>
        <stp>VOLUME</stp>
        <stp>.NDX250919P19150</stp>
        <tr r="Q190" s="2"/>
      </tp>
      <tp t="s">
        <v>N/A</v>
        <stp/>
        <stp>VOLUME</stp>
        <stp>.NDX250919P20150</stp>
        <tr r="Q150" s="2"/>
      </tp>
      <tp t="s">
        <v>N/A</v>
        <stp/>
        <stp>VOLUME</stp>
        <stp>.NDX250718P20050</stp>
        <tr r="M154" s="2"/>
      </tp>
      <tp>
        <v>2</v>
        <stp/>
        <stp>VOLUME</stp>
        <stp>.NDX250620P19850</stp>
        <tr r="K162" s="2"/>
        <tr r="K162" s="2"/>
      </tp>
      <tp t="s">
        <v>N/A</v>
        <stp/>
        <stp>VOLUME</stp>
        <stp>.NDX251121P19950</stp>
        <tr r="U158" s="2"/>
      </tp>
      <tp t="s">
        <v>N/A</v>
        <stp/>
        <stp>VOLUME</stp>
        <stp>.NDX251219P20150</stp>
        <tr r="W150" s="2"/>
      </tp>
      <tp t="s">
        <v>N/A</v>
        <stp/>
        <stp>VOLUME</stp>
        <stp>.NDX251219P19150</stp>
        <tr r="W190" s="2"/>
      </tp>
      <tp t="s">
        <v>N/A</v>
        <stp/>
        <stp>VOLUME</stp>
        <stp>.NDX250919P19175</stp>
        <tr r="Q189" s="2"/>
      </tp>
      <tp t="s">
        <v>N/A</v>
        <stp/>
        <stp>VOLUME</stp>
        <stp>.NDX250919P20175</stp>
        <tr r="Q149" s="2"/>
      </tp>
      <tp t="s">
        <v>N/A</v>
        <stp/>
        <stp>VOLUME</stp>
        <stp>.NDX250718P20075</stp>
        <tr r="M153" s="2"/>
      </tp>
      <tp t="s">
        <v>N/A</v>
        <stp/>
        <stp>VOLUME</stp>
        <stp>.NDX250620P19875</stp>
        <tr r="K161" s="2"/>
      </tp>
      <tp t="s">
        <v>N/A</v>
        <stp/>
        <stp>VOLUME</stp>
        <stp>.NDX251121P19975</stp>
        <tr r="U157" s="2"/>
      </tp>
      <tp t="s">
        <v>N/A</v>
        <stp/>
        <stp>VOLUME</stp>
        <stp>.NDX251219P20175</stp>
        <tr r="W149" s="2"/>
      </tp>
      <tp t="s">
        <v>N/A</v>
        <stp/>
        <stp>VOLUME</stp>
        <stp>.NDX251219P19175</stp>
        <tr r="W189" s="2"/>
      </tp>
      <tp t="s">
        <v>38.07%</v>
        <stp/>
        <stp>IMPL_VOL</stp>
        <stp>.NDXP250505P19950</stp>
        <tr r="EM157" s="1"/>
      </tp>
      <tp t="s">
        <v>196.36%</v>
        <stp/>
        <stp>IMPL_VOL</stp>
        <stp>.NDXP250509P19550</stp>
        <tr r="EO173" s="1"/>
      </tp>
      <tp t="s">
        <v>59.48%</v>
        <stp/>
        <stp>IMPL_VOL</stp>
        <stp>.NDXP250505P19975</stp>
        <tr r="EM156" s="1"/>
      </tp>
      <tp t="s">
        <v>218.72%</v>
        <stp/>
        <stp>IMPL_VOL</stp>
        <stp>.NDXP250509P19575</stp>
        <tr r="EO172" s="1"/>
      </tp>
      <tp t="s">
        <v>36.30%</v>
        <stp/>
        <stp>IMPL_VOL</stp>
        <stp>.NDXP250505P19900</stp>
        <tr r="EM159" s="1"/>
      </tp>
      <tp t="s">
        <v>163.57%</v>
        <stp/>
        <stp>IMPL_VOL</stp>
        <stp>.NDXP250509P19500</stp>
        <tr r="EO175" s="1"/>
      </tp>
      <tp t="s">
        <v>31.12%</v>
        <stp/>
        <stp>IMPL_VOL</stp>
        <stp>.NDXP250505P19925</stp>
        <tr r="EM158" s="1"/>
      </tp>
      <tp t="s">
        <v>157.68%</v>
        <stp/>
        <stp>IMPL_VOL</stp>
        <stp>.NDXP250509P19525</stp>
        <tr r="EO174" s="1"/>
      </tp>
      <tp t="s">
        <v>N/A</v>
        <stp/>
        <stp>VOLUME</stp>
        <stp>.NDX250919C20125</stp>
        <tr r="Q151" s="2"/>
      </tp>
      <tp t="s">
        <v>N/A</v>
        <stp/>
        <stp>VOLUME</stp>
        <stp>.NDX250718C20025</stp>
        <tr r="M155" s="2"/>
      </tp>
      <tp t="s">
        <v>N/A</v>
        <stp/>
        <stp>VOLUME</stp>
        <stp>.NDX250620C19825</stp>
        <tr r="K163" s="2"/>
      </tp>
      <tp t="s">
        <v>N/A</v>
        <stp/>
        <stp>VOLUME</stp>
        <stp>.NDX251121C19925</stp>
        <tr r="U159" s="2"/>
      </tp>
      <tp t="s">
        <v>N/A</v>
        <stp/>
        <stp>VOLUME</stp>
        <stp>.NDX251219C20125</stp>
        <tr r="W151" s="2"/>
      </tp>
      <tp t="s">
        <v>N/A</v>
        <stp/>
        <stp>VOLUME</stp>
        <stp>.NDX250919C20100</stp>
        <tr r="Q152" s="2"/>
      </tp>
      <tp t="s">
        <v>N/A</v>
        <stp/>
        <stp>VOLUME</stp>
        <stp>.NDX250718C20000</stp>
        <tr r="M156" s="2"/>
      </tp>
      <tp t="s">
        <v>N/A</v>
        <stp/>
        <stp>VOLUME</stp>
        <stp>.NDX250620C19800</stp>
        <tr r="K164" s="2"/>
      </tp>
      <tp t="s">
        <v>N/A</v>
        <stp/>
        <stp>VOLUME</stp>
        <stp>.NDX251121C19900</stp>
        <tr r="U160" s="2"/>
      </tp>
      <tp t="s">
        <v>N/A</v>
        <stp/>
        <stp>VOLUME</stp>
        <stp>.NDX251219C20100</stp>
        <tr r="W152" s="2"/>
      </tp>
      <tp t="s">
        <v>N/A</v>
        <stp/>
        <stp>VOLUME</stp>
        <stp>.NDX251121C19975</stp>
        <tr r="U157" s="2"/>
      </tp>
      <tp t="s">
        <v>N/A</v>
        <stp/>
        <stp>VOLUME</stp>
        <stp>.NDX251219C20175</stp>
        <tr r="W149" s="2"/>
      </tp>
      <tp t="s">
        <v>N/A</v>
        <stp/>
        <stp>VOLUME</stp>
        <stp>.NDX251219C19175</stp>
        <tr r="W189" s="2"/>
      </tp>
      <tp t="s">
        <v>N/A</v>
        <stp/>
        <stp>VOLUME</stp>
        <stp>.NDX250919C19175</stp>
        <tr r="Q189" s="2"/>
      </tp>
      <tp t="s">
        <v>N/A</v>
        <stp/>
        <stp>VOLUME</stp>
        <stp>.NDX250919C20175</stp>
        <tr r="Q149" s="2"/>
      </tp>
      <tp t="s">
        <v>N/A</v>
        <stp/>
        <stp>VOLUME</stp>
        <stp>.NDX250718C20075</stp>
        <tr r="M153" s="2"/>
      </tp>
      <tp t="s">
        <v>N/A</v>
        <stp/>
        <stp>VOLUME</stp>
        <stp>.NDX250620C19875</stp>
        <tr r="K161" s="2"/>
      </tp>
      <tp t="s">
        <v>N/A</v>
        <stp/>
        <stp>VOLUME</stp>
        <stp>.NDX251121C19950</stp>
        <tr r="U158" s="2"/>
      </tp>
      <tp t="s">
        <v>N/A</v>
        <stp/>
        <stp>VOLUME</stp>
        <stp>.NDX251219C20150</stp>
        <tr r="W150" s="2"/>
      </tp>
      <tp t="s">
        <v>N/A</v>
        <stp/>
        <stp>VOLUME</stp>
        <stp>.NDX251219C19150</stp>
        <tr r="W190" s="2"/>
      </tp>
      <tp t="s">
        <v>N/A</v>
        <stp/>
        <stp>VOLUME</stp>
        <stp>.NDX250919C19150</stp>
        <tr r="Q190" s="2"/>
      </tp>
      <tp t="s">
        <v>N/A</v>
        <stp/>
        <stp>VOLUME</stp>
        <stp>.NDX250919C20150</stp>
        <tr r="Q150" s="2"/>
      </tp>
      <tp t="s">
        <v>N/A</v>
        <stp/>
        <stp>VOLUME</stp>
        <stp>.NDX250718C20050</stp>
        <tr r="M154" s="2"/>
      </tp>
      <tp t="s">
        <v>N/A</v>
        <stp/>
        <stp>VOLUME</stp>
        <stp>.NDX250620C19850</stp>
        <tr r="K162" s="2"/>
      </tp>
      <tp t="s">
        <v>58.63%</v>
        <stp/>
        <stp>IMPL_VOL</stp>
        <stp>.NDXP250509C20275</stp>
        <tr r="EN144" s="1"/>
      </tp>
      <tp t="s">
        <v>--</v>
        <stp/>
        <stp>IMPL_VOL</stp>
        <stp>.NDXP250509C19275</stp>
        <tr r="EN184" s="1"/>
      </tp>
      <tp t="s">
        <v>53.84%</v>
        <stp/>
        <stp>IMPL_VOL</stp>
        <stp>.NDXP250509C20250</stp>
        <tr r="EN145" s="1"/>
      </tp>
      <tp t="s">
        <v>--</v>
        <stp/>
        <stp>IMPL_VOL</stp>
        <stp>.NDXP250509C19250</stp>
        <tr r="EN185" s="1"/>
      </tp>
      <tp t="s">
        <v>73.65%</v>
        <stp/>
        <stp>IMPL_VOL</stp>
        <stp>.NDXP250509C20225</stp>
        <tr r="EN146" s="1"/>
      </tp>
      <tp t="s">
        <v>--</v>
        <stp/>
        <stp>IMPL_VOL</stp>
        <stp>.NDXP250509C19225</stp>
        <tr r="EN186" s="1"/>
      </tp>
      <tp t="s">
        <v>31.32%</v>
        <stp/>
        <stp>IMPL_VOL</stp>
        <stp>.NDXP250509C20200</stp>
        <tr r="EN147" s="1"/>
      </tp>
      <tp t="s">
        <v>--</v>
        <stp/>
        <stp>IMPL_VOL</stp>
        <stp>.NDXP250509C19200</stp>
        <tr r="EN187" s="1"/>
      </tp>
      <tp t="s">
        <v>N/A</v>
        <stp/>
        <stp>VOLUME</stp>
        <stp>.NDX251017P19800</stp>
        <tr r="S164" s="2"/>
      </tp>
      <tp t="s">
        <v>N/A</v>
        <stp/>
        <stp>VOLUME</stp>
        <stp>.NDX251219P19600</stp>
        <tr r="W172" s="2"/>
      </tp>
      <tp t="s">
        <v>N/A</v>
        <stp/>
        <stp>VOLUME</stp>
        <stp>.NDX250919P19600</stp>
        <tr r="Q172" s="2"/>
      </tp>
      <tp>
        <v>12</v>
        <stp/>
        <stp>VOLUME</stp>
        <stp>.NDX250516P19900</stp>
        <tr r="BF159" s="1"/>
        <tr r="BF159" s="1"/>
      </tp>
      <tp t="s">
        <v>N/A</v>
        <stp/>
        <stp>VOLUME</stp>
        <stp>.NDX250718P19700</stp>
        <tr r="M168" s="2"/>
      </tp>
      <tp t="s">
        <v>N/A</v>
        <stp/>
        <stp>VOLUME</stp>
        <stp>.NDX251017P19825</stp>
        <tr r="S163" s="2"/>
      </tp>
      <tp t="s">
        <v>N/A</v>
        <stp/>
        <stp>VOLUME</stp>
        <stp>.NDX251219P19625</stp>
        <tr r="W171" s="2"/>
      </tp>
      <tp t="s">
        <v>N/A</v>
        <stp/>
        <stp>VOLUME</stp>
        <stp>.NDX250919P19625</stp>
        <tr r="Q171" s="2"/>
      </tp>
      <tp>
        <v>6</v>
        <stp/>
        <stp>VOLUME</stp>
        <stp>.NDX250516P19925</stp>
        <tr r="BF158" s="1"/>
        <tr r="BF158" s="1"/>
      </tp>
      <tp t="s">
        <v>N/A</v>
        <stp/>
        <stp>VOLUME</stp>
        <stp>.NDX250718P19725</stp>
        <tr r="M167" s="2"/>
      </tp>
      <tp t="s">
        <v>N/A</v>
        <stp/>
        <stp>VOLUME</stp>
        <stp>.NDX250919P19650</stp>
        <tr r="Q170" s="2"/>
      </tp>
      <tp>
        <v>6</v>
        <stp/>
        <stp>VOLUME</stp>
        <stp>.NDX250516P19950</stp>
        <tr r="BF157" s="1"/>
        <tr r="BF157" s="1"/>
      </tp>
      <tp t="s">
        <v>N/A</v>
        <stp/>
        <stp>VOLUME</stp>
        <stp>.NDX250718P19750</stp>
        <tr r="M166" s="2"/>
      </tp>
      <tp t="s">
        <v>N/A</v>
        <stp/>
        <stp>VOLUME</stp>
        <stp>.NDX251017P19850</stp>
        <tr r="S162" s="2"/>
      </tp>
      <tp t="s">
        <v>N/A</v>
        <stp/>
        <stp>VOLUME</stp>
        <stp>.NDX251219P19650</stp>
        <tr r="W170" s="2"/>
      </tp>
      <tp t="s">
        <v>N/A</v>
        <stp/>
        <stp>VOLUME</stp>
        <stp>.NDX250919P19675</stp>
        <tr r="Q169" s="2"/>
      </tp>
      <tp>
        <v>4</v>
        <stp/>
        <stp>VOLUME</stp>
        <stp>.NDX250516P19975</stp>
        <tr r="BF156" s="1"/>
        <tr r="BF156" s="1"/>
      </tp>
      <tp t="s">
        <v>N/A</v>
        <stp/>
        <stp>VOLUME</stp>
        <stp>.NDX250718P19775</stp>
        <tr r="M165" s="2"/>
      </tp>
      <tp t="s">
        <v>N/A</v>
        <stp/>
        <stp>VOLUME</stp>
        <stp>.NDX251017P19875</stp>
        <tr r="S161" s="2"/>
      </tp>
      <tp t="s">
        <v>N/A</v>
        <stp/>
        <stp>VOLUME</stp>
        <stp>.NDX251219P19675</stp>
        <tr r="W169" s="2"/>
      </tp>
      <tp t="s">
        <v>85.33%</v>
        <stp/>
        <stp>IMPL_VOL</stp>
        <stp>.NDXP250509P20250</stp>
        <tr r="EO145" s="1"/>
      </tp>
      <tp t="s">
        <v>163.06%</v>
        <stp/>
        <stp>IMPL_VOL</stp>
        <stp>.NDXP250509P19250</stp>
        <tr r="EO185" s="1"/>
      </tp>
      <tp t="s">
        <v>96.29%</v>
        <stp/>
        <stp>IMPL_VOL</stp>
        <stp>.NDXP250509P20275</stp>
        <tr r="EO144" s="1"/>
      </tp>
      <tp t="s">
        <v>158.29%</v>
        <stp/>
        <stp>IMPL_VOL</stp>
        <stp>.NDXP250509P19275</stp>
        <tr r="EO184" s="1"/>
      </tp>
      <tp t="s">
        <v>67.70%</v>
        <stp/>
        <stp>IMPL_VOL</stp>
        <stp>.NDXP250509P20200</stp>
        <tr r="EO147" s="1"/>
      </tp>
      <tp t="s">
        <v>346.33%</v>
        <stp/>
        <stp>IMPL_VOL</stp>
        <stp>.NDXP250509P19200</stp>
        <tr r="EO187" s="1"/>
      </tp>
      <tp t="s">
        <v>76.63%</v>
        <stp/>
        <stp>IMPL_VOL</stp>
        <stp>.NDXP250509P20225</stp>
        <tr r="EO146" s="1"/>
      </tp>
      <tp t="s">
        <v>338.03%</v>
        <stp/>
        <stp>IMPL_VOL</stp>
        <stp>.NDXP250509P19225</stp>
        <tr r="EO186" s="1"/>
      </tp>
      <tp t="s">
        <v>N/A</v>
        <stp/>
        <stp>VOLUME</stp>
        <stp>.NDX250919C19625</stp>
        <tr r="Q171" s="2"/>
      </tp>
      <tp>
        <v>3</v>
        <stp/>
        <stp>VOLUME</stp>
        <stp>.NDX250516C19925</stp>
        <tr r="BE158" s="1"/>
        <tr r="BE158" s="1"/>
      </tp>
      <tp t="s">
        <v>N/A</v>
        <stp/>
        <stp>VOLUME</stp>
        <stp>.NDX250718C19725</stp>
        <tr r="M167" s="2"/>
      </tp>
      <tp t="s">
        <v>N/A</v>
        <stp/>
        <stp>VOLUME</stp>
        <stp>.NDX251017C19825</stp>
        <tr r="S163" s="2"/>
      </tp>
      <tp t="s">
        <v>N/A</v>
        <stp/>
        <stp>VOLUME</stp>
        <stp>.NDX251219C19625</stp>
        <tr r="W171" s="2"/>
      </tp>
      <tp t="s">
        <v>N/A</v>
        <stp/>
        <stp>VOLUME</stp>
        <stp>.NDX250919C19600</stp>
        <tr r="Q172" s="2"/>
      </tp>
      <tp>
        <v>4</v>
        <stp/>
        <stp>VOLUME</stp>
        <stp>.NDX250516C19900</stp>
        <tr r="BE159" s="1"/>
        <tr r="BE159" s="1"/>
      </tp>
      <tp t="s">
        <v>N/A</v>
        <stp/>
        <stp>VOLUME</stp>
        <stp>.NDX250718C19700</stp>
        <tr r="M168" s="2"/>
      </tp>
      <tp t="s">
        <v>N/A</v>
        <stp/>
        <stp>VOLUME</stp>
        <stp>.NDX251017C19800</stp>
        <tr r="S164" s="2"/>
      </tp>
      <tp t="s">
        <v>N/A</v>
        <stp/>
        <stp>VOLUME</stp>
        <stp>.NDX251219C19600</stp>
        <tr r="W172" s="2"/>
      </tp>
      <tp t="s">
        <v>N/A</v>
        <stp/>
        <stp>VOLUME</stp>
        <stp>.NDX251017C19875</stp>
        <tr r="S161" s="2"/>
      </tp>
      <tp t="s">
        <v>N/A</v>
        <stp/>
        <stp>VOLUME</stp>
        <stp>.NDX251219C19675</stp>
        <tr r="W169" s="2"/>
      </tp>
      <tp t="s">
        <v>N/A</v>
        <stp/>
        <stp>VOLUME</stp>
        <stp>.NDX250919C19675</stp>
        <tr r="Q169" s="2"/>
      </tp>
      <tp t="s">
        <v>N/A</v>
        <stp/>
        <stp>VOLUME</stp>
        <stp>.NDX250516C19975</stp>
        <tr r="BE156" s="1"/>
      </tp>
      <tp t="s">
        <v>N/A</v>
        <stp/>
        <stp>VOLUME</stp>
        <stp>.NDX250718C19775</stp>
        <tr r="M165" s="2"/>
      </tp>
      <tp t="s">
        <v>N/A</v>
        <stp/>
        <stp>VOLUME</stp>
        <stp>.NDX251017C19850</stp>
        <tr r="S162" s="2"/>
      </tp>
      <tp t="s">
        <v>N/A</v>
        <stp/>
        <stp>VOLUME</stp>
        <stp>.NDX251219C19650</stp>
        <tr r="W170" s="2"/>
      </tp>
      <tp t="s">
        <v>N/A</v>
        <stp/>
        <stp>VOLUME</stp>
        <stp>.NDX250919C19650</stp>
        <tr r="Q170" s="2"/>
      </tp>
      <tp t="s">
        <v>N/A</v>
        <stp/>
        <stp>VOLUME</stp>
        <stp>.NDX250516C19950</stp>
        <tr r="BE157" s="1"/>
      </tp>
      <tp t="s">
        <v>N/A</v>
        <stp/>
        <stp>VOLUME</stp>
        <stp>.NDX250718C19750</stp>
        <tr r="M166" s="2"/>
      </tp>
      <tp t="s">
        <v>94.29%</v>
        <stp/>
        <stp>IMPL_VOL</stp>
        <stp>.NDXP250509C20375</stp>
        <tr r="EN140" s="1"/>
      </tp>
      <tp t="s">
        <v>--</v>
        <stp/>
        <stp>IMPL_VOL</stp>
        <stp>.NDXP250509C19375</stp>
        <tr r="EN180" s="1"/>
      </tp>
      <tp t="s">
        <v>82.56%</v>
        <stp/>
        <stp>IMPL_VOL</stp>
        <stp>.NDXP250509C20350</stp>
        <tr r="EN141" s="1"/>
      </tp>
      <tp t="s">
        <v>--</v>
        <stp/>
        <stp>IMPL_VOL</stp>
        <stp>.NDXP250509C19350</stp>
        <tr r="EN181" s="1"/>
      </tp>
      <tp t="s">
        <v>131.06%</v>
        <stp/>
        <stp>IMPL_VOL</stp>
        <stp>.NDXP250509C20325</stp>
        <tr r="EN142" s="1"/>
      </tp>
      <tp t="s">
        <v>--</v>
        <stp/>
        <stp>IMPL_VOL</stp>
        <stp>.NDXP250509C19325</stp>
        <tr r="EN182" s="1"/>
      </tp>
      <tp t="s">
        <v>51.31%</v>
        <stp/>
        <stp>IMPL_VOL</stp>
        <stp>.NDXP250509C20300</stp>
        <tr r="EN143" s="1"/>
      </tp>
      <tp t="s">
        <v>--</v>
        <stp/>
        <stp>IMPL_VOL</stp>
        <stp>.NDXP250509C19300</stp>
        <tr r="EN183" s="1"/>
      </tp>
      <tp t="s">
        <v>N/A</v>
        <stp/>
        <stp>VOLUME</stp>
        <stp>.NDX251017P19900</stp>
        <tr r="S160" s="2"/>
      </tp>
      <tp t="s">
        <v>N/A</v>
        <stp/>
        <stp>VOLUME</stp>
        <stp>.NDX251219P19700</stp>
        <tr r="W168" s="2"/>
      </tp>
      <tp t="s">
        <v>N/A</v>
        <stp/>
        <stp>VOLUME</stp>
        <stp>.NDX250919P19700</stp>
        <tr r="Q168" s="2"/>
      </tp>
      <tp>
        <v>23</v>
        <stp/>
        <stp>VOLUME</stp>
        <stp>.NDX250516P19800</stp>
        <tr r="BF163" s="1"/>
        <tr r="BF163" s="1"/>
      </tp>
      <tp>
        <v>1</v>
        <stp/>
        <stp>VOLUME</stp>
        <stp>.NDX250718P19600</stp>
        <tr r="M172" s="2"/>
        <tr r="M172" s="2"/>
      </tp>
      <tp t="s">
        <v>N/A</v>
        <stp/>
        <stp>VOLUME</stp>
        <stp>.NDX251017P19925</stp>
        <tr r="S159" s="2"/>
      </tp>
      <tp t="s">
        <v>N/A</v>
        <stp/>
        <stp>VOLUME</stp>
        <stp>.NDX251219P19725</stp>
        <tr r="W167" s="2"/>
      </tp>
      <tp t="s">
        <v>N/A</v>
        <stp/>
        <stp>VOLUME</stp>
        <stp>.NDX250919P19725</stp>
        <tr r="Q167" s="2"/>
      </tp>
      <tp>
        <v>4</v>
        <stp/>
        <stp>VOLUME</stp>
        <stp>.NDX250516P19825</stp>
        <tr r="BF162" s="1"/>
        <tr r="BF162" s="1"/>
      </tp>
      <tp t="s">
        <v>N/A</v>
        <stp/>
        <stp>VOLUME</stp>
        <stp>.NDX250718P19625</stp>
        <tr r="M171" s="2"/>
      </tp>
      <tp t="s">
        <v>N/A</v>
        <stp/>
        <stp>VOLUME</stp>
        <stp>.NDX250919P19750</stp>
        <tr r="Q166" s="2"/>
      </tp>
      <tp>
        <v>3</v>
        <stp/>
        <stp>VOLUME</stp>
        <stp>.NDX250516P19850</stp>
        <tr r="BF161" s="1"/>
        <tr r="BF161" s="1"/>
      </tp>
      <tp t="s">
        <v>N/A</v>
        <stp/>
        <stp>VOLUME</stp>
        <stp>.NDX250718P19650</stp>
        <tr r="M170" s="2"/>
      </tp>
      <tp t="s">
        <v>N/A</v>
        <stp/>
        <stp>VOLUME</stp>
        <stp>.NDX251017P19950</stp>
        <tr r="S158" s="2"/>
      </tp>
      <tp t="s">
        <v>N/A</v>
        <stp/>
        <stp>VOLUME</stp>
        <stp>.NDX251219P19750</stp>
        <tr r="W166" s="2"/>
      </tp>
      <tp t="s">
        <v>N/A</v>
        <stp/>
        <stp>VOLUME</stp>
        <stp>.NDX250919P19775</stp>
        <tr r="Q165" s="2"/>
      </tp>
      <tp>
        <v>8</v>
        <stp/>
        <stp>VOLUME</stp>
        <stp>.NDX250516P19875</stp>
        <tr r="BF160" s="1"/>
        <tr r="BF160" s="1"/>
      </tp>
      <tp>
        <v>2</v>
        <stp/>
        <stp>VOLUME</stp>
        <stp>.NDX250718P19675</stp>
        <tr r="M169" s="2"/>
        <tr r="M169" s="2"/>
      </tp>
      <tp t="s">
        <v>N/A</v>
        <stp/>
        <stp>VOLUME</stp>
        <stp>.NDX251017P19975</stp>
        <tr r="S157" s="2"/>
      </tp>
      <tp t="s">
        <v>N/A</v>
        <stp/>
        <stp>VOLUME</stp>
        <stp>.NDX251219P19775</stp>
        <tr r="W165" s="2"/>
      </tp>
      <tp t="s">
        <v>101.18%</v>
        <stp/>
        <stp>IMPL_VOL</stp>
        <stp>.NDXP250509P20350</stp>
        <tr r="EO141" s="1"/>
      </tp>
      <tp t="s">
        <v>163.96%</v>
        <stp/>
        <stp>IMPL_VOL</stp>
        <stp>.NDXP250509P19350</stp>
        <tr r="EO181" s="1"/>
      </tp>
      <tp t="s">
        <v>112.93%</v>
        <stp/>
        <stp>IMPL_VOL</stp>
        <stp>.NDXP250509P20375</stp>
        <tr r="EO140" s="1"/>
      </tp>
      <tp t="s">
        <v>287.71%</v>
        <stp/>
        <stp>IMPL_VOL</stp>
        <stp>.NDXP250509P19375</stp>
        <tr r="EO180" s="1"/>
      </tp>
      <tp t="s">
        <v>89.01%</v>
        <stp/>
        <stp>IMPL_VOL</stp>
        <stp>.NDXP250509P20300</stp>
        <tr r="EO143" s="1"/>
      </tp>
      <tp t="s">
        <v>153.51%</v>
        <stp/>
        <stp>IMPL_VOL</stp>
        <stp>.NDXP250509P19300</stp>
        <tr r="EO183" s="1"/>
      </tp>
      <tp t="s">
        <v>99.97%</v>
        <stp/>
        <stp>IMPL_VOL</stp>
        <stp>.NDXP250509P20325</stp>
        <tr r="EO142" s="1"/>
      </tp>
      <tp t="s">
        <v>304.59%</v>
        <stp/>
        <stp>IMPL_VOL</stp>
        <stp>.NDXP250509P19325</stp>
        <tr r="EO182" s="1"/>
      </tp>
      <tp t="s">
        <v>N/A</v>
        <stp/>
        <stp>VOLUME</stp>
        <stp>.NDX250919C19725</stp>
        <tr r="Q167" s="2"/>
      </tp>
      <tp t="s">
        <v>N/A</v>
        <stp/>
        <stp>VOLUME</stp>
        <stp>.NDX250516C19825</stp>
        <tr r="BE162" s="1"/>
      </tp>
      <tp t="s">
        <v>N/A</v>
        <stp/>
        <stp>VOLUME</stp>
        <stp>.NDX250718C19625</stp>
        <tr r="M171" s="2"/>
      </tp>
      <tp t="s">
        <v>N/A</v>
        <stp/>
        <stp>VOLUME</stp>
        <stp>.NDX251017C19925</stp>
        <tr r="S159" s="2"/>
      </tp>
      <tp t="s">
        <v>N/A</v>
        <stp/>
        <stp>VOLUME</stp>
        <stp>.NDX251219C19725</stp>
        <tr r="W167" s="2"/>
      </tp>
      <tp t="s">
        <v>N/A</v>
        <stp/>
        <stp>VOLUME</stp>
        <stp>.NDX250919C19700</stp>
        <tr r="Q168" s="2"/>
      </tp>
      <tp>
        <v>1</v>
        <stp/>
        <stp>VOLUME</stp>
        <stp>.NDX250516C19800</stp>
        <tr r="BE163" s="1"/>
        <tr r="BE163" s="1"/>
      </tp>
      <tp t="s">
        <v>N/A</v>
        <stp/>
        <stp>VOLUME</stp>
        <stp>.NDX250718C19600</stp>
        <tr r="M172" s="2"/>
      </tp>
      <tp t="s">
        <v>N/A</v>
        <stp/>
        <stp>VOLUME</stp>
        <stp>.NDX251017C19900</stp>
        <tr r="S160" s="2"/>
      </tp>
      <tp t="s">
        <v>N/A</v>
        <stp/>
        <stp>VOLUME</stp>
        <stp>.NDX251219C19700</stp>
        <tr r="W168" s="2"/>
      </tp>
      <tp t="s">
        <v>N/A</v>
        <stp/>
        <stp>VOLUME</stp>
        <stp>.NDX251017C19975</stp>
        <tr r="S157" s="2"/>
      </tp>
      <tp t="s">
        <v>N/A</v>
        <stp/>
        <stp>VOLUME</stp>
        <stp>.NDX251219C19775</stp>
        <tr r="W165" s="2"/>
      </tp>
      <tp t="s">
        <v>N/A</v>
        <stp/>
        <stp>VOLUME</stp>
        <stp>.NDX250919C19775</stp>
        <tr r="Q165" s="2"/>
      </tp>
      <tp t="s">
        <v>N/A</v>
        <stp/>
        <stp>VOLUME</stp>
        <stp>.NDX250516C19875</stp>
        <tr r="BE160" s="1"/>
      </tp>
      <tp t="s">
        <v>N/A</v>
        <stp/>
        <stp>VOLUME</stp>
        <stp>.NDX250718C19675</stp>
        <tr r="M169" s="2"/>
      </tp>
      <tp t="s">
        <v>N/A</v>
        <stp/>
        <stp>VOLUME</stp>
        <stp>.NDX251017C19950</stp>
        <tr r="S158" s="2"/>
      </tp>
      <tp t="s">
        <v>N/A</v>
        <stp/>
        <stp>VOLUME</stp>
        <stp>.NDX251219C19750</stp>
        <tr r="W166" s="2"/>
      </tp>
      <tp t="s">
        <v>N/A</v>
        <stp/>
        <stp>VOLUME</stp>
        <stp>.NDX250919C19750</stp>
        <tr r="Q166" s="2"/>
      </tp>
      <tp>
        <v>3</v>
        <stp/>
        <stp>VOLUME</stp>
        <stp>.NDX250516C19850</stp>
        <tr r="BE161" s="1"/>
        <tr r="BE161" s="1"/>
      </tp>
      <tp t="s">
        <v>N/A</v>
        <stp/>
        <stp>VOLUME</stp>
        <stp>.NDX250718C19650</stp>
        <tr r="M170" s="2"/>
      </tp>
      <tp t="s">
        <v>6.56%</v>
        <stp/>
        <stp>IMPL_VOL</stp>
        <stp>.NDXP250509C20075</stp>
        <tr r="EN152" s="1"/>
      </tp>
      <tp t="s">
        <v>10.96%</v>
        <stp/>
        <stp>IMPL_VOL</stp>
        <stp>.NDXP250509C20050</stp>
        <tr r="EN153" s="1"/>
      </tp>
      <tp t="s">
        <v>--</v>
        <stp/>
        <stp>IMPL_VOL</stp>
        <stp>.NDXP250509C20025</stp>
        <tr r="EN154" s="1"/>
      </tp>
      <tp t="s">
        <v>--</v>
        <stp/>
        <stp>IMPL_VOL</stp>
        <stp>.NDXP250509C20000</stp>
        <tr r="EN155" s="1"/>
      </tp>
      <tp t="s">
        <v>N/A</v>
        <stp/>
        <stp>VOLUME</stp>
        <stp>.NDX251219P20400</stp>
        <tr r="W140" s="2"/>
      </tp>
      <tp t="s">
        <v>N/A</v>
        <stp/>
        <stp>VOLUME</stp>
        <stp>.NDX251219P19400</stp>
        <tr r="W180" s="2"/>
      </tp>
      <tp t="s">
        <v>N/A</v>
        <stp/>
        <stp>VOLUME</stp>
        <stp>.NDX250815P19800</stp>
        <tr r="O164" s="2"/>
      </tp>
      <tp t="s">
        <v>N/A</v>
        <stp/>
        <stp>VOLUME</stp>
        <stp>.NDX250919P19400</stp>
        <tr r="Q180" s="2"/>
      </tp>
      <tp t="s">
        <v>N/A</v>
        <stp/>
        <stp>VOLUME</stp>
        <stp>.NDX250919P20400</stp>
        <tr r="Q140" s="2"/>
      </tp>
      <tp>
        <v>3</v>
        <stp/>
        <stp>VOLUME</stp>
        <stp>.NDX250718P19500</stp>
        <tr r="M176" s="2"/>
        <tr r="M176" s="2"/>
      </tp>
      <tp t="s">
        <v>N/A</v>
        <stp/>
        <stp>VOLUME</stp>
        <stp>.NDX251219P20425</stp>
        <tr r="W139" s="2"/>
      </tp>
      <tp t="s">
        <v>N/A</v>
        <stp/>
        <stp>VOLUME</stp>
        <stp>.NDX251219P19425</stp>
        <tr r="W179" s="2"/>
      </tp>
      <tp t="s">
        <v>N/A</v>
        <stp/>
        <stp>VOLUME</stp>
        <stp>.NDX250919P19425</stp>
        <tr r="Q179" s="2"/>
      </tp>
      <tp t="s">
        <v>N/A</v>
        <stp/>
        <stp>VOLUME</stp>
        <stp>.NDX250815P19825</stp>
        <tr r="O163" s="2"/>
      </tp>
      <tp t="s">
        <v>N/A</v>
        <stp/>
        <stp>VOLUME</stp>
        <stp>.NDX250919P20425</stp>
        <tr r="Q139" s="2"/>
      </tp>
      <tp t="s">
        <v>N/A</v>
        <stp/>
        <stp>VOLUME</stp>
        <stp>.NDX250718P19525</stp>
        <tr r="M175" s="2"/>
      </tp>
      <tp t="s">
        <v>N/A</v>
        <stp/>
        <stp>VOLUME</stp>
        <stp>.NDX250815P19850</stp>
        <tr r="O162" s="2"/>
      </tp>
      <tp t="s">
        <v>N/A</v>
        <stp/>
        <stp>VOLUME</stp>
        <stp>.NDX250919P19450</stp>
        <tr r="Q178" s="2"/>
      </tp>
      <tp t="s">
        <v>N/A</v>
        <stp/>
        <stp>VOLUME</stp>
        <stp>.NDX250919P20450</stp>
        <tr r="Q138" s="2"/>
      </tp>
      <tp t="s">
        <v>N/A</v>
        <stp/>
        <stp>VOLUME</stp>
        <stp>.NDX250718P19550</stp>
        <tr r="M174" s="2"/>
      </tp>
      <tp t="s">
        <v>N/A</v>
        <stp/>
        <stp>VOLUME</stp>
        <stp>.NDX251219P20450</stp>
        <tr r="W138" s="2"/>
      </tp>
      <tp t="s">
        <v>N/A</v>
        <stp/>
        <stp>VOLUME</stp>
        <stp>.NDX251219P19450</stp>
        <tr r="W178" s="2"/>
      </tp>
      <tp t="s">
        <v>N/A</v>
        <stp/>
        <stp>VOLUME</stp>
        <stp>.NDX250919P19475</stp>
        <tr r="Q177" s="2"/>
      </tp>
      <tp t="s">
        <v>N/A</v>
        <stp/>
        <stp>VOLUME</stp>
        <stp>.NDX250815P19875</stp>
        <tr r="O161" s="2"/>
      </tp>
      <tp t="s">
        <v>N/A</v>
        <stp/>
        <stp>VOLUME</stp>
        <stp>.NDX250718P19575</stp>
        <tr r="M173" s="2"/>
      </tp>
      <tp t="s">
        <v>N/A</v>
        <stp/>
        <stp>VOLUME</stp>
        <stp>.NDX251219P19475</stp>
        <tr r="W177" s="2"/>
      </tp>
      <tp t="s">
        <v>6.29%</v>
        <stp/>
        <stp>IMPL_VOL</stp>
        <stp>.NDXP250509P20050</stp>
        <tr r="EO153" s="1"/>
      </tp>
      <tp t="s">
        <v>6.12%</v>
        <stp/>
        <stp>IMPL_VOL</stp>
        <stp>.NDXP250509P20075</stp>
        <tr r="EO152" s="1"/>
      </tp>
      <tp t="s">
        <v>17.08%</v>
        <stp/>
        <stp>IMPL_VOL</stp>
        <stp>.NDXP250509P20000</stp>
        <tr r="EO155" s="1"/>
      </tp>
      <tp t="s">
        <v>15.19%</v>
        <stp/>
        <stp>IMPL_VOL</stp>
        <stp>.NDXP250509P20025</stp>
        <tr r="EO154" s="1"/>
      </tp>
      <tp t="s">
        <v>N/A</v>
        <stp/>
        <stp>VOLUME</stp>
        <stp>.NDX250919C19425</stp>
        <tr r="Q179" s="2"/>
      </tp>
      <tp t="s">
        <v>N/A</v>
        <stp/>
        <stp>VOLUME</stp>
        <stp>.NDX250815C19825</stp>
        <tr r="O163" s="2"/>
      </tp>
      <tp t="s">
        <v>N/A</v>
        <stp/>
        <stp>VOLUME</stp>
        <stp>.NDX250919C20425</stp>
        <tr r="Q139" s="2"/>
      </tp>
      <tp t="s">
        <v>N/A</v>
        <stp/>
        <stp>VOLUME</stp>
        <stp>.NDX250718C19525</stp>
        <tr r="M175" s="2"/>
      </tp>
      <tp t="s">
        <v>N/A</v>
        <stp/>
        <stp>VOLUME</stp>
        <stp>.NDX251219C20425</stp>
        <tr r="W139" s="2"/>
      </tp>
      <tp t="s">
        <v>N/A</v>
        <stp/>
        <stp>VOLUME</stp>
        <stp>.NDX251219C19425</stp>
        <tr r="W179" s="2"/>
      </tp>
      <tp t="s">
        <v>N/A</v>
        <stp/>
        <stp>VOLUME</stp>
        <stp>.NDX250815C19800</stp>
        <tr r="O164" s="2"/>
      </tp>
      <tp t="s">
        <v>N/A</v>
        <stp/>
        <stp>VOLUME</stp>
        <stp>.NDX250919C19400</stp>
        <tr r="Q180" s="2"/>
      </tp>
      <tp t="s">
        <v>N/A</v>
        <stp/>
        <stp>VOLUME</stp>
        <stp>.NDX250919C20400</stp>
        <tr r="Q140" s="2"/>
      </tp>
      <tp t="s">
        <v>N/A</v>
        <stp/>
        <stp>VOLUME</stp>
        <stp>.NDX250718C19500</stp>
        <tr r="M176" s="2"/>
      </tp>
      <tp t="s">
        <v>N/A</v>
        <stp/>
        <stp>VOLUME</stp>
        <stp>.NDX251219C20400</stp>
        <tr r="W140" s="2"/>
      </tp>
      <tp t="s">
        <v>N/A</v>
        <stp/>
        <stp>VOLUME</stp>
        <stp>.NDX251219C19400</stp>
        <tr r="W180" s="2"/>
      </tp>
      <tp t="s">
        <v>N/A</v>
        <stp/>
        <stp>VOLUME</stp>
        <stp>.NDX251219C19475</stp>
        <tr r="W177" s="2"/>
      </tp>
      <tp t="s">
        <v>N/A</v>
        <stp/>
        <stp>VOLUME</stp>
        <stp>.NDX250919C19475</stp>
        <tr r="Q177" s="2"/>
      </tp>
      <tp t="s">
        <v>N/A</v>
        <stp/>
        <stp>VOLUME</stp>
        <stp>.NDX250815C19875</stp>
        <tr r="O161" s="2"/>
      </tp>
      <tp t="s">
        <v>N/A</v>
        <stp/>
        <stp>VOLUME</stp>
        <stp>.NDX250718C19575</stp>
        <tr r="M173" s="2"/>
      </tp>
      <tp t="s">
        <v>N/A</v>
        <stp/>
        <stp>VOLUME</stp>
        <stp>.NDX251219C20450</stp>
        <tr r="W138" s="2"/>
      </tp>
      <tp t="s">
        <v>N/A</v>
        <stp/>
        <stp>VOLUME</stp>
        <stp>.NDX251219C19450</stp>
        <tr r="W178" s="2"/>
      </tp>
      <tp t="s">
        <v>N/A</v>
        <stp/>
        <stp>VOLUME</stp>
        <stp>.NDX250815C19850</stp>
        <tr r="O162" s="2"/>
      </tp>
      <tp t="s">
        <v>N/A</v>
        <stp/>
        <stp>VOLUME</stp>
        <stp>.NDX250919C19450</stp>
        <tr r="Q178" s="2"/>
      </tp>
      <tp t="s">
        <v>N/A</v>
        <stp/>
        <stp>VOLUME</stp>
        <stp>.NDX250919C20450</stp>
        <tr r="Q138" s="2"/>
      </tp>
      <tp t="s">
        <v>N/A</v>
        <stp/>
        <stp>VOLUME</stp>
        <stp>.NDX250718C19550</stp>
        <tr r="M174" s="2"/>
      </tp>
      <tp>
        <v>20146.5</v>
        <stp/>
        <stp>MARK</stp>
        <stp>/NQ:XCME</stp>
        <tr r="F136" s="1"/>
        <tr r="F44" s="1"/>
      </tp>
      <tp t="s">
        <v>75.90%</v>
        <stp/>
        <stp>IMPL_VOL</stp>
        <stp>.NDXP250509C20175</stp>
        <tr r="EN148" s="1"/>
      </tp>
      <tp t="s">
        <v>434.05%</v>
        <stp/>
        <stp>IMPL_VOL</stp>
        <stp>.NDXP250509C19175</stp>
        <tr r="EN188" s="1"/>
      </tp>
      <tp t="s">
        <v>20.86%</v>
        <stp/>
        <stp>IMPL_VOL</stp>
        <stp>.NDXP250509C20150</stp>
        <tr r="EN149" s="1"/>
      </tp>
      <tp t="s">
        <v>284.04%</v>
        <stp/>
        <stp>IMPL_VOL</stp>
        <stp>.NDXP250509C19150</stp>
        <tr r="EN189" s="1"/>
      </tp>
      <tp t="s">
        <v>15.52%</v>
        <stp/>
        <stp>IMPL_VOL</stp>
        <stp>.NDXP250509C20125</stp>
        <tr r="EN150" s="1"/>
      </tp>
      <tp t="s">
        <v>15.01%</v>
        <stp/>
        <stp>IMPL_VOL</stp>
        <stp>.NDXP250509C20100</stp>
        <tr r="EN151" s="1"/>
      </tp>
      <tp t="s">
        <v>N/A</v>
        <stp/>
        <stp>VOLUME</stp>
        <stp>.NDX251219P19500</stp>
        <tr r="W176" s="2"/>
      </tp>
      <tp t="s">
        <v>N/A</v>
        <stp/>
        <stp>VOLUME</stp>
        <stp>.NDX250815P19900</stp>
        <tr r="O160" s="2"/>
      </tp>
      <tp t="s">
        <v>N/A</v>
        <stp/>
        <stp>VOLUME</stp>
        <stp>.NDX250919P19500</stp>
        <tr r="Q176" s="2"/>
      </tp>
      <tp t="s">
        <v>N/A</v>
        <stp/>
        <stp>VOLUME</stp>
        <stp>.NDX250718P20400</stp>
        <tr r="M140" s="2"/>
      </tp>
      <tp t="s">
        <v>N/A</v>
        <stp/>
        <stp>VOLUME</stp>
        <stp>.NDX250718P19400</stp>
        <tr r="M180" s="2"/>
      </tp>
      <tp t="s">
        <v>N/A</v>
        <stp/>
        <stp>VOLUME</stp>
        <stp>.NDX251219P19525</stp>
        <tr r="W175" s="2"/>
      </tp>
      <tp t="s">
        <v>N/A</v>
        <stp/>
        <stp>VOLUME</stp>
        <stp>.NDX250919P19525</stp>
        <tr r="Q175" s="2"/>
      </tp>
      <tp t="s">
        <v>N/A</v>
        <stp/>
        <stp>VOLUME</stp>
        <stp>.NDX250815P19925</stp>
        <tr r="O159" s="2"/>
      </tp>
      <tp t="s">
        <v>N/A</v>
        <stp/>
        <stp>VOLUME</stp>
        <stp>.NDX250718P20425</stp>
        <tr r="M139" s="2"/>
      </tp>
      <tp>
        <v>2</v>
        <stp/>
        <stp>VOLUME</stp>
        <stp>.NDX250718P19425</stp>
        <tr r="M179" s="2"/>
        <tr r="M179" s="2"/>
      </tp>
      <tp t="s">
        <v>N/A</v>
        <stp/>
        <stp>VOLUME</stp>
        <stp>.NDX250815P19950</stp>
        <tr r="O158" s="2"/>
      </tp>
      <tp t="s">
        <v>N/A</v>
        <stp/>
        <stp>VOLUME</stp>
        <stp>.NDX250919P19550</stp>
        <tr r="Q174" s="2"/>
      </tp>
      <tp t="s">
        <v>N/A</v>
        <stp/>
        <stp>VOLUME</stp>
        <stp>.NDX250718P20450</stp>
        <tr r="M138" s="2"/>
      </tp>
      <tp>
        <v>1</v>
        <stp/>
        <stp>VOLUME</stp>
        <stp>.NDX250718P19450</stp>
        <tr r="M178" s="2"/>
        <tr r="M178" s="2"/>
      </tp>
      <tp t="s">
        <v>N/A</v>
        <stp/>
        <stp>VOLUME</stp>
        <stp>.NDX251219P19550</stp>
        <tr r="W174" s="2"/>
      </tp>
      <tp t="s">
        <v>N/A</v>
        <stp/>
        <stp>VOLUME</stp>
        <stp>.NDX250919P19575</stp>
        <tr r="Q173" s="2"/>
      </tp>
      <tp t="s">
        <v>N/A</v>
        <stp/>
        <stp>VOLUME</stp>
        <stp>.NDX250815P19975</stp>
        <tr r="O157" s="2"/>
      </tp>
      <tp>
        <v>3</v>
        <stp/>
        <stp>VOLUME</stp>
        <stp>.NDX250718P19475</stp>
        <tr r="M177" s="2"/>
        <tr r="M177" s="2"/>
      </tp>
      <tp t="s">
        <v>N/A</v>
        <stp/>
        <stp>VOLUME</stp>
        <stp>.NDX251219P19575</stp>
        <tr r="W173" s="2"/>
      </tp>
      <tp t="s">
        <v>53.82%</v>
        <stp/>
        <stp>IMPL_VOL</stp>
        <stp>.NDXP250509P20150</stp>
        <tr r="EO149" s="1"/>
      </tp>
      <tp t="s">
        <v>362.86%</v>
        <stp/>
        <stp>IMPL_VOL</stp>
        <stp>.NDXP250509P19150</stp>
        <tr r="EO189" s="1"/>
      </tp>
      <tp t="s">
        <v>62.74%</v>
        <stp/>
        <stp>IMPL_VOL</stp>
        <stp>.NDXP250509P20175</stp>
        <tr r="EO148" s="1"/>
      </tp>
      <tp t="s">
        <v>354.60%</v>
        <stp/>
        <stp>IMPL_VOL</stp>
        <stp>.NDXP250509P19175</stp>
        <tr r="EO188" s="1"/>
      </tp>
      <tp t="s">
        <v>--</v>
        <stp/>
        <stp>IMPL_VOL</stp>
        <stp>.NDXP250509P20100</stp>
        <tr r="EO151" s="1"/>
      </tp>
      <tp t="s">
        <v>--</v>
        <stp/>
        <stp>IMPL_VOL</stp>
        <stp>.NDXP250509P20125</stp>
        <tr r="EO150" s="1"/>
      </tp>
      <tp t="s">
        <v>N/A</v>
        <stp/>
        <stp>VOLUME</stp>
        <stp>.NDX250919C19525</stp>
        <tr r="Q175" s="2"/>
      </tp>
      <tp t="s">
        <v>N/A</v>
        <stp/>
        <stp>VOLUME</stp>
        <stp>.NDX250815C19925</stp>
        <tr r="O159" s="2"/>
      </tp>
      <tp t="s">
        <v>N/A</v>
        <stp/>
        <stp>VOLUME</stp>
        <stp>.NDX250718C20425</stp>
        <tr r="M139" s="2"/>
      </tp>
      <tp t="s">
        <v>N/A</v>
        <stp/>
        <stp>VOLUME</stp>
        <stp>.NDX250718C19425</stp>
        <tr r="M179" s="2"/>
      </tp>
      <tp t="s">
        <v>N/A</v>
        <stp/>
        <stp>VOLUME</stp>
        <stp>.NDX251219C19525</stp>
        <tr r="W175" s="2"/>
      </tp>
      <tp t="s">
        <v>N/A</v>
        <stp/>
        <stp>VOLUME</stp>
        <stp>.NDX250815C19900</stp>
        <tr r="O160" s="2"/>
      </tp>
      <tp t="s">
        <v>N/A</v>
        <stp/>
        <stp>VOLUME</stp>
        <stp>.NDX250919C19500</stp>
        <tr r="Q176" s="2"/>
      </tp>
      <tp>
        <v>2</v>
        <stp/>
        <stp>VOLUME</stp>
        <stp>.NDX250718C20400</stp>
        <tr r="M140" s="2"/>
        <tr r="M140" s="2"/>
      </tp>
      <tp t="s">
        <v>N/A</v>
        <stp/>
        <stp>VOLUME</stp>
        <stp>.NDX250718C19400</stp>
        <tr r="M180" s="2"/>
      </tp>
      <tp t="s">
        <v>N/A</v>
        <stp/>
        <stp>VOLUME</stp>
        <stp>.NDX251219C19500</stp>
        <tr r="W176" s="2"/>
      </tp>
      <tp t="s">
        <v>N/A</v>
        <stp/>
        <stp>VOLUME</stp>
        <stp>.NDX251219C19575</stp>
        <tr r="W173" s="2"/>
      </tp>
      <tp t="s">
        <v>N/A</v>
        <stp/>
        <stp>VOLUME</stp>
        <stp>.NDX250919C19575</stp>
        <tr r="Q173" s="2"/>
      </tp>
      <tp t="s">
        <v>N/A</v>
        <stp/>
        <stp>VOLUME</stp>
        <stp>.NDX250815C19975</stp>
        <tr r="O157" s="2"/>
      </tp>
      <tp t="s">
        <v>N/A</v>
        <stp/>
        <stp>VOLUME</stp>
        <stp>.NDX250718C19475</stp>
        <tr r="M177" s="2"/>
      </tp>
      <tp t="s">
        <v>N/A</v>
        <stp/>
        <stp>VOLUME</stp>
        <stp>.NDX251219C19550</stp>
        <tr r="W174" s="2"/>
      </tp>
      <tp t="s">
        <v>N/A</v>
        <stp/>
        <stp>VOLUME</stp>
        <stp>.NDX250815C19950</stp>
        <tr r="O158" s="2"/>
      </tp>
      <tp t="s">
        <v>N/A</v>
        <stp/>
        <stp>VOLUME</stp>
        <stp>.NDX250919C19550</stp>
        <tr r="Q174" s="2"/>
      </tp>
      <tp t="s">
        <v>N/A</v>
        <stp/>
        <stp>VOLUME</stp>
        <stp>.NDX250718C20450</stp>
        <tr r="M138" s="2"/>
      </tp>
      <tp t="s">
        <v>N/A</v>
        <stp/>
        <stp>VOLUME</stp>
        <stp>.NDX250718C19450</stp>
        <tr r="M178" s="2"/>
      </tp>
      <tp t="s">
        <v>46.45%</v>
        <stp/>
        <stp>IMPL_VOL</stp>
        <stp>.NDXP250505C20275</stp>
        <tr r="EL144" s="1"/>
      </tp>
      <tp t="s">
        <v>--</v>
        <stp/>
        <stp>IMPL_VOL</stp>
        <stp>.NDXP250505C19275</stp>
        <tr r="EL184" s="1"/>
      </tp>
      <tp t="s">
        <v>41.45%</v>
        <stp/>
        <stp>IMPL_VOL</stp>
        <stp>.NDXP250505C20250</stp>
        <tr r="EL145" s="1"/>
      </tp>
      <tp t="s">
        <v>--</v>
        <stp/>
        <stp>IMPL_VOL</stp>
        <stp>.NDXP250505C19250</stp>
        <tr r="EL185" s="1"/>
      </tp>
      <tp t="s">
        <v>36.41%</v>
        <stp/>
        <stp>IMPL_VOL</stp>
        <stp>.NDXP250505C20225</stp>
        <tr r="EL146" s="1"/>
      </tp>
      <tp t="s">
        <v>--</v>
        <stp/>
        <stp>IMPL_VOL</stp>
        <stp>.NDXP250505C19225</stp>
        <tr r="EL186" s="1"/>
      </tp>
      <tp t="s">
        <v>31.32%</v>
        <stp/>
        <stp>IMPL_VOL</stp>
        <stp>.NDXP250505C20200</stp>
        <tr r="EL147" s="1"/>
      </tp>
      <tp t="s">
        <v>--</v>
        <stp/>
        <stp>IMPL_VOL</stp>
        <stp>.NDXP250505C19200</stp>
        <tr r="EL187" s="1"/>
      </tp>
      <tp>
        <v>2</v>
        <stp/>
        <stp>VOLUME</stp>
        <stp>.NDX251017P19400</stp>
        <tr r="S180" s="2"/>
        <tr r="S180" s="2"/>
      </tp>
      <tp t="s">
        <v>N/A</v>
        <stp/>
        <stp>VOLUME</stp>
        <stp>.NDX251121P19200</stp>
        <tr r="U188" s="2"/>
      </tp>
      <tp t="s">
        <v>N/A</v>
        <stp/>
        <stp>VOLUME</stp>
        <stp>.NDX251121P20200</stp>
        <tr r="U148" s="2"/>
      </tp>
      <tp t="s">
        <v>N/A</v>
        <stp/>
        <stp>VOLUME</stp>
        <stp>.NDX251017P20400</stp>
        <tr r="S140" s="2"/>
      </tp>
      <tp>
        <v>6</v>
        <stp/>
        <stp>VOLUME</stp>
        <stp>.NDX250815P19600</stp>
        <tr r="O172" s="2"/>
        <tr r="O172" s="2"/>
      </tp>
      <tp>
        <v>13</v>
        <stp/>
        <stp>VOLUME</stp>
        <stp>.NDX250516P19500</stp>
        <tr r="BF175" s="1"/>
        <tr r="BF175" s="1"/>
      </tp>
      <tp>
        <v>3</v>
        <stp/>
        <stp>VOLUME</stp>
        <stp>.NDX250620P20300</stp>
        <tr r="K144" s="2"/>
        <tr r="K144" s="2"/>
      </tp>
      <tp>
        <v>7</v>
        <stp/>
        <stp>VOLUME</stp>
        <stp>.NDX250620P19300</stp>
        <tr r="K184" s="2"/>
        <tr r="K184" s="2"/>
      </tp>
      <tp t="s">
        <v>N/A</v>
        <stp/>
        <stp>VOLUME</stp>
        <stp>.NDX250523P20000</stp>
        <tr r="H156" s="2"/>
      </tp>
      <tp t="s">
        <v>N/A</v>
        <stp/>
        <stp>VOLUME</stp>
        <stp>.NDX251121P19225</stp>
        <tr r="U187" s="2"/>
      </tp>
      <tp t="s">
        <v>N/A</v>
        <stp/>
        <stp>VOLUME</stp>
        <stp>.NDX251017P19425</stp>
        <tr r="S179" s="2"/>
      </tp>
      <tp t="s">
        <v>N/A</v>
        <stp/>
        <stp>VOLUME</stp>
        <stp>.NDX251017P20425</stp>
        <tr r="S139" s="2"/>
      </tp>
      <tp t="s">
        <v>N/A</v>
        <stp/>
        <stp>VOLUME</stp>
        <stp>.NDX251121P20225</stp>
        <tr r="U147" s="2"/>
      </tp>
      <tp t="s">
        <v>N/A</v>
        <stp/>
        <stp>VOLUME</stp>
        <stp>.NDX250815P19625</stp>
        <tr r="O171" s="2"/>
      </tp>
      <tp>
        <v>14</v>
        <stp/>
        <stp>VOLUME</stp>
        <stp>.NDX250516P19525</stp>
        <tr r="BF174" s="1"/>
        <tr r="BF174" s="1"/>
      </tp>
      <tp t="s">
        <v>N/A</v>
        <stp/>
        <stp>VOLUME</stp>
        <stp>.NDX250620P20325</stp>
        <tr r="K143" s="2"/>
      </tp>
      <tp t="s">
        <v>N/A</v>
        <stp/>
        <stp>VOLUME</stp>
        <stp>.NDX250620P19325</stp>
        <tr r="K183" s="2"/>
      </tp>
      <tp t="s">
        <v>N/A</v>
        <stp/>
        <stp>VOLUME</stp>
        <stp>.NDX250523P20025</stp>
        <tr r="H155" s="2"/>
      </tp>
      <tp t="s">
        <v>N/A</v>
        <stp/>
        <stp>VOLUME</stp>
        <stp>.NDX250815P19650</stp>
        <tr r="O170" s="2"/>
      </tp>
      <tp>
        <v>15</v>
        <stp/>
        <stp>VOLUME</stp>
        <stp>.NDX250516P19550</stp>
        <tr r="BF173" s="1"/>
        <tr r="BF173" s="1"/>
      </tp>
      <tp t="s">
        <v>N/A</v>
        <stp/>
        <stp>VOLUME</stp>
        <stp>.NDX250620P20350</stp>
        <tr r="K142" s="2"/>
      </tp>
      <tp t="s">
        <v>N/A</v>
        <stp/>
        <stp>VOLUME</stp>
        <stp>.NDX250620P19350</stp>
        <tr r="K182" s="2"/>
      </tp>
      <tp t="s">
        <v>N/A</v>
        <stp/>
        <stp>VOLUME</stp>
        <stp>.NDX250523P20050</stp>
        <tr r="H154" s="2"/>
      </tp>
      <tp t="s">
        <v>N/A</v>
        <stp/>
        <stp>VOLUME</stp>
        <stp>.NDX251017P19450</stp>
        <tr r="S178" s="2"/>
      </tp>
      <tp t="s">
        <v>N/A</v>
        <stp/>
        <stp>VOLUME</stp>
        <stp>.NDX251121P19250</stp>
        <tr r="U186" s="2"/>
      </tp>
      <tp t="s">
        <v>N/A</v>
        <stp/>
        <stp>VOLUME</stp>
        <stp>.NDX251121P20250</stp>
        <tr r="U146" s="2"/>
      </tp>
      <tp t="s">
        <v>N/A</v>
        <stp/>
        <stp>VOLUME</stp>
        <stp>.NDX251017P20450</stp>
        <tr r="S138" s="2"/>
      </tp>
      <tp t="s">
        <v>N/A</v>
        <stp/>
        <stp>VOLUME</stp>
        <stp>.NDX250815P19675</stp>
        <tr r="O169" s="2"/>
      </tp>
      <tp>
        <v>1</v>
        <stp/>
        <stp>VOLUME</stp>
        <stp>.NDX250516P19575</stp>
        <tr r="BF172" s="1"/>
        <tr r="BF172" s="1"/>
      </tp>
      <tp t="s">
        <v>N/A</v>
        <stp/>
        <stp>VOLUME</stp>
        <stp>.NDX250620P20375</stp>
        <tr r="K141" s="2"/>
      </tp>
      <tp t="s">
        <v>N/A</v>
        <stp/>
        <stp>VOLUME</stp>
        <stp>.NDX250620P19375</stp>
        <tr r="K181" s="2"/>
      </tp>
      <tp t="s">
        <v>N/A</v>
        <stp/>
        <stp>VOLUME</stp>
        <stp>.NDX250523P20075</stp>
        <tr r="H153" s="2"/>
      </tp>
      <tp t="s">
        <v>N/A</v>
        <stp/>
        <stp>VOLUME</stp>
        <stp>.NDX251121P19275</stp>
        <tr r="U185" s="2"/>
      </tp>
      <tp t="s">
        <v>N/A</v>
        <stp/>
        <stp>VOLUME</stp>
        <stp>.NDX251017P19475</stp>
        <tr r="S177" s="2"/>
      </tp>
      <tp t="s">
        <v>N/A</v>
        <stp/>
        <stp>VOLUME</stp>
        <stp>.NDX251121P20275</stp>
        <tr r="U145" s="2"/>
      </tp>
      <tp t="s">
        <v>265.85%</v>
        <stp/>
        <stp>IMPL_VOL</stp>
        <stp>.NDXP250505P20250</stp>
        <tr r="EM145" s="1"/>
      </tp>
      <tp t="s">
        <v>329.71%</v>
        <stp/>
        <stp>IMPL_VOL</stp>
        <stp>.NDXP250505P19250</stp>
        <tr r="EM185" s="1"/>
      </tp>
      <tp t="s">
        <v>280.23%</v>
        <stp/>
        <stp>IMPL_VOL</stp>
        <stp>.NDXP250505P20275</stp>
        <tr r="EM144" s="1"/>
      </tp>
      <tp t="s">
        <v>321.36%</v>
        <stp/>
        <stp>IMPL_VOL</stp>
        <stp>.NDXP250505P19275</stp>
        <tr r="EM184" s="1"/>
      </tp>
      <tp t="s">
        <v>235.96%</v>
        <stp/>
        <stp>IMPL_VOL</stp>
        <stp>.NDXP250505P20200</stp>
        <tr r="EM147" s="1"/>
      </tp>
      <tp t="s">
        <v>210.83%</v>
        <stp/>
        <stp>IMPL_VOL</stp>
        <stp>.NDXP250505P19200</stp>
        <tr r="EM187" s="1"/>
      </tp>
      <tp t="s">
        <v>251.11%</v>
        <stp/>
        <stp>IMPL_VOL</stp>
        <stp>.NDXP250505P20225</stp>
        <tr r="EM146" s="1"/>
      </tp>
      <tp t="s">
        <v>338.03%</v>
        <stp/>
        <stp>IMPL_VOL</stp>
        <stp>.NDXP250505P19225</stp>
        <tr r="EM186" s="1"/>
      </tp>
      <tp t="s">
        <v>N/A</v>
        <stp/>
        <stp>VOLUME</stp>
        <stp>.NDX250815C19625</stp>
        <tr r="O171" s="2"/>
      </tp>
      <tp t="s">
        <v>N/A</v>
        <stp/>
        <stp>VOLUME</stp>
        <stp>.NDX250516C19525</stp>
        <tr r="BE174" s="1"/>
      </tp>
      <tp>
        <v>1</v>
        <stp/>
        <stp>VOLUME</stp>
        <stp>.NDX250620C20325</stp>
        <tr r="K143" s="2"/>
        <tr r="K143" s="2"/>
      </tp>
      <tp t="s">
        <v>N/A</v>
        <stp/>
        <stp>VOLUME</stp>
        <stp>.NDX250620C19325</stp>
        <tr r="K183" s="2"/>
      </tp>
      <tp t="s">
        <v>N/A</v>
        <stp/>
        <stp>VOLUME</stp>
        <stp>.NDX250523C20025</stp>
        <tr r="H155" s="2"/>
      </tp>
      <tp t="s">
        <v>N/A</v>
        <stp/>
        <stp>VOLUME</stp>
        <stp>.NDX251121C19225</stp>
        <tr r="U187" s="2"/>
      </tp>
      <tp t="s">
        <v>N/A</v>
        <stp/>
        <stp>VOLUME</stp>
        <stp>.NDX251017C19425</stp>
        <tr r="S179" s="2"/>
      </tp>
      <tp t="s">
        <v>N/A</v>
        <stp/>
        <stp>VOLUME</stp>
        <stp>.NDX251017C20425</stp>
        <tr r="S139" s="2"/>
      </tp>
      <tp t="s">
        <v>N/A</v>
        <stp/>
        <stp>VOLUME</stp>
        <stp>.NDX251121C20225</stp>
        <tr r="U147" s="2"/>
      </tp>
      <tp t="s">
        <v>N/A</v>
        <stp/>
        <stp>VOLUME</stp>
        <stp>.NDX250815C19600</stp>
        <tr r="O172" s="2"/>
      </tp>
      <tp t="s">
        <v>N/A</v>
        <stp/>
        <stp>VOLUME</stp>
        <stp>.NDX250516C19500</stp>
        <tr r="BE175" s="1"/>
      </tp>
      <tp t="s">
        <v>N/A</v>
        <stp/>
        <stp>VOLUME</stp>
        <stp>.NDX250620C20300</stp>
        <tr r="K144" s="2"/>
      </tp>
      <tp t="s">
        <v>N/A</v>
        <stp/>
        <stp>VOLUME</stp>
        <stp>.NDX250620C19300</stp>
        <tr r="K184" s="2"/>
      </tp>
      <tp t="s">
        <v>N/A</v>
        <stp/>
        <stp>VOLUME</stp>
        <stp>.NDX250523C20000</stp>
        <tr r="H156" s="2"/>
      </tp>
      <tp t="s">
        <v>N/A</v>
        <stp/>
        <stp>VOLUME</stp>
        <stp>.NDX251017C19400</stp>
        <tr r="S180" s="2"/>
      </tp>
      <tp t="s">
        <v>N/A</v>
        <stp/>
        <stp>VOLUME</stp>
        <stp>.NDX251121C19200</stp>
        <tr r="U188" s="2"/>
      </tp>
      <tp t="s">
        <v>N/A</v>
        <stp/>
        <stp>VOLUME</stp>
        <stp>.NDX251121C20200</stp>
        <tr r="U148" s="2"/>
      </tp>
      <tp t="s">
        <v>N/A</v>
        <stp/>
        <stp>VOLUME</stp>
        <stp>.NDX251017C20400</stp>
        <tr r="S140" s="2"/>
      </tp>
      <tp t="s">
        <v>N/A</v>
        <stp/>
        <stp>VOLUME</stp>
        <stp>.NDX251121C19275</stp>
        <tr r="U185" s="2"/>
      </tp>
      <tp t="s">
        <v>N/A</v>
        <stp/>
        <stp>VOLUME</stp>
        <stp>.NDX251017C19475</stp>
        <tr r="S177" s="2"/>
      </tp>
      <tp t="s">
        <v>N/A</v>
        <stp/>
        <stp>VOLUME</stp>
        <stp>.NDX251121C20275</stp>
        <tr r="U145" s="2"/>
      </tp>
      <tp t="s">
        <v>N/A</v>
        <stp/>
        <stp>VOLUME</stp>
        <stp>.NDX250815C19675</stp>
        <tr r="O169" s="2"/>
      </tp>
      <tp t="s">
        <v>N/A</v>
        <stp/>
        <stp>VOLUME</stp>
        <stp>.NDX250516C19575</stp>
        <tr r="BE172" s="1"/>
      </tp>
      <tp t="s">
        <v>N/A</v>
        <stp/>
        <stp>VOLUME</stp>
        <stp>.NDX250620C20375</stp>
        <tr r="K141" s="2"/>
      </tp>
      <tp t="s">
        <v>N/A</v>
        <stp/>
        <stp>VOLUME</stp>
        <stp>.NDX250620C19375</stp>
        <tr r="K181" s="2"/>
      </tp>
      <tp t="s">
        <v>N/A</v>
        <stp/>
        <stp>VOLUME</stp>
        <stp>.NDX250523C20075</stp>
        <tr r="H153" s="2"/>
      </tp>
      <tp t="s">
        <v>N/A</v>
        <stp/>
        <stp>VOLUME</stp>
        <stp>.NDX251017C19450</stp>
        <tr r="S178" s="2"/>
      </tp>
      <tp t="s">
        <v>N/A</v>
        <stp/>
        <stp>VOLUME</stp>
        <stp>.NDX251121C19250</stp>
        <tr r="U186" s="2"/>
      </tp>
      <tp t="s">
        <v>N/A</v>
        <stp/>
        <stp>VOLUME</stp>
        <stp>.NDX251121C20250</stp>
        <tr r="U146" s="2"/>
      </tp>
      <tp t="s">
        <v>N/A</v>
        <stp/>
        <stp>VOLUME</stp>
        <stp>.NDX251017C20450</stp>
        <tr r="S138" s="2"/>
      </tp>
      <tp t="s">
        <v>N/A</v>
        <stp/>
        <stp>VOLUME</stp>
        <stp>.NDX250815C19650</stp>
        <tr r="O170" s="2"/>
      </tp>
      <tp t="s">
        <v>N/A</v>
        <stp/>
        <stp>VOLUME</stp>
        <stp>.NDX250516C19550</stp>
        <tr r="BE173" s="1"/>
      </tp>
      <tp t="s">
        <v>N/A</v>
        <stp/>
        <stp>VOLUME</stp>
        <stp>.NDX250620C20350</stp>
        <tr r="K142" s="2"/>
      </tp>
      <tp t="s">
        <v>N/A</v>
        <stp/>
        <stp>VOLUME</stp>
        <stp>.NDX250620C19350</stp>
        <tr r="K182" s="2"/>
      </tp>
      <tp t="s">
        <v>N/A</v>
        <stp/>
        <stp>VOLUME</stp>
        <stp>.NDX250523C20050</stp>
        <tr r="H154" s="2"/>
      </tp>
      <tp t="s">
        <v>65.84%</v>
        <stp/>
        <stp>IMPL_VOL</stp>
        <stp>.NDXP250505C20375</stp>
        <tr r="EL140" s="1"/>
      </tp>
      <tp t="s">
        <v>--</v>
        <stp/>
        <stp>IMPL_VOL</stp>
        <stp>.NDXP250505C19375</stp>
        <tr r="EL180" s="1"/>
      </tp>
      <tp t="s">
        <v>73.30%</v>
        <stp/>
        <stp>IMPL_VOL</stp>
        <stp>.NDXP250505C20350</stp>
        <tr r="EL141" s="1"/>
      </tp>
      <tp t="s">
        <v>--</v>
        <stp/>
        <stp>IMPL_VOL</stp>
        <stp>.NDXP250505C19350</stp>
        <tr r="EL181" s="1"/>
      </tp>
      <tp t="s">
        <v>135.44%</v>
        <stp/>
        <stp>IMPL_VOL</stp>
        <stp>.NDXP250505C20325</stp>
        <tr r="EL142" s="1"/>
      </tp>
      <tp t="s">
        <v>--</v>
        <stp/>
        <stp>IMPL_VOL</stp>
        <stp>.NDXP250505C19325</stp>
        <tr r="EL182" s="1"/>
      </tp>
      <tp t="s">
        <v>51.31%</v>
        <stp/>
        <stp>IMPL_VOL</stp>
        <stp>.NDXP250505C20300</stp>
        <tr r="EL143" s="1"/>
      </tp>
      <tp t="s">
        <v>--</v>
        <stp/>
        <stp>IMPL_VOL</stp>
        <stp>.NDXP250505C19300</stp>
        <tr r="EL183" s="1"/>
      </tp>
      <tp t="s">
        <v>N/A</v>
        <stp/>
        <stp>VOLUME</stp>
        <stp>.NDX251017P19500</stp>
        <tr r="S176" s="2"/>
      </tp>
      <tp t="s">
        <v>N/A</v>
        <stp/>
        <stp>VOLUME</stp>
        <stp>.NDX251121P19300</stp>
        <tr r="U184" s="2"/>
      </tp>
      <tp t="s">
        <v>N/A</v>
        <stp/>
        <stp>VOLUME</stp>
        <stp>.NDX251121P20300</stp>
        <tr r="U144" s="2"/>
      </tp>
      <tp t="s">
        <v>N/A</v>
        <stp/>
        <stp>VOLUME</stp>
        <stp>.NDX250815P19700</stp>
        <tr r="O168" s="2"/>
      </tp>
      <tp>
        <v>9</v>
        <stp/>
        <stp>VOLUME</stp>
        <stp>.NDX250516P19400</stp>
        <tr r="BF179" s="1"/>
        <tr r="BF179" s="1"/>
      </tp>
      <tp>
        <v>5</v>
        <stp/>
        <stp>VOLUME</stp>
        <stp>.NDX250620P20200</stp>
        <tr r="K148" s="2"/>
        <tr r="K148" s="2"/>
      </tp>
      <tp>
        <v>35</v>
        <stp/>
        <stp>VOLUME</stp>
        <stp>.NDX250620P19200</stp>
        <tr r="K188" s="2"/>
        <tr r="K188" s="2"/>
      </tp>
      <tp t="s">
        <v>N/A</v>
        <stp/>
        <stp>VOLUME</stp>
        <stp>.NDX250516P20400</stp>
        <tr r="BF139" s="1"/>
      </tp>
      <tp t="s">
        <v>N/A</v>
        <stp/>
        <stp>VOLUME</stp>
        <stp>.NDX250523P20100</stp>
        <tr r="H152" s="2"/>
      </tp>
      <tp t="s">
        <v>N/A</v>
        <stp/>
        <stp>VOLUME</stp>
        <stp>.NDX251121P19325</stp>
        <tr r="U183" s="2"/>
      </tp>
      <tp t="s">
        <v>N/A</v>
        <stp/>
        <stp>VOLUME</stp>
        <stp>.NDX251017P19525</stp>
        <tr r="S175" s="2"/>
      </tp>
      <tp t="s">
        <v>N/A</v>
        <stp/>
        <stp>VOLUME</stp>
        <stp>.NDX251121P20325</stp>
        <tr r="U143" s="2"/>
      </tp>
      <tp t="s">
        <v>N/A</v>
        <stp/>
        <stp>VOLUME</stp>
        <stp>.NDX250815P19725</stp>
        <tr r="O167" s="2"/>
      </tp>
      <tp>
        <v>13</v>
        <stp/>
        <stp>VOLUME</stp>
        <stp>.NDX250516P19425</stp>
        <tr r="BF178" s="1"/>
        <tr r="BF178" s="1"/>
      </tp>
      <tp t="s">
        <v>N/A</v>
        <stp/>
        <stp>VOLUME</stp>
        <stp>.NDX250620P20225</stp>
        <tr r="K147" s="2"/>
      </tp>
      <tp>
        <v>2</v>
        <stp/>
        <stp>VOLUME</stp>
        <stp>.NDX250620P19225</stp>
        <tr r="K187" s="2"/>
        <tr r="K187" s="2"/>
      </tp>
      <tp t="s">
        <v>N/A</v>
        <stp/>
        <stp>VOLUME</stp>
        <stp>.NDX250516P20425</stp>
        <tr r="BF138" s="1"/>
      </tp>
      <tp t="s">
        <v>N/A</v>
        <stp/>
        <stp>VOLUME</stp>
        <stp>.NDX250523P20125</stp>
        <tr r="H151" s="2"/>
      </tp>
      <tp t="s">
        <v>N/A</v>
        <stp/>
        <stp>VOLUME</stp>
        <stp>.NDX250815P19750</stp>
        <tr r="O166" s="2"/>
      </tp>
      <tp>
        <v>3</v>
        <stp/>
        <stp>VOLUME</stp>
        <stp>.NDX250516P19450</stp>
        <tr r="BF177" s="1"/>
        <tr r="BF177" s="1"/>
      </tp>
      <tp t="s">
        <v>N/A</v>
        <stp/>
        <stp>VOLUME</stp>
        <stp>.NDX250523P19150</stp>
        <tr r="H190" s="2"/>
      </tp>
      <tp>
        <v>31</v>
        <stp/>
        <stp>VOLUME</stp>
        <stp>.NDX250620P20250</stp>
        <tr r="K146" s="2"/>
        <tr r="K146" s="2"/>
      </tp>
      <tp t="s">
        <v>N/A</v>
        <stp/>
        <stp>VOLUME</stp>
        <stp>.NDX250620P19250</stp>
        <tr r="K186" s="2"/>
      </tp>
      <tp t="s">
        <v>N/A</v>
        <stp/>
        <stp>VOLUME</stp>
        <stp>.NDX250516P20450</stp>
        <tr r="BF137" s="1"/>
      </tp>
      <tp t="s">
        <v>N/A</v>
        <stp/>
        <stp>VOLUME</stp>
        <stp>.NDX250523P20150</stp>
        <tr r="H150" s="2"/>
      </tp>
      <tp t="s">
        <v>N/A</v>
        <stp/>
        <stp>VOLUME</stp>
        <stp>.NDX251017P19550</stp>
        <tr r="S174" s="2"/>
      </tp>
      <tp t="s">
        <v>N/A</v>
        <stp/>
        <stp>VOLUME</stp>
        <stp>.NDX251121P19350</stp>
        <tr r="U182" s="2"/>
      </tp>
      <tp t="s">
        <v>N/A</v>
        <stp/>
        <stp>VOLUME</stp>
        <stp>.NDX251121P20350</stp>
        <tr r="U142" s="2"/>
      </tp>
      <tp t="s">
        <v>N/A</v>
        <stp/>
        <stp>VOLUME</stp>
        <stp>.NDX250815P19775</stp>
        <tr r="O165" s="2"/>
      </tp>
      <tp>
        <v>6</v>
        <stp/>
        <stp>VOLUME</stp>
        <stp>.NDX250516P19475</stp>
        <tr r="BF176" s="1"/>
        <tr r="BF176" s="1"/>
      </tp>
      <tp t="s">
        <v>N/A</v>
        <stp/>
        <stp>VOLUME</stp>
        <stp>.NDX250523P19175</stp>
        <tr r="H189" s="2"/>
      </tp>
      <tp>
        <v>7</v>
        <stp/>
        <stp>VOLUME</stp>
        <stp>.NDX250620P20275</stp>
        <tr r="K145" s="2"/>
        <tr r="K145" s="2"/>
      </tp>
      <tp t="s">
        <v>N/A</v>
        <stp/>
        <stp>VOLUME</stp>
        <stp>.NDX250620P19275</stp>
        <tr r="K185" s="2"/>
      </tp>
      <tp t="s">
        <v>N/A</v>
        <stp/>
        <stp>VOLUME</stp>
        <stp>.NDX250523P20175</stp>
        <tr r="H149" s="2"/>
      </tp>
      <tp t="s">
        <v>N/A</v>
        <stp/>
        <stp>VOLUME</stp>
        <stp>.NDX251121P19375</stp>
        <tr r="U181" s="2"/>
      </tp>
      <tp t="s">
        <v>N/A</v>
        <stp/>
        <stp>VOLUME</stp>
        <stp>.NDX251017P19575</stp>
        <tr r="S173" s="2"/>
      </tp>
      <tp t="s">
        <v>N/A</v>
        <stp/>
        <stp>VOLUME</stp>
        <stp>.NDX251121P20375</stp>
        <tr r="U141" s="2"/>
      </tp>
      <tp t="s">
        <v>321.56%</v>
        <stp/>
        <stp>IMPL_VOL</stp>
        <stp>.NDXP250505P20350</stp>
        <tr r="EM141" s="1"/>
      </tp>
      <tp t="s">
        <v>296.17%</v>
        <stp/>
        <stp>IMPL_VOL</stp>
        <stp>.NDXP250505P19350</stp>
        <tr r="EM181" s="1"/>
      </tp>
      <tp t="s">
        <v>334.84%</v>
        <stp/>
        <stp>IMPL_VOL</stp>
        <stp>.NDXP250505P20375</stp>
        <tr r="EM140" s="1"/>
      </tp>
      <tp t="s">
        <v>287.71%</v>
        <stp/>
        <stp>IMPL_VOL</stp>
        <stp>.NDXP250505P19375</stp>
        <tr r="EM180" s="1"/>
      </tp>
      <tp t="s">
        <v>294.29%</v>
        <stp/>
        <stp>IMPL_VOL</stp>
        <stp>.NDXP250505P20300</stp>
        <tr r="EM143" s="1"/>
      </tp>
      <tp t="s">
        <v>180.10%</v>
        <stp/>
        <stp>IMPL_VOL</stp>
        <stp>.NDXP250505P19300</stp>
        <tr r="EM183" s="1"/>
      </tp>
      <tp t="s">
        <v>308.05%</v>
        <stp/>
        <stp>IMPL_VOL</stp>
        <stp>.NDXP250505P20325</stp>
        <tr r="EM142" s="1"/>
      </tp>
      <tp t="s">
        <v>304.59%</v>
        <stp/>
        <stp>IMPL_VOL</stp>
        <stp>.NDXP250505P19325</stp>
        <tr r="EM182" s="1"/>
      </tp>
      <tp t="s">
        <v>N/A</v>
        <stp/>
        <stp>VOLUME</stp>
        <stp>.NDX250815C19725</stp>
        <tr r="O167" s="2"/>
      </tp>
      <tp t="s">
        <v>N/A</v>
        <stp/>
        <stp>VOLUME</stp>
        <stp>.NDX250516C19425</stp>
        <tr r="BE178" s="1"/>
      </tp>
      <tp>
        <v>19</v>
        <stp/>
        <stp>VOLUME</stp>
        <stp>.NDX250620C20225</stp>
        <tr r="K147" s="2"/>
        <tr r="K147" s="2"/>
      </tp>
      <tp t="s">
        <v>N/A</v>
        <stp/>
        <stp>VOLUME</stp>
        <stp>.NDX250620C19225</stp>
        <tr r="K187" s="2"/>
      </tp>
      <tp t="s">
        <v>N/A</v>
        <stp/>
        <stp>VOLUME</stp>
        <stp>.NDX250516C20425</stp>
        <tr r="BE138" s="1"/>
      </tp>
      <tp t="s">
        <v>N/A</v>
        <stp/>
        <stp>VOLUME</stp>
        <stp>.NDX250523C20125</stp>
        <tr r="H151" s="2"/>
      </tp>
      <tp t="s">
        <v>N/A</v>
        <stp/>
        <stp>VOLUME</stp>
        <stp>.NDX251121C19325</stp>
        <tr r="U183" s="2"/>
      </tp>
      <tp t="s">
        <v>N/A</v>
        <stp/>
        <stp>VOLUME</stp>
        <stp>.NDX251017C19525</stp>
        <tr r="S175" s="2"/>
      </tp>
      <tp t="s">
        <v>N/A</v>
        <stp/>
        <stp>VOLUME</stp>
        <stp>.NDX251121C20325</stp>
        <tr r="U143" s="2"/>
      </tp>
      <tp t="s">
        <v>N/A</v>
        <stp/>
        <stp>VOLUME</stp>
        <stp>.NDX250815C19700</stp>
        <tr r="O168" s="2"/>
      </tp>
      <tp t="s">
        <v>N/A</v>
        <stp/>
        <stp>VOLUME</stp>
        <stp>.NDX250516C19400</stp>
        <tr r="BE179" s="1"/>
      </tp>
      <tp>
        <v>4</v>
        <stp/>
        <stp>VOLUME</stp>
        <stp>.NDX250620C20200</stp>
        <tr r="K148" s="2"/>
        <tr r="K148" s="2"/>
      </tp>
      <tp t="s">
        <v>N/A</v>
        <stp/>
        <stp>VOLUME</stp>
        <stp>.NDX250620C19200</stp>
        <tr r="K188" s="2"/>
      </tp>
      <tp>
        <v>33</v>
        <stp/>
        <stp>VOLUME</stp>
        <stp>.NDX250516C20400</stp>
        <tr r="BE139" s="1"/>
        <tr r="BE139" s="1"/>
      </tp>
      <tp t="s">
        <v>N/A</v>
        <stp/>
        <stp>VOLUME</stp>
        <stp>.NDX250523C20100</stp>
        <tr r="H152" s="2"/>
      </tp>
      <tp t="s">
        <v>N/A</v>
        <stp/>
        <stp>VOLUME</stp>
        <stp>.NDX251017C19500</stp>
        <tr r="S176" s="2"/>
      </tp>
      <tp>
        <v>2</v>
        <stp/>
        <stp>VOLUME</stp>
        <stp>.NDX251121C19300</stp>
        <tr r="U184" s="2"/>
        <tr r="U184" s="2"/>
      </tp>
      <tp t="s">
        <v>N/A</v>
        <stp/>
        <stp>VOLUME</stp>
        <stp>.NDX251121C20300</stp>
        <tr r="U144" s="2"/>
      </tp>
      <tp t="s">
        <v>N/A</v>
        <stp/>
        <stp>VOLUME</stp>
        <stp>.NDX251121C19375</stp>
        <tr r="U181" s="2"/>
      </tp>
      <tp t="s">
        <v>N/A</v>
        <stp/>
        <stp>VOLUME</stp>
        <stp>.NDX251017C19575</stp>
        <tr r="S173" s="2"/>
      </tp>
      <tp t="s">
        <v>N/A</v>
        <stp/>
        <stp>VOLUME</stp>
        <stp>.NDX251121C20375</stp>
        <tr r="U141" s="2"/>
      </tp>
      <tp t="s">
        <v>N/A</v>
        <stp/>
        <stp>VOLUME</stp>
        <stp>.NDX250815C19775</stp>
        <tr r="O165" s="2"/>
      </tp>
      <tp t="s">
        <v>N/A</v>
        <stp/>
        <stp>VOLUME</stp>
        <stp>.NDX250516C19475</stp>
        <tr r="BE176" s="1"/>
      </tp>
      <tp t="s">
        <v>N/A</v>
        <stp/>
        <stp>VOLUME</stp>
        <stp>.NDX250523C19175</stp>
        <tr r="H189" s="2"/>
      </tp>
      <tp>
        <v>23</v>
        <stp/>
        <stp>VOLUME</stp>
        <stp>.NDX250620C20275</stp>
        <tr r="K145" s="2"/>
        <tr r="K145" s="2"/>
      </tp>
      <tp t="s">
        <v>N/A</v>
        <stp/>
        <stp>VOLUME</stp>
        <stp>.NDX250620C19275</stp>
        <tr r="K185" s="2"/>
      </tp>
      <tp t="s">
        <v>N/A</v>
        <stp/>
        <stp>VOLUME</stp>
        <stp>.NDX250523C20175</stp>
        <tr r="H149" s="2"/>
      </tp>
      <tp t="s">
        <v>N/A</v>
        <stp/>
        <stp>VOLUME</stp>
        <stp>.NDX251017C19550</stp>
        <tr r="S174" s="2"/>
      </tp>
      <tp t="s">
        <v>N/A</v>
        <stp/>
        <stp>VOLUME</stp>
        <stp>.NDX251121C19350</stp>
        <tr r="U182" s="2"/>
      </tp>
      <tp t="s">
        <v>N/A</v>
        <stp/>
        <stp>VOLUME</stp>
        <stp>.NDX251121C20350</stp>
        <tr r="U142" s="2"/>
      </tp>
      <tp t="s">
        <v>N/A</v>
        <stp/>
        <stp>VOLUME</stp>
        <stp>.NDX250815C19750</stp>
        <tr r="O166" s="2"/>
      </tp>
      <tp t="s">
        <v>N/A</v>
        <stp/>
        <stp>VOLUME</stp>
        <stp>.NDX250516C19450</stp>
        <tr r="BE177" s="1"/>
      </tp>
      <tp t="s">
        <v>N/A</v>
        <stp/>
        <stp>VOLUME</stp>
        <stp>.NDX250523C19150</stp>
        <tr r="H190" s="2"/>
      </tp>
      <tp>
        <v>6</v>
        <stp/>
        <stp>VOLUME</stp>
        <stp>.NDX250620C20250</stp>
        <tr r="K146" s="2"/>
        <tr r="K146" s="2"/>
      </tp>
      <tp t="s">
        <v>N/A</v>
        <stp/>
        <stp>VOLUME</stp>
        <stp>.NDX250620C19250</stp>
        <tr r="K186" s="2"/>
      </tp>
      <tp>
        <v>1</v>
        <stp/>
        <stp>VOLUME</stp>
        <stp>.NDX250516C20450</stp>
        <tr r="BE137" s="1"/>
        <tr r="BE137" s="1"/>
      </tp>
      <tp t="s">
        <v>N/A</v>
        <stp/>
        <stp>VOLUME</stp>
        <stp>.NDX250523C20150</stp>
        <tr r="H150" s="2"/>
      </tp>
      <tp t="s">
        <v>4.36%</v>
        <stp/>
        <stp>IMPL_VOL</stp>
        <stp>.NDXP250505C20075</stp>
        <tr r="EL152" s="1"/>
      </tp>
      <tp t="s">
        <v>--</v>
        <stp/>
        <stp>IMPL_VOL</stp>
        <stp>.NDXP250505C20050</stp>
        <tr r="EL153" s="1"/>
      </tp>
      <tp t="s">
        <v>--</v>
        <stp/>
        <stp>IMPL_VOL</stp>
        <stp>.NDXP250505C20025</stp>
        <tr r="EL154" s="1"/>
      </tp>
      <tp t="s">
        <v>--</v>
        <stp/>
        <stp>IMPL_VOL</stp>
        <stp>.NDXP250505C20000</stp>
        <tr r="EL155" s="1"/>
      </tp>
      <tp t="s">
        <v>N/A</v>
        <stp/>
        <stp>VOLUME</stp>
        <stp>.NDX251017P19600</stp>
        <tr r="S172" s="2"/>
      </tp>
      <tp t="s">
        <v>N/A</v>
        <stp/>
        <stp>VOLUME</stp>
        <stp>.NDX251219P19800</stp>
        <tr r="W164" s="2"/>
      </tp>
      <tp t="s">
        <v>N/A</v>
        <stp/>
        <stp>VOLUME</stp>
        <stp>.NDX251121P20000</stp>
        <tr r="U156" s="2"/>
      </tp>
      <tp t="s">
        <v>N/A</v>
        <stp/>
        <stp>VOLUME</stp>
        <stp>.NDX250815P19400</stp>
        <tr r="O180" s="2"/>
      </tp>
      <tp t="s">
        <v>N/A</v>
        <stp/>
        <stp>VOLUME</stp>
        <stp>.NDX250919P19800</stp>
        <tr r="Q164" s="2"/>
      </tp>
      <tp t="s">
        <v>N/A</v>
        <stp/>
        <stp>VOLUME</stp>
        <stp>.NDX250815P20400</stp>
        <tr r="O140" s="2"/>
      </tp>
      <tp>
        <v>8</v>
        <stp/>
        <stp>VOLUME</stp>
        <stp>.NDX250516P19700</stp>
        <tr r="BF167" s="1"/>
        <tr r="BF167" s="1"/>
      </tp>
      <tp t="s">
        <v>N/A</v>
        <stp/>
        <stp>VOLUME</stp>
        <stp>.NDX250523P19200</stp>
        <tr r="H188" s="2"/>
      </tp>
      <tp>
        <v>3</v>
        <stp/>
        <stp>VOLUME</stp>
        <stp>.NDX250620P20100</stp>
        <tr r="K152" s="2"/>
        <tr r="K152" s="2"/>
      </tp>
      <tp t="s">
        <v>N/A</v>
        <stp/>
        <stp>VOLUME</stp>
        <stp>.NDX250523P20200</stp>
        <tr r="H148" s="2"/>
      </tp>
      <tp t="s">
        <v>N/A</v>
        <stp/>
        <stp>VOLUME</stp>
        <stp>.NDX250718P19900</stp>
        <tr r="M160" s="2"/>
      </tp>
      <tp t="s">
        <v>N/A</v>
        <stp/>
        <stp>VOLUME</stp>
        <stp>.NDX251017P19625</stp>
        <tr r="S171" s="2"/>
      </tp>
      <tp t="s">
        <v>N/A</v>
        <stp/>
        <stp>VOLUME</stp>
        <stp>.NDX251219P19825</stp>
        <tr r="W163" s="2"/>
      </tp>
      <tp t="s">
        <v>N/A</v>
        <stp/>
        <stp>VOLUME</stp>
        <stp>.NDX251121P20025</stp>
        <tr r="U155" s="2"/>
      </tp>
      <tp t="s">
        <v>N/A</v>
        <stp/>
        <stp>VOLUME</stp>
        <stp>.NDX250919P19825</stp>
        <tr r="Q163" s="2"/>
      </tp>
      <tp t="s">
        <v>N/A</v>
        <stp/>
        <stp>VOLUME</stp>
        <stp>.NDX250815P19425</stp>
        <tr r="O179" s="2"/>
      </tp>
      <tp t="s">
        <v>N/A</v>
        <stp/>
        <stp>VOLUME</stp>
        <stp>.NDX250815P20425</stp>
        <tr r="O139" s="2"/>
      </tp>
      <tp>
        <v>2</v>
        <stp/>
        <stp>VOLUME</stp>
        <stp>.NDX250516P19725</stp>
        <tr r="BF166" s="1"/>
        <tr r="BF166" s="1"/>
      </tp>
      <tp t="s">
        <v>N/A</v>
        <stp/>
        <stp>VOLUME</stp>
        <stp>.NDX250523P19225</stp>
        <tr r="H187" s="2"/>
      </tp>
      <tp>
        <v>29</v>
        <stp/>
        <stp>VOLUME</stp>
        <stp>.NDX250620P20125</stp>
        <tr r="K151" s="2"/>
        <tr r="K151" s="2"/>
      </tp>
      <tp t="s">
        <v>N/A</v>
        <stp/>
        <stp>VOLUME</stp>
        <stp>.NDX250718P19925</stp>
        <tr r="M159" s="2"/>
      </tp>
      <tp t="s">
        <v>N/A</v>
        <stp/>
        <stp>VOLUME</stp>
        <stp>.NDX250523P20225</stp>
        <tr r="H147" s="2"/>
      </tp>
      <tp t="s">
        <v>N/A</v>
        <stp/>
        <stp>VOLUME</stp>
        <stp>.NDX250815P19450</stp>
        <tr r="O178" s="2"/>
      </tp>
      <tp t="s">
        <v>N/A</v>
        <stp/>
        <stp>VOLUME</stp>
        <stp>.NDX250919P19850</stp>
        <tr r="Q162" s="2"/>
      </tp>
      <tp t="s">
        <v>N/A</v>
        <stp/>
        <stp>VOLUME</stp>
        <stp>.NDX250815P20450</stp>
        <tr r="O138" s="2"/>
      </tp>
      <tp>
        <v>13</v>
        <stp/>
        <stp>VOLUME</stp>
        <stp>.NDX250516P19750</stp>
        <tr r="BF165" s="1"/>
        <tr r="BF165" s="1"/>
      </tp>
      <tp t="s">
        <v>N/A</v>
        <stp/>
        <stp>VOLUME</stp>
        <stp>.NDX250523P19250</stp>
        <tr r="H186" s="2"/>
      </tp>
      <tp>
        <v>5</v>
        <stp/>
        <stp>VOLUME</stp>
        <stp>.NDX250620P20150</stp>
        <tr r="K150" s="2"/>
        <tr r="K150" s="2"/>
      </tp>
      <tp>
        <v>4</v>
        <stp/>
        <stp>VOLUME</stp>
        <stp>.NDX250620P19150</stp>
        <tr r="K190" s="2"/>
        <tr r="K190" s="2"/>
      </tp>
      <tp t="s">
        <v>N/A</v>
        <stp/>
        <stp>VOLUME</stp>
        <stp>.NDX250523P20250</stp>
        <tr r="H146" s="2"/>
      </tp>
      <tp t="s">
        <v>N/A</v>
        <stp/>
        <stp>VOLUME</stp>
        <stp>.NDX250718P19950</stp>
        <tr r="M158" s="2"/>
      </tp>
      <tp t="s">
        <v>N/A</v>
        <stp/>
        <stp>VOLUME</stp>
        <stp>.NDX251017P19650</stp>
        <tr r="S170" s="2"/>
      </tp>
      <tp t="s">
        <v>N/A</v>
        <stp/>
        <stp>VOLUME</stp>
        <stp>.NDX251219P19850</stp>
        <tr r="W162" s="2"/>
      </tp>
      <tp t="s">
        <v>N/A</v>
        <stp/>
        <stp>VOLUME</stp>
        <stp>.NDX251121P20050</stp>
        <tr r="U154" s="2"/>
      </tp>
      <tp t="s">
        <v>N/A</v>
        <stp/>
        <stp>VOLUME</stp>
        <stp>.NDX250919P19875</stp>
        <tr r="Q161" s="2"/>
      </tp>
      <tp t="s">
        <v>N/A</v>
        <stp/>
        <stp>VOLUME</stp>
        <stp>.NDX250815P19475</stp>
        <tr r="O177" s="2"/>
      </tp>
      <tp>
        <v>9</v>
        <stp/>
        <stp>VOLUME</stp>
        <stp>.NDX250516P19775</stp>
        <tr r="BF164" s="1"/>
        <tr r="BF164" s="1"/>
      </tp>
      <tp t="s">
        <v>N/A</v>
        <stp/>
        <stp>VOLUME</stp>
        <stp>.NDX250523P19275</stp>
        <tr r="H185" s="2"/>
      </tp>
      <tp t="s">
        <v>N/A</v>
        <stp/>
        <stp>VOLUME</stp>
        <stp>.NDX250620P20175</stp>
        <tr r="K149" s="2"/>
      </tp>
      <tp t="s">
        <v>N/A</v>
        <stp/>
        <stp>VOLUME</stp>
        <stp>.NDX250718P19975</stp>
        <tr r="M157" s="2"/>
      </tp>
      <tp t="s">
        <v>N/A</v>
        <stp/>
        <stp>VOLUME</stp>
        <stp>.NDX250620P19175</stp>
        <tr r="K189" s="2"/>
      </tp>
      <tp t="s">
        <v>N/A</v>
        <stp/>
        <stp>VOLUME</stp>
        <stp>.NDX250523P20275</stp>
        <tr r="H145" s="2"/>
      </tp>
      <tp t="s">
        <v>N/A</v>
        <stp/>
        <stp>VOLUME</stp>
        <stp>.NDX251017P19675</stp>
        <tr r="S169" s="2"/>
      </tp>
      <tp t="s">
        <v>N/A</v>
        <stp/>
        <stp>VOLUME</stp>
        <stp>.NDX251219P19875</stp>
        <tr r="W161" s="2"/>
      </tp>
      <tp t="s">
        <v>N/A</v>
        <stp/>
        <stp>VOLUME</stp>
        <stp>.NDX251121P20075</stp>
        <tr r="U153" s="2"/>
      </tp>
      <tp t="s">
        <v>135.90%</v>
        <stp/>
        <stp>IMPL_VOL</stp>
        <stp>.NDXP250505P20050</stp>
        <tr r="EM153" s="1"/>
      </tp>
      <tp t="s">
        <v>151.48%</v>
        <stp/>
        <stp>IMPL_VOL</stp>
        <stp>.NDXP250505P20075</stp>
        <tr r="EM152" s="1"/>
      </tp>
      <tp t="s">
        <v>88.41%</v>
        <stp/>
        <stp>IMPL_VOL</stp>
        <stp>.NDXP250505P20000</stp>
        <tr r="EM155" s="1"/>
      </tp>
      <tp t="s">
        <v>110.73%</v>
        <stp/>
        <stp>IMPL_VOL</stp>
        <stp>.NDXP250505P20025</stp>
        <tr r="EM154" s="1"/>
      </tp>
      <tp t="s">
        <v>N/A</v>
        <stp/>
        <stp>VOLUME</stp>
        <stp>.NDX250919C19825</stp>
        <tr r="Q163" s="2"/>
      </tp>
      <tp t="s">
        <v>N/A</v>
        <stp/>
        <stp>VOLUME</stp>
        <stp>.NDX250815C19425</stp>
        <tr r="O179" s="2"/>
      </tp>
      <tp t="s">
        <v>N/A</v>
        <stp/>
        <stp>VOLUME</stp>
        <stp>.NDX250815C20425</stp>
        <tr r="O139" s="2"/>
      </tp>
      <tp t="s">
        <v>N/A</v>
        <stp/>
        <stp>VOLUME</stp>
        <stp>.NDX250516C19725</stp>
        <tr r="BE166" s="1"/>
      </tp>
      <tp t="s">
        <v>N/A</v>
        <stp/>
        <stp>VOLUME</stp>
        <stp>.NDX250523C19225</stp>
        <tr r="H187" s="2"/>
      </tp>
      <tp>
        <v>29</v>
        <stp/>
        <stp>VOLUME</stp>
        <stp>.NDX250620C20125</stp>
        <tr r="K151" s="2"/>
        <tr r="K151" s="2"/>
      </tp>
      <tp t="s">
        <v>N/A</v>
        <stp/>
        <stp>VOLUME</stp>
        <stp>.NDX250718C19925</stp>
        <tr r="M159" s="2"/>
      </tp>
      <tp t="s">
        <v>N/A</v>
        <stp/>
        <stp>VOLUME</stp>
        <stp>.NDX250523C20225</stp>
        <tr r="H147" s="2"/>
      </tp>
      <tp t="s">
        <v>N/A</v>
        <stp/>
        <stp>VOLUME</stp>
        <stp>.NDX251017C19625</stp>
        <tr r="S171" s="2"/>
      </tp>
      <tp t="s">
        <v>N/A</v>
        <stp/>
        <stp>VOLUME</stp>
        <stp>.NDX251219C19825</stp>
        <tr r="W163" s="2"/>
      </tp>
      <tp t="s">
        <v>N/A</v>
        <stp/>
        <stp>VOLUME</stp>
        <stp>.NDX251121C20025</stp>
        <tr r="U155" s="2"/>
      </tp>
      <tp t="s">
        <v>N/A</v>
        <stp/>
        <stp>VOLUME</stp>
        <stp>.NDX250815C19400</stp>
        <tr r="O180" s="2"/>
      </tp>
      <tp t="s">
        <v>N/A</v>
        <stp/>
        <stp>VOLUME</stp>
        <stp>.NDX250919C19800</stp>
        <tr r="Q164" s="2"/>
      </tp>
      <tp t="s">
        <v>N/A</v>
        <stp/>
        <stp>VOLUME</stp>
        <stp>.NDX250815C20400</stp>
        <tr r="O140" s="2"/>
      </tp>
      <tp>
        <v>1</v>
        <stp/>
        <stp>VOLUME</stp>
        <stp>.NDX250516C19700</stp>
        <tr r="BE167" s="1"/>
        <tr r="BE167" s="1"/>
      </tp>
      <tp t="s">
        <v>N/A</v>
        <stp/>
        <stp>VOLUME</stp>
        <stp>.NDX250523C19200</stp>
        <tr r="H188" s="2"/>
      </tp>
      <tp>
        <v>4</v>
        <stp/>
        <stp>VOLUME</stp>
        <stp>.NDX250620C20100</stp>
        <tr r="K152" s="2"/>
        <tr r="K152" s="2"/>
      </tp>
      <tp t="s">
        <v>N/A</v>
        <stp/>
        <stp>VOLUME</stp>
        <stp>.NDX250523C20200</stp>
        <tr r="H148" s="2"/>
      </tp>
      <tp t="s">
        <v>N/A</v>
        <stp/>
        <stp>VOLUME</stp>
        <stp>.NDX250718C19900</stp>
        <tr r="M160" s="2"/>
      </tp>
      <tp t="s">
        <v>N/A</v>
        <stp/>
        <stp>VOLUME</stp>
        <stp>.NDX251017C19600</stp>
        <tr r="S172" s="2"/>
      </tp>
      <tp t="s">
        <v>N/A</v>
        <stp/>
        <stp>VOLUME</stp>
        <stp>.NDX251219C19800</stp>
        <tr r="W164" s="2"/>
      </tp>
      <tp t="s">
        <v>N/A</v>
        <stp/>
        <stp>VOLUME</stp>
        <stp>.NDX251121C20000</stp>
        <tr r="U156" s="2"/>
      </tp>
      <tp t="s">
        <v>N/A</v>
        <stp/>
        <stp>VOLUME</stp>
        <stp>.NDX251017C19675</stp>
        <tr r="S169" s="2"/>
      </tp>
      <tp t="s">
        <v>N/A</v>
        <stp/>
        <stp>VOLUME</stp>
        <stp>.NDX251219C19875</stp>
        <tr r="W161" s="2"/>
      </tp>
      <tp t="s">
        <v>N/A</v>
        <stp/>
        <stp>VOLUME</stp>
        <stp>.NDX251121C20075</stp>
        <tr r="U153" s="2"/>
      </tp>
      <tp t="s">
        <v>N/A</v>
        <stp/>
        <stp>VOLUME</stp>
        <stp>.NDX250919C19875</stp>
        <tr r="Q161" s="2"/>
      </tp>
      <tp t="s">
        <v>N/A</v>
        <stp/>
        <stp>VOLUME</stp>
        <stp>.NDX250815C19475</stp>
        <tr r="O177" s="2"/>
      </tp>
      <tp t="s">
        <v>N/A</v>
        <stp/>
        <stp>VOLUME</stp>
        <stp>.NDX250516C19775</stp>
        <tr r="BE164" s="1"/>
      </tp>
      <tp t="s">
        <v>N/A</v>
        <stp/>
        <stp>VOLUME</stp>
        <stp>.NDX250523C19275</stp>
        <tr r="H185" s="2"/>
      </tp>
      <tp t="s">
        <v>N/A</v>
        <stp/>
        <stp>VOLUME</stp>
        <stp>.NDX250620C20175</stp>
        <tr r="K149" s="2"/>
      </tp>
      <tp t="s">
        <v>N/A</v>
        <stp/>
        <stp>VOLUME</stp>
        <stp>.NDX250718C19975</stp>
        <tr r="M157" s="2"/>
      </tp>
      <tp t="s">
        <v>N/A</v>
        <stp/>
        <stp>VOLUME</stp>
        <stp>.NDX250620C19175</stp>
        <tr r="K189" s="2"/>
      </tp>
      <tp t="s">
        <v>N/A</v>
        <stp/>
        <stp>VOLUME</stp>
        <stp>.NDX250523C20275</stp>
        <tr r="H145" s="2"/>
      </tp>
      <tp t="s">
        <v>N/A</v>
        <stp/>
        <stp>VOLUME</stp>
        <stp>.NDX251017C19650</stp>
        <tr r="S170" s="2"/>
      </tp>
      <tp t="s">
        <v>N/A</v>
        <stp/>
        <stp>VOLUME</stp>
        <stp>.NDX251219C19850</stp>
        <tr r="W162" s="2"/>
      </tp>
      <tp t="s">
        <v>N/A</v>
        <stp/>
        <stp>VOLUME</stp>
        <stp>.NDX251121C20050</stp>
        <tr r="U154" s="2"/>
      </tp>
      <tp t="s">
        <v>N/A</v>
        <stp/>
        <stp>VOLUME</stp>
        <stp>.NDX250815C19450</stp>
        <tr r="O178" s="2"/>
      </tp>
      <tp t="s">
        <v>N/A</v>
        <stp/>
        <stp>VOLUME</stp>
        <stp>.NDX250919C19850</stp>
        <tr r="Q162" s="2"/>
      </tp>
      <tp t="s">
        <v>N/A</v>
        <stp/>
        <stp>VOLUME</stp>
        <stp>.NDX250815C20450</stp>
        <tr r="O138" s="2"/>
      </tp>
      <tp t="s">
        <v>N/A</v>
        <stp/>
        <stp>VOLUME</stp>
        <stp>.NDX250516C19750</stp>
        <tr r="BE165" s="1"/>
      </tp>
      <tp t="s">
        <v>N/A</v>
        <stp/>
        <stp>VOLUME</stp>
        <stp>.NDX250523C19250</stp>
        <tr r="H186" s="2"/>
      </tp>
      <tp t="s">
        <v>N/A</v>
        <stp/>
        <stp>VOLUME</stp>
        <stp>.NDX250620C20150</stp>
        <tr r="K150" s="2"/>
      </tp>
      <tp t="s">
        <v>N/A</v>
        <stp/>
        <stp>VOLUME</stp>
        <stp>.NDX250620C19150</stp>
        <tr r="K190" s="2"/>
      </tp>
      <tp t="s">
        <v>N/A</v>
        <stp/>
        <stp>VOLUME</stp>
        <stp>.NDX250523C20250</stp>
        <tr r="H146" s="2"/>
      </tp>
      <tp t="s">
        <v>N/A</v>
        <stp/>
        <stp>VOLUME</stp>
        <stp>.NDX250718C19950</stp>
        <tr r="M158" s="2"/>
      </tp>
      <tp t="s">
        <v>75.90%</v>
        <stp/>
        <stp>IMPL_VOL</stp>
        <stp>.NDXP250505C20175</stp>
        <tr r="EL148" s="1"/>
      </tp>
      <tp t="s">
        <v>--</v>
        <stp/>
        <stp>IMPL_VOL</stp>
        <stp>.NDXP250505C19175</stp>
        <tr r="EL188" s="1"/>
      </tp>
      <tp t="s">
        <v>20.86%</v>
        <stp/>
        <stp>IMPL_VOL</stp>
        <stp>.NDXP250505C20150</stp>
        <tr r="EL149" s="1"/>
      </tp>
      <tp t="s">
        <v>--</v>
        <stp/>
        <stp>IMPL_VOL</stp>
        <stp>.NDXP250505C19150</stp>
        <tr r="EL189" s="1"/>
      </tp>
      <tp t="s">
        <v>15.52%</v>
        <stp/>
        <stp>IMPL_VOL</stp>
        <stp>.NDXP250505C20125</stp>
        <tr r="EL150" s="1"/>
      </tp>
      <tp t="s">
        <v>9.92%</v>
        <stp/>
        <stp>IMPL_VOL</stp>
        <stp>.NDXP250505C20100</stp>
        <tr r="EL151" s="1"/>
      </tp>
      <tp t="s">
        <v>N/A</v>
        <stp/>
        <stp>VOLUME</stp>
        <stp>.NDX251017P19700</stp>
        <tr r="S168" s="2"/>
      </tp>
      <tp t="s">
        <v>N/A</v>
        <stp/>
        <stp>VOLUME</stp>
        <stp>.NDX251219P19900</stp>
        <tr r="W160" s="2"/>
      </tp>
      <tp t="s">
        <v>N/A</v>
        <stp/>
        <stp>VOLUME</stp>
        <stp>.NDX251121P20100</stp>
        <tr r="U152" s="2"/>
      </tp>
      <tp>
        <v>13</v>
        <stp/>
        <stp>VOLUME</stp>
        <stp>.NDX250815P19500</stp>
        <tr r="O176" s="2"/>
        <tr r="O176" s="2"/>
      </tp>
      <tp t="s">
        <v>N/A</v>
        <stp/>
        <stp>VOLUME</stp>
        <stp>.NDX250919P19900</stp>
        <tr r="Q160" s="2"/>
      </tp>
      <tp>
        <v>26</v>
        <stp/>
        <stp>VOLUME</stp>
        <stp>.NDX250516P19600</stp>
        <tr r="BF171" s="1"/>
        <tr r="BF171" s="1"/>
      </tp>
      <tp t="s">
        <v>N/A</v>
        <stp/>
        <stp>VOLUME</stp>
        <stp>.NDX250523P19300</stp>
        <tr r="H184" s="2"/>
      </tp>
      <tp>
        <v>26</v>
        <stp/>
        <stp>VOLUME</stp>
        <stp>.NDX250620P20000</stp>
        <tr r="K156" s="2"/>
        <tr r="K156" s="2"/>
      </tp>
      <tp t="s">
        <v>N/A</v>
        <stp/>
        <stp>VOLUME</stp>
        <stp>.NDX250523P20300</stp>
        <tr r="H144" s="2"/>
      </tp>
      <tp>
        <v>2</v>
        <stp/>
        <stp>VOLUME</stp>
        <stp>.NDX250718P19800</stp>
        <tr r="M164" s="2"/>
        <tr r="M164" s="2"/>
      </tp>
      <tp t="s">
        <v>N/A</v>
        <stp/>
        <stp>VOLUME</stp>
        <stp>.NDX251017P19725</stp>
        <tr r="S167" s="2"/>
      </tp>
      <tp t="s">
        <v>N/A</v>
        <stp/>
        <stp>VOLUME</stp>
        <stp>.NDX251219P19925</stp>
        <tr r="W159" s="2"/>
      </tp>
      <tp t="s">
        <v>N/A</v>
        <stp/>
        <stp>VOLUME</stp>
        <stp>.NDX251121P20125</stp>
        <tr r="U151" s="2"/>
      </tp>
      <tp t="s">
        <v>N/A</v>
        <stp/>
        <stp>VOLUME</stp>
        <stp>.NDX250919P19925</stp>
        <tr r="Q159" s="2"/>
      </tp>
      <tp t="s">
        <v>N/A</v>
        <stp/>
        <stp>VOLUME</stp>
        <stp>.NDX250815P19525</stp>
        <tr r="O175" s="2"/>
      </tp>
      <tp>
        <v>4</v>
        <stp/>
        <stp>VOLUME</stp>
        <stp>.NDX250516P19625</stp>
        <tr r="BF170" s="1"/>
        <tr r="BF170" s="1"/>
      </tp>
      <tp t="s">
        <v>N/A</v>
        <stp/>
        <stp>VOLUME</stp>
        <stp>.NDX250523P19325</stp>
        <tr r="H183" s="2"/>
      </tp>
      <tp t="s">
        <v>N/A</v>
        <stp/>
        <stp>VOLUME</stp>
        <stp>.NDX250620P20025</stp>
        <tr r="K155" s="2"/>
      </tp>
      <tp t="s">
        <v>N/A</v>
        <stp/>
        <stp>VOLUME</stp>
        <stp>.NDX250718P19825</stp>
        <tr r="M163" s="2"/>
      </tp>
      <tp t="s">
        <v>N/A</v>
        <stp/>
        <stp>VOLUME</stp>
        <stp>.NDX250523P20325</stp>
        <tr r="H143" s="2"/>
      </tp>
      <tp t="s">
        <v>N/A</v>
        <stp/>
        <stp>VOLUME</stp>
        <stp>.NDX250815P19550</stp>
        <tr r="O174" s="2"/>
      </tp>
      <tp t="s">
        <v>N/A</v>
        <stp/>
        <stp>VOLUME</stp>
        <stp>.NDX250919P19950</stp>
        <tr r="Q158" s="2"/>
      </tp>
      <tp>
        <v>3</v>
        <stp/>
        <stp>VOLUME</stp>
        <stp>.NDX250516P19650</stp>
        <tr r="BF169" s="1"/>
        <tr r="BF169" s="1"/>
      </tp>
      <tp t="s">
        <v>N/A</v>
        <stp/>
        <stp>VOLUME</stp>
        <stp>.NDX250523P19350</stp>
        <tr r="H182" s="2"/>
      </tp>
      <tp>
        <v>26</v>
        <stp/>
        <stp>VOLUME</stp>
        <stp>.NDX250620P20050</stp>
        <tr r="K154" s="2"/>
        <tr r="K154" s="2"/>
      </tp>
      <tp t="s">
        <v>N/A</v>
        <stp/>
        <stp>VOLUME</stp>
        <stp>.NDX250523P20350</stp>
        <tr r="H142" s="2"/>
      </tp>
      <tp t="s">
        <v>N/A</v>
        <stp/>
        <stp>VOLUME</stp>
        <stp>.NDX250718P19850</stp>
        <tr r="M162" s="2"/>
      </tp>
      <tp t="s">
        <v>N/A</v>
        <stp/>
        <stp>VOLUME</stp>
        <stp>.NDX251017P19750</stp>
        <tr r="S166" s="2"/>
      </tp>
      <tp t="s">
        <v>N/A</v>
        <stp/>
        <stp>VOLUME</stp>
        <stp>.NDX251121P19150</stp>
        <tr r="U190" s="2"/>
      </tp>
      <tp t="s">
        <v>N/A</v>
        <stp/>
        <stp>VOLUME</stp>
        <stp>.NDX251219P19950</stp>
        <tr r="W158" s="2"/>
      </tp>
      <tp t="s">
        <v>N/A</v>
        <stp/>
        <stp>VOLUME</stp>
        <stp>.NDX251121P20150</stp>
        <tr r="U150" s="2"/>
      </tp>
      <tp t="s">
        <v>N/A</v>
        <stp/>
        <stp>VOLUME</stp>
        <stp>.NDX250919P19975</stp>
        <tr r="Q157" s="2"/>
      </tp>
      <tp t="s">
        <v>N/A</v>
        <stp/>
        <stp>VOLUME</stp>
        <stp>.NDX250815P19575</stp>
        <tr r="O173" s="2"/>
      </tp>
      <tp>
        <v>4</v>
        <stp/>
        <stp>VOLUME</stp>
        <stp>.NDX250516P19675</stp>
        <tr r="BF168" s="1"/>
        <tr r="BF168" s="1"/>
      </tp>
      <tp t="s">
        <v>N/A</v>
        <stp/>
        <stp>VOLUME</stp>
        <stp>.NDX250523P19375</stp>
        <tr r="H181" s="2"/>
      </tp>
      <tp>
        <v>1</v>
        <stp/>
        <stp>VOLUME</stp>
        <stp>.NDX250620P20075</stp>
        <tr r="K153" s="2"/>
        <tr r="K153" s="2"/>
      </tp>
      <tp t="s">
        <v>N/A</v>
        <stp/>
        <stp>VOLUME</stp>
        <stp>.NDX250718P19875</stp>
        <tr r="M161" s="2"/>
      </tp>
      <tp t="s">
        <v>N/A</v>
        <stp/>
        <stp>VOLUME</stp>
        <stp>.NDX250523P20375</stp>
        <tr r="H141" s="2"/>
      </tp>
      <tp t="s">
        <v>N/A</v>
        <stp/>
        <stp>VOLUME</stp>
        <stp>.NDX251121P19175</stp>
        <tr r="U189" s="2"/>
      </tp>
      <tp t="s">
        <v>N/A</v>
        <stp/>
        <stp>VOLUME</stp>
        <stp>.NDX251017P19775</stp>
        <tr r="S165" s="2"/>
      </tp>
      <tp t="s">
        <v>N/A</v>
        <stp/>
        <stp>VOLUME</stp>
        <stp>.NDX251219P19975</stp>
        <tr r="W157" s="2"/>
      </tp>
      <tp t="s">
        <v>N/A</v>
        <stp/>
        <stp>VOLUME</stp>
        <stp>.NDX251121P20175</stp>
        <tr r="U149" s="2"/>
      </tp>
      <tp t="s">
        <v>210.29%</v>
        <stp/>
        <stp>IMPL_VOL</stp>
        <stp>.NDXP250505P20150</stp>
        <tr r="EM149" s="1"/>
      </tp>
      <tp t="s">
        <v>362.86%</v>
        <stp/>
        <stp>IMPL_VOL</stp>
        <stp>.NDXP250505P19150</stp>
        <tr r="EM189" s="1"/>
      </tp>
      <tp t="s">
        <v>226.60%</v>
        <stp/>
        <stp>IMPL_VOL</stp>
        <stp>.NDXP250505P20175</stp>
        <tr r="EM148" s="1"/>
      </tp>
      <tp t="s">
        <v>354.60%</v>
        <stp/>
        <stp>IMPL_VOL</stp>
        <stp>.NDXP250505P19175</stp>
        <tr r="EM188" s="1"/>
      </tp>
      <tp t="s">
        <v>170.42%</v>
        <stp/>
        <stp>IMPL_VOL</stp>
        <stp>.NDXP250505P20100</stp>
        <tr r="EM151" s="1"/>
      </tp>
      <tp t="s">
        <v>188.21%</v>
        <stp/>
        <stp>IMPL_VOL</stp>
        <stp>.NDXP250505P20125</stp>
        <tr r="EM150" s="1"/>
      </tp>
      <tp t="s">
        <v>N/A</v>
        <stp/>
        <stp>VOLUME</stp>
        <stp>.NDX250919C19925</stp>
        <tr r="Q159" s="2"/>
      </tp>
      <tp t="s">
        <v>N/A</v>
        <stp/>
        <stp>VOLUME</stp>
        <stp>.NDX250815C19525</stp>
        <tr r="O175" s="2"/>
      </tp>
      <tp t="s">
        <v>N/A</v>
        <stp/>
        <stp>VOLUME</stp>
        <stp>.NDX250516C19625</stp>
        <tr r="BE170" s="1"/>
      </tp>
      <tp t="s">
        <v>N/A</v>
        <stp/>
        <stp>VOLUME</stp>
        <stp>.NDX250523C19325</stp>
        <tr r="H183" s="2"/>
      </tp>
      <tp>
        <v>13</v>
        <stp/>
        <stp>VOLUME</stp>
        <stp>.NDX250620C20025</stp>
        <tr r="K155" s="2"/>
        <tr r="K155" s="2"/>
      </tp>
      <tp t="s">
        <v>N/A</v>
        <stp/>
        <stp>VOLUME</stp>
        <stp>.NDX250718C19825</stp>
        <tr r="M163" s="2"/>
      </tp>
      <tp t="s">
        <v>N/A</v>
        <stp/>
        <stp>VOLUME</stp>
        <stp>.NDX250523C20325</stp>
        <tr r="H143" s="2"/>
      </tp>
      <tp t="s">
        <v>N/A</v>
        <stp/>
        <stp>VOLUME</stp>
        <stp>.NDX251017C19725</stp>
        <tr r="S167" s="2"/>
      </tp>
      <tp t="s">
        <v>N/A</v>
        <stp/>
        <stp>VOLUME</stp>
        <stp>.NDX251219C19925</stp>
        <tr r="W159" s="2"/>
      </tp>
      <tp t="s">
        <v>N/A</v>
        <stp/>
        <stp>VOLUME</stp>
        <stp>.NDX251121C20125</stp>
        <tr r="U151" s="2"/>
      </tp>
      <tp t="s">
        <v>N/A</v>
        <stp/>
        <stp>VOLUME</stp>
        <stp>.NDX250815C19500</stp>
        <tr r="O176" s="2"/>
      </tp>
      <tp t="s">
        <v>N/A</v>
        <stp/>
        <stp>VOLUME</stp>
        <stp>.NDX250919C19900</stp>
        <tr r="Q160" s="2"/>
      </tp>
      <tp t="s">
        <v>N/A</v>
        <stp/>
        <stp>VOLUME</stp>
        <stp>.NDX250516C19600</stp>
        <tr r="BE171" s="1"/>
      </tp>
      <tp t="s">
        <v>N/A</v>
        <stp/>
        <stp>VOLUME</stp>
        <stp>.NDX250523C19300</stp>
        <tr r="H184" s="2"/>
      </tp>
      <tp>
        <v>2</v>
        <stp/>
        <stp>VOLUME</stp>
        <stp>.NDX250620C20000</stp>
        <tr r="K156" s="2"/>
        <tr r="K156" s="2"/>
      </tp>
      <tp t="s">
        <v>N/A</v>
        <stp/>
        <stp>VOLUME</stp>
        <stp>.NDX250523C20300</stp>
        <tr r="H144" s="2"/>
      </tp>
      <tp t="s">
        <v>N/A</v>
        <stp/>
        <stp>VOLUME</stp>
        <stp>.NDX250718C19800</stp>
        <tr r="M164" s="2"/>
      </tp>
      <tp t="s">
        <v>N/A</v>
        <stp/>
        <stp>VOLUME</stp>
        <stp>.NDX251017C19700</stp>
        <tr r="S168" s="2"/>
      </tp>
      <tp t="s">
        <v>N/A</v>
        <stp/>
        <stp>VOLUME</stp>
        <stp>.NDX251219C19900</stp>
        <tr r="W160" s="2"/>
      </tp>
      <tp t="s">
        <v>N/A</v>
        <stp/>
        <stp>VOLUME</stp>
        <stp>.NDX251121C20100</stp>
        <tr r="U152" s="2"/>
      </tp>
      <tp t="s">
        <v>N/A</v>
        <stp/>
        <stp>VOLUME</stp>
        <stp>.NDX251121C19175</stp>
        <tr r="U189" s="2"/>
      </tp>
      <tp t="s">
        <v>N/A</v>
        <stp/>
        <stp>VOLUME</stp>
        <stp>.NDX251017C19775</stp>
        <tr r="S165" s="2"/>
      </tp>
      <tp t="s">
        <v>N/A</v>
        <stp/>
        <stp>VOLUME</stp>
        <stp>.NDX251219C19975</stp>
        <tr r="W157" s="2"/>
      </tp>
      <tp t="s">
        <v>N/A</v>
        <stp/>
        <stp>VOLUME</stp>
        <stp>.NDX251121C20175</stp>
        <tr r="U149" s="2"/>
      </tp>
      <tp t="s">
        <v>N/A</v>
        <stp/>
        <stp>VOLUME</stp>
        <stp>.NDX250919C19975</stp>
        <tr r="Q157" s="2"/>
      </tp>
      <tp t="s">
        <v>N/A</v>
        <stp/>
        <stp>VOLUME</stp>
        <stp>.NDX250815C19575</stp>
        <tr r="O173" s="2"/>
      </tp>
      <tp>
        <v>1</v>
        <stp/>
        <stp>VOLUME</stp>
        <stp>.NDX250516C19675</stp>
        <tr r="BE168" s="1"/>
        <tr r="BE168" s="1"/>
      </tp>
      <tp t="s">
        <v>N/A</v>
        <stp/>
        <stp>VOLUME</stp>
        <stp>.NDX250523C19375</stp>
        <tr r="H181" s="2"/>
      </tp>
      <tp t="s">
        <v>N/A</v>
        <stp/>
        <stp>VOLUME</stp>
        <stp>.NDX250620C20075</stp>
        <tr r="K153" s="2"/>
      </tp>
      <tp t="s">
        <v>N/A</v>
        <stp/>
        <stp>VOLUME</stp>
        <stp>.NDX250718C19875</stp>
        <tr r="M161" s="2"/>
      </tp>
      <tp t="s">
        <v>N/A</v>
        <stp/>
        <stp>VOLUME</stp>
        <stp>.NDX250523C20375</stp>
        <tr r="H141" s="2"/>
      </tp>
      <tp t="s">
        <v>N/A</v>
        <stp/>
        <stp>VOLUME</stp>
        <stp>.NDX251017C19750</stp>
        <tr r="S166" s="2"/>
      </tp>
      <tp t="s">
        <v>N/A</v>
        <stp/>
        <stp>VOLUME</stp>
        <stp>.NDX251121C19150</stp>
        <tr r="U190" s="2"/>
      </tp>
      <tp t="s">
        <v>N/A</v>
        <stp/>
        <stp>VOLUME</stp>
        <stp>.NDX251219C19950</stp>
        <tr r="W158" s="2"/>
      </tp>
      <tp t="s">
        <v>N/A</v>
        <stp/>
        <stp>VOLUME</stp>
        <stp>.NDX251121C20150</stp>
        <tr r="U150" s="2"/>
      </tp>
      <tp t="s">
        <v>N/A</v>
        <stp/>
        <stp>VOLUME</stp>
        <stp>.NDX250815C19550</stp>
        <tr r="O174" s="2"/>
      </tp>
      <tp t="s">
        <v>N/A</v>
        <stp/>
        <stp>VOLUME</stp>
        <stp>.NDX250919C19950</stp>
        <tr r="Q158" s="2"/>
      </tp>
      <tp t="s">
        <v>N/A</v>
        <stp/>
        <stp>VOLUME</stp>
        <stp>.NDX250516C19650</stp>
        <tr r="BE169" s="1"/>
      </tp>
      <tp t="s">
        <v>N/A</v>
        <stp/>
        <stp>VOLUME</stp>
        <stp>.NDX250523C19350</stp>
        <tr r="H182" s="2"/>
      </tp>
      <tp>
        <v>52</v>
        <stp/>
        <stp>VOLUME</stp>
        <stp>.NDX250620C20050</stp>
        <tr r="K154" s="2"/>
        <tr r="K154" s="2"/>
      </tp>
      <tp t="s">
        <v>N/A</v>
        <stp/>
        <stp>VOLUME</stp>
        <stp>.NDX250523C20350</stp>
        <tr r="H142" s="2"/>
      </tp>
      <tp t="s">
        <v>N/A</v>
        <stp/>
        <stp>VOLUME</stp>
        <stp>.NDX250718C19850</stp>
        <tr r="M162" s="2"/>
      </tp>
      <tp t="e">
        <v>#N/A</v>
        <stp/>
        <stp>MARK</stp>
        <stp/>
        <tr r="G44" s="1"/>
      </tp>
      <tp t="s">
        <v>--</v>
        <stp/>
        <stp>IMPL_VOL</stp>
        <stp>.NDXP250505C19675</stp>
        <tr r="EL168" s="1"/>
      </tp>
      <tp t="s">
        <v>--</v>
        <stp/>
        <stp>IMPL_VOL</stp>
        <stp>.NDXP250505C19650</stp>
        <tr r="EL169" s="1"/>
      </tp>
      <tp t="s">
        <v>--</v>
        <stp/>
        <stp>IMPL_VOL</stp>
        <stp>.NDXP250505C19625</stp>
        <tr r="EL170" s="1"/>
      </tp>
      <tp t="s">
        <v>--</v>
        <stp/>
        <stp>IMPL_VOL</stp>
        <stp>.NDXP250505C19600</stp>
        <tr r="EL171" s="1"/>
      </tp>
      <tp t="s">
        <v>N/A</v>
        <stp/>
        <stp>VOLUME</stp>
        <stp>.NDX251121P19600</stp>
        <tr r="U172" s="2"/>
      </tp>
      <tp t="s">
        <v>N/A</v>
        <stp/>
        <stp>VOLUME</stp>
        <stp>.NDX251017P20000</stp>
        <tr r="S156" s="2"/>
      </tp>
      <tp t="s">
        <v>N/A</v>
        <stp/>
        <stp>VOLUME</stp>
        <stp>.NDX250815P19200</stp>
        <tr r="O188" s="2"/>
      </tp>
      <tp t="s">
        <v>N/A</v>
        <stp/>
        <stp>VOLUME</stp>
        <stp>.NDX250815P20200</stp>
        <tr r="O148" s="2"/>
      </tp>
      <tp t="s">
        <v>N/A</v>
        <stp/>
        <stp>VOLUME</stp>
        <stp>.NDX250523P19400</stp>
        <tr r="H180" s="2"/>
      </tp>
      <tp>
        <v>1</v>
        <stp/>
        <stp>VOLUME</stp>
        <stp>.NDX250620P19700</stp>
        <tr r="K168" s="2"/>
        <tr r="K168" s="2"/>
      </tp>
      <tp>
        <v>20</v>
        <stp/>
        <stp>VOLUME</stp>
        <stp>.NDX250516P20100</stp>
        <tr r="BF151" s="1"/>
        <tr r="BF151" s="1"/>
      </tp>
      <tp t="s">
        <v>N/A</v>
        <stp/>
        <stp>VOLUME</stp>
        <stp>.NDX250523P20400</stp>
        <tr r="H140" s="2"/>
      </tp>
      <tp t="s">
        <v>N/A</v>
        <stp/>
        <stp>VOLUME</stp>
        <stp>.NDX251121P19625</stp>
        <tr r="U171" s="2"/>
      </tp>
      <tp t="s">
        <v>N/A</v>
        <stp/>
        <stp>VOLUME</stp>
        <stp>.NDX251017P20025</stp>
        <tr r="S155" s="2"/>
      </tp>
      <tp t="s">
        <v>N/A</v>
        <stp/>
        <stp>VOLUME</stp>
        <stp>.NDX250815P19225</stp>
        <tr r="O187" s="2"/>
      </tp>
      <tp t="s">
        <v>N/A</v>
        <stp/>
        <stp>VOLUME</stp>
        <stp>.NDX250815P20225</stp>
        <tr r="O147" s="2"/>
      </tp>
      <tp t="s">
        <v>N/A</v>
        <stp/>
        <stp>VOLUME</stp>
        <stp>.NDX250523P19425</stp>
        <tr r="H179" s="2"/>
      </tp>
      <tp t="s">
        <v>N/A</v>
        <stp/>
        <stp>VOLUME</stp>
        <stp>.NDX250620P19725</stp>
        <tr r="K167" s="2"/>
      </tp>
      <tp>
        <v>10</v>
        <stp/>
        <stp>VOLUME</stp>
        <stp>.NDX250516P20125</stp>
        <tr r="BF150" s="1"/>
        <tr r="BF150" s="1"/>
      </tp>
      <tp t="s">
        <v>N/A</v>
        <stp/>
        <stp>VOLUME</stp>
        <stp>.NDX250523P20425</stp>
        <tr r="H139" s="2"/>
      </tp>
      <tp t="s">
        <v>N/A</v>
        <stp/>
        <stp>VOLUME</stp>
        <stp>.NDX250815P19250</stp>
        <tr r="O186" s="2"/>
      </tp>
      <tp t="s">
        <v>N/A</v>
        <stp/>
        <stp>VOLUME</stp>
        <stp>.NDX250815P20250</stp>
        <tr r="O146" s="2"/>
      </tp>
      <tp>
        <v>18</v>
        <stp/>
        <stp>VOLUME</stp>
        <stp>.NDX250516P19150</stp>
        <tr r="BF189" s="1"/>
        <tr r="BF189" s="1"/>
      </tp>
      <tp t="s">
        <v>N/A</v>
        <stp/>
        <stp>VOLUME</stp>
        <stp>.NDX250523P19450</stp>
        <tr r="H178" s="2"/>
      </tp>
      <tp>
        <v>5</v>
        <stp/>
        <stp>VOLUME</stp>
        <stp>.NDX250620P19750</stp>
        <tr r="K166" s="2"/>
        <tr r="K166" s="2"/>
      </tp>
      <tp>
        <v>7</v>
        <stp/>
        <stp>VOLUME</stp>
        <stp>.NDX250516P20150</stp>
        <tr r="BF149" s="1"/>
        <tr r="BF149" s="1"/>
      </tp>
      <tp t="s">
        <v>N/A</v>
        <stp/>
        <stp>VOLUME</stp>
        <stp>.NDX250523P20450</stp>
        <tr r="H138" s="2"/>
      </tp>
      <tp t="s">
        <v>N/A</v>
        <stp/>
        <stp>VOLUME</stp>
        <stp>.NDX251121P19650</stp>
        <tr r="U170" s="2"/>
      </tp>
      <tp t="s">
        <v>N/A</v>
        <stp/>
        <stp>VOLUME</stp>
        <stp>.NDX251017P20050</stp>
        <tr r="S154" s="2"/>
      </tp>
      <tp t="s">
        <v>N/A</v>
        <stp/>
        <stp>VOLUME</stp>
        <stp>.NDX250815P19275</stp>
        <tr r="O185" s="2"/>
      </tp>
      <tp t="s">
        <v>N/A</v>
        <stp/>
        <stp>VOLUME</stp>
        <stp>.NDX250815P20275</stp>
        <tr r="O145" s="2"/>
      </tp>
      <tp>
        <v>11</v>
        <stp/>
        <stp>VOLUME</stp>
        <stp>.NDX250516P19175</stp>
        <tr r="BF188" s="1"/>
        <tr r="BF188" s="1"/>
      </tp>
      <tp t="s">
        <v>N/A</v>
        <stp/>
        <stp>VOLUME</stp>
        <stp>.NDX250523P19475</stp>
        <tr r="H177" s="2"/>
      </tp>
      <tp t="s">
        <v>N/A</v>
        <stp/>
        <stp>VOLUME</stp>
        <stp>.NDX250620P19775</stp>
        <tr r="K165" s="2"/>
      </tp>
      <tp>
        <v>8</v>
        <stp/>
        <stp>VOLUME</stp>
        <stp>.NDX250516P20175</stp>
        <tr r="BF148" s="1"/>
        <tr r="BF148" s="1"/>
      </tp>
      <tp t="s">
        <v>N/A</v>
        <stp/>
        <stp>VOLUME</stp>
        <stp>.NDX251121P19675</stp>
        <tr r="U169" s="2"/>
      </tp>
      <tp t="s">
        <v>N/A</v>
        <stp/>
        <stp>VOLUME</stp>
        <stp>.NDX251017P20075</stp>
        <tr r="S153" s="2"/>
      </tp>
      <tp t="s">
        <v>106.42%</v>
        <stp/>
        <stp>IMPL_VOL</stp>
        <stp>.NDXP250505P19650</stp>
        <tr r="EM169" s="1"/>
      </tp>
      <tp t="s">
        <v>182.99%</v>
        <stp/>
        <stp>IMPL_VOL</stp>
        <stp>.NDXP250505P19675</stp>
        <tr r="EM168" s="1"/>
      </tp>
      <tp t="s">
        <v>157.52%</v>
        <stp/>
        <stp>IMPL_VOL</stp>
        <stp>.NDXP250505P19600</stp>
        <tr r="EM171" s="1"/>
      </tp>
      <tp t="s">
        <v>200.99%</v>
        <stp/>
        <stp>IMPL_VOL</stp>
        <stp>.NDXP250505P19625</stp>
        <tr r="EM170" s="1"/>
      </tp>
      <tp t="s">
        <v>N/A</v>
        <stp/>
        <stp>VOLUME</stp>
        <stp>.NDX250815C19225</stp>
        <tr r="O187" s="2"/>
      </tp>
      <tp t="s">
        <v>N/A</v>
        <stp/>
        <stp>VOLUME</stp>
        <stp>.NDX250815C20225</stp>
        <tr r="O147" s="2"/>
      </tp>
      <tp t="s">
        <v>N/A</v>
        <stp/>
        <stp>VOLUME</stp>
        <stp>.NDX250523C19425</stp>
        <tr r="H179" s="2"/>
      </tp>
      <tp t="s">
        <v>N/A</v>
        <stp/>
        <stp>VOLUME</stp>
        <stp>.NDX250620C19725</stp>
        <tr r="K167" s="2"/>
      </tp>
      <tp>
        <v>20</v>
        <stp/>
        <stp>VOLUME</stp>
        <stp>.NDX250516C20125</stp>
        <tr r="BE150" s="1"/>
        <tr r="BE150" s="1"/>
      </tp>
      <tp t="s">
        <v>N/A</v>
        <stp/>
        <stp>VOLUME</stp>
        <stp>.NDX250523C20425</stp>
        <tr r="H139" s="2"/>
      </tp>
      <tp t="s">
        <v>N/A</v>
        <stp/>
        <stp>VOLUME</stp>
        <stp>.NDX251121C19625</stp>
        <tr r="U171" s="2"/>
      </tp>
      <tp t="s">
        <v>N/A</v>
        <stp/>
        <stp>VOLUME</stp>
        <stp>.NDX251017C20025</stp>
        <tr r="S155" s="2"/>
      </tp>
      <tp t="s">
        <v>N/A</v>
        <stp/>
        <stp>VOLUME</stp>
        <stp>.NDX250815C19200</stp>
        <tr r="O188" s="2"/>
      </tp>
      <tp t="s">
        <v>N/A</v>
        <stp/>
        <stp>VOLUME</stp>
        <stp>.NDX250815C20200</stp>
        <tr r="O148" s="2"/>
      </tp>
      <tp t="s">
        <v>N/A</v>
        <stp/>
        <stp>VOLUME</stp>
        <stp>.NDX250523C19400</stp>
        <tr r="H180" s="2"/>
      </tp>
      <tp t="s">
        <v>N/A</v>
        <stp/>
        <stp>VOLUME</stp>
        <stp>.NDX250620C19700</stp>
        <tr r="K168" s="2"/>
      </tp>
      <tp>
        <v>24</v>
        <stp/>
        <stp>VOLUME</stp>
        <stp>.NDX250516C20100</stp>
        <tr r="BE151" s="1"/>
        <tr r="BE151" s="1"/>
      </tp>
      <tp t="s">
        <v>N/A</v>
        <stp/>
        <stp>VOLUME</stp>
        <stp>.NDX250523C20400</stp>
        <tr r="H140" s="2"/>
      </tp>
      <tp t="s">
        <v>N/A</v>
        <stp/>
        <stp>VOLUME</stp>
        <stp>.NDX251121C19600</stp>
        <tr r="U172" s="2"/>
      </tp>
      <tp t="s">
        <v>N/A</v>
        <stp/>
        <stp>VOLUME</stp>
        <stp>.NDX251017C20000</stp>
        <tr r="S156" s="2"/>
      </tp>
      <tp t="s">
        <v>N/A</v>
        <stp/>
        <stp>VOLUME</stp>
        <stp>.NDX251121C19675</stp>
        <tr r="U169" s="2"/>
      </tp>
      <tp t="s">
        <v>N/A</v>
        <stp/>
        <stp>VOLUME</stp>
        <stp>.NDX251017C20075</stp>
        <tr r="S153" s="2"/>
      </tp>
      <tp t="s">
        <v>N/A</v>
        <stp/>
        <stp>VOLUME</stp>
        <stp>.NDX250815C19275</stp>
        <tr r="O185" s="2"/>
      </tp>
      <tp t="s">
        <v>N/A</v>
        <stp/>
        <stp>VOLUME</stp>
        <stp>.NDX250815C20275</stp>
        <tr r="O145" s="2"/>
      </tp>
      <tp t="s">
        <v>N/A</v>
        <stp/>
        <stp>VOLUME</stp>
        <stp>.NDX250516C19175</stp>
        <tr r="BE188" s="1"/>
      </tp>
      <tp t="s">
        <v>N/A</v>
        <stp/>
        <stp>VOLUME</stp>
        <stp>.NDX250523C19475</stp>
        <tr r="H177" s="2"/>
      </tp>
      <tp>
        <v>1</v>
        <stp/>
        <stp>VOLUME</stp>
        <stp>.NDX250620C19775</stp>
        <tr r="K165" s="2"/>
        <tr r="K165" s="2"/>
      </tp>
      <tp>
        <v>11</v>
        <stp/>
        <stp>VOLUME</stp>
        <stp>.NDX250516C20175</stp>
        <tr r="BE148" s="1"/>
        <tr r="BE148" s="1"/>
      </tp>
      <tp t="s">
        <v>N/A</v>
        <stp/>
        <stp>VOLUME</stp>
        <stp>.NDX251121C19650</stp>
        <tr r="U170" s="2"/>
      </tp>
      <tp t="s">
        <v>N/A</v>
        <stp/>
        <stp>VOLUME</stp>
        <stp>.NDX251017C20050</stp>
        <tr r="S154" s="2"/>
      </tp>
      <tp t="s">
        <v>N/A</v>
        <stp/>
        <stp>VOLUME</stp>
        <stp>.NDX250815C19250</stp>
        <tr r="O186" s="2"/>
      </tp>
      <tp t="s">
        <v>N/A</v>
        <stp/>
        <stp>VOLUME</stp>
        <stp>.NDX250815C20250</stp>
        <tr r="O146" s="2"/>
      </tp>
      <tp t="s">
        <v>N/A</v>
        <stp/>
        <stp>VOLUME</stp>
        <stp>.NDX250516C19150</stp>
        <tr r="BE189" s="1"/>
      </tp>
      <tp t="s">
        <v>N/A</v>
        <stp/>
        <stp>VOLUME</stp>
        <stp>.NDX250523C19450</stp>
        <tr r="H178" s="2"/>
      </tp>
      <tp>
        <v>1</v>
        <stp/>
        <stp>VOLUME</stp>
        <stp>.NDX250620C19750</stp>
        <tr r="K166" s="2"/>
        <tr r="K166" s="2"/>
      </tp>
      <tp>
        <v>10</v>
        <stp/>
        <stp>VOLUME</stp>
        <stp>.NDX250516C20150</stp>
        <tr r="BE149" s="1"/>
        <tr r="BE149" s="1"/>
      </tp>
      <tp t="s">
        <v>N/A</v>
        <stp/>
        <stp>VOLUME</stp>
        <stp>.NDX250523C20450</stp>
        <tr r="H138" s="2"/>
      </tp>
      <tp t="s">
        <v>--</v>
        <stp/>
        <stp>IMPL_VOL</stp>
        <stp>.NDXP250505C19775</stp>
        <tr r="EL164" s="1"/>
      </tp>
      <tp t="s">
        <v>--</v>
        <stp/>
        <stp>IMPL_VOL</stp>
        <stp>.NDXP250505C19750</stp>
        <tr r="EL165" s="1"/>
      </tp>
      <tp t="s">
        <v>--</v>
        <stp/>
        <stp>IMPL_VOL</stp>
        <stp>.NDXP250505C19725</stp>
        <tr r="EL166" s="1"/>
      </tp>
      <tp t="s">
        <v>--</v>
        <stp/>
        <stp>IMPL_VOL</stp>
        <stp>.NDXP250505C19700</stp>
        <tr r="EL167" s="1"/>
      </tp>
      <tp t="s">
        <v>N/A</v>
        <stp/>
        <stp>VOLUME</stp>
        <stp>.NDX251121P19700</stp>
        <tr r="U168" s="2"/>
      </tp>
      <tp t="s">
        <v>N/A</v>
        <stp/>
        <stp>VOLUME</stp>
        <stp>.NDX251017P20100</stp>
        <tr r="S152" s="2"/>
      </tp>
      <tp t="s">
        <v>N/A</v>
        <stp/>
        <stp>VOLUME</stp>
        <stp>.NDX250815P19300</stp>
        <tr r="O184" s="2"/>
      </tp>
      <tp t="s">
        <v>N/A</v>
        <stp/>
        <stp>VOLUME</stp>
        <stp>.NDX250815P20300</stp>
        <tr r="O144" s="2"/>
      </tp>
      <tp t="s">
        <v>N/A</v>
        <stp/>
        <stp>VOLUME</stp>
        <stp>.NDX250523P19500</stp>
        <tr r="H176" s="2"/>
      </tp>
      <tp t="s">
        <v>N/A</v>
        <stp/>
        <stp>VOLUME</stp>
        <stp>.NDX250620P19600</stp>
        <tr r="K172" s="2"/>
      </tp>
      <tp>
        <v>21</v>
        <stp/>
        <stp>VOLUME</stp>
        <stp>.NDX250516P20000</stp>
        <tr r="BF155" s="1"/>
        <tr r="BF155" s="1"/>
      </tp>
      <tp t="s">
        <v>N/A</v>
        <stp/>
        <stp>VOLUME</stp>
        <stp>.NDX251121P19725</stp>
        <tr r="U167" s="2"/>
      </tp>
      <tp t="s">
        <v>N/A</v>
        <stp/>
        <stp>VOLUME</stp>
        <stp>.NDX251017P20125</stp>
        <tr r="S151" s="2"/>
      </tp>
      <tp t="s">
        <v>N/A</v>
        <stp/>
        <stp>VOLUME</stp>
        <stp>.NDX250815P19325</stp>
        <tr r="O183" s="2"/>
      </tp>
      <tp t="s">
        <v>N/A</v>
        <stp/>
        <stp>VOLUME</stp>
        <stp>.NDX250815P20325</stp>
        <tr r="O143" s="2"/>
      </tp>
      <tp t="s">
        <v>N/A</v>
        <stp/>
        <stp>VOLUME</stp>
        <stp>.NDX250523P19525</stp>
        <tr r="H175" s="2"/>
      </tp>
      <tp>
        <v>1</v>
        <stp/>
        <stp>VOLUME</stp>
        <stp>.NDX250620P19625</stp>
        <tr r="K171" s="2"/>
        <tr r="K171" s="2"/>
      </tp>
      <tp>
        <v>10</v>
        <stp/>
        <stp>VOLUME</stp>
        <stp>.NDX250516P20025</stp>
        <tr r="BF154" s="1"/>
        <tr r="BF154" s="1"/>
      </tp>
      <tp t="s">
        <v>N/A</v>
        <stp/>
        <stp>VOLUME</stp>
        <stp>.NDX250815P19350</stp>
        <tr r="O182" s="2"/>
      </tp>
      <tp t="s">
        <v>N/A</v>
        <stp/>
        <stp>VOLUME</stp>
        <stp>.NDX250815P20350</stp>
        <tr r="O142" s="2"/>
      </tp>
      <tp t="s">
        <v>N/A</v>
        <stp/>
        <stp>VOLUME</stp>
        <stp>.NDX250523P19550</stp>
        <tr r="H174" s="2"/>
      </tp>
      <tp t="s">
        <v>N/A</v>
        <stp/>
        <stp>VOLUME</stp>
        <stp>.NDX250620P19650</stp>
        <tr r="K170" s="2"/>
      </tp>
      <tp>
        <v>17</v>
        <stp/>
        <stp>VOLUME</stp>
        <stp>.NDX250516P20050</stp>
        <tr r="BF153" s="1"/>
        <tr r="BF153" s="1"/>
      </tp>
      <tp t="s">
        <v>N/A</v>
        <stp/>
        <stp>VOLUME</stp>
        <stp>.NDX251017P19150</stp>
        <tr r="S190" s="2"/>
      </tp>
      <tp t="s">
        <v>N/A</v>
        <stp/>
        <stp>VOLUME</stp>
        <stp>.NDX251121P19750</stp>
        <tr r="U166" s="2"/>
      </tp>
      <tp t="s">
        <v>N/A</v>
        <stp/>
        <stp>VOLUME</stp>
        <stp>.NDX251017P20150</stp>
        <tr r="S150" s="2"/>
      </tp>
      <tp t="s">
        <v>N/A</v>
        <stp/>
        <stp>VOLUME</stp>
        <stp>.NDX250815P19375</stp>
        <tr r="O181" s="2"/>
      </tp>
      <tp t="s">
        <v>N/A</v>
        <stp/>
        <stp>VOLUME</stp>
        <stp>.NDX250815P20375</stp>
        <tr r="O141" s="2"/>
      </tp>
      <tp t="s">
        <v>N/A</v>
        <stp/>
        <stp>VOLUME</stp>
        <stp>.NDX250523P19575</stp>
        <tr r="H173" s="2"/>
      </tp>
      <tp t="s">
        <v>N/A</v>
        <stp/>
        <stp>VOLUME</stp>
        <stp>.NDX250620P19675</stp>
        <tr r="K169" s="2"/>
      </tp>
      <tp>
        <v>26</v>
        <stp/>
        <stp>VOLUME</stp>
        <stp>.NDX250516P20075</stp>
        <tr r="BF152" s="1"/>
        <tr r="BF152" s="1"/>
      </tp>
      <tp t="s">
        <v>N/A</v>
        <stp/>
        <stp>VOLUME</stp>
        <stp>.NDX251121P19775</stp>
        <tr r="U165" s="2"/>
      </tp>
      <tp t="s">
        <v>N/A</v>
        <stp/>
        <stp>VOLUME</stp>
        <stp>.NDX251017P19175</stp>
        <tr r="S189" s="2"/>
      </tp>
      <tp t="s">
        <v>N/A</v>
        <stp/>
        <stp>VOLUME</stp>
        <stp>.NDX251017P20175</stp>
        <tr r="S149" s="2"/>
      </tp>
      <tp t="s">
        <v>155.39%</v>
        <stp/>
        <stp>IMPL_VOL</stp>
        <stp>.NDXP250505P19750</stp>
        <tr r="EM165" s="1"/>
      </tp>
      <tp t="s">
        <v>145.98%</v>
        <stp/>
        <stp>IMPL_VOL</stp>
        <stp>.NDXP250505P19775</stp>
        <tr r="EM164" s="1"/>
      </tp>
      <tp t="s">
        <v>86.13%</v>
        <stp/>
        <stp>IMPL_VOL</stp>
        <stp>.NDXP250505P19700</stp>
        <tr r="EM167" s="1"/>
      </tp>
      <tp t="s">
        <v>164.68%</v>
        <stp/>
        <stp>IMPL_VOL</stp>
        <stp>.NDXP250505P19725</stp>
        <tr r="EM166" s="1"/>
      </tp>
      <tp t="s">
        <v>N/A</v>
        <stp/>
        <stp>VOLUME</stp>
        <stp>.NDX250815C19325</stp>
        <tr r="O183" s="2"/>
      </tp>
      <tp t="s">
        <v>N/A</v>
        <stp/>
        <stp>VOLUME</stp>
        <stp>.NDX250815C20325</stp>
        <tr r="O143" s="2"/>
      </tp>
      <tp t="s">
        <v>N/A</v>
        <stp/>
        <stp>VOLUME</stp>
        <stp>.NDX250523C19525</stp>
        <tr r="H175" s="2"/>
      </tp>
      <tp>
        <v>10</v>
        <stp/>
        <stp>VOLUME</stp>
        <stp>.NDX250620C19625</stp>
        <tr r="K171" s="2"/>
        <tr r="K171" s="2"/>
      </tp>
      <tp>
        <v>5</v>
        <stp/>
        <stp>VOLUME</stp>
        <stp>.NDX250516C20025</stp>
        <tr r="BE154" s="1"/>
        <tr r="BE154" s="1"/>
      </tp>
      <tp t="s">
        <v>N/A</v>
        <stp/>
        <stp>VOLUME</stp>
        <stp>.NDX251121C19725</stp>
        <tr r="U167" s="2"/>
      </tp>
      <tp t="s">
        <v>N/A</v>
        <stp/>
        <stp>VOLUME</stp>
        <stp>.NDX251017C20125</stp>
        <tr r="S151" s="2"/>
      </tp>
      <tp t="s">
        <v>N/A</v>
        <stp/>
        <stp>VOLUME</stp>
        <stp>.NDX250815C19300</stp>
        <tr r="O184" s="2"/>
      </tp>
      <tp t="s">
        <v>N/A</v>
        <stp/>
        <stp>VOLUME</stp>
        <stp>.NDX250815C20300</stp>
        <tr r="O144" s="2"/>
      </tp>
      <tp t="s">
        <v>N/A</v>
        <stp/>
        <stp>VOLUME</stp>
        <stp>.NDX250523C19500</stp>
        <tr r="H176" s="2"/>
      </tp>
      <tp t="s">
        <v>N/A</v>
        <stp/>
        <stp>VOLUME</stp>
        <stp>.NDX250620C19600</stp>
        <tr r="K172" s="2"/>
      </tp>
      <tp>
        <v>18</v>
        <stp/>
        <stp>VOLUME</stp>
        <stp>.NDX250516C20000</stp>
        <tr r="BE155" s="1"/>
        <tr r="BE155" s="1"/>
      </tp>
      <tp t="s">
        <v>N/A</v>
        <stp/>
        <stp>VOLUME</stp>
        <stp>.NDX251121C19700</stp>
        <tr r="U168" s="2"/>
      </tp>
      <tp t="s">
        <v>N/A</v>
        <stp/>
        <stp>VOLUME</stp>
        <stp>.NDX251017C20100</stp>
        <tr r="S152" s="2"/>
      </tp>
      <tp t="s">
        <v>N/A</v>
        <stp/>
        <stp>VOLUME</stp>
        <stp>.NDX251121C19775</stp>
        <tr r="U165" s="2"/>
      </tp>
      <tp t="s">
        <v>N/A</v>
        <stp/>
        <stp>VOLUME</stp>
        <stp>.NDX251017C19175</stp>
        <tr r="S189" s="2"/>
      </tp>
      <tp t="s">
        <v>N/A</v>
        <stp/>
        <stp>VOLUME</stp>
        <stp>.NDX251017C20175</stp>
        <tr r="S149" s="2"/>
      </tp>
      <tp t="s">
        <v>N/A</v>
        <stp/>
        <stp>VOLUME</stp>
        <stp>.NDX250815C19375</stp>
        <tr r="O181" s="2"/>
      </tp>
      <tp t="s">
        <v>N/A</v>
        <stp/>
        <stp>VOLUME</stp>
        <stp>.NDX250815C20375</stp>
        <tr r="O141" s="2"/>
      </tp>
      <tp t="s">
        <v>N/A</v>
        <stp/>
        <stp>VOLUME</stp>
        <stp>.NDX250523C19575</stp>
        <tr r="H173" s="2"/>
      </tp>
      <tp t="s">
        <v>N/A</v>
        <stp/>
        <stp>VOLUME</stp>
        <stp>.NDX250620C19675</stp>
        <tr r="K169" s="2"/>
      </tp>
      <tp>
        <v>36</v>
        <stp/>
        <stp>VOLUME</stp>
        <stp>.NDX250516C20075</stp>
        <tr r="BE152" s="1"/>
        <tr r="BE152" s="1"/>
      </tp>
      <tp t="s">
        <v>N/A</v>
        <stp/>
        <stp>VOLUME</stp>
        <stp>.NDX251017C19150</stp>
        <tr r="S190" s="2"/>
      </tp>
      <tp t="s">
        <v>N/A</v>
        <stp/>
        <stp>VOLUME</stp>
        <stp>.NDX251121C19750</stp>
        <tr r="U166" s="2"/>
      </tp>
      <tp t="s">
        <v>N/A</v>
        <stp/>
        <stp>VOLUME</stp>
        <stp>.NDX251017C20150</stp>
        <tr r="S150" s="2"/>
      </tp>
      <tp t="s">
        <v>N/A</v>
        <stp/>
        <stp>VOLUME</stp>
        <stp>.NDX250815C19350</stp>
        <tr r="O182" s="2"/>
      </tp>
      <tp t="s">
        <v>N/A</v>
        <stp/>
        <stp>VOLUME</stp>
        <stp>.NDX250815C20350</stp>
        <tr r="O142" s="2"/>
      </tp>
      <tp t="s">
        <v>N/A</v>
        <stp/>
        <stp>VOLUME</stp>
        <stp>.NDX250523C19550</stp>
        <tr r="H174" s="2"/>
      </tp>
      <tp t="s">
        <v>N/A</v>
        <stp/>
        <stp>VOLUME</stp>
        <stp>.NDX250620C19650</stp>
        <tr r="K170" s="2"/>
      </tp>
      <tp>
        <v>4</v>
        <stp/>
        <stp>VOLUME</stp>
        <stp>.NDX250516C20050</stp>
        <tr r="BE153" s="1"/>
        <tr r="BE153" s="1"/>
      </tp>
      <tp>
        <v>5684</v>
        <stp/>
        <stp>MARK</stp>
        <stp>/ES:XCME</stp>
        <tr r="F84" s="1"/>
        <tr r="F3" s="1"/>
      </tp>
      <tp t="s">
        <v>--</v>
        <stp/>
        <stp>IMPL_VOL</stp>
        <stp>.NDXP250505C19475</stp>
        <tr r="EL176" s="1"/>
      </tp>
      <tp t="s">
        <v>--</v>
        <stp/>
        <stp>IMPL_VOL</stp>
        <stp>.NDXP250509C19875</stp>
        <tr r="EN160" s="1"/>
      </tp>
      <tp t="s">
        <v>104.60%</v>
        <stp/>
        <stp>IMPL_VOL</stp>
        <stp>.NDXP250505C20450</stp>
        <tr r="EL137" s="1"/>
      </tp>
      <tp t="s">
        <v>--</v>
        <stp/>
        <stp>IMPL_VOL</stp>
        <stp>.NDXP250505C19450</stp>
        <tr r="EL177" s="1"/>
      </tp>
      <tp t="s">
        <v>--</v>
        <stp/>
        <stp>IMPL_VOL</stp>
        <stp>.NDXP250509C19850</stp>
        <tr r="EN161" s="1"/>
      </tp>
      <tp t="s">
        <v>75.21%</v>
        <stp/>
        <stp>IMPL_VOL</stp>
        <stp>.NDXP250505C20425</stp>
        <tr r="EL138" s="1"/>
      </tp>
      <tp t="s">
        <v>--</v>
        <stp/>
        <stp>IMPL_VOL</stp>
        <stp>.NDXP250505C19425</stp>
        <tr r="EL178" s="1"/>
      </tp>
      <tp t="s">
        <v>73.54%</v>
        <stp/>
        <stp>IMPL_VOL</stp>
        <stp>.NDXP250509C19825</stp>
        <tr r="EN162" s="1"/>
      </tp>
      <tp t="s">
        <v>70.49%</v>
        <stp/>
        <stp>IMPL_VOL</stp>
        <stp>.NDXP250505C20400</stp>
        <tr r="EL139" s="1"/>
      </tp>
      <tp t="s">
        <v>--</v>
        <stp/>
        <stp>IMPL_VOL</stp>
        <stp>.NDXP250505C19400</stp>
        <tr r="EL179" s="1"/>
      </tp>
      <tp t="s">
        <v>--</v>
        <stp/>
        <stp>IMPL_VOL</stp>
        <stp>.NDXP250509C19800</stp>
        <tr r="EN163" s="1"/>
      </tp>
      <tp>
        <v>2</v>
        <stp/>
        <stp>VOLUME</stp>
        <stp>.NDX251017P19200</stp>
        <tr r="S188" s="2"/>
        <tr r="S188" s="2"/>
      </tp>
      <tp t="s">
        <v>N/A</v>
        <stp/>
        <stp>VOLUME</stp>
        <stp>.NDX251121P19400</stp>
        <tr r="U180" s="2"/>
      </tp>
      <tp t="s">
        <v>N/A</v>
        <stp/>
        <stp>VOLUME</stp>
        <stp>.NDX251121P20400</stp>
        <tr r="U140" s="2"/>
      </tp>
      <tp t="s">
        <v>N/A</v>
        <stp/>
        <stp>VOLUME</stp>
        <stp>.NDX251017P20200</stp>
        <tr r="S148" s="2"/>
      </tp>
      <tp t="s">
        <v>N/A</v>
        <stp/>
        <stp>VOLUME</stp>
        <stp>.NDX250815P20000</stp>
        <tr r="O156" s="2"/>
      </tp>
      <tp>
        <v>31</v>
        <stp/>
        <stp>VOLUME</stp>
        <stp>.NDX250516P19300</stp>
        <tr r="BF183" s="1"/>
        <tr r="BF183" s="1"/>
      </tp>
      <tp t="s">
        <v>N/A</v>
        <stp/>
        <stp>VOLUME</stp>
        <stp>.NDX250523P19600</stp>
        <tr r="H172" s="2"/>
      </tp>
      <tp>
        <v>1</v>
        <stp/>
        <stp>VOLUME</stp>
        <stp>.NDX250620P19500</stp>
        <tr r="K176" s="2"/>
        <tr r="K176" s="2"/>
      </tp>
      <tp>
        <v>6</v>
        <stp/>
        <stp>VOLUME</stp>
        <stp>.NDX250516P20300</stp>
        <tr r="BF143" s="1"/>
        <tr r="BF143" s="1"/>
      </tp>
      <tp t="s">
        <v>N/A</v>
        <stp/>
        <stp>VOLUME</stp>
        <stp>.NDX251121P19425</stp>
        <tr r="U179" s="2"/>
      </tp>
      <tp t="s">
        <v>N/A</v>
        <stp/>
        <stp>VOLUME</stp>
        <stp>.NDX251017P19225</stp>
        <tr r="S187" s="2"/>
      </tp>
      <tp t="s">
        <v>N/A</v>
        <stp/>
        <stp>VOLUME</stp>
        <stp>.NDX251017P20225</stp>
        <tr r="S147" s="2"/>
      </tp>
      <tp t="s">
        <v>N/A</v>
        <stp/>
        <stp>VOLUME</stp>
        <stp>.NDX251121P20425</stp>
        <tr r="U139" s="2"/>
      </tp>
      <tp t="s">
        <v>N/A</v>
        <stp/>
        <stp>VOLUME</stp>
        <stp>.NDX250815P20025</stp>
        <tr r="O155" s="2"/>
      </tp>
      <tp>
        <v>36</v>
        <stp/>
        <stp>VOLUME</stp>
        <stp>.NDX250516P19325</stp>
        <tr r="BF182" s="1"/>
        <tr r="BF182" s="1"/>
      </tp>
      <tp t="s">
        <v>N/A</v>
        <stp/>
        <stp>VOLUME</stp>
        <stp>.NDX250523P19625</stp>
        <tr r="H171" s="2"/>
      </tp>
      <tp>
        <v>3</v>
        <stp/>
        <stp>VOLUME</stp>
        <stp>.NDX250620P19525</stp>
        <tr r="K175" s="2"/>
        <tr r="K175" s="2"/>
      </tp>
      <tp>
        <v>11</v>
        <stp/>
        <stp>VOLUME</stp>
        <stp>.NDX250516P20325</stp>
        <tr r="BF142" s="1"/>
        <tr r="BF142" s="1"/>
      </tp>
      <tp t="s">
        <v>N/A</v>
        <stp/>
        <stp>VOLUME</stp>
        <stp>.NDX250815P20050</stp>
        <tr r="O154" s="2"/>
      </tp>
      <tp>
        <v>30</v>
        <stp/>
        <stp>VOLUME</stp>
        <stp>.NDX250516P19350</stp>
        <tr r="BF181" s="1"/>
        <tr r="BF181" s="1"/>
      </tp>
      <tp t="s">
        <v>N/A</v>
        <stp/>
        <stp>VOLUME</stp>
        <stp>.NDX250523P19650</stp>
        <tr r="H170" s="2"/>
      </tp>
      <tp>
        <v>2</v>
        <stp/>
        <stp>VOLUME</stp>
        <stp>.NDX250620P19550</stp>
        <tr r="K174" s="2"/>
        <tr r="K174" s="2"/>
      </tp>
      <tp>
        <v>8</v>
        <stp/>
        <stp>VOLUME</stp>
        <stp>.NDX250516P20350</stp>
        <tr r="BF141" s="1"/>
        <tr r="BF141" s="1"/>
      </tp>
      <tp t="s">
        <v>N/A</v>
        <stp/>
        <stp>VOLUME</stp>
        <stp>.NDX251017P19250</stp>
        <tr r="S186" s="2"/>
      </tp>
      <tp t="s">
        <v>N/A</v>
        <stp/>
        <stp>VOLUME</stp>
        <stp>.NDX251121P19450</stp>
        <tr r="U178" s="2"/>
      </tp>
      <tp t="s">
        <v>N/A</v>
        <stp/>
        <stp>VOLUME</stp>
        <stp>.NDX251121P20450</stp>
        <tr r="U138" s="2"/>
      </tp>
      <tp t="s">
        <v>N/A</v>
        <stp/>
        <stp>VOLUME</stp>
        <stp>.NDX251017P20250</stp>
        <tr r="S146" s="2"/>
      </tp>
      <tp t="s">
        <v>N/A</v>
        <stp/>
        <stp>VOLUME</stp>
        <stp>.NDX250815P20075</stp>
        <tr r="O153" s="2"/>
      </tp>
      <tp>
        <v>16</v>
        <stp/>
        <stp>VOLUME</stp>
        <stp>.NDX250516P19375</stp>
        <tr r="BF180" s="1"/>
        <tr r="BF180" s="1"/>
      </tp>
      <tp t="s">
        <v>N/A</v>
        <stp/>
        <stp>VOLUME</stp>
        <stp>.NDX250523P19675</stp>
        <tr r="H169" s="2"/>
      </tp>
      <tp>
        <v>1</v>
        <stp/>
        <stp>VOLUME</stp>
        <stp>.NDX250620P19575</stp>
        <tr r="K173" s="2"/>
        <tr r="K173" s="2"/>
      </tp>
      <tp t="s">
        <v>N/A</v>
        <stp/>
        <stp>VOLUME</stp>
        <stp>.NDX250516P20375</stp>
        <tr r="BF140" s="1"/>
      </tp>
      <tp t="s">
        <v>N/A</v>
        <stp/>
        <stp>VOLUME</stp>
        <stp>.NDX251121P19475</stp>
        <tr r="U177" s="2"/>
      </tp>
      <tp t="s">
        <v>N/A</v>
        <stp/>
        <stp>VOLUME</stp>
        <stp>.NDX251017P19275</stp>
        <tr r="S185" s="2"/>
      </tp>
      <tp t="s">
        <v>N/A</v>
        <stp/>
        <stp>VOLUME</stp>
        <stp>.NDX251017P20275</stp>
        <tr r="S145" s="2"/>
      </tp>
      <tp t="s">
        <v>404.27%</v>
        <stp/>
        <stp>IMPL_VOL</stp>
        <stp>.NDXP250505P20450</stp>
        <tr r="EM137" s="1"/>
      </tp>
      <tp t="s">
        <v>262.15%</v>
        <stp/>
        <stp>IMPL_VOL</stp>
        <stp>.NDXP250505P19450</stp>
        <tr r="EM177" s="1"/>
      </tp>
      <tp t="s">
        <v>116.98%</v>
        <stp/>
        <stp>IMPL_VOL</stp>
        <stp>.NDXP250509P19850</stp>
        <tr r="EO161" s="1"/>
      </tp>
      <tp t="s">
        <v>253.55%</v>
        <stp/>
        <stp>IMPL_VOL</stp>
        <stp>.NDXP250505P19475</stp>
        <tr r="EM176" s="1"/>
      </tp>
      <tp t="s">
        <v>106.98%</v>
        <stp/>
        <stp>IMPL_VOL</stp>
        <stp>.NDXP250509P19875</stp>
        <tr r="EO160" s="1"/>
      </tp>
      <tp t="s">
        <v>347.89%</v>
        <stp/>
        <stp>IMPL_VOL</stp>
        <stp>.NDXP250505P20400</stp>
        <tr r="EM139" s="1"/>
      </tp>
      <tp t="s">
        <v>146.53%</v>
        <stp/>
        <stp>IMPL_VOL</stp>
        <stp>.NDXP250505P19400</stp>
        <tr r="EM179" s="1"/>
      </tp>
      <tp t="s">
        <v>56.53%</v>
        <stp/>
        <stp>IMPL_VOL</stp>
        <stp>.NDXP250509P19800</stp>
        <tr r="EO163" s="1"/>
      </tp>
      <tp t="s">
        <v>385.27%</v>
        <stp/>
        <stp>IMPL_VOL</stp>
        <stp>.NDXP250505P20425</stp>
        <tr r="EM138" s="1"/>
      </tp>
      <tp t="s">
        <v>270.70%</v>
        <stp/>
        <stp>IMPL_VOL</stp>
        <stp>.NDXP250505P19425</stp>
        <tr r="EM178" s="1"/>
      </tp>
      <tp t="s">
        <v>126.80%</v>
        <stp/>
        <stp>IMPL_VOL</stp>
        <stp>.NDXP250509P19825</stp>
        <tr r="EO162" s="1"/>
      </tp>
      <tp t="s">
        <v>N/A</v>
        <stp/>
        <stp>VOLUME</stp>
        <stp>.NDX250815C20025</stp>
        <tr r="O155" s="2"/>
      </tp>
      <tp t="s">
        <v>N/A</v>
        <stp/>
        <stp>VOLUME</stp>
        <stp>.NDX250516C19325</stp>
        <tr r="BE182" s="1"/>
      </tp>
      <tp t="s">
        <v>N/A</v>
        <stp/>
        <stp>VOLUME</stp>
        <stp>.NDX250523C19625</stp>
        <tr r="H171" s="2"/>
      </tp>
      <tp t="s">
        <v>N/A</v>
        <stp/>
        <stp>VOLUME</stp>
        <stp>.NDX250620C19525</stp>
        <tr r="K175" s="2"/>
      </tp>
      <tp>
        <v>1</v>
        <stp/>
        <stp>VOLUME</stp>
        <stp>.NDX250516C20325</stp>
        <tr r="BE142" s="1"/>
        <tr r="BE142" s="1"/>
      </tp>
      <tp t="s">
        <v>N/A</v>
        <stp/>
        <stp>VOLUME</stp>
        <stp>.NDX251121C19425</stp>
        <tr r="U179" s="2"/>
      </tp>
      <tp t="s">
        <v>N/A</v>
        <stp/>
        <stp>VOLUME</stp>
        <stp>.NDX251017C19225</stp>
        <tr r="S187" s="2"/>
      </tp>
      <tp t="s">
        <v>N/A</v>
        <stp/>
        <stp>VOLUME</stp>
        <stp>.NDX251017C20225</stp>
        <tr r="S147" s="2"/>
      </tp>
      <tp t="s">
        <v>N/A</v>
        <stp/>
        <stp>VOLUME</stp>
        <stp>.NDX251121C20425</stp>
        <tr r="U139" s="2"/>
      </tp>
      <tp t="s">
        <v>N/A</v>
        <stp/>
        <stp>VOLUME</stp>
        <stp>.NDX250815C20000</stp>
        <tr r="O156" s="2"/>
      </tp>
      <tp t="s">
        <v>N/A</v>
        <stp/>
        <stp>VOLUME</stp>
        <stp>.NDX250516C19300</stp>
        <tr r="BE183" s="1"/>
      </tp>
      <tp t="s">
        <v>N/A</v>
        <stp/>
        <stp>VOLUME</stp>
        <stp>.NDX250523C19600</stp>
        <tr r="H172" s="2"/>
      </tp>
      <tp t="s">
        <v>N/A</v>
        <stp/>
        <stp>VOLUME</stp>
        <stp>.NDX250620C19500</stp>
        <tr r="K176" s="2"/>
      </tp>
      <tp>
        <v>8</v>
        <stp/>
        <stp>VOLUME</stp>
        <stp>.NDX250516C20300</stp>
        <tr r="BE143" s="1"/>
        <tr r="BE143" s="1"/>
      </tp>
      <tp t="s">
        <v>N/A</v>
        <stp/>
        <stp>VOLUME</stp>
        <stp>.NDX251017C19200</stp>
        <tr r="S188" s="2"/>
      </tp>
      <tp t="s">
        <v>N/A</v>
        <stp/>
        <stp>VOLUME</stp>
        <stp>.NDX251121C19400</stp>
        <tr r="U180" s="2"/>
      </tp>
      <tp t="s">
        <v>N/A</v>
        <stp/>
        <stp>VOLUME</stp>
        <stp>.NDX251121C20400</stp>
        <tr r="U140" s="2"/>
      </tp>
      <tp t="s">
        <v>N/A</v>
        <stp/>
        <stp>VOLUME</stp>
        <stp>.NDX251017C20200</stp>
        <tr r="S148" s="2"/>
      </tp>
      <tp t="s">
        <v>N/A</v>
        <stp/>
        <stp>VOLUME</stp>
        <stp>.NDX251121C19475</stp>
        <tr r="U177" s="2"/>
      </tp>
      <tp t="s">
        <v>N/A</v>
        <stp/>
        <stp>VOLUME</stp>
        <stp>.NDX251017C19275</stp>
        <tr r="S185" s="2"/>
      </tp>
      <tp t="s">
        <v>N/A</v>
        <stp/>
        <stp>VOLUME</stp>
        <stp>.NDX251017C20275</stp>
        <tr r="S145" s="2"/>
      </tp>
      <tp t="s">
        <v>N/A</v>
        <stp/>
        <stp>VOLUME</stp>
        <stp>.NDX250815C20075</stp>
        <tr r="O153" s="2"/>
      </tp>
      <tp t="s">
        <v>N/A</v>
        <stp/>
        <stp>VOLUME</stp>
        <stp>.NDX250516C19375</stp>
        <tr r="BE180" s="1"/>
      </tp>
      <tp t="s">
        <v>N/A</v>
        <stp/>
        <stp>VOLUME</stp>
        <stp>.NDX250523C19675</stp>
        <tr r="H169" s="2"/>
      </tp>
      <tp t="s">
        <v>N/A</v>
        <stp/>
        <stp>VOLUME</stp>
        <stp>.NDX250620C19575</stp>
        <tr r="K173" s="2"/>
      </tp>
      <tp t="s">
        <v>N/A</v>
        <stp/>
        <stp>VOLUME</stp>
        <stp>.NDX250516C20375</stp>
        <tr r="BE140" s="1"/>
      </tp>
      <tp t="s">
        <v>N/A</v>
        <stp/>
        <stp>VOLUME</stp>
        <stp>.NDX251017C19250</stp>
        <tr r="S186" s="2"/>
      </tp>
      <tp t="s">
        <v>N/A</v>
        <stp/>
        <stp>VOLUME</stp>
        <stp>.NDX251121C19450</stp>
        <tr r="U178" s="2"/>
      </tp>
      <tp t="s">
        <v>N/A</v>
        <stp/>
        <stp>VOLUME</stp>
        <stp>.NDX251121C20450</stp>
        <tr r="U138" s="2"/>
      </tp>
      <tp t="s">
        <v>N/A</v>
        <stp/>
        <stp>VOLUME</stp>
        <stp>.NDX251017C20250</stp>
        <tr r="S146" s="2"/>
      </tp>
      <tp t="s">
        <v>N/A</v>
        <stp/>
        <stp>VOLUME</stp>
        <stp>.NDX250815C20050</stp>
        <tr r="O154" s="2"/>
      </tp>
      <tp t="s">
        <v>N/A</v>
        <stp/>
        <stp>VOLUME</stp>
        <stp>.NDX250516C19350</stp>
        <tr r="BE181" s="1"/>
      </tp>
      <tp t="s">
        <v>N/A</v>
        <stp/>
        <stp>VOLUME</stp>
        <stp>.NDX250523C19650</stp>
        <tr r="H170" s="2"/>
      </tp>
      <tp t="s">
        <v>N/A</v>
        <stp/>
        <stp>VOLUME</stp>
        <stp>.NDX250620C19550</stp>
        <tr r="K174" s="2"/>
      </tp>
      <tp>
        <v>1</v>
        <stp/>
        <stp>VOLUME</stp>
        <stp>.NDX250516C20350</stp>
        <tr r="BE141" s="1"/>
        <tr r="BE141" s="1"/>
      </tp>
      <tp t="s">
        <v>--</v>
        <stp/>
        <stp>IMPL_VOL</stp>
        <stp>.NDXP250505C19575</stp>
        <tr r="EL172" s="1"/>
      </tp>
      <tp t="s">
        <v>--</v>
        <stp/>
        <stp>IMPL_VOL</stp>
        <stp>.NDXP250509C19975</stp>
        <tr r="EN156" s="1"/>
      </tp>
      <tp t="s">
        <v>--</v>
        <stp/>
        <stp>IMPL_VOL</stp>
        <stp>.NDXP250505C19550</stp>
        <tr r="EL173" s="1"/>
      </tp>
      <tp t="s">
        <v>--</v>
        <stp/>
        <stp>IMPL_VOL</stp>
        <stp>.NDXP250509C19950</stp>
        <tr r="EN157" s="1"/>
      </tp>
      <tp t="s">
        <v>--</v>
        <stp/>
        <stp>IMPL_VOL</stp>
        <stp>.NDXP250505C19525</stp>
        <tr r="EL174" s="1"/>
      </tp>
      <tp t="s">
        <v>--</v>
        <stp/>
        <stp>IMPL_VOL</stp>
        <stp>.NDXP250509C19925</stp>
        <tr r="EN158" s="1"/>
      </tp>
      <tp t="s">
        <v>--</v>
        <stp/>
        <stp>IMPL_VOL</stp>
        <stp>.NDXP250505C19500</stp>
        <tr r="EL175" s="1"/>
      </tp>
      <tp t="s">
        <v>--</v>
        <stp/>
        <stp>IMPL_VOL</stp>
        <stp>.NDXP250509C19900</stp>
        <tr r="EN159" s="1"/>
      </tp>
      <tp t="s">
        <v>N/A</v>
        <stp/>
        <stp>VOLUME</stp>
        <stp>.NDX251017P19300</stp>
        <tr r="S184" s="2"/>
      </tp>
      <tp t="s">
        <v>N/A</v>
        <stp/>
        <stp>VOLUME</stp>
        <stp>.NDX251121P19500</stp>
        <tr r="U176" s="2"/>
      </tp>
      <tp t="s">
        <v>N/A</v>
        <stp/>
        <stp>VOLUME</stp>
        <stp>.NDX251017P20300</stp>
        <tr r="S144" s="2"/>
      </tp>
      <tp t="s">
        <v>N/A</v>
        <stp/>
        <stp>VOLUME</stp>
        <stp>.NDX250815P20100</stp>
        <tr r="O152" s="2"/>
      </tp>
      <tp>
        <v>31</v>
        <stp/>
        <stp>VOLUME</stp>
        <stp>.NDX250516P19200</stp>
        <tr r="BF187" s="1"/>
        <tr r="BF187" s="1"/>
      </tp>
      <tp t="s">
        <v>N/A</v>
        <stp/>
        <stp>VOLUME</stp>
        <stp>.NDX250523P19700</stp>
        <tr r="H168" s="2"/>
      </tp>
      <tp t="s">
        <v>N/A</v>
        <stp/>
        <stp>VOLUME</stp>
        <stp>.NDX250620P20400</stp>
        <tr r="K140" s="2"/>
      </tp>
      <tp>
        <v>6</v>
        <stp/>
        <stp>VOLUME</stp>
        <stp>.NDX250620P19400</stp>
        <tr r="K180" s="2"/>
        <tr r="K180" s="2"/>
      </tp>
      <tp>
        <v>12</v>
        <stp/>
        <stp>VOLUME</stp>
        <stp>.NDX250516P20200</stp>
        <tr r="BF147" s="1"/>
        <tr r="BF147" s="1"/>
      </tp>
      <tp t="s">
        <v>N/A</v>
        <stp/>
        <stp>VOLUME</stp>
        <stp>.NDX251121P19525</stp>
        <tr r="U175" s="2"/>
      </tp>
      <tp t="s">
        <v>N/A</v>
        <stp/>
        <stp>VOLUME</stp>
        <stp>.NDX251017P19325</stp>
        <tr r="S183" s="2"/>
      </tp>
      <tp t="s">
        <v>N/A</v>
        <stp/>
        <stp>VOLUME</stp>
        <stp>.NDX251017P20325</stp>
        <tr r="S143" s="2"/>
      </tp>
      <tp t="s">
        <v>N/A</v>
        <stp/>
        <stp>VOLUME</stp>
        <stp>.NDX250815P20125</stp>
        <tr r="O151" s="2"/>
      </tp>
      <tp>
        <v>37</v>
        <stp/>
        <stp>VOLUME</stp>
        <stp>.NDX250516P19225</stp>
        <tr r="BF186" s="1"/>
        <tr r="BF186" s="1"/>
      </tp>
      <tp t="s">
        <v>N/A</v>
        <stp/>
        <stp>VOLUME</stp>
        <stp>.NDX250523P19725</stp>
        <tr r="H167" s="2"/>
      </tp>
      <tp t="s">
        <v>N/A</v>
        <stp/>
        <stp>VOLUME</stp>
        <stp>.NDX250620P20425</stp>
        <tr r="K139" s="2"/>
      </tp>
      <tp>
        <v>3</v>
        <stp/>
        <stp>VOLUME</stp>
        <stp>.NDX250620P19425</stp>
        <tr r="K179" s="2"/>
        <tr r="K179" s="2"/>
      </tp>
      <tp>
        <v>5</v>
        <stp/>
        <stp>VOLUME</stp>
        <stp>.NDX250516P20225</stp>
        <tr r="BF146" s="1"/>
        <tr r="BF146" s="1"/>
      </tp>
      <tp t="s">
        <v>N/A</v>
        <stp/>
        <stp>VOLUME</stp>
        <stp>.NDX250815P19150</stp>
        <tr r="O190" s="2"/>
      </tp>
      <tp t="s">
        <v>N/A</v>
        <stp/>
        <stp>VOLUME</stp>
        <stp>.NDX250815P20150</stp>
        <tr r="O150" s="2"/>
      </tp>
      <tp>
        <v>23</v>
        <stp/>
        <stp>VOLUME</stp>
        <stp>.NDX250516P19250</stp>
        <tr r="BF185" s="1"/>
        <tr r="BF185" s="1"/>
      </tp>
      <tp t="s">
        <v>N/A</v>
        <stp/>
        <stp>VOLUME</stp>
        <stp>.NDX250523P19750</stp>
        <tr r="H166" s="2"/>
      </tp>
      <tp t="s">
        <v>N/A</v>
        <stp/>
        <stp>VOLUME</stp>
        <stp>.NDX250620P20450</stp>
        <tr r="K138" s="2"/>
      </tp>
      <tp>
        <v>4</v>
        <stp/>
        <stp>VOLUME</stp>
        <stp>.NDX250620P19450</stp>
        <tr r="K178" s="2"/>
        <tr r="K178" s="2"/>
      </tp>
      <tp>
        <v>2</v>
        <stp/>
        <stp>VOLUME</stp>
        <stp>.NDX250516P20250</stp>
        <tr r="BF145" s="1"/>
        <tr r="BF145" s="1"/>
      </tp>
      <tp t="s">
        <v>N/A</v>
        <stp/>
        <stp>VOLUME</stp>
        <stp>.NDX251017P19350</stp>
        <tr r="S182" s="2"/>
      </tp>
      <tp t="s">
        <v>N/A</v>
        <stp/>
        <stp>VOLUME</stp>
        <stp>.NDX251121P19550</stp>
        <tr r="U174" s="2"/>
      </tp>
      <tp t="s">
        <v>N/A</v>
        <stp/>
        <stp>VOLUME</stp>
        <stp>.NDX251017P20350</stp>
        <tr r="S142" s="2"/>
      </tp>
      <tp t="s">
        <v>N/A</v>
        <stp/>
        <stp>VOLUME</stp>
        <stp>.NDX250815P19175</stp>
        <tr r="O189" s="2"/>
      </tp>
      <tp t="s">
        <v>N/A</v>
        <stp/>
        <stp>VOLUME</stp>
        <stp>.NDX250815P20175</stp>
        <tr r="O149" s="2"/>
      </tp>
      <tp>
        <v>42</v>
        <stp/>
        <stp>VOLUME</stp>
        <stp>.NDX250516P19275</stp>
        <tr r="BF184" s="1"/>
        <tr r="BF184" s="1"/>
      </tp>
      <tp t="s">
        <v>N/A</v>
        <stp/>
        <stp>VOLUME</stp>
        <stp>.NDX250523P19775</stp>
        <tr r="H165" s="2"/>
      </tp>
      <tp>
        <v>4</v>
        <stp/>
        <stp>VOLUME</stp>
        <stp>.NDX250620P19475</stp>
        <tr r="K177" s="2"/>
        <tr r="K177" s="2"/>
      </tp>
      <tp>
        <v>2</v>
        <stp/>
        <stp>VOLUME</stp>
        <stp>.NDX250516P20275</stp>
        <tr r="BF144" s="1"/>
        <tr r="BF144" s="1"/>
      </tp>
      <tp t="s">
        <v>N/A</v>
        <stp/>
        <stp>VOLUME</stp>
        <stp>.NDX251121P19575</stp>
        <tr r="U173" s="2"/>
      </tp>
      <tp t="s">
        <v>N/A</v>
        <stp/>
        <stp>VOLUME</stp>
        <stp>.NDX251017P19375</stp>
        <tr r="S181" s="2"/>
      </tp>
      <tp t="s">
        <v>N/A</v>
        <stp/>
        <stp>VOLUME</stp>
        <stp>.NDX251017P20375</stp>
        <tr r="S141" s="2"/>
      </tp>
      <tp t="s">
        <v>124.93%</v>
        <stp/>
        <stp>IMPL_VOL</stp>
        <stp>.NDXP250505P19550</stp>
        <tr r="EM173" s="1"/>
      </tp>
      <tp t="s">
        <v>42.13%</v>
        <stp/>
        <stp>IMPL_VOL</stp>
        <stp>.NDXP250509P19950</stp>
        <tr r="EO157" s="1"/>
      </tp>
      <tp t="s">
        <v>218.72%</v>
        <stp/>
        <stp>IMPL_VOL</stp>
        <stp>.NDXP250505P19575</stp>
        <tr r="EM172" s="1"/>
      </tp>
      <tp t="s">
        <v>64.25%</v>
        <stp/>
        <stp>IMPL_VOL</stp>
        <stp>.NDXP250509P19975</stp>
        <tr r="EO156" s="1"/>
      </tp>
      <tp t="s">
        <v>115.16%</v>
        <stp/>
        <stp>IMPL_VOL</stp>
        <stp>.NDXP250505P19500</stp>
        <tr r="EM175" s="1"/>
      </tp>
      <tp t="s">
        <v>36.30%</v>
        <stp/>
        <stp>IMPL_VOL</stp>
        <stp>.NDXP250509P19900</stp>
        <tr r="EO159" s="1"/>
      </tp>
      <tp t="s">
        <v>236.23%</v>
        <stp/>
        <stp>IMPL_VOL</stp>
        <stp>.NDXP250505P19525</stp>
        <tr r="EM174" s="1"/>
      </tp>
      <tp t="s">
        <v>31.12%</v>
        <stp/>
        <stp>IMPL_VOL</stp>
        <stp>.NDXP250509P19925</stp>
        <tr r="EO158" s="1"/>
      </tp>
      <tp t="s">
        <v>N/A</v>
        <stp/>
        <stp>VOLUME</stp>
        <stp>.NDX250815C20125</stp>
        <tr r="O151" s="2"/>
      </tp>
      <tp t="s">
        <v>N/A</v>
        <stp/>
        <stp>VOLUME</stp>
        <stp>.NDX250516C19225</stp>
        <tr r="BE186" s="1"/>
      </tp>
      <tp t="s">
        <v>N/A</v>
        <stp/>
        <stp>VOLUME</stp>
        <stp>.NDX250523C19725</stp>
        <tr r="H167" s="2"/>
      </tp>
      <tp t="s">
        <v>N/A</v>
        <stp/>
        <stp>VOLUME</stp>
        <stp>.NDX250620C20425</stp>
        <tr r="K139" s="2"/>
      </tp>
      <tp t="s">
        <v>N/A</v>
        <stp/>
        <stp>VOLUME</stp>
        <stp>.NDX250620C19425</stp>
        <tr r="K179" s="2"/>
      </tp>
      <tp>
        <v>4</v>
        <stp/>
        <stp>VOLUME</stp>
        <stp>.NDX250516C20225</stp>
        <tr r="BE146" s="1"/>
        <tr r="BE146" s="1"/>
      </tp>
      <tp t="s">
        <v>N/A</v>
        <stp/>
        <stp>VOLUME</stp>
        <stp>.NDX251121C19525</stp>
        <tr r="U175" s="2"/>
      </tp>
      <tp t="s">
        <v>N/A</v>
        <stp/>
        <stp>VOLUME</stp>
        <stp>.NDX251017C19325</stp>
        <tr r="S183" s="2"/>
      </tp>
      <tp t="s">
        <v>N/A</v>
        <stp/>
        <stp>VOLUME</stp>
        <stp>.NDX251017C20325</stp>
        <tr r="S143" s="2"/>
      </tp>
      <tp t="s">
        <v>N/A</v>
        <stp/>
        <stp>VOLUME</stp>
        <stp>.NDX250815C20100</stp>
        <tr r="O152" s="2"/>
      </tp>
      <tp t="s">
        <v>N/A</v>
        <stp/>
        <stp>VOLUME</stp>
        <stp>.NDX250516C19200</stp>
        <tr r="BE187" s="1"/>
      </tp>
      <tp t="s">
        <v>N/A</v>
        <stp/>
        <stp>VOLUME</stp>
        <stp>.NDX250523C19700</stp>
        <tr r="H168" s="2"/>
      </tp>
      <tp>
        <v>2</v>
        <stp/>
        <stp>VOLUME</stp>
        <stp>.NDX250620C20400</stp>
        <tr r="K140" s="2"/>
        <tr r="K140" s="2"/>
      </tp>
      <tp t="s">
        <v>N/A</v>
        <stp/>
        <stp>VOLUME</stp>
        <stp>.NDX250620C19400</stp>
        <tr r="K180" s="2"/>
      </tp>
      <tp>
        <v>6</v>
        <stp/>
        <stp>VOLUME</stp>
        <stp>.NDX250516C20200</stp>
        <tr r="BE147" s="1"/>
        <tr r="BE147" s="1"/>
      </tp>
      <tp t="s">
        <v>N/A</v>
        <stp/>
        <stp>VOLUME</stp>
        <stp>.NDX251017C19300</stp>
        <tr r="S184" s="2"/>
      </tp>
      <tp t="s">
        <v>N/A</v>
        <stp/>
        <stp>VOLUME</stp>
        <stp>.NDX251121C19500</stp>
        <tr r="U176" s="2"/>
      </tp>
      <tp t="s">
        <v>N/A</v>
        <stp/>
        <stp>VOLUME</stp>
        <stp>.NDX251017C20300</stp>
        <tr r="S144" s="2"/>
      </tp>
      <tp t="s">
        <v>N/A</v>
        <stp/>
        <stp>VOLUME</stp>
        <stp>.NDX251121C19575</stp>
        <tr r="U173" s="2"/>
      </tp>
      <tp t="s">
        <v>N/A</v>
        <stp/>
        <stp>VOLUME</stp>
        <stp>.NDX251017C19375</stp>
        <tr r="S181" s="2"/>
      </tp>
      <tp t="s">
        <v>N/A</v>
        <stp/>
        <stp>VOLUME</stp>
        <stp>.NDX251017C20375</stp>
        <tr r="S141" s="2"/>
      </tp>
      <tp t="s">
        <v>N/A</v>
        <stp/>
        <stp>VOLUME</stp>
        <stp>.NDX250815C19175</stp>
        <tr r="O189" s="2"/>
      </tp>
      <tp t="s">
        <v>N/A</v>
        <stp/>
        <stp>VOLUME</stp>
        <stp>.NDX250815C20175</stp>
        <tr r="O149" s="2"/>
      </tp>
      <tp t="s">
        <v>N/A</v>
        <stp/>
        <stp>VOLUME</stp>
        <stp>.NDX250516C19275</stp>
        <tr r="BE184" s="1"/>
      </tp>
      <tp t="s">
        <v>N/A</v>
        <stp/>
        <stp>VOLUME</stp>
        <stp>.NDX250523C19775</stp>
        <tr r="H165" s="2"/>
      </tp>
      <tp t="s">
        <v>N/A</v>
        <stp/>
        <stp>VOLUME</stp>
        <stp>.NDX250620C19475</stp>
        <tr r="K177" s="2"/>
      </tp>
      <tp>
        <v>8</v>
        <stp/>
        <stp>VOLUME</stp>
        <stp>.NDX250516C20275</stp>
        <tr r="BE144" s="1"/>
        <tr r="BE144" s="1"/>
      </tp>
      <tp t="s">
        <v>N/A</v>
        <stp/>
        <stp>VOLUME</stp>
        <stp>.NDX251017C19350</stp>
        <tr r="S182" s="2"/>
      </tp>
      <tp t="s">
        <v>N/A</v>
        <stp/>
        <stp>VOLUME</stp>
        <stp>.NDX251121C19550</stp>
        <tr r="U174" s="2"/>
      </tp>
      <tp t="s">
        <v>N/A</v>
        <stp/>
        <stp>VOLUME</stp>
        <stp>.NDX251017C20350</stp>
        <tr r="S142" s="2"/>
      </tp>
      <tp t="s">
        <v>N/A</v>
        <stp/>
        <stp>VOLUME</stp>
        <stp>.NDX250815C19150</stp>
        <tr r="O190" s="2"/>
      </tp>
      <tp t="s">
        <v>N/A</v>
        <stp/>
        <stp>VOLUME</stp>
        <stp>.NDX250815C20150</stp>
        <tr r="O150" s="2"/>
      </tp>
      <tp t="s">
        <v>N/A</v>
        <stp/>
        <stp>VOLUME</stp>
        <stp>.NDX250516C19250</stp>
        <tr r="BE185" s="1"/>
      </tp>
      <tp t="s">
        <v>N/A</v>
        <stp/>
        <stp>VOLUME</stp>
        <stp>.NDX250523C19750</stp>
        <tr r="H166" s="2"/>
      </tp>
      <tp>
        <v>2</v>
        <stp/>
        <stp>VOLUME</stp>
        <stp>.NDX250620C20450</stp>
        <tr r="K138" s="2"/>
        <tr r="K138" s="2"/>
      </tp>
      <tp t="s">
        <v>N/A</v>
        <stp/>
        <stp>VOLUME</stp>
        <stp>.NDX250620C19450</stp>
        <tr r="K178" s="2"/>
      </tp>
      <tp>
        <v>8</v>
        <stp/>
        <stp>VOLUME</stp>
        <stp>.NDX250516C20250</stp>
        <tr r="BE145" s="1"/>
        <tr r="BE14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239872"/>
        <c:axId val="190241408"/>
      </c:barChart>
      <c:catAx>
        <c:axId val="19023987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241408"/>
        <c:crosses val="autoZero"/>
        <c:auto val="1"/>
        <c:lblAlgn val="ctr"/>
        <c:lblOffset val="100"/>
        <c:noMultiLvlLbl val="0"/>
      </c:catAx>
      <c:valAx>
        <c:axId val="19024140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239872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882560"/>
        <c:axId val="190884096"/>
      </c:barChart>
      <c:catAx>
        <c:axId val="19088256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884096"/>
        <c:crosses val="autoZero"/>
        <c:auto val="1"/>
        <c:lblAlgn val="ctr"/>
        <c:lblOffset val="100"/>
        <c:noMultiLvlLbl val="0"/>
      </c:catAx>
      <c:valAx>
        <c:axId val="19088409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882560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174912"/>
        <c:axId val="191180800"/>
      </c:barChart>
      <c:catAx>
        <c:axId val="19117491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1180800"/>
        <c:crosses val="autoZero"/>
        <c:auto val="1"/>
        <c:lblAlgn val="ctr"/>
        <c:lblOffset val="100"/>
        <c:noMultiLvlLbl val="0"/>
      </c:catAx>
      <c:valAx>
        <c:axId val="19118080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174912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211008"/>
        <c:axId val="191212544"/>
      </c:barChart>
      <c:catAx>
        <c:axId val="19121100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1212544"/>
        <c:crosses val="autoZero"/>
        <c:auto val="1"/>
        <c:lblAlgn val="ctr"/>
        <c:lblOffset val="100"/>
        <c:noMultiLvlLbl val="0"/>
      </c:catAx>
      <c:valAx>
        <c:axId val="19121254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211008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2108</c:v>
                </c:pt>
                <c:pt idx="1">
                  <c:v>4377</c:v>
                </c:pt>
                <c:pt idx="2">
                  <c:v>11656</c:v>
                </c:pt>
                <c:pt idx="3">
                  <c:v>7107</c:v>
                </c:pt>
                <c:pt idx="4">
                  <c:v>6215</c:v>
                </c:pt>
                <c:pt idx="5">
                  <c:v>13662</c:v>
                </c:pt>
                <c:pt idx="6">
                  <c:v>17153</c:v>
                </c:pt>
                <c:pt idx="7">
                  <c:v>41787</c:v>
                </c:pt>
                <c:pt idx="8">
                  <c:v>27281</c:v>
                </c:pt>
                <c:pt idx="9">
                  <c:v>35680</c:v>
                </c:pt>
                <c:pt idx="10">
                  <c:v>71679</c:v>
                </c:pt>
                <c:pt idx="11">
                  <c:v>80054</c:v>
                </c:pt>
                <c:pt idx="12">
                  <c:v>219860</c:v>
                </c:pt>
                <c:pt idx="13">
                  <c:v>172119</c:v>
                </c:pt>
                <c:pt idx="14">
                  <c:v>198971</c:v>
                </c:pt>
                <c:pt idx="15">
                  <c:v>324710</c:v>
                </c:pt>
                <c:pt idx="16">
                  <c:v>214588</c:v>
                </c:pt>
                <c:pt idx="17">
                  <c:v>143983</c:v>
                </c:pt>
                <c:pt idx="18">
                  <c:v>-111654</c:v>
                </c:pt>
                <c:pt idx="19">
                  <c:v>-258340</c:v>
                </c:pt>
                <c:pt idx="20">
                  <c:v>-133080</c:v>
                </c:pt>
                <c:pt idx="21">
                  <c:v>-119874</c:v>
                </c:pt>
                <c:pt idx="22">
                  <c:v>-229284</c:v>
                </c:pt>
                <c:pt idx="23">
                  <c:v>-70658</c:v>
                </c:pt>
                <c:pt idx="24">
                  <c:v>-45610</c:v>
                </c:pt>
                <c:pt idx="25">
                  <c:v>-34450</c:v>
                </c:pt>
                <c:pt idx="26">
                  <c:v>-34225</c:v>
                </c:pt>
                <c:pt idx="27">
                  <c:v>-49250</c:v>
                </c:pt>
                <c:pt idx="28">
                  <c:v>-20615</c:v>
                </c:pt>
                <c:pt idx="29">
                  <c:v>-15183</c:v>
                </c:pt>
                <c:pt idx="30">
                  <c:v>-14091</c:v>
                </c:pt>
                <c:pt idx="31">
                  <c:v>-7968</c:v>
                </c:pt>
                <c:pt idx="32">
                  <c:v>-18947</c:v>
                </c:pt>
                <c:pt idx="33">
                  <c:v>-8351</c:v>
                </c:pt>
                <c:pt idx="34">
                  <c:v>-3896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3382</c:v>
                </c:pt>
                <c:pt idx="1">
                  <c:v>3704</c:v>
                </c:pt>
                <c:pt idx="2">
                  <c:v>24281</c:v>
                </c:pt>
                <c:pt idx="3">
                  <c:v>2342</c:v>
                </c:pt>
                <c:pt idx="4">
                  <c:v>4119</c:v>
                </c:pt>
                <c:pt idx="5">
                  <c:v>2432</c:v>
                </c:pt>
                <c:pt idx="6">
                  <c:v>3630</c:v>
                </c:pt>
                <c:pt idx="7">
                  <c:v>19568</c:v>
                </c:pt>
                <c:pt idx="8">
                  <c:v>1682</c:v>
                </c:pt>
                <c:pt idx="9">
                  <c:v>1987</c:v>
                </c:pt>
                <c:pt idx="10">
                  <c:v>2659</c:v>
                </c:pt>
                <c:pt idx="11">
                  <c:v>3554</c:v>
                </c:pt>
                <c:pt idx="12">
                  <c:v>26265</c:v>
                </c:pt>
                <c:pt idx="13">
                  <c:v>3813</c:v>
                </c:pt>
                <c:pt idx="14">
                  <c:v>5536</c:v>
                </c:pt>
                <c:pt idx="15">
                  <c:v>9905</c:v>
                </c:pt>
                <c:pt idx="16">
                  <c:v>3790</c:v>
                </c:pt>
                <c:pt idx="17">
                  <c:v>585</c:v>
                </c:pt>
                <c:pt idx="18">
                  <c:v>460</c:v>
                </c:pt>
                <c:pt idx="19">
                  <c:v>-1189</c:v>
                </c:pt>
                <c:pt idx="20">
                  <c:v>-2674</c:v>
                </c:pt>
                <c:pt idx="21">
                  <c:v>-1411</c:v>
                </c:pt>
                <c:pt idx="22">
                  <c:v>-17336</c:v>
                </c:pt>
                <c:pt idx="23">
                  <c:v>-2311</c:v>
                </c:pt>
                <c:pt idx="24">
                  <c:v>-1738</c:v>
                </c:pt>
                <c:pt idx="25">
                  <c:v>-1389</c:v>
                </c:pt>
                <c:pt idx="26">
                  <c:v>-1524</c:v>
                </c:pt>
                <c:pt idx="27">
                  <c:v>-13618</c:v>
                </c:pt>
                <c:pt idx="28">
                  <c:v>-2108</c:v>
                </c:pt>
                <c:pt idx="29">
                  <c:v>-1048</c:v>
                </c:pt>
                <c:pt idx="30">
                  <c:v>-3206</c:v>
                </c:pt>
                <c:pt idx="31">
                  <c:v>-2452</c:v>
                </c:pt>
                <c:pt idx="32">
                  <c:v>-58135</c:v>
                </c:pt>
                <c:pt idx="33">
                  <c:v>-2208</c:v>
                </c:pt>
                <c:pt idx="34">
                  <c:v>-3293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947</c:v>
                </c:pt>
                <c:pt idx="1">
                  <c:v>1650</c:v>
                </c:pt>
                <c:pt idx="2">
                  <c:v>13000</c:v>
                </c:pt>
                <c:pt idx="3">
                  <c:v>1040</c:v>
                </c:pt>
                <c:pt idx="4">
                  <c:v>1371</c:v>
                </c:pt>
                <c:pt idx="5">
                  <c:v>808</c:v>
                </c:pt>
                <c:pt idx="6">
                  <c:v>1417</c:v>
                </c:pt>
                <c:pt idx="7">
                  <c:v>8054</c:v>
                </c:pt>
                <c:pt idx="8">
                  <c:v>700</c:v>
                </c:pt>
                <c:pt idx="9">
                  <c:v>1435</c:v>
                </c:pt>
                <c:pt idx="10">
                  <c:v>1426</c:v>
                </c:pt>
                <c:pt idx="11">
                  <c:v>2170</c:v>
                </c:pt>
                <c:pt idx="12">
                  <c:v>3544</c:v>
                </c:pt>
                <c:pt idx="13">
                  <c:v>413</c:v>
                </c:pt>
                <c:pt idx="14">
                  <c:v>1416</c:v>
                </c:pt>
                <c:pt idx="15">
                  <c:v>-247</c:v>
                </c:pt>
                <c:pt idx="16">
                  <c:v>299</c:v>
                </c:pt>
                <c:pt idx="17">
                  <c:v>-1099</c:v>
                </c:pt>
                <c:pt idx="18">
                  <c:v>-1026</c:v>
                </c:pt>
                <c:pt idx="19">
                  <c:v>173</c:v>
                </c:pt>
                <c:pt idx="20">
                  <c:v>-584</c:v>
                </c:pt>
                <c:pt idx="21">
                  <c:v>-2264</c:v>
                </c:pt>
                <c:pt idx="22">
                  <c:v>-12504</c:v>
                </c:pt>
                <c:pt idx="23">
                  <c:v>-1242</c:v>
                </c:pt>
                <c:pt idx="24">
                  <c:v>-1123</c:v>
                </c:pt>
                <c:pt idx="25">
                  <c:v>-1115</c:v>
                </c:pt>
                <c:pt idx="26">
                  <c:v>-2771</c:v>
                </c:pt>
                <c:pt idx="27">
                  <c:v>-11152</c:v>
                </c:pt>
                <c:pt idx="28">
                  <c:v>-1501</c:v>
                </c:pt>
                <c:pt idx="29">
                  <c:v>-1019</c:v>
                </c:pt>
                <c:pt idx="30">
                  <c:v>-664</c:v>
                </c:pt>
                <c:pt idx="31">
                  <c:v>-410</c:v>
                </c:pt>
                <c:pt idx="32">
                  <c:v>-21245</c:v>
                </c:pt>
                <c:pt idx="33">
                  <c:v>-980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265792"/>
        <c:axId val="191267584"/>
      </c:barChart>
      <c:catAx>
        <c:axId val="19126579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267584"/>
        <c:crosses val="autoZero"/>
        <c:auto val="1"/>
        <c:lblAlgn val="ctr"/>
        <c:lblOffset val="100"/>
        <c:noMultiLvlLbl val="0"/>
      </c:catAx>
      <c:valAx>
        <c:axId val="19126758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265792"/>
        <c:crosses val="autoZero"/>
        <c:crossBetween val="between"/>
        <c:dispUnits>
          <c:builtInUnit val="thousan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2332</c:v>
                </c:pt>
                <c:pt idx="1">
                  <c:v>3348</c:v>
                </c:pt>
                <c:pt idx="2">
                  <c:v>10261</c:v>
                </c:pt>
                <c:pt idx="3">
                  <c:v>3264</c:v>
                </c:pt>
                <c:pt idx="4">
                  <c:v>10493</c:v>
                </c:pt>
                <c:pt idx="5">
                  <c:v>11884</c:v>
                </c:pt>
                <c:pt idx="6">
                  <c:v>17079</c:v>
                </c:pt>
                <c:pt idx="7">
                  <c:v>67136</c:v>
                </c:pt>
                <c:pt idx="8">
                  <c:v>35537</c:v>
                </c:pt>
                <c:pt idx="9">
                  <c:v>71575</c:v>
                </c:pt>
                <c:pt idx="10">
                  <c:v>85762</c:v>
                </c:pt>
                <c:pt idx="11">
                  <c:v>97315</c:v>
                </c:pt>
                <c:pt idx="12">
                  <c:v>92289</c:v>
                </c:pt>
                <c:pt idx="13">
                  <c:v>70301</c:v>
                </c:pt>
                <c:pt idx="14">
                  <c:v>-32364</c:v>
                </c:pt>
                <c:pt idx="15">
                  <c:v>-52341</c:v>
                </c:pt>
                <c:pt idx="16">
                  <c:v>-91889</c:v>
                </c:pt>
                <c:pt idx="17">
                  <c:v>-84246</c:v>
                </c:pt>
                <c:pt idx="18">
                  <c:v>-44094</c:v>
                </c:pt>
                <c:pt idx="19">
                  <c:v>-30170</c:v>
                </c:pt>
                <c:pt idx="20">
                  <c:v>-15075</c:v>
                </c:pt>
                <c:pt idx="21">
                  <c:v>-8772</c:v>
                </c:pt>
                <c:pt idx="22">
                  <c:v>-26925</c:v>
                </c:pt>
                <c:pt idx="23">
                  <c:v>-6049</c:v>
                </c:pt>
                <c:pt idx="24">
                  <c:v>-5202</c:v>
                </c:pt>
                <c:pt idx="25">
                  <c:v>-3045</c:v>
                </c:pt>
                <c:pt idx="26">
                  <c:v>-2554</c:v>
                </c:pt>
                <c:pt idx="27">
                  <c:v>-5045</c:v>
                </c:pt>
                <c:pt idx="28">
                  <c:v>-3060</c:v>
                </c:pt>
                <c:pt idx="29">
                  <c:v>-2590</c:v>
                </c:pt>
                <c:pt idx="30">
                  <c:v>-310</c:v>
                </c:pt>
                <c:pt idx="31">
                  <c:v>-2059</c:v>
                </c:pt>
                <c:pt idx="32">
                  <c:v>-6088</c:v>
                </c:pt>
                <c:pt idx="33">
                  <c:v>-2045</c:v>
                </c:pt>
                <c:pt idx="34">
                  <c:v>-1126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913</c:v>
                </c:pt>
                <c:pt idx="1">
                  <c:v>1206</c:v>
                </c:pt>
                <c:pt idx="2">
                  <c:v>14181</c:v>
                </c:pt>
                <c:pt idx="3">
                  <c:v>616</c:v>
                </c:pt>
                <c:pt idx="4">
                  <c:v>931</c:v>
                </c:pt>
                <c:pt idx="5">
                  <c:v>749</c:v>
                </c:pt>
                <c:pt idx="6">
                  <c:v>1074</c:v>
                </c:pt>
                <c:pt idx="7">
                  <c:v>4681</c:v>
                </c:pt>
                <c:pt idx="8">
                  <c:v>777</c:v>
                </c:pt>
                <c:pt idx="9">
                  <c:v>1291</c:v>
                </c:pt>
                <c:pt idx="10">
                  <c:v>1944</c:v>
                </c:pt>
                <c:pt idx="11">
                  <c:v>1024</c:v>
                </c:pt>
                <c:pt idx="12">
                  <c:v>5529</c:v>
                </c:pt>
                <c:pt idx="13">
                  <c:v>732</c:v>
                </c:pt>
                <c:pt idx="14">
                  <c:v>-340</c:v>
                </c:pt>
                <c:pt idx="15">
                  <c:v>-1864</c:v>
                </c:pt>
                <c:pt idx="16">
                  <c:v>-230</c:v>
                </c:pt>
                <c:pt idx="17">
                  <c:v>-11360</c:v>
                </c:pt>
                <c:pt idx="18">
                  <c:v>-1441</c:v>
                </c:pt>
                <c:pt idx="19">
                  <c:v>-1981</c:v>
                </c:pt>
                <c:pt idx="20">
                  <c:v>-395</c:v>
                </c:pt>
                <c:pt idx="21">
                  <c:v>-297</c:v>
                </c:pt>
                <c:pt idx="22">
                  <c:v>-10086</c:v>
                </c:pt>
                <c:pt idx="23">
                  <c:v>-1034</c:v>
                </c:pt>
                <c:pt idx="24">
                  <c:v>-1808</c:v>
                </c:pt>
                <c:pt idx="25">
                  <c:v>-2214</c:v>
                </c:pt>
                <c:pt idx="26">
                  <c:v>-1678</c:v>
                </c:pt>
                <c:pt idx="27">
                  <c:v>-10435</c:v>
                </c:pt>
                <c:pt idx="28">
                  <c:v>-3992</c:v>
                </c:pt>
                <c:pt idx="29">
                  <c:v>-1872</c:v>
                </c:pt>
                <c:pt idx="30">
                  <c:v>-469</c:v>
                </c:pt>
                <c:pt idx="31">
                  <c:v>-887</c:v>
                </c:pt>
                <c:pt idx="32">
                  <c:v>-6162</c:v>
                </c:pt>
                <c:pt idx="33">
                  <c:v>-2167</c:v>
                </c:pt>
                <c:pt idx="34">
                  <c:v>-1191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-125</c:v>
                </c:pt>
                <c:pt idx="1">
                  <c:v>244</c:v>
                </c:pt>
                <c:pt idx="2">
                  <c:v>20393</c:v>
                </c:pt>
                <c:pt idx="3">
                  <c:v>-226</c:v>
                </c:pt>
                <c:pt idx="4">
                  <c:v>103</c:v>
                </c:pt>
                <c:pt idx="5">
                  <c:v>312</c:v>
                </c:pt>
                <c:pt idx="6">
                  <c:v>91</c:v>
                </c:pt>
                <c:pt idx="7">
                  <c:v>6197</c:v>
                </c:pt>
                <c:pt idx="8">
                  <c:v>146</c:v>
                </c:pt>
                <c:pt idx="9">
                  <c:v>377</c:v>
                </c:pt>
                <c:pt idx="10">
                  <c:v>523</c:v>
                </c:pt>
                <c:pt idx="11">
                  <c:v>1030</c:v>
                </c:pt>
                <c:pt idx="12">
                  <c:v>319</c:v>
                </c:pt>
                <c:pt idx="13">
                  <c:v>-205</c:v>
                </c:pt>
                <c:pt idx="14">
                  <c:v>-249</c:v>
                </c:pt>
                <c:pt idx="15">
                  <c:v>-569</c:v>
                </c:pt>
                <c:pt idx="16">
                  <c:v>-589</c:v>
                </c:pt>
                <c:pt idx="17">
                  <c:v>-4256</c:v>
                </c:pt>
                <c:pt idx="18">
                  <c:v>-1858</c:v>
                </c:pt>
                <c:pt idx="19">
                  <c:v>-364</c:v>
                </c:pt>
                <c:pt idx="20">
                  <c:v>-14</c:v>
                </c:pt>
                <c:pt idx="21">
                  <c:v>-263</c:v>
                </c:pt>
                <c:pt idx="22">
                  <c:v>-16327</c:v>
                </c:pt>
                <c:pt idx="23">
                  <c:v>-87</c:v>
                </c:pt>
                <c:pt idx="24">
                  <c:v>-181</c:v>
                </c:pt>
                <c:pt idx="25">
                  <c:v>-372</c:v>
                </c:pt>
                <c:pt idx="26">
                  <c:v>-348</c:v>
                </c:pt>
                <c:pt idx="27">
                  <c:v>-15432</c:v>
                </c:pt>
                <c:pt idx="28">
                  <c:v>-231</c:v>
                </c:pt>
                <c:pt idx="29">
                  <c:v>-158</c:v>
                </c:pt>
                <c:pt idx="30">
                  <c:v>-817</c:v>
                </c:pt>
                <c:pt idx="31">
                  <c:v>-173</c:v>
                </c:pt>
                <c:pt idx="32">
                  <c:v>-14350</c:v>
                </c:pt>
                <c:pt idx="33">
                  <c:v>-194</c:v>
                </c:pt>
                <c:pt idx="34">
                  <c:v>-379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651840"/>
        <c:axId val="191653376"/>
      </c:barChart>
      <c:catAx>
        <c:axId val="1916518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653376"/>
        <c:crosses val="autoZero"/>
        <c:auto val="1"/>
        <c:lblAlgn val="ctr"/>
        <c:lblOffset val="100"/>
        <c:noMultiLvlLbl val="0"/>
      </c:catAx>
      <c:valAx>
        <c:axId val="19165337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65184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1442</c:v>
                </c:pt>
                <c:pt idx="1">
                  <c:v>1920</c:v>
                </c:pt>
                <c:pt idx="2">
                  <c:v>2006</c:v>
                </c:pt>
                <c:pt idx="3">
                  <c:v>1780</c:v>
                </c:pt>
                <c:pt idx="4">
                  <c:v>1837</c:v>
                </c:pt>
                <c:pt idx="5">
                  <c:v>2686</c:v>
                </c:pt>
                <c:pt idx="6">
                  <c:v>2787</c:v>
                </c:pt>
                <c:pt idx="7">
                  <c:v>18870</c:v>
                </c:pt>
                <c:pt idx="8">
                  <c:v>2586</c:v>
                </c:pt>
                <c:pt idx="9">
                  <c:v>4304</c:v>
                </c:pt>
                <c:pt idx="10">
                  <c:v>6235</c:v>
                </c:pt>
                <c:pt idx="11">
                  <c:v>11281</c:v>
                </c:pt>
                <c:pt idx="12">
                  <c:v>16750</c:v>
                </c:pt>
                <c:pt idx="13">
                  <c:v>19667</c:v>
                </c:pt>
                <c:pt idx="14">
                  <c:v>25087</c:v>
                </c:pt>
                <c:pt idx="15">
                  <c:v>0</c:v>
                </c:pt>
                <c:pt idx="16">
                  <c:v>29453</c:v>
                </c:pt>
                <c:pt idx="17">
                  <c:v>79490</c:v>
                </c:pt>
                <c:pt idx="18">
                  <c:v>51657</c:v>
                </c:pt>
                <c:pt idx="19">
                  <c:v>73565</c:v>
                </c:pt>
                <c:pt idx="20">
                  <c:v>43974</c:v>
                </c:pt>
                <c:pt idx="21">
                  <c:v>-18903</c:v>
                </c:pt>
                <c:pt idx="22">
                  <c:v>-69539</c:v>
                </c:pt>
                <c:pt idx="23">
                  <c:v>-53215</c:v>
                </c:pt>
                <c:pt idx="24">
                  <c:v>-41428</c:v>
                </c:pt>
                <c:pt idx="25">
                  <c:v>-43360</c:v>
                </c:pt>
                <c:pt idx="26">
                  <c:v>-29460</c:v>
                </c:pt>
                <c:pt idx="27">
                  <c:v>-49231</c:v>
                </c:pt>
                <c:pt idx="28">
                  <c:v>-26697</c:v>
                </c:pt>
                <c:pt idx="29">
                  <c:v>-22954</c:v>
                </c:pt>
                <c:pt idx="30">
                  <c:v>-26925</c:v>
                </c:pt>
                <c:pt idx="31">
                  <c:v>-9725</c:v>
                </c:pt>
                <c:pt idx="32">
                  <c:v>-11726</c:v>
                </c:pt>
                <c:pt idx="33">
                  <c:v>-6879</c:v>
                </c:pt>
                <c:pt idx="34">
                  <c:v>-4216</c:v>
                </c:pt>
                <c:pt idx="35">
                  <c:v>-2928</c:v>
                </c:pt>
                <c:pt idx="36">
                  <c:v>-2353</c:v>
                </c:pt>
                <c:pt idx="37">
                  <c:v>-5131</c:v>
                </c:pt>
                <c:pt idx="38">
                  <c:v>-1540</c:v>
                </c:pt>
                <c:pt idx="39">
                  <c:v>-1331</c:v>
                </c:pt>
                <c:pt idx="40">
                  <c:v>-581</c:v>
                </c:pt>
                <c:pt idx="41">
                  <c:v>-338</c:v>
                </c:pt>
                <c:pt idx="42">
                  <c:v>-3098</c:v>
                </c:pt>
                <c:pt idx="43">
                  <c:v>-2419</c:v>
                </c:pt>
                <c:pt idx="44">
                  <c:v>-932</c:v>
                </c:pt>
                <c:pt idx="45">
                  <c:v>-1270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123</c:v>
                </c:pt>
                <c:pt idx="1">
                  <c:v>204</c:v>
                </c:pt>
                <c:pt idx="2">
                  <c:v>1712</c:v>
                </c:pt>
                <c:pt idx="3">
                  <c:v>283</c:v>
                </c:pt>
                <c:pt idx="4">
                  <c:v>73</c:v>
                </c:pt>
                <c:pt idx="5">
                  <c:v>686</c:v>
                </c:pt>
                <c:pt idx="6">
                  <c:v>912</c:v>
                </c:pt>
                <c:pt idx="7">
                  <c:v>2913</c:v>
                </c:pt>
                <c:pt idx="8">
                  <c:v>289</c:v>
                </c:pt>
                <c:pt idx="9">
                  <c:v>511</c:v>
                </c:pt>
                <c:pt idx="10">
                  <c:v>941</c:v>
                </c:pt>
                <c:pt idx="11">
                  <c:v>489</c:v>
                </c:pt>
                <c:pt idx="12">
                  <c:v>1027</c:v>
                </c:pt>
                <c:pt idx="13">
                  <c:v>139</c:v>
                </c:pt>
                <c:pt idx="14">
                  <c:v>180</c:v>
                </c:pt>
                <c:pt idx="15">
                  <c:v>204</c:v>
                </c:pt>
                <c:pt idx="16">
                  <c:v>62</c:v>
                </c:pt>
                <c:pt idx="17">
                  <c:v>712</c:v>
                </c:pt>
                <c:pt idx="18">
                  <c:v>-23</c:v>
                </c:pt>
                <c:pt idx="19">
                  <c:v>119</c:v>
                </c:pt>
                <c:pt idx="20">
                  <c:v>197</c:v>
                </c:pt>
                <c:pt idx="21">
                  <c:v>-316</c:v>
                </c:pt>
                <c:pt idx="22">
                  <c:v>-323</c:v>
                </c:pt>
                <c:pt idx="23">
                  <c:v>-136</c:v>
                </c:pt>
                <c:pt idx="24">
                  <c:v>-172</c:v>
                </c:pt>
                <c:pt idx="25">
                  <c:v>-148</c:v>
                </c:pt>
                <c:pt idx="26">
                  <c:v>475</c:v>
                </c:pt>
                <c:pt idx="27">
                  <c:v>-103</c:v>
                </c:pt>
                <c:pt idx="28">
                  <c:v>-278</c:v>
                </c:pt>
                <c:pt idx="29">
                  <c:v>-197</c:v>
                </c:pt>
                <c:pt idx="30">
                  <c:v>-336</c:v>
                </c:pt>
                <c:pt idx="31">
                  <c:v>-397</c:v>
                </c:pt>
                <c:pt idx="32">
                  <c:v>-990</c:v>
                </c:pt>
                <c:pt idx="33">
                  <c:v>-117</c:v>
                </c:pt>
                <c:pt idx="34">
                  <c:v>-958</c:v>
                </c:pt>
                <c:pt idx="35">
                  <c:v>-444</c:v>
                </c:pt>
                <c:pt idx="36">
                  <c:v>-236</c:v>
                </c:pt>
                <c:pt idx="37">
                  <c:v>-908</c:v>
                </c:pt>
                <c:pt idx="38">
                  <c:v>-214</c:v>
                </c:pt>
                <c:pt idx="39">
                  <c:v>-543</c:v>
                </c:pt>
                <c:pt idx="40">
                  <c:v>-204</c:v>
                </c:pt>
                <c:pt idx="41">
                  <c:v>-172</c:v>
                </c:pt>
                <c:pt idx="42">
                  <c:v>-287</c:v>
                </c:pt>
                <c:pt idx="43">
                  <c:v>-1198</c:v>
                </c:pt>
                <c:pt idx="44">
                  <c:v>-376</c:v>
                </c:pt>
                <c:pt idx="45">
                  <c:v>-149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59</c:v>
                </c:pt>
                <c:pt idx="1">
                  <c:v>115</c:v>
                </c:pt>
                <c:pt idx="2">
                  <c:v>1216</c:v>
                </c:pt>
                <c:pt idx="3">
                  <c:v>234</c:v>
                </c:pt>
                <c:pt idx="4">
                  <c:v>236</c:v>
                </c:pt>
                <c:pt idx="5">
                  <c:v>93</c:v>
                </c:pt>
                <c:pt idx="6">
                  <c:v>328</c:v>
                </c:pt>
                <c:pt idx="7">
                  <c:v>3599</c:v>
                </c:pt>
                <c:pt idx="8">
                  <c:v>560</c:v>
                </c:pt>
                <c:pt idx="9">
                  <c:v>632</c:v>
                </c:pt>
                <c:pt idx="10">
                  <c:v>1051</c:v>
                </c:pt>
                <c:pt idx="11">
                  <c:v>593</c:v>
                </c:pt>
                <c:pt idx="12">
                  <c:v>-353</c:v>
                </c:pt>
                <c:pt idx="13">
                  <c:v>60</c:v>
                </c:pt>
                <c:pt idx="14">
                  <c:v>-6</c:v>
                </c:pt>
                <c:pt idx="15">
                  <c:v>156</c:v>
                </c:pt>
                <c:pt idx="16">
                  <c:v>90</c:v>
                </c:pt>
                <c:pt idx="17">
                  <c:v>182</c:v>
                </c:pt>
                <c:pt idx="18">
                  <c:v>-223</c:v>
                </c:pt>
                <c:pt idx="19">
                  <c:v>-17</c:v>
                </c:pt>
                <c:pt idx="20">
                  <c:v>-68</c:v>
                </c:pt>
                <c:pt idx="21">
                  <c:v>-487</c:v>
                </c:pt>
                <c:pt idx="22">
                  <c:v>-1045</c:v>
                </c:pt>
                <c:pt idx="23">
                  <c:v>-38</c:v>
                </c:pt>
                <c:pt idx="24">
                  <c:v>-34</c:v>
                </c:pt>
                <c:pt idx="25">
                  <c:v>-32</c:v>
                </c:pt>
                <c:pt idx="26">
                  <c:v>-43</c:v>
                </c:pt>
                <c:pt idx="27">
                  <c:v>-1264</c:v>
                </c:pt>
                <c:pt idx="28">
                  <c:v>-96</c:v>
                </c:pt>
                <c:pt idx="29">
                  <c:v>-131</c:v>
                </c:pt>
                <c:pt idx="30">
                  <c:v>-62</c:v>
                </c:pt>
                <c:pt idx="31">
                  <c:v>-249</c:v>
                </c:pt>
                <c:pt idx="32">
                  <c:v>-5624</c:v>
                </c:pt>
                <c:pt idx="33">
                  <c:v>-177</c:v>
                </c:pt>
                <c:pt idx="34">
                  <c:v>-163</c:v>
                </c:pt>
                <c:pt idx="35">
                  <c:v>-80</c:v>
                </c:pt>
                <c:pt idx="36">
                  <c:v>-38</c:v>
                </c:pt>
                <c:pt idx="37">
                  <c:v>-5871</c:v>
                </c:pt>
                <c:pt idx="38">
                  <c:v>-46</c:v>
                </c:pt>
                <c:pt idx="39">
                  <c:v>-216</c:v>
                </c:pt>
                <c:pt idx="40">
                  <c:v>-44</c:v>
                </c:pt>
                <c:pt idx="41">
                  <c:v>-166</c:v>
                </c:pt>
                <c:pt idx="42">
                  <c:v>-1211</c:v>
                </c:pt>
                <c:pt idx="43">
                  <c:v>-170</c:v>
                </c:pt>
                <c:pt idx="44">
                  <c:v>-128</c:v>
                </c:pt>
                <c:pt idx="45">
                  <c:v>-118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670912"/>
        <c:axId val="191676800"/>
      </c:barChart>
      <c:catAx>
        <c:axId val="19167091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676800"/>
        <c:crosses val="autoZero"/>
        <c:auto val="1"/>
        <c:lblAlgn val="ctr"/>
        <c:lblOffset val="100"/>
        <c:noMultiLvlLbl val="0"/>
      </c:catAx>
      <c:valAx>
        <c:axId val="1916768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6709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92</c:v>
                </c:pt>
                <c:pt idx="1">
                  <c:v>38</c:v>
                </c:pt>
                <c:pt idx="2">
                  <c:v>332</c:v>
                </c:pt>
                <c:pt idx="3">
                  <c:v>117</c:v>
                </c:pt>
                <c:pt idx="4">
                  <c:v>352</c:v>
                </c:pt>
                <c:pt idx="5">
                  <c:v>100</c:v>
                </c:pt>
                <c:pt idx="6">
                  <c:v>752</c:v>
                </c:pt>
                <c:pt idx="7">
                  <c:v>109</c:v>
                </c:pt>
                <c:pt idx="8">
                  <c:v>373</c:v>
                </c:pt>
                <c:pt idx="9">
                  <c:v>64</c:v>
                </c:pt>
                <c:pt idx="10">
                  <c:v>1174</c:v>
                </c:pt>
                <c:pt idx="11">
                  <c:v>162</c:v>
                </c:pt>
                <c:pt idx="12">
                  <c:v>628</c:v>
                </c:pt>
                <c:pt idx="13">
                  <c:v>271</c:v>
                </c:pt>
                <c:pt idx="14">
                  <c:v>787</c:v>
                </c:pt>
                <c:pt idx="15">
                  <c:v>82</c:v>
                </c:pt>
                <c:pt idx="16">
                  <c:v>-53</c:v>
                </c:pt>
                <c:pt idx="17">
                  <c:v>-62</c:v>
                </c:pt>
                <c:pt idx="18">
                  <c:v>-683</c:v>
                </c:pt>
                <c:pt idx="19">
                  <c:v>-218</c:v>
                </c:pt>
                <c:pt idx="20">
                  <c:v>-458</c:v>
                </c:pt>
                <c:pt idx="21">
                  <c:v>-133</c:v>
                </c:pt>
                <c:pt idx="22">
                  <c:v>-709</c:v>
                </c:pt>
                <c:pt idx="23">
                  <c:v>-140</c:v>
                </c:pt>
                <c:pt idx="24">
                  <c:v>-235</c:v>
                </c:pt>
                <c:pt idx="25">
                  <c:v>-152</c:v>
                </c:pt>
                <c:pt idx="26">
                  <c:v>-2735</c:v>
                </c:pt>
                <c:pt idx="27">
                  <c:v>-69</c:v>
                </c:pt>
                <c:pt idx="28">
                  <c:v>-289</c:v>
                </c:pt>
                <c:pt idx="29">
                  <c:v>-41</c:v>
                </c:pt>
                <c:pt idx="30">
                  <c:v>-307</c:v>
                </c:pt>
                <c:pt idx="31">
                  <c:v>-40</c:v>
                </c:pt>
                <c:pt idx="32">
                  <c:v>-656</c:v>
                </c:pt>
                <c:pt idx="33">
                  <c:v>-48</c:v>
                </c:pt>
                <c:pt idx="34">
                  <c:v>-561</c:v>
                </c:pt>
                <c:pt idx="35">
                  <c:v>-41</c:v>
                </c:pt>
                <c:pt idx="36">
                  <c:v>-51</c:v>
                </c:pt>
                <c:pt idx="37">
                  <c:v>-32</c:v>
                </c:pt>
                <c:pt idx="38">
                  <c:v>-169</c:v>
                </c:pt>
                <c:pt idx="39">
                  <c:v>-5</c:v>
                </c:pt>
                <c:pt idx="40">
                  <c:v>-29</c:v>
                </c:pt>
                <c:pt idx="41">
                  <c:v>-26</c:v>
                </c:pt>
                <c:pt idx="42">
                  <c:v>-142</c:v>
                </c:pt>
                <c:pt idx="43">
                  <c:v>-1</c:v>
                </c:pt>
                <c:pt idx="44">
                  <c:v>-402</c:v>
                </c:pt>
                <c:pt idx="45">
                  <c:v>-1</c:v>
                </c:pt>
                <c:pt idx="46">
                  <c:v>-214</c:v>
                </c:pt>
                <c:pt idx="47">
                  <c:v>-1</c:v>
                </c:pt>
                <c:pt idx="48">
                  <c:v>-8</c:v>
                </c:pt>
                <c:pt idx="49">
                  <c:v>1</c:v>
                </c:pt>
                <c:pt idx="50">
                  <c:v>27</c:v>
                </c:pt>
                <c:pt idx="51">
                  <c:v>0</c:v>
                </c:pt>
                <c:pt idx="52">
                  <c:v>-7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-7</c:v>
                </c:pt>
                <c:pt idx="5">
                  <c:v>-10</c:v>
                </c:pt>
                <c:pt idx="6">
                  <c:v>2</c:v>
                </c:pt>
                <c:pt idx="7">
                  <c:v>6</c:v>
                </c:pt>
                <c:pt idx="8">
                  <c:v>6</c:v>
                </c:pt>
                <c:pt idx="9">
                  <c:v>-1</c:v>
                </c:pt>
                <c:pt idx="10">
                  <c:v>-6</c:v>
                </c:pt>
                <c:pt idx="11">
                  <c:v>3</c:v>
                </c:pt>
                <c:pt idx="12">
                  <c:v>3</c:v>
                </c:pt>
                <c:pt idx="13">
                  <c:v>10</c:v>
                </c:pt>
                <c:pt idx="14">
                  <c:v>4</c:v>
                </c:pt>
                <c:pt idx="15">
                  <c:v>10</c:v>
                </c:pt>
                <c:pt idx="16">
                  <c:v>-13</c:v>
                </c:pt>
                <c:pt idx="17">
                  <c:v>-5</c:v>
                </c:pt>
                <c:pt idx="18">
                  <c:v>-3</c:v>
                </c:pt>
                <c:pt idx="19">
                  <c:v>-4</c:v>
                </c:pt>
                <c:pt idx="20">
                  <c:v>-6</c:v>
                </c:pt>
                <c:pt idx="21">
                  <c:v>-3</c:v>
                </c:pt>
                <c:pt idx="22">
                  <c:v>-8</c:v>
                </c:pt>
                <c:pt idx="23">
                  <c:v>-8</c:v>
                </c:pt>
                <c:pt idx="24">
                  <c:v>0</c:v>
                </c:pt>
                <c:pt idx="25">
                  <c:v>-4</c:v>
                </c:pt>
                <c:pt idx="26">
                  <c:v>-22</c:v>
                </c:pt>
                <c:pt idx="27">
                  <c:v>-9</c:v>
                </c:pt>
                <c:pt idx="28">
                  <c:v>-13</c:v>
                </c:pt>
                <c:pt idx="29">
                  <c:v>-2</c:v>
                </c:pt>
                <c:pt idx="30">
                  <c:v>-7</c:v>
                </c:pt>
                <c:pt idx="31">
                  <c:v>-3</c:v>
                </c:pt>
                <c:pt idx="32">
                  <c:v>-3</c:v>
                </c:pt>
                <c:pt idx="33">
                  <c:v>-4</c:v>
                </c:pt>
                <c:pt idx="34">
                  <c:v>-26</c:v>
                </c:pt>
                <c:pt idx="35">
                  <c:v>-1</c:v>
                </c:pt>
                <c:pt idx="36">
                  <c:v>-15</c:v>
                </c:pt>
                <c:pt idx="37">
                  <c:v>-14</c:v>
                </c:pt>
                <c:pt idx="38">
                  <c:v>-13</c:v>
                </c:pt>
                <c:pt idx="39">
                  <c:v>-6</c:v>
                </c:pt>
                <c:pt idx="40">
                  <c:v>-3</c:v>
                </c:pt>
                <c:pt idx="41">
                  <c:v>-13</c:v>
                </c:pt>
                <c:pt idx="42">
                  <c:v>-9</c:v>
                </c:pt>
                <c:pt idx="43">
                  <c:v>-16</c:v>
                </c:pt>
                <c:pt idx="44">
                  <c:v>-30</c:v>
                </c:pt>
                <c:pt idx="45">
                  <c:v>-36</c:v>
                </c:pt>
                <c:pt idx="46">
                  <c:v>-31</c:v>
                </c:pt>
                <c:pt idx="47">
                  <c:v>-42</c:v>
                </c:pt>
                <c:pt idx="48">
                  <c:v>-23</c:v>
                </c:pt>
                <c:pt idx="49">
                  <c:v>-37</c:v>
                </c:pt>
                <c:pt idx="50">
                  <c:v>-31</c:v>
                </c:pt>
                <c:pt idx="51">
                  <c:v>-11</c:v>
                </c:pt>
                <c:pt idx="52">
                  <c:v>-18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18</c:v>
                </c:pt>
                <c:pt idx="1">
                  <c:v>0</c:v>
                </c:pt>
                <c:pt idx="2">
                  <c:v>13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13</c:v>
                </c:pt>
                <c:pt idx="7">
                  <c:v>18</c:v>
                </c:pt>
                <c:pt idx="8">
                  <c:v>-24</c:v>
                </c:pt>
                <c:pt idx="9">
                  <c:v>19</c:v>
                </c:pt>
                <c:pt idx="10">
                  <c:v>1</c:v>
                </c:pt>
                <c:pt idx="11">
                  <c:v>0</c:v>
                </c:pt>
                <c:pt idx="12">
                  <c:v>-4</c:v>
                </c:pt>
                <c:pt idx="13">
                  <c:v>0</c:v>
                </c:pt>
                <c:pt idx="14">
                  <c:v>-14</c:v>
                </c:pt>
                <c:pt idx="15">
                  <c:v>-2</c:v>
                </c:pt>
                <c:pt idx="16">
                  <c:v>19</c:v>
                </c:pt>
                <c:pt idx="17">
                  <c:v>10</c:v>
                </c:pt>
                <c:pt idx="18">
                  <c:v>-26</c:v>
                </c:pt>
                <c:pt idx="19">
                  <c:v>-4</c:v>
                </c:pt>
                <c:pt idx="20">
                  <c:v>-5</c:v>
                </c:pt>
                <c:pt idx="21">
                  <c:v>-4</c:v>
                </c:pt>
                <c:pt idx="22">
                  <c:v>-3</c:v>
                </c:pt>
                <c:pt idx="23">
                  <c:v>1</c:v>
                </c:pt>
                <c:pt idx="24">
                  <c:v>-2</c:v>
                </c:pt>
                <c:pt idx="25">
                  <c:v>0</c:v>
                </c:pt>
                <c:pt idx="26">
                  <c:v>-6</c:v>
                </c:pt>
                <c:pt idx="27">
                  <c:v>1</c:v>
                </c:pt>
                <c:pt idx="28">
                  <c:v>-4</c:v>
                </c:pt>
                <c:pt idx="29">
                  <c:v>0</c:v>
                </c:pt>
                <c:pt idx="30">
                  <c:v>-1</c:v>
                </c:pt>
                <c:pt idx="31">
                  <c:v>-4</c:v>
                </c:pt>
                <c:pt idx="32">
                  <c:v>0</c:v>
                </c:pt>
                <c:pt idx="33">
                  <c:v>9</c:v>
                </c:pt>
                <c:pt idx="34">
                  <c:v>-7</c:v>
                </c:pt>
                <c:pt idx="35">
                  <c:v>-1</c:v>
                </c:pt>
                <c:pt idx="36">
                  <c:v>-3</c:v>
                </c:pt>
                <c:pt idx="37">
                  <c:v>-3</c:v>
                </c:pt>
                <c:pt idx="38">
                  <c:v>-19</c:v>
                </c:pt>
                <c:pt idx="39">
                  <c:v>-7</c:v>
                </c:pt>
                <c:pt idx="40">
                  <c:v>-7</c:v>
                </c:pt>
                <c:pt idx="41">
                  <c:v>-11</c:v>
                </c:pt>
                <c:pt idx="42">
                  <c:v>-8</c:v>
                </c:pt>
                <c:pt idx="43">
                  <c:v>0</c:v>
                </c:pt>
                <c:pt idx="44">
                  <c:v>-4</c:v>
                </c:pt>
                <c:pt idx="45">
                  <c:v>0</c:v>
                </c:pt>
                <c:pt idx="46">
                  <c:v>-6</c:v>
                </c:pt>
                <c:pt idx="47">
                  <c:v>0</c:v>
                </c:pt>
                <c:pt idx="48">
                  <c:v>1</c:v>
                </c:pt>
                <c:pt idx="49">
                  <c:v>-2</c:v>
                </c:pt>
                <c:pt idx="50">
                  <c:v>-37</c:v>
                </c:pt>
                <c:pt idx="51">
                  <c:v>0</c:v>
                </c:pt>
                <c:pt idx="52">
                  <c:v>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453440"/>
        <c:axId val="191463424"/>
      </c:barChart>
      <c:catAx>
        <c:axId val="1914534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463424"/>
        <c:crosses val="autoZero"/>
        <c:auto val="1"/>
        <c:lblAlgn val="ctr"/>
        <c:lblOffset val="100"/>
        <c:noMultiLvlLbl val="0"/>
      </c:catAx>
      <c:valAx>
        <c:axId val="19146342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453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0</c:v>
                </c:pt>
                <c:pt idx="1">
                  <c:v>-2050</c:v>
                </c:pt>
                <c:pt idx="2">
                  <c:v>-2706</c:v>
                </c:pt>
                <c:pt idx="3">
                  <c:v>-1701.0000000000002</c:v>
                </c:pt>
                <c:pt idx="4">
                  <c:v>-12320</c:v>
                </c:pt>
                <c:pt idx="5">
                  <c:v>-13360</c:v>
                </c:pt>
                <c:pt idx="6">
                  <c:v>-14378</c:v>
                </c:pt>
                <c:pt idx="7">
                  <c:v>-36114</c:v>
                </c:pt>
                <c:pt idx="8">
                  <c:v>-5544</c:v>
                </c:pt>
                <c:pt idx="9">
                  <c:v>-1869</c:v>
                </c:pt>
                <c:pt idx="10">
                  <c:v>-47822</c:v>
                </c:pt>
                <c:pt idx="11">
                  <c:v>-38169</c:v>
                </c:pt>
                <c:pt idx="12">
                  <c:v>-86479</c:v>
                </c:pt>
                <c:pt idx="13">
                  <c:v>-45511</c:v>
                </c:pt>
                <c:pt idx="14">
                  <c:v>-232123</c:v>
                </c:pt>
                <c:pt idx="15">
                  <c:v>-511395</c:v>
                </c:pt>
                <c:pt idx="16">
                  <c:v>-322742</c:v>
                </c:pt>
                <c:pt idx="17">
                  <c:v>-399020.00000000006</c:v>
                </c:pt>
                <c:pt idx="18">
                  <c:v>-14820.999999999971</c:v>
                </c:pt>
                <c:pt idx="19">
                  <c:v>64294</c:v>
                </c:pt>
                <c:pt idx="20">
                  <c:v>102925</c:v>
                </c:pt>
                <c:pt idx="21">
                  <c:v>231697</c:v>
                </c:pt>
                <c:pt idx="22">
                  <c:v>552586</c:v>
                </c:pt>
                <c:pt idx="23">
                  <c:v>72517</c:v>
                </c:pt>
                <c:pt idx="24">
                  <c:v>96962</c:v>
                </c:pt>
                <c:pt idx="25">
                  <c:v>69854</c:v>
                </c:pt>
                <c:pt idx="26">
                  <c:v>63000</c:v>
                </c:pt>
                <c:pt idx="27">
                  <c:v>203600</c:v>
                </c:pt>
                <c:pt idx="28">
                  <c:v>65200</c:v>
                </c:pt>
                <c:pt idx="29">
                  <c:v>69800</c:v>
                </c:pt>
                <c:pt idx="30">
                  <c:v>54700</c:v>
                </c:pt>
                <c:pt idx="31">
                  <c:v>44000</c:v>
                </c:pt>
                <c:pt idx="32">
                  <c:v>235600</c:v>
                </c:pt>
                <c:pt idx="33">
                  <c:v>53700</c:v>
                </c:pt>
                <c:pt idx="34">
                  <c:v>66900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-1530</c:v>
                </c:pt>
                <c:pt idx="1">
                  <c:v>-2250</c:v>
                </c:pt>
                <c:pt idx="2">
                  <c:v>-12282</c:v>
                </c:pt>
                <c:pt idx="3">
                  <c:v>-801</c:v>
                </c:pt>
                <c:pt idx="4">
                  <c:v>-1335</c:v>
                </c:pt>
                <c:pt idx="5">
                  <c:v>-880.00000000000011</c:v>
                </c:pt>
                <c:pt idx="6">
                  <c:v>-7656</c:v>
                </c:pt>
                <c:pt idx="7">
                  <c:v>-11223</c:v>
                </c:pt>
                <c:pt idx="8">
                  <c:v>-7830</c:v>
                </c:pt>
                <c:pt idx="9">
                  <c:v>-10288</c:v>
                </c:pt>
                <c:pt idx="10">
                  <c:v>-58842</c:v>
                </c:pt>
                <c:pt idx="11">
                  <c:v>-161704</c:v>
                </c:pt>
                <c:pt idx="12">
                  <c:v>-332372</c:v>
                </c:pt>
                <c:pt idx="13">
                  <c:v>-291607</c:v>
                </c:pt>
                <c:pt idx="14">
                  <c:v>-334823.00000000006</c:v>
                </c:pt>
                <c:pt idx="15">
                  <c:v>-214010</c:v>
                </c:pt>
                <c:pt idx="16">
                  <c:v>-320192</c:v>
                </c:pt>
                <c:pt idx="17">
                  <c:v>-509718</c:v>
                </c:pt>
                <c:pt idx="18">
                  <c:v>386382</c:v>
                </c:pt>
                <c:pt idx="19">
                  <c:v>290380</c:v>
                </c:pt>
                <c:pt idx="20">
                  <c:v>328097</c:v>
                </c:pt>
                <c:pt idx="21">
                  <c:v>274868</c:v>
                </c:pt>
                <c:pt idx="22">
                  <c:v>838467</c:v>
                </c:pt>
                <c:pt idx="23">
                  <c:v>397228</c:v>
                </c:pt>
                <c:pt idx="24">
                  <c:v>177156</c:v>
                </c:pt>
                <c:pt idx="25">
                  <c:v>104646</c:v>
                </c:pt>
                <c:pt idx="26">
                  <c:v>166200</c:v>
                </c:pt>
                <c:pt idx="27">
                  <c:v>952900</c:v>
                </c:pt>
                <c:pt idx="28">
                  <c:v>76200</c:v>
                </c:pt>
                <c:pt idx="29">
                  <c:v>84400</c:v>
                </c:pt>
                <c:pt idx="30">
                  <c:v>54400</c:v>
                </c:pt>
                <c:pt idx="31">
                  <c:v>113700</c:v>
                </c:pt>
                <c:pt idx="32">
                  <c:v>858000</c:v>
                </c:pt>
                <c:pt idx="33">
                  <c:v>76300</c:v>
                </c:pt>
                <c:pt idx="34">
                  <c:v>99300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45694</c:v>
                </c:pt>
                <c:pt idx="1">
                  <c:v>60060.000000000007</c:v>
                </c:pt>
                <c:pt idx="2">
                  <c:v>327407</c:v>
                </c:pt>
                <c:pt idx="3">
                  <c:v>82005.000000000015</c:v>
                </c:pt>
                <c:pt idx="4">
                  <c:v>173801</c:v>
                </c:pt>
                <c:pt idx="5">
                  <c:v>95018</c:v>
                </c:pt>
                <c:pt idx="6">
                  <c:v>77933</c:v>
                </c:pt>
                <c:pt idx="7">
                  <c:v>1033358.0000000002</c:v>
                </c:pt>
                <c:pt idx="8">
                  <c:v>53924.000000000015</c:v>
                </c:pt>
                <c:pt idx="9">
                  <c:v>75072</c:v>
                </c:pt>
                <c:pt idx="10">
                  <c:v>39187.000000000007</c:v>
                </c:pt>
                <c:pt idx="11">
                  <c:v>52650.999999999978</c:v>
                </c:pt>
                <c:pt idx="12">
                  <c:v>-162722.00000000012</c:v>
                </c:pt>
                <c:pt idx="13">
                  <c:v>3838</c:v>
                </c:pt>
                <c:pt idx="14">
                  <c:v>132908.00000000003</c:v>
                </c:pt>
                <c:pt idx="15">
                  <c:v>35424</c:v>
                </c:pt>
                <c:pt idx="16">
                  <c:v>69832</c:v>
                </c:pt>
                <c:pt idx="17">
                  <c:v>327258.99999999988</c:v>
                </c:pt>
                <c:pt idx="18">
                  <c:v>71158</c:v>
                </c:pt>
                <c:pt idx="19">
                  <c:v>149371.00000000003</c:v>
                </c:pt>
                <c:pt idx="20">
                  <c:v>189731.99999999994</c:v>
                </c:pt>
                <c:pt idx="21">
                  <c:v>118899</c:v>
                </c:pt>
                <c:pt idx="22">
                  <c:v>-555753</c:v>
                </c:pt>
                <c:pt idx="23">
                  <c:v>139960</c:v>
                </c:pt>
                <c:pt idx="24">
                  <c:v>617145</c:v>
                </c:pt>
                <c:pt idx="25">
                  <c:v>-156612.00000000003</c:v>
                </c:pt>
                <c:pt idx="26">
                  <c:v>60248.000000000007</c:v>
                </c:pt>
                <c:pt idx="27">
                  <c:v>-1132714.0000000002</c:v>
                </c:pt>
                <c:pt idx="28">
                  <c:v>89800</c:v>
                </c:pt>
                <c:pt idx="29">
                  <c:v>152121</c:v>
                </c:pt>
                <c:pt idx="30">
                  <c:v>85315</c:v>
                </c:pt>
                <c:pt idx="31">
                  <c:v>535308.00000000012</c:v>
                </c:pt>
                <c:pt idx="32">
                  <c:v>760074</c:v>
                </c:pt>
                <c:pt idx="33">
                  <c:v>281490</c:v>
                </c:pt>
                <c:pt idx="34">
                  <c:v>390367.99999999994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470592"/>
        <c:axId val="191369984"/>
      </c:barChart>
      <c:catAx>
        <c:axId val="19147059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369984"/>
        <c:crosses val="autoZero"/>
        <c:auto val="1"/>
        <c:lblAlgn val="ctr"/>
        <c:lblOffset val="100"/>
        <c:noMultiLvlLbl val="0"/>
      </c:catAx>
      <c:valAx>
        <c:axId val="19136998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47059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-887.99999999999989</c:v>
                </c:pt>
                <c:pt idx="1">
                  <c:v>0</c:v>
                </c:pt>
                <c:pt idx="2">
                  <c:v>-3744</c:v>
                </c:pt>
                <c:pt idx="3">
                  <c:v>-2232</c:v>
                </c:pt>
                <c:pt idx="4">
                  <c:v>-9636</c:v>
                </c:pt>
                <c:pt idx="5">
                  <c:v>-2450</c:v>
                </c:pt>
                <c:pt idx="6">
                  <c:v>-766.99999999999977</c:v>
                </c:pt>
                <c:pt idx="7">
                  <c:v>-1377</c:v>
                </c:pt>
                <c:pt idx="8">
                  <c:v>-2258.0000000000009</c:v>
                </c:pt>
                <c:pt idx="9">
                  <c:v>-14083.000000000002</c:v>
                </c:pt>
                <c:pt idx="10">
                  <c:v>-18634</c:v>
                </c:pt>
                <c:pt idx="11">
                  <c:v>-45562</c:v>
                </c:pt>
                <c:pt idx="12">
                  <c:v>-326180.99999999994</c:v>
                </c:pt>
                <c:pt idx="13">
                  <c:v>-83990</c:v>
                </c:pt>
                <c:pt idx="14">
                  <c:v>-151756</c:v>
                </c:pt>
                <c:pt idx="15">
                  <c:v>-70453</c:v>
                </c:pt>
                <c:pt idx="16">
                  <c:v>34924</c:v>
                </c:pt>
                <c:pt idx="17">
                  <c:v>1750943</c:v>
                </c:pt>
                <c:pt idx="18">
                  <c:v>119166</c:v>
                </c:pt>
                <c:pt idx="19">
                  <c:v>89970</c:v>
                </c:pt>
                <c:pt idx="20">
                  <c:v>73275</c:v>
                </c:pt>
                <c:pt idx="21">
                  <c:v>51678</c:v>
                </c:pt>
                <c:pt idx="22">
                  <c:v>202800</c:v>
                </c:pt>
                <c:pt idx="23">
                  <c:v>86100</c:v>
                </c:pt>
                <c:pt idx="24">
                  <c:v>57700</c:v>
                </c:pt>
                <c:pt idx="25">
                  <c:v>82300</c:v>
                </c:pt>
                <c:pt idx="26">
                  <c:v>105300</c:v>
                </c:pt>
                <c:pt idx="27">
                  <c:v>665400</c:v>
                </c:pt>
                <c:pt idx="28">
                  <c:v>68800</c:v>
                </c:pt>
                <c:pt idx="29">
                  <c:v>51900</c:v>
                </c:pt>
                <c:pt idx="30">
                  <c:v>45400</c:v>
                </c:pt>
                <c:pt idx="31">
                  <c:v>69300</c:v>
                </c:pt>
                <c:pt idx="32">
                  <c:v>335800</c:v>
                </c:pt>
                <c:pt idx="33">
                  <c:v>27300</c:v>
                </c:pt>
                <c:pt idx="34">
                  <c:v>55200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-100</c:v>
                </c:pt>
                <c:pt idx="1">
                  <c:v>-1800</c:v>
                </c:pt>
                <c:pt idx="2">
                  <c:v>-9800</c:v>
                </c:pt>
                <c:pt idx="3">
                  <c:v>-4700</c:v>
                </c:pt>
                <c:pt idx="4">
                  <c:v>-6400</c:v>
                </c:pt>
                <c:pt idx="5">
                  <c:v>-28000</c:v>
                </c:pt>
                <c:pt idx="6">
                  <c:v>-20083</c:v>
                </c:pt>
                <c:pt idx="7">
                  <c:v>-152439</c:v>
                </c:pt>
                <c:pt idx="8">
                  <c:v>-34084</c:v>
                </c:pt>
                <c:pt idx="9">
                  <c:v>-60907</c:v>
                </c:pt>
                <c:pt idx="10">
                  <c:v>-223806</c:v>
                </c:pt>
                <c:pt idx="11">
                  <c:v>-172897</c:v>
                </c:pt>
                <c:pt idx="12">
                  <c:v>-441261.99999999994</c:v>
                </c:pt>
                <c:pt idx="13">
                  <c:v>-311083.00000000006</c:v>
                </c:pt>
                <c:pt idx="14">
                  <c:v>-75069.999999999985</c:v>
                </c:pt>
                <c:pt idx="15">
                  <c:v>249858</c:v>
                </c:pt>
                <c:pt idx="16">
                  <c:v>193380</c:v>
                </c:pt>
                <c:pt idx="17">
                  <c:v>713191</c:v>
                </c:pt>
                <c:pt idx="18">
                  <c:v>165422</c:v>
                </c:pt>
                <c:pt idx="19">
                  <c:v>172445</c:v>
                </c:pt>
                <c:pt idx="20">
                  <c:v>236461.99999999997</c:v>
                </c:pt>
                <c:pt idx="21">
                  <c:v>192174</c:v>
                </c:pt>
                <c:pt idx="22">
                  <c:v>373627</c:v>
                </c:pt>
                <c:pt idx="23">
                  <c:v>78408</c:v>
                </c:pt>
                <c:pt idx="24">
                  <c:v>99274</c:v>
                </c:pt>
                <c:pt idx="25">
                  <c:v>91674</c:v>
                </c:pt>
                <c:pt idx="26">
                  <c:v>71082</c:v>
                </c:pt>
                <c:pt idx="27">
                  <c:v>361944</c:v>
                </c:pt>
                <c:pt idx="28">
                  <c:v>44352</c:v>
                </c:pt>
                <c:pt idx="29">
                  <c:v>134838</c:v>
                </c:pt>
                <c:pt idx="30">
                  <c:v>112562.99999999999</c:v>
                </c:pt>
                <c:pt idx="31">
                  <c:v>108702</c:v>
                </c:pt>
                <c:pt idx="32">
                  <c:v>315909</c:v>
                </c:pt>
                <c:pt idx="33">
                  <c:v>65835</c:v>
                </c:pt>
                <c:pt idx="34">
                  <c:v>97020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54290</c:v>
                </c:pt>
                <c:pt idx="1">
                  <c:v>52259</c:v>
                </c:pt>
                <c:pt idx="2">
                  <c:v>1036442</c:v>
                </c:pt>
                <c:pt idx="3">
                  <c:v>19375</c:v>
                </c:pt>
                <c:pt idx="4">
                  <c:v>38890.000000000007</c:v>
                </c:pt>
                <c:pt idx="5">
                  <c:v>18919.999999999996</c:v>
                </c:pt>
                <c:pt idx="6">
                  <c:v>28432</c:v>
                </c:pt>
                <c:pt idx="7">
                  <c:v>1154958.0000000002</c:v>
                </c:pt>
                <c:pt idx="8">
                  <c:v>9573</c:v>
                </c:pt>
                <c:pt idx="9">
                  <c:v>21804</c:v>
                </c:pt>
                <c:pt idx="10">
                  <c:v>7333.0000000000073</c:v>
                </c:pt>
                <c:pt idx="11">
                  <c:v>17883.999999999996</c:v>
                </c:pt>
                <c:pt idx="12">
                  <c:v>2206218</c:v>
                </c:pt>
                <c:pt idx="13">
                  <c:v>13783</c:v>
                </c:pt>
                <c:pt idx="14">
                  <c:v>26241</c:v>
                </c:pt>
                <c:pt idx="15">
                  <c:v>7367.0000000000073</c:v>
                </c:pt>
                <c:pt idx="16">
                  <c:v>9767.9999999999964</c:v>
                </c:pt>
                <c:pt idx="17">
                  <c:v>1064006</c:v>
                </c:pt>
                <c:pt idx="18">
                  <c:v>31938</c:v>
                </c:pt>
                <c:pt idx="19">
                  <c:v>-25391</c:v>
                </c:pt>
                <c:pt idx="20">
                  <c:v>14925</c:v>
                </c:pt>
                <c:pt idx="21">
                  <c:v>13619</c:v>
                </c:pt>
                <c:pt idx="22">
                  <c:v>1198557</c:v>
                </c:pt>
                <c:pt idx="23">
                  <c:v>-17029</c:v>
                </c:pt>
                <c:pt idx="24">
                  <c:v>7727</c:v>
                </c:pt>
                <c:pt idx="25">
                  <c:v>-36326</c:v>
                </c:pt>
                <c:pt idx="26">
                  <c:v>-4990</c:v>
                </c:pt>
                <c:pt idx="27">
                  <c:v>1736284</c:v>
                </c:pt>
                <c:pt idx="28">
                  <c:v>-176.00000000000091</c:v>
                </c:pt>
                <c:pt idx="29">
                  <c:v>-18610</c:v>
                </c:pt>
                <c:pt idx="30">
                  <c:v>-10897</c:v>
                </c:pt>
                <c:pt idx="31">
                  <c:v>-12124</c:v>
                </c:pt>
                <c:pt idx="32">
                  <c:v>2410757</c:v>
                </c:pt>
                <c:pt idx="33">
                  <c:v>56611</c:v>
                </c:pt>
                <c:pt idx="34">
                  <c:v>128943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392768"/>
        <c:axId val="191398656"/>
      </c:barChart>
      <c:catAx>
        <c:axId val="19139276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398656"/>
        <c:crosses val="autoZero"/>
        <c:auto val="1"/>
        <c:lblAlgn val="ctr"/>
        <c:lblOffset val="100"/>
        <c:noMultiLvlLbl val="0"/>
      </c:catAx>
      <c:valAx>
        <c:axId val="19139865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392768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-12963</c:v>
                </c:pt>
                <c:pt idx="3">
                  <c:v>0</c:v>
                </c:pt>
                <c:pt idx="4">
                  <c:v>0</c:v>
                </c:pt>
                <c:pt idx="5">
                  <c:v>-2236</c:v>
                </c:pt>
                <c:pt idx="6">
                  <c:v>-3268</c:v>
                </c:pt>
                <c:pt idx="7">
                  <c:v>-5796</c:v>
                </c:pt>
                <c:pt idx="8">
                  <c:v>-28814.999999999996</c:v>
                </c:pt>
                <c:pt idx="9">
                  <c:v>-8585</c:v>
                </c:pt>
                <c:pt idx="10">
                  <c:v>-29315.999999999996</c:v>
                </c:pt>
                <c:pt idx="11">
                  <c:v>-2573</c:v>
                </c:pt>
                <c:pt idx="12">
                  <c:v>-5576</c:v>
                </c:pt>
                <c:pt idx="13">
                  <c:v>-2754.0000000000005</c:v>
                </c:pt>
                <c:pt idx="14">
                  <c:v>-3840.0000000000005</c:v>
                </c:pt>
                <c:pt idx="15">
                  <c:v>-10920</c:v>
                </c:pt>
                <c:pt idx="16">
                  <c:v>-16492</c:v>
                </c:pt>
                <c:pt idx="17">
                  <c:v>-81302</c:v>
                </c:pt>
                <c:pt idx="18">
                  <c:v>-49197</c:v>
                </c:pt>
                <c:pt idx="19">
                  <c:v>-31353</c:v>
                </c:pt>
                <c:pt idx="20">
                  <c:v>-41087</c:v>
                </c:pt>
                <c:pt idx="21">
                  <c:v>-35300</c:v>
                </c:pt>
                <c:pt idx="22">
                  <c:v>109360</c:v>
                </c:pt>
                <c:pt idx="23">
                  <c:v>36009</c:v>
                </c:pt>
                <c:pt idx="24">
                  <c:v>45528</c:v>
                </c:pt>
                <c:pt idx="25">
                  <c:v>17070</c:v>
                </c:pt>
                <c:pt idx="26">
                  <c:v>121600</c:v>
                </c:pt>
                <c:pt idx="27">
                  <c:v>187200</c:v>
                </c:pt>
                <c:pt idx="28">
                  <c:v>12500</c:v>
                </c:pt>
                <c:pt idx="29">
                  <c:v>17700</c:v>
                </c:pt>
                <c:pt idx="30">
                  <c:v>20500</c:v>
                </c:pt>
                <c:pt idx="31">
                  <c:v>72900</c:v>
                </c:pt>
                <c:pt idx="32">
                  <c:v>161600</c:v>
                </c:pt>
                <c:pt idx="33">
                  <c:v>58700</c:v>
                </c:pt>
                <c:pt idx="34">
                  <c:v>28600</c:v>
                </c:pt>
                <c:pt idx="35">
                  <c:v>16600</c:v>
                </c:pt>
                <c:pt idx="36">
                  <c:v>28300</c:v>
                </c:pt>
                <c:pt idx="37">
                  <c:v>214500</c:v>
                </c:pt>
                <c:pt idx="38">
                  <c:v>32500</c:v>
                </c:pt>
                <c:pt idx="39">
                  <c:v>12000</c:v>
                </c:pt>
                <c:pt idx="40">
                  <c:v>22100</c:v>
                </c:pt>
                <c:pt idx="41">
                  <c:v>7300</c:v>
                </c:pt>
                <c:pt idx="42">
                  <c:v>56600</c:v>
                </c:pt>
                <c:pt idx="43">
                  <c:v>21600</c:v>
                </c:pt>
                <c:pt idx="44">
                  <c:v>8300</c:v>
                </c:pt>
                <c:pt idx="45">
                  <c:v>10900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-98</c:v>
                </c:pt>
                <c:pt idx="1">
                  <c:v>-196</c:v>
                </c:pt>
                <c:pt idx="2">
                  <c:v>-20678</c:v>
                </c:pt>
                <c:pt idx="3">
                  <c:v>-1372</c:v>
                </c:pt>
                <c:pt idx="4">
                  <c:v>-40600</c:v>
                </c:pt>
                <c:pt idx="5">
                  <c:v>-31600</c:v>
                </c:pt>
                <c:pt idx="6">
                  <c:v>-7900</c:v>
                </c:pt>
                <c:pt idx="7">
                  <c:v>-21978</c:v>
                </c:pt>
                <c:pt idx="8">
                  <c:v>-55638</c:v>
                </c:pt>
                <c:pt idx="9">
                  <c:v>-8514</c:v>
                </c:pt>
                <c:pt idx="10">
                  <c:v>-36162</c:v>
                </c:pt>
                <c:pt idx="11">
                  <c:v>-30070</c:v>
                </c:pt>
                <c:pt idx="12">
                  <c:v>-48112</c:v>
                </c:pt>
                <c:pt idx="13">
                  <c:v>-13482.999999999998</c:v>
                </c:pt>
                <c:pt idx="14">
                  <c:v>-19392</c:v>
                </c:pt>
                <c:pt idx="15">
                  <c:v>0</c:v>
                </c:pt>
                <c:pt idx="16">
                  <c:v>-77234.999999999985</c:v>
                </c:pt>
                <c:pt idx="17">
                  <c:v>-178601</c:v>
                </c:pt>
                <c:pt idx="18">
                  <c:v>-44347</c:v>
                </c:pt>
                <c:pt idx="19">
                  <c:v>-54564</c:v>
                </c:pt>
                <c:pt idx="20">
                  <c:v>-73493</c:v>
                </c:pt>
                <c:pt idx="21">
                  <c:v>-8112</c:v>
                </c:pt>
                <c:pt idx="22">
                  <c:v>323362</c:v>
                </c:pt>
                <c:pt idx="23">
                  <c:v>107446.00000000001</c:v>
                </c:pt>
                <c:pt idx="24">
                  <c:v>103996</c:v>
                </c:pt>
                <c:pt idx="25">
                  <c:v>166166</c:v>
                </c:pt>
                <c:pt idx="26">
                  <c:v>67500</c:v>
                </c:pt>
                <c:pt idx="27">
                  <c:v>280800</c:v>
                </c:pt>
                <c:pt idx="28">
                  <c:v>72800</c:v>
                </c:pt>
                <c:pt idx="29">
                  <c:v>40400</c:v>
                </c:pt>
                <c:pt idx="30">
                  <c:v>19200</c:v>
                </c:pt>
                <c:pt idx="31">
                  <c:v>24400</c:v>
                </c:pt>
                <c:pt idx="32">
                  <c:v>123400</c:v>
                </c:pt>
                <c:pt idx="33">
                  <c:v>75100</c:v>
                </c:pt>
                <c:pt idx="34">
                  <c:v>13400</c:v>
                </c:pt>
                <c:pt idx="35">
                  <c:v>34100</c:v>
                </c:pt>
                <c:pt idx="36">
                  <c:v>37700</c:v>
                </c:pt>
                <c:pt idx="37">
                  <c:v>167700</c:v>
                </c:pt>
                <c:pt idx="38">
                  <c:v>35200</c:v>
                </c:pt>
                <c:pt idx="39">
                  <c:v>76600</c:v>
                </c:pt>
                <c:pt idx="40">
                  <c:v>12800</c:v>
                </c:pt>
                <c:pt idx="41">
                  <c:v>31800</c:v>
                </c:pt>
                <c:pt idx="42">
                  <c:v>98300</c:v>
                </c:pt>
                <c:pt idx="43">
                  <c:v>28126</c:v>
                </c:pt>
                <c:pt idx="44">
                  <c:v>107800</c:v>
                </c:pt>
                <c:pt idx="45">
                  <c:v>14406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-12872</c:v>
                </c:pt>
                <c:pt idx="1">
                  <c:v>-14553</c:v>
                </c:pt>
                <c:pt idx="2">
                  <c:v>-45971</c:v>
                </c:pt>
                <c:pt idx="3">
                  <c:v>-8427</c:v>
                </c:pt>
                <c:pt idx="4">
                  <c:v>-4889</c:v>
                </c:pt>
                <c:pt idx="5">
                  <c:v>-9374</c:v>
                </c:pt>
                <c:pt idx="6">
                  <c:v>-50482</c:v>
                </c:pt>
                <c:pt idx="7">
                  <c:v>-220872</c:v>
                </c:pt>
                <c:pt idx="8">
                  <c:v>-3535.9999999999982</c:v>
                </c:pt>
                <c:pt idx="9">
                  <c:v>-26213</c:v>
                </c:pt>
                <c:pt idx="10">
                  <c:v>-5815</c:v>
                </c:pt>
                <c:pt idx="11">
                  <c:v>-13680</c:v>
                </c:pt>
                <c:pt idx="12">
                  <c:v>48878</c:v>
                </c:pt>
                <c:pt idx="13">
                  <c:v>-2109</c:v>
                </c:pt>
                <c:pt idx="14">
                  <c:v>4934.0000000000009</c:v>
                </c:pt>
                <c:pt idx="15">
                  <c:v>4428</c:v>
                </c:pt>
                <c:pt idx="16">
                  <c:v>-3118</c:v>
                </c:pt>
                <c:pt idx="17">
                  <c:v>-223025.99999999994</c:v>
                </c:pt>
                <c:pt idx="18">
                  <c:v>8083.9999999999964</c:v>
                </c:pt>
                <c:pt idx="19">
                  <c:v>-14826.000000000007</c:v>
                </c:pt>
                <c:pt idx="20">
                  <c:v>-19782</c:v>
                </c:pt>
                <c:pt idx="21">
                  <c:v>6291</c:v>
                </c:pt>
                <c:pt idx="22">
                  <c:v>8102</c:v>
                </c:pt>
                <c:pt idx="23">
                  <c:v>-600</c:v>
                </c:pt>
                <c:pt idx="24">
                  <c:v>-23090</c:v>
                </c:pt>
                <c:pt idx="25">
                  <c:v>7455.9999999999964</c:v>
                </c:pt>
                <c:pt idx="26">
                  <c:v>59427</c:v>
                </c:pt>
                <c:pt idx="27">
                  <c:v>132732.00000000003</c:v>
                </c:pt>
                <c:pt idx="28">
                  <c:v>4138</c:v>
                </c:pt>
                <c:pt idx="29">
                  <c:v>8892</c:v>
                </c:pt>
                <c:pt idx="30">
                  <c:v>-20267.000000000007</c:v>
                </c:pt>
                <c:pt idx="31">
                  <c:v>4140</c:v>
                </c:pt>
                <c:pt idx="32">
                  <c:v>4311</c:v>
                </c:pt>
                <c:pt idx="33">
                  <c:v>25323</c:v>
                </c:pt>
                <c:pt idx="34">
                  <c:v>-11262</c:v>
                </c:pt>
                <c:pt idx="35">
                  <c:v>3691</c:v>
                </c:pt>
                <c:pt idx="36">
                  <c:v>27495</c:v>
                </c:pt>
                <c:pt idx="37">
                  <c:v>36663</c:v>
                </c:pt>
                <c:pt idx="38">
                  <c:v>29976</c:v>
                </c:pt>
                <c:pt idx="39">
                  <c:v>-11704.000000000005</c:v>
                </c:pt>
                <c:pt idx="40">
                  <c:v>5616</c:v>
                </c:pt>
                <c:pt idx="41">
                  <c:v>35976</c:v>
                </c:pt>
                <c:pt idx="42">
                  <c:v>39451</c:v>
                </c:pt>
                <c:pt idx="43">
                  <c:v>45851.999999999993</c:v>
                </c:pt>
                <c:pt idx="44">
                  <c:v>8055</c:v>
                </c:pt>
                <c:pt idx="45">
                  <c:v>25130.000000000004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505152"/>
        <c:axId val="191506688"/>
      </c:barChart>
      <c:catAx>
        <c:axId val="19150515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506688"/>
        <c:crosses val="autoZero"/>
        <c:auto val="1"/>
        <c:lblAlgn val="ctr"/>
        <c:lblOffset val="100"/>
        <c:noMultiLvlLbl val="0"/>
      </c:catAx>
      <c:valAx>
        <c:axId val="19150668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50515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250505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41</c:v>
                </c:pt>
                <c:pt idx="1">
                  <c:v>0</c:v>
                </c:pt>
                <c:pt idx="2">
                  <c:v>-219</c:v>
                </c:pt>
                <c:pt idx="3">
                  <c:v>0</c:v>
                </c:pt>
                <c:pt idx="4">
                  <c:v>-72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-195.00000000000003</c:v>
                </c:pt>
                <c:pt idx="11">
                  <c:v>33</c:v>
                </c:pt>
                <c:pt idx="12">
                  <c:v>-244</c:v>
                </c:pt>
                <c:pt idx="13">
                  <c:v>-59</c:v>
                </c:pt>
                <c:pt idx="14">
                  <c:v>-585</c:v>
                </c:pt>
                <c:pt idx="15">
                  <c:v>-716</c:v>
                </c:pt>
                <c:pt idx="16">
                  <c:v>-16</c:v>
                </c:pt>
                <c:pt idx="17">
                  <c:v>877</c:v>
                </c:pt>
                <c:pt idx="18">
                  <c:v>7320</c:v>
                </c:pt>
                <c:pt idx="19">
                  <c:v>296</c:v>
                </c:pt>
                <c:pt idx="20">
                  <c:v>831</c:v>
                </c:pt>
                <c:pt idx="21">
                  <c:v>200</c:v>
                </c:pt>
                <c:pt idx="22">
                  <c:v>7300</c:v>
                </c:pt>
                <c:pt idx="23">
                  <c:v>296</c:v>
                </c:pt>
                <c:pt idx="24">
                  <c:v>-112.00000000000001</c:v>
                </c:pt>
                <c:pt idx="25">
                  <c:v>44.999999999999993</c:v>
                </c:pt>
                <c:pt idx="26">
                  <c:v>1920</c:v>
                </c:pt>
                <c:pt idx="27">
                  <c:v>169.99999999999997</c:v>
                </c:pt>
                <c:pt idx="28">
                  <c:v>93.000000000000028</c:v>
                </c:pt>
                <c:pt idx="29">
                  <c:v>19</c:v>
                </c:pt>
                <c:pt idx="30">
                  <c:v>1000</c:v>
                </c:pt>
                <c:pt idx="31">
                  <c:v>20</c:v>
                </c:pt>
                <c:pt idx="32">
                  <c:v>100</c:v>
                </c:pt>
                <c:pt idx="33">
                  <c:v>-21.000000000000004</c:v>
                </c:pt>
                <c:pt idx="34">
                  <c:v>1672</c:v>
                </c:pt>
                <c:pt idx="35">
                  <c:v>179</c:v>
                </c:pt>
                <c:pt idx="36">
                  <c:v>3400</c:v>
                </c:pt>
                <c:pt idx="37">
                  <c:v>188</c:v>
                </c:pt>
                <c:pt idx="38">
                  <c:v>5200</c:v>
                </c:pt>
                <c:pt idx="39">
                  <c:v>282</c:v>
                </c:pt>
                <c:pt idx="40">
                  <c:v>264</c:v>
                </c:pt>
                <c:pt idx="41">
                  <c:v>100</c:v>
                </c:pt>
                <c:pt idx="42">
                  <c:v>2300</c:v>
                </c:pt>
                <c:pt idx="43">
                  <c:v>-25</c:v>
                </c:pt>
                <c:pt idx="44">
                  <c:v>-45</c:v>
                </c:pt>
                <c:pt idx="45">
                  <c:v>95</c:v>
                </c:pt>
                <c:pt idx="46">
                  <c:v>1700</c:v>
                </c:pt>
                <c:pt idx="47">
                  <c:v>205</c:v>
                </c:pt>
                <c:pt idx="48">
                  <c:v>85</c:v>
                </c:pt>
                <c:pt idx="49">
                  <c:v>365</c:v>
                </c:pt>
                <c:pt idx="50">
                  <c:v>500</c:v>
                </c:pt>
                <c:pt idx="51">
                  <c:v>-80</c:v>
                </c:pt>
                <c:pt idx="52">
                  <c:v>480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-34</c:v>
                </c:pt>
                <c:pt idx="1">
                  <c:v>-259</c:v>
                </c:pt>
                <c:pt idx="2">
                  <c:v>-97</c:v>
                </c:pt>
                <c:pt idx="3">
                  <c:v>-90</c:v>
                </c:pt>
                <c:pt idx="4">
                  <c:v>60</c:v>
                </c:pt>
                <c:pt idx="5">
                  <c:v>27</c:v>
                </c:pt>
                <c:pt idx="6">
                  <c:v>-288</c:v>
                </c:pt>
                <c:pt idx="7">
                  <c:v>-65</c:v>
                </c:pt>
                <c:pt idx="8">
                  <c:v>-672</c:v>
                </c:pt>
                <c:pt idx="9">
                  <c:v>-1402</c:v>
                </c:pt>
                <c:pt idx="10">
                  <c:v>-1092</c:v>
                </c:pt>
                <c:pt idx="11">
                  <c:v>248</c:v>
                </c:pt>
                <c:pt idx="12">
                  <c:v>-1978</c:v>
                </c:pt>
                <c:pt idx="13">
                  <c:v>-400</c:v>
                </c:pt>
                <c:pt idx="14">
                  <c:v>-1810</c:v>
                </c:pt>
                <c:pt idx="15">
                  <c:v>-225</c:v>
                </c:pt>
                <c:pt idx="16">
                  <c:v>5449</c:v>
                </c:pt>
                <c:pt idx="17">
                  <c:v>782</c:v>
                </c:pt>
                <c:pt idx="18">
                  <c:v>873</c:v>
                </c:pt>
                <c:pt idx="19">
                  <c:v>291</c:v>
                </c:pt>
                <c:pt idx="20">
                  <c:v>508</c:v>
                </c:pt>
                <c:pt idx="21">
                  <c:v>400</c:v>
                </c:pt>
                <c:pt idx="22">
                  <c:v>1600</c:v>
                </c:pt>
                <c:pt idx="23">
                  <c:v>528</c:v>
                </c:pt>
                <c:pt idx="24">
                  <c:v>513</c:v>
                </c:pt>
                <c:pt idx="25">
                  <c:v>1404</c:v>
                </c:pt>
                <c:pt idx="26">
                  <c:v>3800</c:v>
                </c:pt>
                <c:pt idx="27">
                  <c:v>1170</c:v>
                </c:pt>
                <c:pt idx="28">
                  <c:v>1095</c:v>
                </c:pt>
                <c:pt idx="29">
                  <c:v>819</c:v>
                </c:pt>
                <c:pt idx="30">
                  <c:v>540</c:v>
                </c:pt>
                <c:pt idx="31">
                  <c:v>444</c:v>
                </c:pt>
                <c:pt idx="32">
                  <c:v>9308</c:v>
                </c:pt>
                <c:pt idx="33">
                  <c:v>372</c:v>
                </c:pt>
                <c:pt idx="34">
                  <c:v>1067</c:v>
                </c:pt>
                <c:pt idx="35">
                  <c:v>1558</c:v>
                </c:pt>
                <c:pt idx="36">
                  <c:v>436.99999999999994</c:v>
                </c:pt>
                <c:pt idx="37">
                  <c:v>394</c:v>
                </c:pt>
                <c:pt idx="38">
                  <c:v>1418</c:v>
                </c:pt>
                <c:pt idx="39">
                  <c:v>38</c:v>
                </c:pt>
                <c:pt idx="40">
                  <c:v>676</c:v>
                </c:pt>
                <c:pt idx="41">
                  <c:v>-118</c:v>
                </c:pt>
                <c:pt idx="42">
                  <c:v>700</c:v>
                </c:pt>
                <c:pt idx="43">
                  <c:v>-130</c:v>
                </c:pt>
                <c:pt idx="44">
                  <c:v>400</c:v>
                </c:pt>
                <c:pt idx="45">
                  <c:v>-60</c:v>
                </c:pt>
                <c:pt idx="46">
                  <c:v>400</c:v>
                </c:pt>
                <c:pt idx="47">
                  <c:v>700</c:v>
                </c:pt>
                <c:pt idx="48">
                  <c:v>200</c:v>
                </c:pt>
                <c:pt idx="49">
                  <c:v>365</c:v>
                </c:pt>
                <c:pt idx="50">
                  <c:v>3720</c:v>
                </c:pt>
                <c:pt idx="51">
                  <c:v>280</c:v>
                </c:pt>
                <c:pt idx="52">
                  <c:v>260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-35.999999999999943</c:v>
                </c:pt>
                <c:pt idx="1">
                  <c:v>-2435.9999999999995</c:v>
                </c:pt>
                <c:pt idx="2">
                  <c:v>-4695</c:v>
                </c:pt>
                <c:pt idx="3">
                  <c:v>93.999999999999943</c:v>
                </c:pt>
                <c:pt idx="4">
                  <c:v>-131.99999999999989</c:v>
                </c:pt>
                <c:pt idx="5">
                  <c:v>21.000000000000057</c:v>
                </c:pt>
                <c:pt idx="6">
                  <c:v>368.99999999999977</c:v>
                </c:pt>
                <c:pt idx="7">
                  <c:v>763.99999999999989</c:v>
                </c:pt>
                <c:pt idx="8">
                  <c:v>1962</c:v>
                </c:pt>
                <c:pt idx="9">
                  <c:v>-317</c:v>
                </c:pt>
                <c:pt idx="10">
                  <c:v>1440</c:v>
                </c:pt>
                <c:pt idx="11">
                  <c:v>132</c:v>
                </c:pt>
                <c:pt idx="12">
                  <c:v>534</c:v>
                </c:pt>
                <c:pt idx="13">
                  <c:v>-186.00000000000023</c:v>
                </c:pt>
                <c:pt idx="14">
                  <c:v>683</c:v>
                </c:pt>
                <c:pt idx="15">
                  <c:v>819.99999999999989</c:v>
                </c:pt>
                <c:pt idx="16">
                  <c:v>936.00000000000023</c:v>
                </c:pt>
                <c:pt idx="17">
                  <c:v>372</c:v>
                </c:pt>
                <c:pt idx="18">
                  <c:v>2520</c:v>
                </c:pt>
                <c:pt idx="19">
                  <c:v>481.99999999999989</c:v>
                </c:pt>
                <c:pt idx="20">
                  <c:v>1358</c:v>
                </c:pt>
                <c:pt idx="21">
                  <c:v>580</c:v>
                </c:pt>
                <c:pt idx="22">
                  <c:v>1085.9999999999995</c:v>
                </c:pt>
                <c:pt idx="23">
                  <c:v>578</c:v>
                </c:pt>
                <c:pt idx="24">
                  <c:v>1308.0000000000002</c:v>
                </c:pt>
                <c:pt idx="25">
                  <c:v>1132</c:v>
                </c:pt>
                <c:pt idx="26">
                  <c:v>1388</c:v>
                </c:pt>
                <c:pt idx="27">
                  <c:v>1198</c:v>
                </c:pt>
                <c:pt idx="28">
                  <c:v>4505</c:v>
                </c:pt>
                <c:pt idx="29">
                  <c:v>2285.9999999999995</c:v>
                </c:pt>
                <c:pt idx="30">
                  <c:v>1356.9999999999998</c:v>
                </c:pt>
                <c:pt idx="31">
                  <c:v>268</c:v>
                </c:pt>
                <c:pt idx="32">
                  <c:v>204</c:v>
                </c:pt>
                <c:pt idx="33">
                  <c:v>1956</c:v>
                </c:pt>
                <c:pt idx="34">
                  <c:v>3204</c:v>
                </c:pt>
                <c:pt idx="35">
                  <c:v>1088</c:v>
                </c:pt>
                <c:pt idx="36">
                  <c:v>1619</c:v>
                </c:pt>
                <c:pt idx="37">
                  <c:v>1722</c:v>
                </c:pt>
                <c:pt idx="38">
                  <c:v>4799</c:v>
                </c:pt>
                <c:pt idx="39">
                  <c:v>20719</c:v>
                </c:pt>
                <c:pt idx="40">
                  <c:v>1845</c:v>
                </c:pt>
                <c:pt idx="41">
                  <c:v>2329</c:v>
                </c:pt>
                <c:pt idx="42">
                  <c:v>2662</c:v>
                </c:pt>
                <c:pt idx="43">
                  <c:v>1386</c:v>
                </c:pt>
                <c:pt idx="44">
                  <c:v>2504</c:v>
                </c:pt>
                <c:pt idx="45">
                  <c:v>2358</c:v>
                </c:pt>
                <c:pt idx="46">
                  <c:v>6015</c:v>
                </c:pt>
                <c:pt idx="47">
                  <c:v>828</c:v>
                </c:pt>
                <c:pt idx="48">
                  <c:v>1813.0000000000002</c:v>
                </c:pt>
                <c:pt idx="49">
                  <c:v>273</c:v>
                </c:pt>
                <c:pt idx="50">
                  <c:v>5970.0000000000009</c:v>
                </c:pt>
                <c:pt idx="51">
                  <c:v>347</c:v>
                </c:pt>
                <c:pt idx="52">
                  <c:v>944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524224"/>
        <c:axId val="191542400"/>
      </c:barChart>
      <c:catAx>
        <c:axId val="19152422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542400"/>
        <c:crosses val="autoZero"/>
        <c:auto val="1"/>
        <c:lblAlgn val="ctr"/>
        <c:lblOffset val="100"/>
        <c:noMultiLvlLbl val="0"/>
      </c:catAx>
      <c:valAx>
        <c:axId val="1915424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52422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1.4277</c:v>
                </c:pt>
                <c:pt idx="1">
                  <c:v>1.3536999999999999</c:v>
                </c:pt>
                <c:pt idx="2">
                  <c:v>1.2793000000000001</c:v>
                </c:pt>
                <c:pt idx="3">
                  <c:v>1.2042999999999999</c:v>
                </c:pt>
                <c:pt idx="4">
                  <c:v>1.1287</c:v>
                </c:pt>
                <c:pt idx="5">
                  <c:v>1.0525</c:v>
                </c:pt>
                <c:pt idx="6">
                  <c:v>0.97560000000000002</c:v>
                </c:pt>
                <c:pt idx="7">
                  <c:v>0.89800000000000002</c:v>
                </c:pt>
                <c:pt idx="8">
                  <c:v>0.8196</c:v>
                </c:pt>
                <c:pt idx="9">
                  <c:v>0.74029999999999996</c:v>
                </c:pt>
                <c:pt idx="10">
                  <c:v>0.66</c:v>
                </c:pt>
                <c:pt idx="11">
                  <c:v>0.57850000000000001</c:v>
                </c:pt>
                <c:pt idx="12">
                  <c:v>0.49569999999999997</c:v>
                </c:pt>
                <c:pt idx="13">
                  <c:v>0.41110000000000002</c:v>
                </c:pt>
                <c:pt idx="14">
                  <c:v>0.32440000000000002</c:v>
                </c:pt>
                <c:pt idx="15">
                  <c:v>0.2346</c:v>
                </c:pt>
                <c:pt idx="16">
                  <c:v>0.14000000000000001</c:v>
                </c:pt>
                <c:pt idx="17">
                  <c:v>3.3000000000000002E-2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4.1284000000000001</c:v>
                </c:pt>
                <c:pt idx="1">
                  <c:v>3.9710999999999999</c:v>
                </c:pt>
                <c:pt idx="2">
                  <c:v>3.8163999999999998</c:v>
                </c:pt>
                <c:pt idx="3">
                  <c:v>3.66</c:v>
                </c:pt>
                <c:pt idx="4">
                  <c:v>3.5007999999999999</c:v>
                </c:pt>
                <c:pt idx="5">
                  <c:v>3.3391999999999999</c:v>
                </c:pt>
                <c:pt idx="6">
                  <c:v>3.1747999999999998</c:v>
                </c:pt>
                <c:pt idx="7">
                  <c:v>3.0743999999999998</c:v>
                </c:pt>
                <c:pt idx="8">
                  <c:v>2.9020999999999999</c:v>
                </c:pt>
                <c:pt idx="9">
                  <c:v>2.7258</c:v>
                </c:pt>
                <c:pt idx="10">
                  <c:v>2.5451999999999999</c:v>
                </c:pt>
                <c:pt idx="11">
                  <c:v>2.3593999999999999</c:v>
                </c:pt>
                <c:pt idx="12">
                  <c:v>2.1812999999999998</c:v>
                </c:pt>
                <c:pt idx="13">
                  <c:v>2.0607000000000002</c:v>
                </c:pt>
                <c:pt idx="14">
                  <c:v>1.8653999999999999</c:v>
                </c:pt>
                <c:pt idx="15">
                  <c:v>1.5585</c:v>
                </c:pt>
                <c:pt idx="16">
                  <c:v>1.3178000000000001</c:v>
                </c:pt>
                <c:pt idx="17">
                  <c:v>1.1069</c:v>
                </c:pt>
                <c:pt idx="18">
                  <c:v>0.80179999999999996</c:v>
                </c:pt>
                <c:pt idx="19">
                  <c:v>0.45579999999999998</c:v>
                </c:pt>
                <c:pt idx="20">
                  <c:v>0.3417</c:v>
                </c:pt>
                <c:pt idx="21">
                  <c:v>0.37940000000000002</c:v>
                </c:pt>
                <c:pt idx="22">
                  <c:v>0.4662</c:v>
                </c:pt>
                <c:pt idx="23">
                  <c:v>0.5514</c:v>
                </c:pt>
                <c:pt idx="24">
                  <c:v>0.63529999999999998</c:v>
                </c:pt>
                <c:pt idx="25">
                  <c:v>0.71830000000000005</c:v>
                </c:pt>
                <c:pt idx="26">
                  <c:v>0.80049999999999999</c:v>
                </c:pt>
                <c:pt idx="27">
                  <c:v>0.8821</c:v>
                </c:pt>
                <c:pt idx="28">
                  <c:v>0.96309999999999996</c:v>
                </c:pt>
                <c:pt idx="29">
                  <c:v>1.0436000000000001</c:v>
                </c:pt>
                <c:pt idx="30">
                  <c:v>1.1235999999999999</c:v>
                </c:pt>
                <c:pt idx="31">
                  <c:v>1.2033</c:v>
                </c:pt>
                <c:pt idx="32">
                  <c:v>1.2827</c:v>
                </c:pt>
                <c:pt idx="33">
                  <c:v>1.3616999999999999</c:v>
                </c:pt>
                <c:pt idx="34">
                  <c:v>1.4406000000000001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66144"/>
        <c:axId val="192176128"/>
      </c:scatterChart>
      <c:valAx>
        <c:axId val="19216614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2176128"/>
        <c:crosses val="autoZero"/>
        <c:crossBetween val="midCat"/>
      </c:valAx>
      <c:valAx>
        <c:axId val="1921761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21661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1.3809</c:v>
                </c:pt>
                <c:pt idx="1">
                  <c:v>1.2937000000000001</c:v>
                </c:pt>
                <c:pt idx="2">
                  <c:v>1.2057</c:v>
                </c:pt>
                <c:pt idx="3">
                  <c:v>1.1169</c:v>
                </c:pt>
                <c:pt idx="4">
                  <c:v>1.0271999999999999</c:v>
                </c:pt>
                <c:pt idx="5">
                  <c:v>0.93659999999999999</c:v>
                </c:pt>
                <c:pt idx="6">
                  <c:v>0.84489999999999998</c:v>
                </c:pt>
                <c:pt idx="7">
                  <c:v>0.752</c:v>
                </c:pt>
                <c:pt idx="8">
                  <c:v>0.65769999999999995</c:v>
                </c:pt>
                <c:pt idx="9">
                  <c:v>0.56169999999999998</c:v>
                </c:pt>
                <c:pt idx="10">
                  <c:v>0.4637</c:v>
                </c:pt>
                <c:pt idx="11">
                  <c:v>0.36299999999999999</c:v>
                </c:pt>
                <c:pt idx="12">
                  <c:v>0.25869999999999999</c:v>
                </c:pt>
                <c:pt idx="13">
                  <c:v>0.14829999999999999</c:v>
                </c:pt>
                <c:pt idx="14">
                  <c:v>1.9599999999999999E-2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5.6284999999999998</c:v>
                </c:pt>
                <c:pt idx="1">
                  <c:v>5.4207999999999998</c:v>
                </c:pt>
                <c:pt idx="2">
                  <c:v>5.44</c:v>
                </c:pt>
                <c:pt idx="3">
                  <c:v>4.9946999999999999</c:v>
                </c:pt>
                <c:pt idx="4">
                  <c:v>4.3624000000000001</c:v>
                </c:pt>
                <c:pt idx="5">
                  <c:v>4.4623999999999997</c:v>
                </c:pt>
                <c:pt idx="6">
                  <c:v>3.9241999999999999</c:v>
                </c:pt>
                <c:pt idx="7">
                  <c:v>4.1306000000000003</c:v>
                </c:pt>
                <c:pt idx="8">
                  <c:v>3.8483999999999998</c:v>
                </c:pt>
                <c:pt idx="9">
                  <c:v>3.6404000000000001</c:v>
                </c:pt>
                <c:pt idx="10">
                  <c:v>3.3433000000000002</c:v>
                </c:pt>
                <c:pt idx="11">
                  <c:v>3.0758000000000001</c:v>
                </c:pt>
                <c:pt idx="12">
                  <c:v>2.4371</c:v>
                </c:pt>
                <c:pt idx="13">
                  <c:v>2.1789999999999998</c:v>
                </c:pt>
                <c:pt idx="14">
                  <c:v>1.83</c:v>
                </c:pt>
                <c:pt idx="15">
                  <c:v>1.4460999999999999</c:v>
                </c:pt>
                <c:pt idx="16">
                  <c:v>1.0602</c:v>
                </c:pt>
                <c:pt idx="17">
                  <c:v>0.72009999999999996</c:v>
                </c:pt>
                <c:pt idx="18">
                  <c:v>0.56950000000000001</c:v>
                </c:pt>
                <c:pt idx="19">
                  <c:v>0.55189999999999995</c:v>
                </c:pt>
                <c:pt idx="20">
                  <c:v>0.65049999999999997</c:v>
                </c:pt>
                <c:pt idx="21">
                  <c:v>0.74780000000000002</c:v>
                </c:pt>
                <c:pt idx="22">
                  <c:v>0.84389999999999998</c:v>
                </c:pt>
                <c:pt idx="23">
                  <c:v>0.93920000000000003</c:v>
                </c:pt>
                <c:pt idx="24">
                  <c:v>1.0338000000000001</c:v>
                </c:pt>
                <c:pt idx="25">
                  <c:v>1.1277999999999999</c:v>
                </c:pt>
                <c:pt idx="26">
                  <c:v>1.2212000000000001</c:v>
                </c:pt>
                <c:pt idx="27">
                  <c:v>1.3142</c:v>
                </c:pt>
                <c:pt idx="28">
                  <c:v>1.4067000000000001</c:v>
                </c:pt>
                <c:pt idx="29">
                  <c:v>1.4990000000000001</c:v>
                </c:pt>
                <c:pt idx="30">
                  <c:v>1.5909</c:v>
                </c:pt>
                <c:pt idx="31">
                  <c:v>1.6826000000000001</c:v>
                </c:pt>
                <c:pt idx="32">
                  <c:v>1.774</c:v>
                </c:pt>
                <c:pt idx="33">
                  <c:v>1.8652</c:v>
                </c:pt>
                <c:pt idx="34">
                  <c:v>1.9561999999999999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12992"/>
        <c:axId val="192214528"/>
      </c:scatterChart>
      <c:valAx>
        <c:axId val="19221299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2214528"/>
        <c:crosses val="autoZero"/>
        <c:crossBetween val="midCat"/>
      </c:valAx>
      <c:valAx>
        <c:axId val="1922145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22129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1.4619</c:v>
                </c:pt>
                <c:pt idx="3">
                  <c:v>0.25</c:v>
                </c:pt>
                <c:pt idx="4">
                  <c:v>0.25</c:v>
                </c:pt>
                <c:pt idx="5">
                  <c:v>1.2531000000000001</c:v>
                </c:pt>
                <c:pt idx="6">
                  <c:v>1.1805000000000001</c:v>
                </c:pt>
                <c:pt idx="7">
                  <c:v>1.1097999999999999</c:v>
                </c:pt>
                <c:pt idx="8">
                  <c:v>1.0386</c:v>
                </c:pt>
                <c:pt idx="9">
                  <c:v>0.96679999999999999</c:v>
                </c:pt>
                <c:pt idx="10">
                  <c:v>0.89439999999999997</c:v>
                </c:pt>
                <c:pt idx="11">
                  <c:v>0.82130000000000003</c:v>
                </c:pt>
                <c:pt idx="12">
                  <c:v>0.74809999999999999</c:v>
                </c:pt>
                <c:pt idx="13">
                  <c:v>0.6744</c:v>
                </c:pt>
                <c:pt idx="14">
                  <c:v>0.59809999999999997</c:v>
                </c:pt>
                <c:pt idx="15">
                  <c:v>0.52100000000000002</c:v>
                </c:pt>
                <c:pt idx="16">
                  <c:v>0.44290000000000002</c:v>
                </c:pt>
                <c:pt idx="17">
                  <c:v>0.36330000000000001</c:v>
                </c:pt>
                <c:pt idx="18">
                  <c:v>0.28139999999999998</c:v>
                </c:pt>
                <c:pt idx="19">
                  <c:v>0.19789999999999999</c:v>
                </c:pt>
                <c:pt idx="20">
                  <c:v>0.1085</c:v>
                </c:pt>
                <c:pt idx="21">
                  <c:v>1.32E-2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3.7763</c:v>
                </c:pt>
                <c:pt idx="3">
                  <c:v>0.25</c:v>
                </c:pt>
                <c:pt idx="4">
                  <c:v>0.25</c:v>
                </c:pt>
                <c:pt idx="5">
                  <c:v>3.3666</c:v>
                </c:pt>
                <c:pt idx="6">
                  <c:v>3.2195</c:v>
                </c:pt>
                <c:pt idx="7">
                  <c:v>3.1844999999999999</c:v>
                </c:pt>
                <c:pt idx="8">
                  <c:v>2.8552</c:v>
                </c:pt>
                <c:pt idx="9">
                  <c:v>2.7090000000000001</c:v>
                </c:pt>
                <c:pt idx="10">
                  <c:v>2.5602999999999998</c:v>
                </c:pt>
                <c:pt idx="11">
                  <c:v>2.4089</c:v>
                </c:pt>
                <c:pt idx="12">
                  <c:v>2.2543000000000002</c:v>
                </c:pt>
                <c:pt idx="13">
                  <c:v>2.0962999999999998</c:v>
                </c:pt>
                <c:pt idx="14">
                  <c:v>1.9341999999999999</c:v>
                </c:pt>
                <c:pt idx="15">
                  <c:v>1.7673000000000001</c:v>
                </c:pt>
                <c:pt idx="16">
                  <c:v>1.6327</c:v>
                </c:pt>
                <c:pt idx="17">
                  <c:v>1.4152</c:v>
                </c:pt>
                <c:pt idx="18">
                  <c:v>1.2264999999999999</c:v>
                </c:pt>
                <c:pt idx="19">
                  <c:v>1.0250999999999999</c:v>
                </c:pt>
                <c:pt idx="20">
                  <c:v>0.80430000000000001</c:v>
                </c:pt>
                <c:pt idx="21">
                  <c:v>0.56659999999999999</c:v>
                </c:pt>
                <c:pt idx="22">
                  <c:v>0.20080000000000001</c:v>
                </c:pt>
                <c:pt idx="23">
                  <c:v>0.1973</c:v>
                </c:pt>
                <c:pt idx="24">
                  <c:v>0.28160000000000002</c:v>
                </c:pt>
                <c:pt idx="25">
                  <c:v>0.36470000000000002</c:v>
                </c:pt>
                <c:pt idx="26">
                  <c:v>0.4456</c:v>
                </c:pt>
                <c:pt idx="27">
                  <c:v>0.52539999999999998</c:v>
                </c:pt>
                <c:pt idx="28">
                  <c:v>0.60429999999999995</c:v>
                </c:pt>
                <c:pt idx="29">
                  <c:v>0.68279999999999996</c:v>
                </c:pt>
                <c:pt idx="30">
                  <c:v>0.75900000000000001</c:v>
                </c:pt>
                <c:pt idx="31">
                  <c:v>0.83479999999999999</c:v>
                </c:pt>
                <c:pt idx="32">
                  <c:v>0.91080000000000005</c:v>
                </c:pt>
                <c:pt idx="33">
                  <c:v>0.98640000000000005</c:v>
                </c:pt>
                <c:pt idx="34">
                  <c:v>1.0616000000000001</c:v>
                </c:pt>
                <c:pt idx="35">
                  <c:v>1.1366000000000001</c:v>
                </c:pt>
                <c:pt idx="36">
                  <c:v>1.2112000000000001</c:v>
                </c:pt>
                <c:pt idx="37">
                  <c:v>1.2856000000000001</c:v>
                </c:pt>
                <c:pt idx="38">
                  <c:v>1.3624000000000001</c:v>
                </c:pt>
                <c:pt idx="39">
                  <c:v>1.4367000000000001</c:v>
                </c:pt>
                <c:pt idx="40">
                  <c:v>1.5107999999999999</c:v>
                </c:pt>
                <c:pt idx="41">
                  <c:v>1.5847</c:v>
                </c:pt>
                <c:pt idx="42">
                  <c:v>1.6586000000000001</c:v>
                </c:pt>
                <c:pt idx="43">
                  <c:v>1.7323</c:v>
                </c:pt>
                <c:pt idx="44">
                  <c:v>1.8059000000000001</c:v>
                </c:pt>
                <c:pt idx="45">
                  <c:v>1.8794999999999999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17760"/>
        <c:axId val="192123648"/>
      </c:scatterChart>
      <c:valAx>
        <c:axId val="19211776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2123648"/>
        <c:crosses val="autoZero"/>
        <c:crossBetween val="midCat"/>
      </c:valAx>
      <c:valAx>
        <c:axId val="19212364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21177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1.046</c:v>
                </c:pt>
                <c:pt idx="1">
                  <c:v>0.75209999999999999</c:v>
                </c:pt>
                <c:pt idx="2">
                  <c:v>0.70489999999999997</c:v>
                </c:pt>
                <c:pt idx="3">
                  <c:v>0.65839999999999999</c:v>
                </c:pt>
                <c:pt idx="4">
                  <c:v>0.73299999999999998</c:v>
                </c:pt>
                <c:pt idx="5">
                  <c:v>1.3544</c:v>
                </c:pt>
                <c:pt idx="6">
                  <c:v>0.5131</c:v>
                </c:pt>
                <c:pt idx="7">
                  <c:v>0.46450000000000002</c:v>
                </c:pt>
                <c:pt idx="8">
                  <c:v>0.41449999999999998</c:v>
                </c:pt>
                <c:pt idx="9">
                  <c:v>0.36409999999999998</c:v>
                </c:pt>
                <c:pt idx="10">
                  <c:v>0.31319999999999998</c:v>
                </c:pt>
                <c:pt idx="11">
                  <c:v>0.75900000000000001</c:v>
                </c:pt>
                <c:pt idx="12">
                  <c:v>0.20860000000000001</c:v>
                </c:pt>
                <c:pt idx="13">
                  <c:v>0.1552</c:v>
                </c:pt>
                <c:pt idx="14">
                  <c:v>9.9199999999999997E-2</c:v>
                </c:pt>
                <c:pt idx="15">
                  <c:v>4.36E-2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4.0427</c:v>
                </c:pt>
                <c:pt idx="1">
                  <c:v>3.8527</c:v>
                </c:pt>
                <c:pt idx="2">
                  <c:v>3.4788999999999999</c:v>
                </c:pt>
                <c:pt idx="3">
                  <c:v>3.3483999999999998</c:v>
                </c:pt>
                <c:pt idx="4">
                  <c:v>3.2155999999999998</c:v>
                </c:pt>
                <c:pt idx="5">
                  <c:v>3.0804999999999998</c:v>
                </c:pt>
                <c:pt idx="6">
                  <c:v>2.9428999999999998</c:v>
                </c:pt>
                <c:pt idx="7">
                  <c:v>2.8022999999999998</c:v>
                </c:pt>
                <c:pt idx="8">
                  <c:v>2.6585000000000001</c:v>
                </c:pt>
                <c:pt idx="9">
                  <c:v>2.5110999999999999</c:v>
                </c:pt>
                <c:pt idx="10">
                  <c:v>2.3595999999999999</c:v>
                </c:pt>
                <c:pt idx="11">
                  <c:v>2.266</c:v>
                </c:pt>
                <c:pt idx="12">
                  <c:v>2.1029</c:v>
                </c:pt>
                <c:pt idx="13">
                  <c:v>1.8821000000000001</c:v>
                </c:pt>
                <c:pt idx="14">
                  <c:v>1.7041999999999999</c:v>
                </c:pt>
                <c:pt idx="15">
                  <c:v>1.5147999999999999</c:v>
                </c:pt>
                <c:pt idx="16">
                  <c:v>1.359</c:v>
                </c:pt>
                <c:pt idx="17">
                  <c:v>1.1073</c:v>
                </c:pt>
                <c:pt idx="18">
                  <c:v>0.8841</c:v>
                </c:pt>
                <c:pt idx="19">
                  <c:v>0.5948</c:v>
                </c:pt>
                <c:pt idx="20">
                  <c:v>0.38069999999999998</c:v>
                </c:pt>
                <c:pt idx="21">
                  <c:v>0.31119999999999998</c:v>
                </c:pt>
                <c:pt idx="22">
                  <c:v>0.36299999999999999</c:v>
                </c:pt>
                <c:pt idx="23">
                  <c:v>0.61309999999999998</c:v>
                </c:pt>
                <c:pt idx="24">
                  <c:v>0.97789999999999999</c:v>
                </c:pt>
                <c:pt idx="25">
                  <c:v>1.268</c:v>
                </c:pt>
                <c:pt idx="26">
                  <c:v>1.3646</c:v>
                </c:pt>
                <c:pt idx="27">
                  <c:v>1.4598</c:v>
                </c:pt>
                <c:pt idx="28">
                  <c:v>1.5539000000000001</c:v>
                </c:pt>
                <c:pt idx="29">
                  <c:v>1.6468</c:v>
                </c:pt>
                <c:pt idx="30">
                  <c:v>0.86129999999999995</c:v>
                </c:pt>
                <c:pt idx="31">
                  <c:v>1.8299000000000001</c:v>
                </c:pt>
                <c:pt idx="32">
                  <c:v>1.0642</c:v>
                </c:pt>
                <c:pt idx="33">
                  <c:v>2.0099</c:v>
                </c:pt>
                <c:pt idx="34">
                  <c:v>1.5751999999999999</c:v>
                </c:pt>
                <c:pt idx="35">
                  <c:v>2.1871999999999998</c:v>
                </c:pt>
                <c:pt idx="36">
                  <c:v>1.2493000000000001</c:v>
                </c:pt>
                <c:pt idx="37">
                  <c:v>2.3622999999999998</c:v>
                </c:pt>
                <c:pt idx="38">
                  <c:v>1.1516</c:v>
                </c:pt>
                <c:pt idx="39">
                  <c:v>2.5354999999999999</c:v>
                </c:pt>
                <c:pt idx="40">
                  <c:v>2.6215000000000002</c:v>
                </c:pt>
                <c:pt idx="41">
                  <c:v>2.7069999999999999</c:v>
                </c:pt>
                <c:pt idx="42">
                  <c:v>1.4653</c:v>
                </c:pt>
                <c:pt idx="43">
                  <c:v>2.8771</c:v>
                </c:pt>
                <c:pt idx="44">
                  <c:v>2.9617</c:v>
                </c:pt>
                <c:pt idx="45">
                  <c:v>3.0459000000000001</c:v>
                </c:pt>
                <c:pt idx="46">
                  <c:v>1.8009999999999999</c:v>
                </c:pt>
                <c:pt idx="47">
                  <c:v>3.2136</c:v>
                </c:pt>
                <c:pt idx="48">
                  <c:v>3.2970999999999999</c:v>
                </c:pt>
                <c:pt idx="49">
                  <c:v>3.3803000000000001</c:v>
                </c:pt>
                <c:pt idx="50">
                  <c:v>2.1082999999999998</c:v>
                </c:pt>
                <c:pt idx="51">
                  <c:v>3.5459999999999998</c:v>
                </c:pt>
                <c:pt idx="52">
                  <c:v>3.6286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24640"/>
        <c:axId val="191826176"/>
      </c:scatterChart>
      <c:valAx>
        <c:axId val="1918246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1826176"/>
        <c:crosses val="autoZero"/>
        <c:crossBetween val="midCat"/>
      </c:valAx>
      <c:valAx>
        <c:axId val="1918261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18246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1060"/>
  <sheetViews>
    <sheetView tabSelected="1" zoomScaleNormal="100" workbookViewId="0">
      <pane xSplit="1" ySplit="2" topLeftCell="FA1012" activePane="bottomRight" state="frozen"/>
      <selection pane="topRight" activeCell="B1" sqref="B1"/>
      <selection pane="bottomLeft" activeCell="A3" sqref="A3"/>
      <selection pane="bottomRight" activeCell="EU5" sqref="EU5:FF1060"/>
    </sheetView>
  </sheetViews>
  <sheetFormatPr baseColWidth="10" defaultRowHeight="12.75" x14ac:dyDescent="0.2"/>
  <cols>
    <col min="1" max="1" width="12.140625" style="20" customWidth="1"/>
    <col min="2" max="5" width="11.5703125" style="20" customWidth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5435</v>
      </c>
      <c r="F1" s="20">
        <f>+[1]Sheet1!$AD$2</f>
        <v>563.71640519697416</v>
      </c>
      <c r="G1" s="9" t="s">
        <v>11</v>
      </c>
      <c r="I1" s="103">
        <f ca="1">NOW()</f>
        <v>45788.597110879629</v>
      </c>
      <c r="J1" s="104"/>
      <c r="K1" s="104"/>
      <c r="L1" s="104"/>
      <c r="M1" s="104"/>
      <c r="N1" s="104"/>
      <c r="O1" s="104"/>
      <c r="P1" s="104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57</v>
      </c>
      <c r="AN1" s="21"/>
      <c r="AO1" s="21"/>
      <c r="AP1" s="21">
        <v>250505</v>
      </c>
      <c r="AQ1" s="21"/>
      <c r="AR1" s="21"/>
      <c r="AS1" s="22" t="str">
        <f>+B2</f>
        <v>250505</v>
      </c>
      <c r="AT1" s="22" t="str">
        <f>+AS1</f>
        <v>250505</v>
      </c>
      <c r="AU1" s="22" t="str">
        <f>+C2</f>
        <v>250509</v>
      </c>
      <c r="AV1" s="22" t="str">
        <f>+AU1</f>
        <v>250509</v>
      </c>
      <c r="AW1" s="22" t="str">
        <f>+D2</f>
        <v>250516</v>
      </c>
      <c r="AX1" s="22" t="str">
        <f>+AW1</f>
        <v>250516</v>
      </c>
      <c r="AY1" s="23">
        <f>+A3</f>
        <v>564.79999999999995</v>
      </c>
      <c r="BA1" s="22" t="str">
        <f>+AS1</f>
        <v>250505</v>
      </c>
      <c r="BB1" s="22"/>
      <c r="BC1" s="22" t="str">
        <f>+AU1</f>
        <v>250509</v>
      </c>
      <c r="BD1" s="22"/>
      <c r="BE1" s="22" t="str">
        <f>+AW1</f>
        <v>250516</v>
      </c>
      <c r="BF1" s="22">
        <f>+AY1</f>
        <v>564.79999999999995</v>
      </c>
      <c r="BG1" s="95"/>
      <c r="BH1" s="23">
        <f ca="1">MAX(BH4:BH38)</f>
        <v>334368</v>
      </c>
      <c r="BI1" s="1">
        <f ca="1">IFERROR(IF(MAX(BH4:BH38)&lt;&gt;0,INDEX(A4:A38,MATCH(MAX(BH4:BH38),BH4:BH38,0)),""),"")</f>
        <v>567</v>
      </c>
      <c r="BJ1" s="22"/>
      <c r="BK1" s="22"/>
      <c r="BL1" s="22"/>
      <c r="BM1" s="22"/>
      <c r="BN1" s="22"/>
      <c r="BO1" s="22"/>
      <c r="BP1" s="64">
        <v>1</v>
      </c>
      <c r="BQ1" s="22" t="e">
        <f ca="1">IF(BR1&gt;BR2,IF(MAX(BQ4:BQ38)&lt;&gt;0,INDEX(A4:A38,MATCH(MAX(BQ4:BQ38),BQ4:BQ38,0)),A3),IF(MIN(BQ4:BQ38)&lt;&gt;0,INDEX(A4:A38,MATCH(MIN(BQ4:BQ38),BQ4:BQ38,0))))</f>
        <v>#NUM!</v>
      </c>
      <c r="BR1" s="22" t="e">
        <f ca="1">+MAX(BQ4:BQ38)</f>
        <v>#NUM!</v>
      </c>
      <c r="BS1" s="22" t="e">
        <f ca="1">IF(BT1&gt;BT2,IF(MAX(BS4:BS38)&lt;&gt;0,INDEX(A4:A38,MATCH(MAX(BS4:BS38),BS4:BS38,0)),A3),IF(MIN(BS4:BS38)&lt;&gt;0,INDEX(A4:A38,MATCH(MIN(BS4:BS38),BS4:BS38,0))))</f>
        <v>#NUM!</v>
      </c>
      <c r="BT1" s="22" t="e">
        <f ca="1">+MAX(BS4:BS38)</f>
        <v>#NUM!</v>
      </c>
      <c r="BU1" s="22" t="e">
        <f ca="1">IF(BV1&gt;BV2,IF(MAX(BU4:BU38)&lt;&gt;0,INDEX(A4:A38,MATCH(MAX(BU4:BU38),BU4:BU38,0)),A3),IF(MIN(BU4:BU38)&lt;&gt;0,INDEX(A4:A38,MATCH(MIN(BU4:BU38),BU4:BU38,0))))</f>
        <v>#NUM!</v>
      </c>
      <c r="BV1" s="22" t="e">
        <f ca="1">+MAX(BU4:BU38)</f>
        <v>#NUM!</v>
      </c>
      <c r="BX1" s="22" t="e">
        <f ca="1">IF(BY1&gt;BZ1,IF(MAX(BX4:BX38)&lt;&gt;0,INDEX(G4:G38,MATCH(MAX(BX4:BX38),BX4:BX38,0)),G3),IF(MIN(BX4:BX38)&lt;&gt;0,INDEX(G4:G38,MATCH(MIN(BX4:BX38),BX4:BX38,0))))</f>
        <v>#NUM!</v>
      </c>
      <c r="BY1" s="22" t="e">
        <f ca="1">+MAX(BX4:BX38)</f>
        <v>#NUM!</v>
      </c>
      <c r="BZ1" s="22" t="e">
        <f ca="1">ABS(MIN(BX4:BX38))</f>
        <v>#NUM!</v>
      </c>
      <c r="CA1" s="22"/>
      <c r="CB1" s="22"/>
      <c r="CC1" s="22" t="e">
        <f ca="1">+AVERAGE(BY39:BY40,CA39:CA40,CC39:CC40)</f>
        <v>#N/A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552586</v>
      </c>
      <c r="CM1" s="22">
        <f>ABS(MIN(CK4:CK38))</f>
        <v>511395</v>
      </c>
      <c r="CN1" s="22"/>
      <c r="CO1" s="22"/>
      <c r="CP1" s="22"/>
      <c r="CQ1" s="22" t="b">
        <f>IF(CR1&gt;CS1,IF(MAX(CQ4:CQ38)&lt;&gt;0,INDEX(A4:A38,MATCH(MAX(CQ4:CQ38),CQ4:CQ38,0)),A3),IF(MIN(CQ4:CQ38)&lt;&gt;0,INDEX(A4:A38,MATCH(MIN(CQ4:CQ38),CQ4:CQ38,0))))</f>
        <v>0</v>
      </c>
      <c r="CR1" s="22">
        <f>+MAX(CQ4:CQ38)</f>
        <v>0</v>
      </c>
      <c r="CS1" s="22">
        <f>ABS(MIN(CQ4:CQ38))</f>
        <v>0</v>
      </c>
      <c r="CT1" s="22"/>
      <c r="CU1" s="22"/>
      <c r="CV1" s="22"/>
      <c r="CW1" s="22" t="e">
        <f ca="1">IF(CX1&gt;CY1,IF(MAX(CW4:CW38)&lt;&gt;0,INDEX(A4:A38,MATCH(MAX(CW4:CW38),CW4:CW38,0)),M3),IF(MIN(CW4:CW38)&lt;&gt;0,INDEX(A4:A38,MATCH(MIN(CW4:CW38),CW4:CW38,0))))</f>
        <v>#NUM!</v>
      </c>
      <c r="CX1" s="61" t="e">
        <f ca="1">+MAX(CW4:CW38)</f>
        <v>#NUM!</v>
      </c>
      <c r="CY1" s="22" t="e">
        <f ca="1">ABS(MIN(CW4:CW38))</f>
        <v>#NUM!</v>
      </c>
      <c r="DA1" s="22" t="str">
        <f>+B2</f>
        <v>250505</v>
      </c>
      <c r="DB1" s="22"/>
      <c r="DC1" s="22" t="str">
        <f>+DA1</f>
        <v>250505</v>
      </c>
      <c r="DD1" s="22"/>
      <c r="DE1" s="22" t="str">
        <f>+DC1</f>
        <v>250505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 t="s">
        <v>56</v>
      </c>
      <c r="DV1" s="22" t="s">
        <v>57</v>
      </c>
      <c r="DW1" s="22"/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45788.597110879629</v>
      </c>
      <c r="EL1" s="87">
        <f>B42+$DX$1</f>
        <v>45782.677083333336</v>
      </c>
      <c r="EM1" s="88">
        <f ca="1">+EL1-$EK$1</f>
        <v>-5.9200275462935679</v>
      </c>
      <c r="EN1" s="87">
        <f>C42+$DX$1</f>
        <v>45786.677083333336</v>
      </c>
      <c r="EO1" s="88">
        <f ca="1">+EN1-$EK$1</f>
        <v>-1.9200275462935679</v>
      </c>
      <c r="EP1" s="87">
        <f>D42+$DX$1</f>
        <v>45793.677083333336</v>
      </c>
      <c r="EQ1" s="88">
        <f ca="1">+EP1-$EK$1</f>
        <v>5.0799724537064321</v>
      </c>
      <c r="ES1" s="66"/>
    </row>
    <row r="2" spans="1:162" ht="13.5" thickBot="1" x14ac:dyDescent="0.25">
      <c r="A2" s="24" t="s">
        <v>13</v>
      </c>
      <c r="B2" s="18" t="str">
        <f>+TEXT(B42,"YYMMDD")</f>
        <v>250505</v>
      </c>
      <c r="C2" s="18" t="str">
        <f>+TEXT(C42,"YYMMDD")</f>
        <v>250509</v>
      </c>
      <c r="D2" s="18" t="str">
        <f>+TEXT(D42,"YYMMDD")</f>
        <v>250516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 t="e">
        <f ca="1">ABS(+MIN(BQ4:BQ38))</f>
        <v>#NUM!</v>
      </c>
      <c r="BS2" s="22" t="s">
        <v>11</v>
      </c>
      <c r="BT2" s="25" t="e">
        <f ca="1">ABS(+MIN(BS4:BS38))</f>
        <v>#NUM!</v>
      </c>
      <c r="BU2" s="22" t="s">
        <v>11</v>
      </c>
      <c r="BV2" s="25" t="e">
        <f ca="1">ABS(+MIN(BU4:BU38))</f>
        <v>#NUM!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-5.9200275462935679</v>
      </c>
      <c r="ET2" s="64" t="s">
        <v>22</v>
      </c>
    </row>
    <row r="3" spans="1:162" s="63" customFormat="1" ht="13.5" thickBot="1" x14ac:dyDescent="0.25">
      <c r="A3" s="26">
        <f>RTD("tos.rtd", ,"MARK", A2)</f>
        <v>564.79999999999995</v>
      </c>
      <c r="B3" s="27">
        <f>+AS3/AT3</f>
        <v>-1.068797298673092</v>
      </c>
      <c r="C3" s="27">
        <f>+AU3/AV3</f>
        <v>-1.1841340185124072</v>
      </c>
      <c r="D3" s="27">
        <f>+AW3/AX3</f>
        <v>-1.0910256410256409</v>
      </c>
      <c r="E3" s="28">
        <v>0</v>
      </c>
      <c r="F3" s="26">
        <f>RTD("tos.rtd", ,"MARK", F2)</f>
        <v>5684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2417395</v>
      </c>
      <c r="AQ3" s="1">
        <v>-2393381</v>
      </c>
      <c r="AR3" s="1"/>
      <c r="AS3" s="13">
        <f t="shared" ref="AS3:AX3" si="0">SUM(AS4:AS38)</f>
        <v>125977</v>
      </c>
      <c r="AT3" s="29">
        <f t="shared" si="0"/>
        <v>-117868</v>
      </c>
      <c r="AU3" s="13">
        <f t="shared" si="0"/>
        <v>226050</v>
      </c>
      <c r="AV3" s="29">
        <f t="shared" si="0"/>
        <v>-190899</v>
      </c>
      <c r="AW3" s="13">
        <f t="shared" si="0"/>
        <v>289340</v>
      </c>
      <c r="AX3" s="29">
        <f t="shared" si="0"/>
        <v>-265200</v>
      </c>
      <c r="AY3" s="29">
        <f>SUM(AY4:AY38)</f>
        <v>67400</v>
      </c>
      <c r="AZ3" s="1">
        <v>0</v>
      </c>
      <c r="BA3" s="13">
        <f t="shared" ref="BA3:BF3" si="1">SUM(BA4:BA38)</f>
        <v>0</v>
      </c>
      <c r="BB3" s="29">
        <f t="shared" si="1"/>
        <v>0</v>
      </c>
      <c r="BC3" s="13">
        <f t="shared" si="1"/>
        <v>2660973</v>
      </c>
      <c r="BD3" s="29">
        <f t="shared" si="1"/>
        <v>-2243459</v>
      </c>
      <c r="BE3" s="13">
        <f t="shared" si="1"/>
        <v>182950</v>
      </c>
      <c r="BF3" s="29">
        <f t="shared" si="1"/>
        <v>-174896</v>
      </c>
      <c r="BG3" s="31"/>
      <c r="BH3" s="29">
        <f ca="1">SUM(BH4:BH38)</f>
        <v>404153</v>
      </c>
      <c r="BI3" s="1"/>
      <c r="BJ3" s="3" t="e">
        <f t="shared" ref="BJ3:BO3" ca="1" si="2">SUM(BJ4:BJ38)</f>
        <v>#NUM!</v>
      </c>
      <c r="BK3" s="3" t="e">
        <f t="shared" ca="1" si="2"/>
        <v>#NUM!</v>
      </c>
      <c r="BL3" s="3" t="e">
        <f t="shared" ca="1" si="2"/>
        <v>#NUM!</v>
      </c>
      <c r="BM3" s="3" t="e">
        <f t="shared" ca="1" si="2"/>
        <v>#NUM!</v>
      </c>
      <c r="BN3" s="3" t="e">
        <f t="shared" ca="1" si="2"/>
        <v>#NUM!</v>
      </c>
      <c r="BO3" s="3" t="e">
        <f t="shared" ca="1" si="2"/>
        <v>#NUM!</v>
      </c>
      <c r="BQ3" s="3" t="e">
        <f ca="1">SUM(BQ4:BQ38)</f>
        <v>#NUM!</v>
      </c>
      <c r="BR3" s="3"/>
      <c r="BS3" s="3" t="e">
        <f ca="1">SUM(BS4:BS38)</f>
        <v>#NUM!</v>
      </c>
      <c r="BT3" s="3"/>
      <c r="BU3" s="3" t="e">
        <f ca="1">SUM(BU4:BU38)</f>
        <v>#NUM!</v>
      </c>
      <c r="BV3" s="3"/>
      <c r="BX3" s="3" t="e">
        <f ca="1">SUM(BX4:BX38)</f>
        <v>#NUM!</v>
      </c>
      <c r="BY3" s="3"/>
      <c r="BZ3" s="3" t="e">
        <f ca="1">SUM(BZ4:BZ38)</f>
        <v>#NUM!</v>
      </c>
      <c r="CA3" s="3"/>
      <c r="CB3" s="3" t="e">
        <f ca="1">SUM(CB4:CB38)</f>
        <v>#NUM!</v>
      </c>
      <c r="CC3" s="3"/>
      <c r="CD3" s="3">
        <f t="shared" ref="CD3:CI3" si="3">SUM(CD4:CD38)</f>
        <v>17.170000000000002</v>
      </c>
      <c r="CE3" s="3">
        <f t="shared" si="3"/>
        <v>13.88</v>
      </c>
      <c r="CF3" s="3">
        <f t="shared" si="3"/>
        <v>17.240000000000002</v>
      </c>
      <c r="CG3" s="3">
        <f t="shared" si="3"/>
        <v>15.159999999999998</v>
      </c>
      <c r="CH3" s="3">
        <f t="shared" si="3"/>
        <v>17.410000000000004</v>
      </c>
      <c r="CI3" s="3">
        <f t="shared" si="3"/>
        <v>17.53</v>
      </c>
      <c r="CK3" s="3">
        <f>SUM(CK4:CK38)</f>
        <v>259211</v>
      </c>
      <c r="CL3" s="3"/>
      <c r="CM3" s="3">
        <f>SUM(CM4:CM38)</f>
        <v>2999281</v>
      </c>
      <c r="CN3" s="3"/>
      <c r="CO3" s="3">
        <f>SUM(CO4:CO38)</f>
        <v>4318559</v>
      </c>
      <c r="CP3" s="3"/>
      <c r="CQ3" s="3">
        <f>SUM(CQ4:CQ38)</f>
        <v>0</v>
      </c>
      <c r="CR3" s="3"/>
      <c r="CS3" s="3">
        <f>SUM(CS4:CS38)</f>
        <v>417514</v>
      </c>
      <c r="CT3" s="3"/>
      <c r="CU3" s="3">
        <f>SUM(CU4:CU38)</f>
        <v>8054</v>
      </c>
      <c r="CV3" s="3"/>
      <c r="CW3" s="3" t="e">
        <f ca="1">SUM(CW4:CW38)</f>
        <v>#NUM!</v>
      </c>
      <c r="CY3" s="3" t="e">
        <f ca="1">SUM(CY4:CY38)</f>
        <v>#NUM!</v>
      </c>
      <c r="DA3" s="3">
        <f t="shared" ref="DA3:DF3" si="4">SUM(DA4:DA38)</f>
        <v>120.14000000000001</v>
      </c>
      <c r="DB3" s="3">
        <f t="shared" si="4"/>
        <v>174.80999999999989</v>
      </c>
      <c r="DC3" s="3">
        <f t="shared" si="4"/>
        <v>133.70999999999998</v>
      </c>
      <c r="DD3" s="3">
        <f t="shared" si="4"/>
        <v>203.16999999999987</v>
      </c>
      <c r="DE3" s="3">
        <f t="shared" si="4"/>
        <v>108.87</v>
      </c>
      <c r="DF3" s="3">
        <f t="shared" si="4"/>
        <v>172.5</v>
      </c>
      <c r="DG3" s="86"/>
      <c r="DH3" s="3">
        <f t="shared" ref="DH3:DM3" si="5">SUM(DH4:DH38)</f>
        <v>-1978658.4457037628</v>
      </c>
      <c r="DI3" s="3">
        <f t="shared" si="5"/>
        <v>1822184.0133215908</v>
      </c>
      <c r="DJ3" s="3">
        <f t="shared" si="5"/>
        <v>-1562246</v>
      </c>
      <c r="DK3" s="3">
        <f t="shared" si="5"/>
        <v>1191810</v>
      </c>
      <c r="DL3" s="3">
        <f t="shared" si="5"/>
        <v>-156474.432382172</v>
      </c>
      <c r="DM3" s="3">
        <f t="shared" si="5"/>
        <v>-370436</v>
      </c>
      <c r="DP3" s="3">
        <f t="shared" ref="DP3:DS3" si="6">SUM(DP4:DP38)</f>
        <v>1751361.4587413343</v>
      </c>
      <c r="DQ3" s="3">
        <f t="shared" si="6"/>
        <v>1937656.1599999995</v>
      </c>
      <c r="DR3" s="3" t="e">
        <f t="shared" ca="1" si="6"/>
        <v>#NUM!</v>
      </c>
      <c r="DS3" s="3">
        <f t="shared" si="6"/>
        <v>686212.71999999986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18.006999999999998</v>
      </c>
      <c r="EF3" s="3">
        <f t="shared" si="7"/>
        <v>63.739300000000014</v>
      </c>
      <c r="EG3" s="3">
        <f t="shared" si="7"/>
        <v>18.019100000000002</v>
      </c>
      <c r="EH3" s="3">
        <f t="shared" si="7"/>
        <v>44.937899999999999</v>
      </c>
      <c r="EI3" s="3">
        <f t="shared" si="7"/>
        <v>8.2277000000000005</v>
      </c>
      <c r="EJ3" s="3">
        <f t="shared" si="7"/>
        <v>8.6946999999999992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3635</v>
      </c>
      <c r="C4" s="3">
        <f t="shared" ref="C4:C38" si="10">+IF($A$1="ABS",AU4-AV4,AU4+AV4)</f>
        <v>5279</v>
      </c>
      <c r="D4" s="3">
        <f t="shared" ref="D4:D38" si="11">+IF($A$1="ABS",AW4-AX4,AW4+AX4)</f>
        <v>3824</v>
      </c>
      <c r="E4" s="3">
        <f t="shared" ref="E4:E38" si="12">SUM(B4:D4)</f>
        <v>12738</v>
      </c>
      <c r="F4" s="4">
        <f t="shared" ref="F4:F38" si="13">+$F$3/$A$3*A4</f>
        <v>5857.0963172804531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338</v>
      </c>
      <c r="AN4" s="1">
        <v>0</v>
      </c>
      <c r="AO4" s="1">
        <v>582</v>
      </c>
      <c r="AP4" s="1">
        <v>338</v>
      </c>
      <c r="AQ4" s="1">
        <v>0</v>
      </c>
      <c r="AR4" s="1"/>
      <c r="AS4" s="6">
        <f>IF(RTD("tos.rtd",,AS$2,"."&amp;$A$2&amp;$AS$1&amp;"C"&amp;$A4)="N/A",0,RTD("tos.rtd",,AS$2,"."&amp;$A$2&amp;$AS$1&amp;"C"&amp;$A4))</f>
        <v>3635</v>
      </c>
      <c r="AT4" s="7">
        <f>-IF(RTD("tos.rtd",,AT$2,"."&amp;$A$2&amp;$AS$1&amp;"P"&amp;$A4)="N/A",0,RTD("tos.rtd",,AT$2,"."&amp;$A$2&amp;$AS$1&amp;"P"&amp;$A4))</f>
        <v>0</v>
      </c>
      <c r="AU4" s="6">
        <f>IF(RTD("tos.rtd",,AU$2,"."&amp;$A$2&amp;$AU$1&amp;"C"&amp;$A4)="N/A",0,RTD("tos.rtd",,AU$2,"."&amp;$A$2&amp;$AU$1&amp;"C"&amp;$A4))</f>
        <v>5262</v>
      </c>
      <c r="AV4" s="7">
        <f>-IF(RTD("tos.rtd",,AV$2,"."&amp;$A$2&amp;$AU$1&amp;"P"&amp;$A4)="N/A",0,RTD("tos.rtd",,AV$2,"."&amp;$A$2&amp;$AU$1&amp;"P"&amp;$A4))</f>
        <v>-17</v>
      </c>
      <c r="AW4" s="6">
        <f>IF(RTD("tos.rtd",,AW$2,"."&amp;$A$2&amp;$AW$1&amp;"C"&amp;$A4)="N/A",0,RTD("tos.rtd",,AW$2,"."&amp;$A$2&amp;$AW$1&amp;"C"&amp;$A4))</f>
        <v>3822</v>
      </c>
      <c r="AX4" s="7">
        <f>-IF(RTD("tos.rtd",,AX$2,"."&amp;$A$2&amp;$AW$1&amp;"P"&amp;$A4)="N/A",0,RTD("tos.rtd",,AX$2,"."&amp;$A$2&amp;$AW$1&amp;"P"&amp;$A4))</f>
        <v>-2</v>
      </c>
      <c r="AY4" s="1">
        <f>SUM(AS4:AX4)</f>
        <v>12700</v>
      </c>
      <c r="AZ4" s="8">
        <f>+A4</f>
        <v>582</v>
      </c>
      <c r="BA4" s="30">
        <f>IF(RTD("tos.rtd",,BA$2,"."&amp;$A$2&amp;$AS$1&amp;"C"&amp;$A4)="N/A",0,RTD("tos.rtd",,BA$2,"."&amp;$A$2&amp;$AS$1&amp;"C"&amp;$A4))</f>
        <v>0</v>
      </c>
      <c r="BB4" s="31">
        <f>-IF(RTD("tos.rtd",,BB$2,"."&amp;$A$2&amp;$AS$1&amp;"P"&amp;$A4)="N/A",0,RTD("tos.rtd",,BB$2,"."&amp;$A$2&amp;$AS$1&amp;"P"&amp;$A4))</f>
        <v>0</v>
      </c>
      <c r="BC4" s="30">
        <f>IF(RTD("tos.rtd",,BC$2,"."&amp;$A$2&amp;$AU$1&amp;"C"&amp;$A4)="N/A",0,RTD("tos.rtd",,BC$2,"."&amp;$A$2&amp;$AU$1&amp;"C"&amp;$A4))</f>
        <v>2148</v>
      </c>
      <c r="BD4" s="31">
        <f>-IF(RTD("tos.rtd",,BD$2,"."&amp;$A$2&amp;$AU$1&amp;"P"&amp;$A4)="N/A",0,RTD("tos.rtd",,BD$2,"."&amp;$A$2&amp;$AU$1&amp;"P"&amp;$A4))</f>
        <v>-40</v>
      </c>
      <c r="BE4" s="30">
        <f>IF(RTD("tos.rtd",,BE$2,"."&amp;$A$2&amp;$AW$1&amp;"C"&amp;$A4)="N/A",0,RTD("tos.rtd",,BE$2,"."&amp;$A$2&amp;$AW$1&amp;"C"&amp;$A4))</f>
        <v>3487</v>
      </c>
      <c r="BF4" s="99">
        <f>-IF(RTD("tos.rtd",,BF$2,"."&amp;$A$2&amp;$AW$1&amp;"P"&amp;$A4)="N/A",0,RTD("tos.rtd",,BF$2,"."&amp;$A$2&amp;$AW$1&amp;"P"&amp;$A4))</f>
        <v>-105</v>
      </c>
      <c r="BG4" s="32">
        <f ca="1">+Hoja2!Y5</f>
        <v>947</v>
      </c>
      <c r="BH4" s="31">
        <f ca="1">SUM(BA4:BG4)</f>
        <v>6437</v>
      </c>
      <c r="BI4" s="8"/>
      <c r="BJ4" s="3" t="e">
        <f ca="1">IF($BP$1=1,DX4,IF(RTD("tos.rtd",,BJ$2,"."&amp;$A$2&amp;$AS$1&amp;"C"&amp;$A4)="N/A",0,RTD("tos.rtd",,BJ$2,"."&amp;$A$2&amp;$AS$1&amp;"C"&amp;$A4)))</f>
        <v>#NUM!</v>
      </c>
      <c r="BK4" s="3" t="e">
        <f ca="1">IF($BP$1=1,DY4,-IF(RTD("tos.rtd",,BK$2,"."&amp;$A$2&amp;$AS$1&amp;"P"&amp;$A4)="N/A",0,RTD("tos.rtd",,BK$2,"."&amp;$A$2&amp;$AS$1&amp;"P"&amp;$A4)))</f>
        <v>#NUM!</v>
      </c>
      <c r="BL4" s="3" t="e">
        <f ca="1">IF($BP$1=1,DZ4,IF(RTD("tos.rtd",,BL$2,"."&amp;$A$2&amp;$AU$1&amp;"C"&amp;$A4)="N/A",0,RTD("tos.rtd",,BL$2,"."&amp;$A$2&amp;$AU$1&amp;"C"&amp;$A4)))</f>
        <v>#NUM!</v>
      </c>
      <c r="BM4" s="3" t="e">
        <f ca="1">IF($BP$1=1,EA4,-IF(RTD("tos.rtd",,BM$2,"."&amp;$A$2&amp;$AU$1&amp;"P"&amp;$A4)="N/A",0,RTD("tos.rtd",,BM$2,"."&amp;$A$2&amp;$AU$1&amp;"P"&amp;$A4)))</f>
        <v>#NUM!</v>
      </c>
      <c r="BN4" s="3" t="e">
        <f ca="1">IF($BP$1=1,EB4,IF(RTD("tos.rtd",,BN$2,"."&amp;$A$2&amp;$AW$1&amp;"C"&amp;$A4)="N/A",0,RTD("tos.rtd",,BN$2,"."&amp;$A$2&amp;$AW$1&amp;"C"&amp;$A4)))</f>
        <v>#NUM!</v>
      </c>
      <c r="BO4" s="3" t="e">
        <f ca="1">IF($BP$1=1,EC4,-IF(RTD("tos.rtd",,BO$2,"."&amp;$A$2&amp;$AW$1&amp;"P"&amp;$A4)="N/A",0,RTD("tos.rtd",,BO$2,"."&amp;$A$2&amp;$AW$1&amp;"P"&amp;$A4)))</f>
        <v>#NUM!</v>
      </c>
      <c r="BQ4" s="3" t="e">
        <f ca="1">+$A$3*$A$3*AS4*BJ4-$A$3*$A$3*AT4*BK4</f>
        <v>#NUM!</v>
      </c>
      <c r="BR4" s="3"/>
      <c r="BS4" s="3" t="e">
        <f ca="1">+$A$3*$A$3*AU4*BL4-$A$3*$A$3*AV4*BM4</f>
        <v>#NUM!</v>
      </c>
      <c r="BT4" s="3"/>
      <c r="BU4" s="3" t="e">
        <f ca="1">+$A$3*$A$3*AW4*BN4-$A$3*$A$3*AX4*BO4</f>
        <v>#NUM!</v>
      </c>
      <c r="BV4" s="3"/>
      <c r="BX4" s="3" t="e">
        <f t="shared" ref="BX4" ca="1" si="14">+$A$3*$A$3*BA4*BJ4-$A$3*$A$3*BB4*BK4</f>
        <v>#NUM!</v>
      </c>
      <c r="BY4" s="3"/>
      <c r="BZ4" s="3" t="e">
        <f t="shared" ref="BZ4" ca="1" si="15">+$A$3*$A$3*BC4*BL4-$A$3*$A$3*BD4*BM4</f>
        <v>#NUM!</v>
      </c>
      <c r="CA4" s="3"/>
      <c r="CB4" s="3" t="e">
        <f t="shared" ref="CB4" ca="1" si="16">+$A$3*$A$3*BE4*BN4-$A$3*$A$3*BF4*BO4</f>
        <v>#NUM!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0.83</v>
      </c>
      <c r="CF4" s="3">
        <f>IF(RTD("tos.rtd",,CF$2,"."&amp;$A$2&amp;$AU$1&amp;"C"&amp;$A4)="N/A",0,RTD("tos.rtd",,CF$2,"."&amp;$A$2&amp;$AU$1&amp;"C"&amp;$A4))</f>
        <v>0</v>
      </c>
      <c r="CG4" s="3">
        <f>-IF(RTD("tos.rtd",,CG$2,"."&amp;$A$2&amp;$AU$1&amp;"P"&amp;$A4)="N/A",0,RTD("tos.rtd",,CG$2,"."&amp;$A$2&amp;$AU$1&amp;"P"&amp;$A4))</f>
        <v>0.9</v>
      </c>
      <c r="CH4" s="3">
        <f>IF(RTD("tos.rtd",,CH$2,"."&amp;$A$2&amp;$AW$1&amp;"C"&amp;$A4)="N/A",0,RTD("tos.rtd",,CH$2,"."&amp;$A$2&amp;$AW$1&amp;"C"&amp;$A4))</f>
        <v>0.12</v>
      </c>
      <c r="CI4" s="3">
        <f>-IF(RTD("tos.rtd",,CI$2,"."&amp;$A$2&amp;$AW$1&amp;"P"&amp;$A4)="N/A",0,RTD("tos.rtd",,CI$2,"."&amp;$A$2&amp;$AW$1&amp;"P"&amp;$A4))</f>
        <v>0.85</v>
      </c>
      <c r="CK4" s="3">
        <f t="shared" ref="CK4:CK38" si="17">+AS4*CD4*100+AT4*CE4*100</f>
        <v>0</v>
      </c>
      <c r="CL4" s="3"/>
      <c r="CM4" s="3">
        <f t="shared" ref="CM4:CM38" si="18">+AU4*CF4*100+AV4*CG4*100</f>
        <v>-1530</v>
      </c>
      <c r="CN4" s="3"/>
      <c r="CO4" s="3">
        <f t="shared" ref="CO4:CO38" si="19">+AW4*CH4*100+AX4*CI4*100</f>
        <v>45694</v>
      </c>
      <c r="CP4" s="3">
        <f>+CK4+CM4+CO4</f>
        <v>44164</v>
      </c>
      <c r="CQ4" s="3">
        <f>+BA4+BB4</f>
        <v>0</v>
      </c>
      <c r="CR4" s="3"/>
      <c r="CS4" s="3">
        <f t="shared" ref="CS4:CS38" si="20">+BC4+BD4</f>
        <v>2108</v>
      </c>
      <c r="CT4" s="3"/>
      <c r="CU4" s="3">
        <f t="shared" ref="CU4:CU38" si="21">+BE4+BF4</f>
        <v>3382</v>
      </c>
      <c r="CV4" s="3">
        <f>+CQ4+CS4+CU4</f>
        <v>5490</v>
      </c>
      <c r="CW4" s="3" t="e">
        <f ca="1">+BQ4+BS4+BU4</f>
        <v>#NUM!</v>
      </c>
      <c r="CX4" s="85"/>
      <c r="CY4" s="3" t="e">
        <f ca="1">+BX4+BZ4+CB4</f>
        <v>#NUM!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14.49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19.809999999999999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17.77</v>
      </c>
      <c r="DG4" s="86">
        <f>+$A4-$A$3</f>
        <v>17.200000000000045</v>
      </c>
      <c r="DH4" s="3">
        <f t="shared" ref="DH4:DH38" si="22">((DA4-DE4)/(DC4-DE4))*(BA4-AP4)</f>
        <v>-338</v>
      </c>
      <c r="DI4" s="3">
        <f>((DB4-DF4)/(DD4-DF4))*(BB4-AQ4)</f>
        <v>0</v>
      </c>
      <c r="DJ4" s="3">
        <f>IF(DA4&gt;=(DE4+(DC4-DE4)*0.6),(BA4-AP4),IF(DA4&lt;=(DE4+(DC4-DE4)*0.4),-(BA4-AP4),0))</f>
        <v>-338</v>
      </c>
      <c r="DK4" s="3">
        <f>IF(DB4&lt;=(DF4+(DD4-DF4)*0.4),-(BB4-AQ4),IF(DB4&gt;=(DF4+(DD4-DF4)*0.6),(BB4-AQ4),0))</f>
        <v>0</v>
      </c>
      <c r="DL4" s="3">
        <f>+DH4+DI4</f>
        <v>-338</v>
      </c>
      <c r="DM4" s="3">
        <f>+DJ4+DK4</f>
        <v>-338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-3.38</v>
      </c>
      <c r="DQ4" s="3">
        <f>+DA4*DJ4+DB4*DK4</f>
        <v>-3.38</v>
      </c>
      <c r="DR4" s="3" t="e">
        <f ca="1">+BJ4*DJ4+BK4*DK4</f>
        <v>#NUM!</v>
      </c>
      <c r="DS4" s="3">
        <f>+CD4*DJ4+CE4*DK4</f>
        <v>0</v>
      </c>
      <c r="DT4" s="3">
        <f>BA4-VLOOKUP(AZ4,$AO$4:$AQ$38,2,FALSE)</f>
        <v>-338</v>
      </c>
      <c r="DU4" s="3">
        <f>BB4-VLOOKUP(AZ4,$AO$4:$AQ$38,3,FALSE)</f>
        <v>0</v>
      </c>
      <c r="DV4" s="3">
        <f>AM4+IF(DN4="BUY",DT4,IF(DN4="SELL",-DT4,0))</f>
        <v>338</v>
      </c>
      <c r="DW4" s="3">
        <f t="shared" ref="DW4:DW38" si="23">AN4+IF(DO4="BUY",DU4,IF(DO4="SELL",-DU4,0))</f>
        <v>0</v>
      </c>
      <c r="DX4" s="3" t="e">
        <f t="shared" ref="DX4:DX38" ca="1" si="24">(EXP(-POWER((LN($A$3/$A4)+($EC$1+POWER($EE4,2)/2)*($EM$1/$DY$1))/($EE4*SQRT($EM$1/$DY$1)),2)/2)/SQRT(2*PI())/($A$3*$EE4*SQRT($EM$1/$DY$1)))</f>
        <v>#NUM!</v>
      </c>
      <c r="DY4" s="3" t="e">
        <f t="shared" ref="DY4:DY38" ca="1" si="25">-(EXP(-POWER((LN($A$3/$A4)+($EC$1+POWER($EF4,2)/2)*($EM$1/$DY$1))/($EF4*SQRT($EM$1/$DY$1)),2)/2)/SQRT(2*PI())/($A$3*$EF4*SQRT($EM$1/$DY$1)))</f>
        <v>#NUM!</v>
      </c>
      <c r="DZ4" s="3" t="e">
        <f t="shared" ref="DZ4:DZ38" ca="1" si="26">(EXP(-POWER((LN($A$3/$A4)+($EC$1+POWER($EG4,2)/2)*($EO$1/$DY$1))/($EG4*SQRT($EO$1/$DY$1)),2)/2)/SQRT(2*PI())/($A$3*$EG4*SQRT($EO$1/$DY$1)))</f>
        <v>#NUM!</v>
      </c>
      <c r="EA4" s="3" t="e">
        <f t="shared" ref="EA4:EA38" ca="1" si="27">-(EXP(-POWER((LN($A$3/$A4)+($EC$1+POWER($EH4,2)/2)*($EO$1/$DY$1))/($EH4*SQRT($EO$1/$DY$1)),2)/2)/SQRT(2*PI())/($A$3*$EH4*SQRT($EO$1/$DY$1)))</f>
        <v>#NUM!</v>
      </c>
      <c r="EB4" s="3" t="e">
        <f t="shared" ref="EB4:EB38" ca="1" si="28">(EXP(-POWER((LN($A$3/$A4)+($EC$1+POWER($EI4,2)/2)*($EO$1/$DY$1))/($EI4*SQRT($EO$1/$DY$1)),2)/2)/SQRT(2*PI())/($A$3*$EI4*SQRT($EO$1/$DY$1)))</f>
        <v>#NUM!</v>
      </c>
      <c r="EC4" s="3" t="e">
        <f t="shared" ref="EC4:EC38" ca="1" si="29">-(EXP(-POWER((LN($A$3/$A4)+($EC$1+POWER($EJ4,2)/2)*($EO$1/$DY$1))/($EJ4*SQRT($EO$1/$DY$1)),2)/2)/SQRT(2*PI())/($A$3*$EJ4*SQRT($EO$1/$DY$1)))</f>
        <v>#NUM!</v>
      </c>
      <c r="EE4" s="59">
        <f>IFERROR(VALUE(IF(OR(EL4="--",EL4="0.00%"),$EE$1,EL4)),$EE$1)</f>
        <v>1.4277</v>
      </c>
      <c r="EF4" s="59">
        <f t="shared" ref="EF4:EF38" si="30">IFERROR(VALUE(IF(OR(EM4="--",EM4="0.00%"),$EE$1,EM4)),$EE$1)</f>
        <v>4.1284000000000001</v>
      </c>
      <c r="EG4" s="59">
        <f t="shared" ref="EG4:EG38" si="31">IFERROR(VALUE(IF(OR(EN4="--",EN4="0.00%"),$EE$1,EN4)),$EE$1)</f>
        <v>1.4277</v>
      </c>
      <c r="EH4" s="59">
        <f t="shared" ref="EH4:EH38" si="32">IFERROR(VALUE(IF(OR(EO4="--",EO4="0.00%"),$EE$1,EO4)),$EE$1)</f>
        <v>2.9914000000000001</v>
      </c>
      <c r="EI4" s="59">
        <f t="shared" ref="EI4:EI38" si="33">IFERROR(VALUE(IF(OR(EP4="--",EP4="0.00%"),$EE$1,EP4)),$EE$1)</f>
        <v>0.21279999999999999</v>
      </c>
      <c r="EJ4" s="59">
        <f t="shared" ref="EJ4:EJ38" si="34">IFERROR(VALUE(IF(OR(EQ4="--",EQ4="0.00%"),$EE$1,EQ4)),$EE$1)</f>
        <v>0.2387</v>
      </c>
      <c r="EL4" s="3" t="str">
        <f>RTD("tos.rtd",,EL$2,"."&amp;$A$2&amp;$AS$1&amp;"C"&amp;$A4)</f>
        <v>142.77%</v>
      </c>
      <c r="EM4" s="3" t="str">
        <f>RTD("tos.rtd",,EM$2,"."&amp;$A$2&amp;$AS$1&amp;"P"&amp;$A4)</f>
        <v>412.84%</v>
      </c>
      <c r="EN4" s="3" t="str">
        <f>RTD("tos.rtd",,EN$2,"."&amp;$A$2&amp;$AU$1&amp;"C"&amp;$A4)</f>
        <v>142.77%</v>
      </c>
      <c r="EO4" s="3" t="str">
        <f>RTD("tos.rtd",,EO$2,"."&amp;$A$2&amp;$AU$1&amp;"P"&amp;$A4)</f>
        <v>299.14%</v>
      </c>
      <c r="EP4" s="3" t="str">
        <f>RTD("tos.rtd",,EP$2,"."&amp;$A$2&amp;$AW$1&amp;"C"&amp;$A4)</f>
        <v>21.28%</v>
      </c>
      <c r="EQ4" s="3" t="str">
        <f>RTD("tos.rtd",,EQ$2,"."&amp;$A$2&amp;$AW$1&amp;"P"&amp;$A4)</f>
        <v>23.87%</v>
      </c>
      <c r="ES4" s="63" t="str">
        <f>IFERROR(
    A4 &amp; "," &amp; TEXT(IF(ISNUMBER(DV4+DW4), DV4+DW4, 0), "00.00"),    "Error"
)</f>
        <v>582,338.00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IF(ISNUMBER(DV4+DW4), (DV4+DW4),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IF(ISNUMBER(DV4+DW4), (DV4+DW4), 0)
        )))),
    "00.00")
)</f>
        <v>582,00.00</v>
      </c>
      <c r="EU4" s="101">
        <f>+A3</f>
        <v>564.79999999999995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2025-05-11 14:19:00,,,,,550,,,,565,565,,567,563</v>
      </c>
      <c r="EW4" s="67">
        <f>+A44</f>
        <v>487.92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2025-05-11 14:19:00,,,,,485,,,,488,,,491,485</v>
      </c>
      <c r="EY4" s="67">
        <f>+A84</f>
        <v>5660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2025-05-11 14:19:00,,,,,5600,,,,,5660,,5700,5650</v>
      </c>
      <c r="FA4" s="67">
        <f>+A136</f>
        <v>20046.5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2025-05-11 14:19:00,,,,,19475,,,,,,,20200,19800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2025-05-11 14:19:00,,,-156474.432382172,-370436,1751361.45874133,1937656.16,,686212.72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2025-05-11 14:19:00,,,-349365.520867157,-399829,507132.173971605,420991.31,,-70147.77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2025-05-11 14:19:00,,,,11593,,1713753.24,,36064.57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2025-05-11 14:19:00,,,-3434.19392582145,-6918,-44830.2236411889,23479.62,,-1317.02</v>
      </c>
    </row>
    <row r="5" spans="1:162" s="63" customFormat="1" ht="13.5" thickBot="1" x14ac:dyDescent="0.25">
      <c r="A5" s="2">
        <f>+A4-$A$39</f>
        <v>581</v>
      </c>
      <c r="B5" s="3">
        <f t="shared" si="9"/>
        <v>3372</v>
      </c>
      <c r="C5" s="3">
        <f t="shared" si="10"/>
        <v>3041</v>
      </c>
      <c r="D5" s="3">
        <f t="shared" si="11"/>
        <v>4598</v>
      </c>
      <c r="E5" s="3">
        <f>SUM(B5:D5)</f>
        <v>11011</v>
      </c>
      <c r="F5" s="4">
        <f>+$F$3/$A$3*A5</f>
        <v>5847.032577903683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118</v>
      </c>
      <c r="AN5" s="1">
        <v>24</v>
      </c>
      <c r="AO5" s="1">
        <v>581</v>
      </c>
      <c r="AP5" s="1">
        <v>118</v>
      </c>
      <c r="AQ5" s="1">
        <v>-24</v>
      </c>
      <c r="AR5" s="1"/>
      <c r="AS5" s="6">
        <f>IF(RTD("tos.rtd",,AS$2,"."&amp;$A$2&amp;$AS$1&amp;"C"&amp;$A5)="N/A",0,RTD("tos.rtd",,AS$2,"."&amp;$A$2&amp;$AS$1&amp;"C"&amp;$A5))</f>
        <v>3347</v>
      </c>
      <c r="AT5" s="7">
        <f>-IF(RTD("tos.rtd",,AT$2,"."&amp;$A$2&amp;$AS$1&amp;"P"&amp;$A5)="N/A",0,RTD("tos.rtd",,AT$2,"."&amp;$A$2&amp;$AS$1&amp;"P"&amp;$A5))</f>
        <v>-25</v>
      </c>
      <c r="AU5" s="6">
        <f>IF(RTD("tos.rtd",,AU$2,"."&amp;$A$2&amp;$AU$1&amp;"C"&amp;$A5)="N/A",0,RTD("tos.rtd",,AU$2,"."&amp;$A$2&amp;$AU$1&amp;"C"&amp;$A5))</f>
        <v>3016</v>
      </c>
      <c r="AV5" s="7">
        <f>-IF(RTD("tos.rtd",,AV$2,"."&amp;$A$2&amp;$AU$1&amp;"P"&amp;$A5)="N/A",0,RTD("tos.rtd",,AV$2,"."&amp;$A$2&amp;$AU$1&amp;"P"&amp;$A5))</f>
        <v>-25</v>
      </c>
      <c r="AW5" s="6">
        <f>IF(RTD("tos.rtd",,AW$2,"."&amp;$A$2&amp;$AW$1&amp;"C"&amp;$A5)="N/A",0,RTD("tos.rtd",,AW$2,"."&amp;$A$2&amp;$AW$1&amp;"C"&amp;$A5))</f>
        <v>4554</v>
      </c>
      <c r="AX5" s="7">
        <f>-IF(RTD("tos.rtd",,AX$2,"."&amp;$A$2&amp;$AW$1&amp;"P"&amp;$A5)="N/A",0,RTD("tos.rtd",,AX$2,"."&amp;$A$2&amp;$AW$1&amp;"P"&amp;$A5))</f>
        <v>-44</v>
      </c>
      <c r="AY5" s="1">
        <f>SUM(AS5:AX5)</f>
        <v>10823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0</v>
      </c>
      <c r="BB5" s="7">
        <f>-IF(RTD("tos.rtd",,BB$2,"."&amp;$A$2&amp;$AS$1&amp;"P"&amp;$A5)="N/A",0,RTD("tos.rtd",,BB$2,"."&amp;$A$2&amp;$AS$1&amp;"P"&amp;$A5))</f>
        <v>0</v>
      </c>
      <c r="BC5" s="6">
        <f>IF(RTD("tos.rtd",,BC$2,"."&amp;$A$2&amp;$AU$1&amp;"C"&amp;$A5)="N/A",0,RTD("tos.rtd",,BC$2,"."&amp;$A$2&amp;$AU$1&amp;"C"&amp;$A5))</f>
        <v>4392</v>
      </c>
      <c r="BD5" s="7">
        <f>-IF(RTD("tos.rtd",,BD$2,"."&amp;$A$2&amp;$AU$1&amp;"P"&amp;$A5)="N/A",0,RTD("tos.rtd",,BD$2,"."&amp;$A$2&amp;$AU$1&amp;"P"&amp;$A5))</f>
        <v>-15</v>
      </c>
      <c r="BE5" s="6">
        <f>IF(RTD("tos.rtd",,BE$2,"."&amp;$A$2&amp;$AW$1&amp;"C"&amp;$A5)="N/A",0,RTD("tos.rtd",,BE$2,"."&amp;$A$2&amp;$AW$1&amp;"C"&amp;$A5))</f>
        <v>3906</v>
      </c>
      <c r="BF5" s="83">
        <f>-IF(RTD("tos.rtd",,BF$2,"."&amp;$A$2&amp;$AW$1&amp;"P"&amp;$A5)="N/A",0,RTD("tos.rtd",,BF$2,"."&amp;$A$2&amp;$AW$1&amp;"P"&amp;$A5))</f>
        <v>-202</v>
      </c>
      <c r="BG5" s="32">
        <f ca="1">+Hoja2!Y6</f>
        <v>1650</v>
      </c>
      <c r="BH5" s="7">
        <f t="shared" ref="BH5:BH38" ca="1" si="36">SUM(BA5:BG5)</f>
        <v>9731</v>
      </c>
      <c r="BI5" s="8" t="str">
        <f ca="1">IF(AND(BH5&lt;0,BH4&gt;0), "Cruce -", IF(AND(BH5&gt;0,BH4&lt;0),"Cruce +", ""))</f>
        <v/>
      </c>
      <c r="BJ5" s="3" t="e">
        <f ca="1">IF($BP$1=1,DX5,IF(RTD("tos.rtd",,BJ$2,"."&amp;$A$2&amp;$AS$1&amp;"C"&amp;$A5)="N/A",0,RTD("tos.rtd",,BJ$2,"."&amp;$A$2&amp;$AS$1&amp;"C"&amp;$A5)))</f>
        <v>#NUM!</v>
      </c>
      <c r="BK5" s="3" t="e">
        <f ca="1">IF($BP$1=1,DY5,-IF(RTD("tos.rtd",,BK$2,"."&amp;$A$2&amp;$AS$1&amp;"P"&amp;$A5)="N/A",0,RTD("tos.rtd",,BK$2,"."&amp;$A$2&amp;$AS$1&amp;"P"&amp;$A5)))</f>
        <v>#NUM!</v>
      </c>
      <c r="BL5" s="3" t="e">
        <f ca="1">IF($BP$1=1,DZ5,IF(RTD("tos.rtd",,BL$2,"."&amp;$A$2&amp;$AU$1&amp;"C"&amp;$A5)="N/A",0,RTD("tos.rtd",,BL$2,"."&amp;$A$2&amp;$AU$1&amp;"C"&amp;$A5)))</f>
        <v>#NUM!</v>
      </c>
      <c r="BM5" s="3" t="e">
        <f ca="1">IF($BP$1=1,EA5,-IF(RTD("tos.rtd",,BM$2,"."&amp;$A$2&amp;$AU$1&amp;"P"&amp;$A5)="N/A",0,RTD("tos.rtd",,BM$2,"."&amp;$A$2&amp;$AU$1&amp;"P"&amp;$A5)))</f>
        <v>#NUM!</v>
      </c>
      <c r="BN5" s="3" t="e">
        <f ca="1">IF($BP$1=1,EB5,IF(RTD("tos.rtd",,BN$2,"."&amp;$A$2&amp;$AW$1&amp;"C"&amp;$A5)="N/A",0,RTD("tos.rtd",,BN$2,"."&amp;$A$2&amp;$AW$1&amp;"C"&amp;$A5)))</f>
        <v>#NUM!</v>
      </c>
      <c r="BO5" s="3" t="e">
        <f ca="1">IF($BP$1=1,EC5,-IF(RTD("tos.rtd",,BO$2,"."&amp;$A$2&amp;$AW$1&amp;"P"&amp;$A5)="N/A",0,RTD("tos.rtd",,BO$2,"."&amp;$A$2&amp;$AW$1&amp;"P"&amp;$A5)))</f>
        <v>#NUM!</v>
      </c>
      <c r="BQ5" s="3" t="e">
        <f t="shared" ref="BQ5:BQ38" ca="1" si="37">+$A$3*$A$3*AS5*BJ5-$A$3*$A$3*AT5*BK5</f>
        <v>#NUM!</v>
      </c>
      <c r="BR5" s="3" t="e">
        <f ca="1">IF(AND(BQ5&lt;0,BQ4&gt;0), "Cruce -", IF(AND(BQ5&gt;0,BQ4&lt;0),"Cruce +", ""))</f>
        <v>#NUM!</v>
      </c>
      <c r="BS5" s="3" t="e">
        <f t="shared" ref="BS5:BS38" ca="1" si="38">+$A$3*$A$3*AU5*BL5-$A$3*$A$3*AV5*BM5</f>
        <v>#NUM!</v>
      </c>
      <c r="BT5" s="3" t="e">
        <f ca="1">IF(AND(BS5&lt;0,BS4&gt;0), "Cruce -", IF(AND(BS5&gt;0,BS4&lt;0),"Cruce +", ""))</f>
        <v>#NUM!</v>
      </c>
      <c r="BU5" s="3" t="e">
        <f t="shared" ref="BU5:BU38" ca="1" si="39">+$A$3*$A$3*AW5*BN5-$A$3*$A$3*AX5*BO5</f>
        <v>#NUM!</v>
      </c>
      <c r="BV5" s="3" t="e">
        <f ca="1">IF(AND(BU5&lt;0,BU4&gt;0), "Cruce -", IF(AND(BU5&gt;0,BU4&lt;0),"Cruce +", ""))</f>
        <v>#NUM!</v>
      </c>
      <c r="BX5" s="3" t="e">
        <f t="shared" ref="BX5:BX38" ca="1" si="40">+$A$3*$A$3*BA5*BJ5-$A$3*$A$3*BB5*BK5</f>
        <v>#NUM!</v>
      </c>
      <c r="BY5" s="3" t="e">
        <f ca="1">IF(AND(BX5&lt;0,BX4&gt;0), "Cruce -", IF(AND(BX5&gt;0,BX4&lt;0),"Cruce +", ""))</f>
        <v>#NUM!</v>
      </c>
      <c r="BZ5" s="3" t="e">
        <f t="shared" ref="BZ5:BZ38" ca="1" si="41">+$A$3*$A$3*BC5*BL5-$A$3*$A$3*BD5*BM5</f>
        <v>#NUM!</v>
      </c>
      <c r="CA5" s="3" t="e">
        <f ca="1">IF(AND(BZ5&lt;0,BZ4&gt;0), "Cruce -", IF(AND(BZ5&gt;0,BZ4&lt;0),"Cruce +", ""))</f>
        <v>#NUM!</v>
      </c>
      <c r="CB5" s="3" t="e">
        <f t="shared" ref="CB5:CB38" ca="1" si="42">+$A$3*$A$3*BE5*BN5-$A$3*$A$3*BF5*BO5</f>
        <v>#NUM!</v>
      </c>
      <c r="CC5" s="3" t="e">
        <f ca="1">IF(AND(CB5&lt;0,CB4&gt;0), "Cruce -", IF(AND(CB5&gt;0,CB4&lt;0),"Cruce +", ""))</f>
        <v>#NUM!</v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0.82</v>
      </c>
      <c r="CF5" s="3">
        <f>IF(RTD("tos.rtd",,CF$2,"."&amp;$A$2&amp;$AU$1&amp;"C"&amp;$A5)="N/A",0,RTD("tos.rtd",,CF$2,"."&amp;$A$2&amp;$AU$1&amp;"C"&amp;$A5))</f>
        <v>0</v>
      </c>
      <c r="CG5" s="3">
        <f>-IF(RTD("tos.rtd",,CG$2,"."&amp;$A$2&amp;$AU$1&amp;"P"&amp;$A5)="N/A",0,RTD("tos.rtd",,CG$2,"."&amp;$A$2&amp;$AU$1&amp;"P"&amp;$A5))</f>
        <v>0.9</v>
      </c>
      <c r="CH5" s="3">
        <f>IF(RTD("tos.rtd",,CH$2,"."&amp;$A$2&amp;$AW$1&amp;"C"&amp;$A5)="N/A",0,RTD("tos.rtd",,CH$2,"."&amp;$A$2&amp;$AW$1&amp;"C"&amp;$A5))</f>
        <v>0.14000000000000001</v>
      </c>
      <c r="CI5" s="3">
        <f>-IF(RTD("tos.rtd",,CI$2,"."&amp;$A$2&amp;$AW$1&amp;"P"&amp;$A5)="N/A",0,RTD("tos.rtd",,CI$2,"."&amp;$A$2&amp;$AW$1&amp;"P"&amp;$A5))</f>
        <v>0.84</v>
      </c>
      <c r="CK5" s="3">
        <f t="shared" si="17"/>
        <v>-2050</v>
      </c>
      <c r="CL5" s="3"/>
      <c r="CM5" s="3">
        <f t="shared" si="18"/>
        <v>-2250</v>
      </c>
      <c r="CN5" s="3"/>
      <c r="CO5" s="3">
        <f t="shared" si="19"/>
        <v>60060.000000000007</v>
      </c>
      <c r="CP5" s="3">
        <f t="shared" ref="CP5:CP38" si="43">+CK5+CM5+CO5</f>
        <v>55760.000000000007</v>
      </c>
      <c r="CQ5" s="3">
        <f t="shared" ref="CQ5:CQ38" si="44">+BA5+BB5</f>
        <v>0</v>
      </c>
      <c r="CR5" s="3"/>
      <c r="CS5" s="3">
        <f t="shared" si="20"/>
        <v>4377</v>
      </c>
      <c r="CT5" s="3"/>
      <c r="CU5" s="3">
        <f t="shared" si="21"/>
        <v>3704</v>
      </c>
      <c r="CV5" s="3">
        <f t="shared" ref="CV5:CV38" si="45">+CQ5+CS5+CU5</f>
        <v>8081</v>
      </c>
      <c r="CW5" s="3" t="e">
        <f t="shared" ref="CW5:CW38" ca="1" si="46">+BQ5+BS5+BU5</f>
        <v>#NUM!</v>
      </c>
      <c r="CX5" s="85" t="e">
        <f ca="1">IF(AND(CW5&lt;0,CW4&gt;0), "Cruce -", IF(AND(CW5&gt;0,CW4&lt;0),"Cruce +", ""))</f>
        <v>#NUM!</v>
      </c>
      <c r="CY5" s="3" t="e">
        <f t="shared" ref="CY5:CY38" ca="1" si="47">+BX5+BZ5+CB5</f>
        <v>#NUM!</v>
      </c>
      <c r="CZ5" s="85" t="e">
        <f ca="1">IF(AND(CY5&lt;0,CY4&gt;0), "Cruce -", IF(AND(CY5&gt;0,CY4&lt;0),"Cruce +", ""))</f>
        <v>#NUM!</v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18.3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18.809999999999999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16.760000000000002</v>
      </c>
      <c r="DG5" s="86">
        <f t="shared" ref="DG5:DG38" si="48">+$A5-$A$3</f>
        <v>16.200000000000045</v>
      </c>
      <c r="DH5" s="3">
        <f t="shared" si="22"/>
        <v>-118</v>
      </c>
      <c r="DI5" s="3">
        <f t="shared" ref="DI5:DI38" si="49">((DB5-DF5)/(DD5-DF5))*(BB5-AQ5)</f>
        <v>18.029268292682943</v>
      </c>
      <c r="DJ5" s="3">
        <f t="shared" ref="DJ5:DJ38" si="50">IF(DA5&gt;=(DE5+(DC5-DE5)*0.6),(BA5-AP5),IF(DA5&lt;=(DE5+(DC5-DE5)*0.4),-(BA5-AP5),0))</f>
        <v>-118</v>
      </c>
      <c r="DK5" s="3">
        <f t="shared" ref="DK5:DK38" si="51">IF(DB5&lt;=(DF5+(DD5-DF5)*0.4),-(BB5-AQ5),IF(DB5&gt;=(DF5+(DD5-DF5)*0.6),(BB5-AQ5),0))</f>
        <v>24</v>
      </c>
      <c r="DL5" s="3">
        <f t="shared" ref="DL5:DL38" si="52">+DH5+DI5</f>
        <v>-99.970731707317057</v>
      </c>
      <c r="DM5" s="3">
        <f t="shared" ref="DM5:DM38" si="53">+DJ5+DK5</f>
        <v>-94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328.75560975609784</v>
      </c>
      <c r="DQ5" s="3">
        <f t="shared" ref="DQ5:DQ38" si="57">+DA5*DJ5+DB5*DK5</f>
        <v>438.02000000000004</v>
      </c>
      <c r="DR5" s="3" t="e">
        <f t="shared" ref="DR5:DR38" ca="1" si="58">+BJ5*DJ5+BK5*DK5</f>
        <v>#NUM!</v>
      </c>
      <c r="DS5" s="3">
        <f t="shared" ref="DS5:DS38" si="59">+CD5*DJ5+CE5*DK5</f>
        <v>19.68</v>
      </c>
      <c r="DT5" s="3">
        <f t="shared" ref="DT5:DT38" si="60">BA5-VLOOKUP(AZ5,$AO$4:$AQ$38,2,FALSE)</f>
        <v>-118</v>
      </c>
      <c r="DU5" s="3">
        <f t="shared" ref="DU5:DU38" si="61">BB5-VLOOKUP(AZ5,$AO$4:$AQ$38,3,FALSE)</f>
        <v>24</v>
      </c>
      <c r="DV5" s="3">
        <f t="shared" ref="DV5:DV38" si="62">AM5+IF(DN5="BUY",DT5,IF(DN5="SELL",-DT5,0))</f>
        <v>118</v>
      </c>
      <c r="DW5" s="3">
        <f t="shared" si="23"/>
        <v>24</v>
      </c>
      <c r="DX5" s="3" t="e">
        <f t="shared" ca="1" si="24"/>
        <v>#NUM!</v>
      </c>
      <c r="DY5" s="3" t="e">
        <f t="shared" ca="1" si="25"/>
        <v>#NUM!</v>
      </c>
      <c r="DZ5" s="3" t="e">
        <f t="shared" ca="1" si="26"/>
        <v>#NUM!</v>
      </c>
      <c r="EA5" s="3" t="e">
        <f t="shared" ca="1" si="27"/>
        <v>#NUM!</v>
      </c>
      <c r="EB5" s="3" t="e">
        <f t="shared" ca="1" si="28"/>
        <v>#NUM!</v>
      </c>
      <c r="EC5" s="3" t="e">
        <f t="shared" ca="1" si="29"/>
        <v>#NUM!</v>
      </c>
      <c r="EE5" s="59">
        <f t="shared" ref="EE5:EE38" si="63">IFERROR(VALUE(IF(OR(EL5="--",EL5="0.00%"),$EE$1,EL5)),$EE$1)</f>
        <v>1.3536999999999999</v>
      </c>
      <c r="EF5" s="59">
        <f t="shared" si="30"/>
        <v>3.9710999999999999</v>
      </c>
      <c r="EG5" s="59">
        <f t="shared" si="31"/>
        <v>1.3536999999999999</v>
      </c>
      <c r="EH5" s="59">
        <f t="shared" si="32"/>
        <v>2.8614000000000002</v>
      </c>
      <c r="EI5" s="59">
        <f t="shared" si="33"/>
        <v>0.21390000000000001</v>
      </c>
      <c r="EJ5" s="59">
        <f t="shared" si="34"/>
        <v>0.23769999999999999</v>
      </c>
      <c r="EL5" s="3" t="str">
        <f>RTD("tos.rtd",,EL$2,"."&amp;$A$2&amp;$AS$1&amp;"C"&amp;$A5)</f>
        <v>135.37%</v>
      </c>
      <c r="EM5" s="3" t="str">
        <f>RTD("tos.rtd",,EM$2,"."&amp;$A$2&amp;$AS$1&amp;"P"&amp;$A5)</f>
        <v>397.11%</v>
      </c>
      <c r="EN5" s="3" t="str">
        <f>RTD("tos.rtd",,EN$2,"."&amp;$A$2&amp;$AU$1&amp;"C"&amp;$A5)</f>
        <v>135.37%</v>
      </c>
      <c r="EO5" s="3" t="str">
        <f>RTD("tos.rtd",,EO$2,"."&amp;$A$2&amp;$AU$1&amp;"P"&amp;$A5)</f>
        <v>286.14%</v>
      </c>
      <c r="EP5" s="3" t="str">
        <f>RTD("tos.rtd",,EP$2,"."&amp;$A$2&amp;$AW$1&amp;"C"&amp;$A5)</f>
        <v>21.39%</v>
      </c>
      <c r="EQ5" s="3" t="str">
        <f>RTD("tos.rtd",,EQ$2,"."&amp;$A$2&amp;$AW$1&amp;"P"&amp;$A5)</f>
        <v>23.77%</v>
      </c>
      <c r="ES5" s="63" t="str">
        <f t="shared" ref="ES5:ES38" si="64">IFERROR(
    A5 &amp; "," &amp; TEXT(IF(ISNUMBER(DV5+DW5), DV5+DW5, 0), "00.00"),    "Error"
)</f>
        <v>581,142.00</v>
      </c>
      <c r="ET5" s="63" t="str">
        <f t="shared" ref="ET5:ET38" ca="1" si="65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IF(ISNUMBER(DV5+DW5), (DV5+DW5),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IF(ISNUMBER(DV5+DW5), (DV5+DW5), 0)
        )))),
    "00.00")
)</f>
        <v>581,00.00</v>
      </c>
      <c r="EU5" s="67">
        <v>562.52</v>
      </c>
      <c r="EV5" s="67" t="s">
        <v>59</v>
      </c>
      <c r="EW5" s="67">
        <v>484.69</v>
      </c>
      <c r="EX5" s="67" t="s">
        <v>60</v>
      </c>
      <c r="EY5" s="67">
        <v>5639</v>
      </c>
      <c r="EZ5" s="67" t="s">
        <v>61</v>
      </c>
      <c r="FA5" s="67">
        <v>19911.25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6">+A5-$A$39</f>
        <v>580</v>
      </c>
      <c r="B6" s="3">
        <f t="shared" si="9"/>
        <v>8244</v>
      </c>
      <c r="C6" s="3">
        <f t="shared" si="10"/>
        <v>19313</v>
      </c>
      <c r="D6" s="3">
        <f t="shared" si="11"/>
        <v>32483</v>
      </c>
      <c r="E6" s="3">
        <f>SUM(B6:D6)</f>
        <v>60040</v>
      </c>
      <c r="F6" s="4">
        <f>+$F$3/$A$3*A6</f>
        <v>5836.9688385269119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1071</v>
      </c>
      <c r="AN6" s="1">
        <v>28</v>
      </c>
      <c r="AO6" s="1">
        <v>580</v>
      </c>
      <c r="AP6" s="1">
        <v>1071</v>
      </c>
      <c r="AQ6" s="1">
        <v>-37</v>
      </c>
      <c r="AR6" s="1"/>
      <c r="AS6" s="6">
        <f>IF(RTD("tos.rtd",,AS$2,"."&amp;$A$2&amp;$AS$1&amp;"C"&amp;$A6)="N/A",0,RTD("tos.rtd",,AS$2,"."&amp;$A$2&amp;$AS$1&amp;"C"&amp;$A6))</f>
        <v>8211</v>
      </c>
      <c r="AT6" s="7">
        <f>-IF(RTD("tos.rtd",,AT$2,"."&amp;$A$2&amp;$AS$1&amp;"P"&amp;$A6)="N/A",0,RTD("tos.rtd",,AT$2,"."&amp;$A$2&amp;$AS$1&amp;"P"&amp;$A6))</f>
        <v>-33</v>
      </c>
      <c r="AU6" s="6">
        <f>IF(RTD("tos.rtd",,AU$2,"."&amp;$A$2&amp;$AU$1&amp;"C"&amp;$A6)="N/A",0,RTD("tos.rtd",,AU$2,"."&amp;$A$2&amp;$AU$1&amp;"C"&amp;$A6))</f>
        <v>19175</v>
      </c>
      <c r="AV6" s="7">
        <f>-IF(RTD("tos.rtd",,AV$2,"."&amp;$A$2&amp;$AU$1&amp;"P"&amp;$A6)="N/A",0,RTD("tos.rtd",,AV$2,"."&amp;$A$2&amp;$AU$1&amp;"P"&amp;$A6))</f>
        <v>-138</v>
      </c>
      <c r="AW6" s="6">
        <f>IF(RTD("tos.rtd",,AW$2,"."&amp;$A$2&amp;$AW$1&amp;"C"&amp;$A6)="N/A",0,RTD("tos.rtd",,AW$2,"."&amp;$A$2&amp;$AW$1&amp;"C"&amp;$A6))</f>
        <v>30852</v>
      </c>
      <c r="AX6" s="7">
        <f>-IF(RTD("tos.rtd",,AX$2,"."&amp;$A$2&amp;$AW$1&amp;"P"&amp;$A6)="N/A",0,RTD("tos.rtd",,AX$2,"."&amp;$A$2&amp;$AW$1&amp;"P"&amp;$A6))</f>
        <v>-1631</v>
      </c>
      <c r="AY6" s="1">
        <f t="shared" ref="AY6:AY38" si="67">SUM(AS6:AX6)</f>
        <v>56436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0</v>
      </c>
      <c r="BB6" s="7">
        <f>-IF(RTD("tos.rtd",,BB$2,"."&amp;$A$2&amp;$AS$1&amp;"P"&amp;$A6)="N/A",0,RTD("tos.rtd",,BB$2,"."&amp;$A$2&amp;$AS$1&amp;"P"&amp;$A6))</f>
        <v>0</v>
      </c>
      <c r="BC6" s="6">
        <f>IF(RTD("tos.rtd",,BC$2,"."&amp;$A$2&amp;$AU$1&amp;"C"&amp;$A6)="N/A",0,RTD("tos.rtd",,BC$2,"."&amp;$A$2&amp;$AU$1&amp;"C"&amp;$A6))</f>
        <v>11783</v>
      </c>
      <c r="BD6" s="7">
        <f>-IF(RTD("tos.rtd",,BD$2,"."&amp;$A$2&amp;$AU$1&amp;"P"&amp;$A6)="N/A",0,RTD("tos.rtd",,BD$2,"."&amp;$A$2&amp;$AU$1&amp;"P"&amp;$A6))</f>
        <v>-127</v>
      </c>
      <c r="BE6" s="6">
        <f>IF(RTD("tos.rtd",,BE$2,"."&amp;$A$2&amp;$AW$1&amp;"C"&amp;$A6)="N/A",0,RTD("tos.rtd",,BE$2,"."&amp;$A$2&amp;$AW$1&amp;"C"&amp;$A6))</f>
        <v>24557</v>
      </c>
      <c r="BF6" s="83">
        <f>-IF(RTD("tos.rtd",,BF$2,"."&amp;$A$2&amp;$AW$1&amp;"P"&amp;$A6)="N/A",0,RTD("tos.rtd",,BF$2,"."&amp;$A$2&amp;$AW$1&amp;"P"&amp;$A6))</f>
        <v>-276</v>
      </c>
      <c r="BG6" s="32">
        <f ca="1">+Hoja2!Y7</f>
        <v>13000</v>
      </c>
      <c r="BH6" s="7">
        <f t="shared" ca="1" si="36"/>
        <v>48937</v>
      </c>
      <c r="BI6" s="8" t="str">
        <f t="shared" ref="BI6" ca="1" si="68">IF(AND(BH6&lt;0,BH5&gt;0), "Cruce -", IF(AND(BH6&gt;0,BH5&lt;0),"Cruce +", ""))</f>
        <v/>
      </c>
      <c r="BJ6" s="3" t="e">
        <f ca="1">IF($BP$1=1,DX6,IF(RTD("tos.rtd",,BJ$2,"."&amp;$A$2&amp;$AS$1&amp;"C"&amp;$A6)="N/A",0,RTD("tos.rtd",,BJ$2,"."&amp;$A$2&amp;$AS$1&amp;"C"&amp;$A6)))</f>
        <v>#NUM!</v>
      </c>
      <c r="BK6" s="3" t="e">
        <f ca="1">IF($BP$1=1,DY6,-IF(RTD("tos.rtd",,BK$2,"."&amp;$A$2&amp;$AS$1&amp;"P"&amp;$A6)="N/A",0,RTD("tos.rtd",,BK$2,"."&amp;$A$2&amp;$AS$1&amp;"P"&amp;$A6)))</f>
        <v>#NUM!</v>
      </c>
      <c r="BL6" s="3" t="e">
        <f ca="1">IF($BP$1=1,DZ6,IF(RTD("tos.rtd",,BL$2,"."&amp;$A$2&amp;$AU$1&amp;"C"&amp;$A6)="N/A",0,RTD("tos.rtd",,BL$2,"."&amp;$A$2&amp;$AU$1&amp;"C"&amp;$A6)))</f>
        <v>#NUM!</v>
      </c>
      <c r="BM6" s="3" t="e">
        <f ca="1">IF($BP$1=1,EA6,-IF(RTD("tos.rtd",,BM$2,"."&amp;$A$2&amp;$AU$1&amp;"P"&amp;$A6)="N/A",0,RTD("tos.rtd",,BM$2,"."&amp;$A$2&amp;$AU$1&amp;"P"&amp;$A6)))</f>
        <v>#NUM!</v>
      </c>
      <c r="BN6" s="3" t="e">
        <f ca="1">IF($BP$1=1,EB6,IF(RTD("tos.rtd",,BN$2,"."&amp;$A$2&amp;$AW$1&amp;"C"&amp;$A6)="N/A",0,RTD("tos.rtd",,BN$2,"."&amp;$A$2&amp;$AW$1&amp;"C"&amp;$A6)))</f>
        <v>#NUM!</v>
      </c>
      <c r="BO6" s="3" t="e">
        <f ca="1">IF($BP$1=1,EC6,-IF(RTD("tos.rtd",,BO$2,"."&amp;$A$2&amp;$AW$1&amp;"P"&amp;$A6)="N/A",0,RTD("tos.rtd",,BO$2,"."&amp;$A$2&amp;$AW$1&amp;"P"&amp;$A6)))</f>
        <v>#NUM!</v>
      </c>
      <c r="BQ6" s="3" t="e">
        <f t="shared" ca="1" si="37"/>
        <v>#NUM!</v>
      </c>
      <c r="BR6" s="3" t="e">
        <f t="shared" ref="BR6:BT38" ca="1" si="69">IF(AND(BQ6&lt;0,BQ5&gt;0), "Cruce -", IF(AND(BQ6&gt;0,BQ5&lt;0),"Cruce +", ""))</f>
        <v>#NUM!</v>
      </c>
      <c r="BS6" s="3" t="e">
        <f t="shared" ca="1" si="38"/>
        <v>#NUM!</v>
      </c>
      <c r="BT6" s="3" t="e">
        <f t="shared" ca="1" si="69"/>
        <v>#NUM!</v>
      </c>
      <c r="BU6" s="3" t="e">
        <f t="shared" ca="1" si="39"/>
        <v>#NUM!</v>
      </c>
      <c r="BV6" s="3" t="e">
        <f t="shared" ref="BV6" ca="1" si="70">IF(AND(BU6&lt;0,BU5&gt;0), "Cruce -", IF(AND(BU6&gt;0,BU5&lt;0),"Cruce +", ""))</f>
        <v>#NUM!</v>
      </c>
      <c r="BX6" s="3" t="e">
        <f t="shared" ca="1" si="40"/>
        <v>#NUM!</v>
      </c>
      <c r="BY6" s="3" t="e">
        <f t="shared" ref="BY6:BY38" ca="1" si="71">IF(AND(BX6&lt;0,BX5&gt;0), "Cruce -", IF(AND(BX6&gt;0,BX5&lt;0),"Cruce +", ""))</f>
        <v>#NUM!</v>
      </c>
      <c r="BZ6" s="3" t="e">
        <f t="shared" ca="1" si="41"/>
        <v>#NUM!</v>
      </c>
      <c r="CA6" s="3" t="e">
        <f t="shared" ref="CA6:CA38" ca="1" si="72">IF(AND(BZ6&lt;0,BZ5&gt;0), "Cruce -", IF(AND(BZ6&gt;0,BZ5&lt;0),"Cruce +", ""))</f>
        <v>#NUM!</v>
      </c>
      <c r="CB6" s="3" t="e">
        <f t="shared" ca="1" si="42"/>
        <v>#NUM!</v>
      </c>
      <c r="CC6" s="3" t="e">
        <f t="shared" ref="CC6:CC38" ca="1" si="73">IF(AND(CB6&lt;0,CB5&gt;0), "Cruce -", IF(AND(CB6&gt;0,CB5&lt;0),"Cruce +", ""))</f>
        <v>#NUM!</v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0.82</v>
      </c>
      <c r="CF6" s="3">
        <f>IF(RTD("tos.rtd",,CF$2,"."&amp;$A$2&amp;$AU$1&amp;"C"&amp;$A6)="N/A",0,RTD("tos.rtd",,CF$2,"."&amp;$A$2&amp;$AU$1&amp;"C"&amp;$A6))</f>
        <v>0</v>
      </c>
      <c r="CG6" s="3">
        <f>-IF(RTD("tos.rtd",,CG$2,"."&amp;$A$2&amp;$AU$1&amp;"P"&amp;$A6)="N/A",0,RTD("tos.rtd",,CG$2,"."&amp;$A$2&amp;$AU$1&amp;"P"&amp;$A6))</f>
        <v>0.89</v>
      </c>
      <c r="CH6" s="3">
        <f>IF(RTD("tos.rtd",,CH$2,"."&amp;$A$2&amp;$AW$1&amp;"C"&amp;$A6)="N/A",0,RTD("tos.rtd",,CH$2,"."&amp;$A$2&amp;$AW$1&amp;"C"&amp;$A6))</f>
        <v>0.15</v>
      </c>
      <c r="CI6" s="3">
        <f>-IF(RTD("tos.rtd",,CI$2,"."&amp;$A$2&amp;$AW$1&amp;"P"&amp;$A6)="N/A",0,RTD("tos.rtd",,CI$2,"."&amp;$A$2&amp;$AW$1&amp;"P"&amp;$A6))</f>
        <v>0.83</v>
      </c>
      <c r="CK6" s="3">
        <f t="shared" si="17"/>
        <v>-2706</v>
      </c>
      <c r="CL6" s="3"/>
      <c r="CM6" s="3">
        <f t="shared" si="18"/>
        <v>-12282</v>
      </c>
      <c r="CN6" s="3"/>
      <c r="CO6" s="3">
        <f t="shared" si="19"/>
        <v>327407</v>
      </c>
      <c r="CP6" s="3">
        <f t="shared" si="43"/>
        <v>312419</v>
      </c>
      <c r="CQ6" s="3">
        <f t="shared" si="44"/>
        <v>0</v>
      </c>
      <c r="CR6" s="3"/>
      <c r="CS6" s="3">
        <f t="shared" si="20"/>
        <v>11656</v>
      </c>
      <c r="CT6" s="3"/>
      <c r="CU6" s="3">
        <f t="shared" si="21"/>
        <v>24281</v>
      </c>
      <c r="CV6" s="3">
        <f t="shared" si="45"/>
        <v>35937</v>
      </c>
      <c r="CW6" s="3" t="e">
        <f t="shared" ca="1" si="46"/>
        <v>#NUM!</v>
      </c>
      <c r="CX6" s="85" t="e">
        <f t="shared" ref="CX6:CX38" ca="1" si="74">IF(AND(CW6&lt;0,CW5&gt;0), "Cruce -", IF(AND(CW6&gt;0,CW5&lt;0),"Cruce +", ""))</f>
        <v>#NUM!</v>
      </c>
      <c r="CY6" s="3" t="e">
        <f t="shared" ca="1" si="47"/>
        <v>#NUM!</v>
      </c>
      <c r="CZ6" s="85" t="e">
        <f t="shared" ref="CZ6:CZ38" ca="1" si="75">IF(AND(CY6&lt;0,CY5&gt;0), "Cruce -", IF(AND(CY6&gt;0,CY5&lt;0),"Cruce +", ""))</f>
        <v>#NUM!</v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14.9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17.809999999999999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15.76</v>
      </c>
      <c r="DG6" s="86">
        <f t="shared" si="48"/>
        <v>15.200000000000045</v>
      </c>
      <c r="DH6" s="3">
        <f t="shared" si="22"/>
        <v>-1071</v>
      </c>
      <c r="DI6" s="3">
        <f t="shared" si="49"/>
        <v>-15.521951219512193</v>
      </c>
      <c r="DJ6" s="3">
        <f t="shared" si="50"/>
        <v>-1071</v>
      </c>
      <c r="DK6" s="3">
        <f t="shared" si="51"/>
        <v>-37</v>
      </c>
      <c r="DL6" s="3">
        <f t="shared" si="52"/>
        <v>-1086.5219512195122</v>
      </c>
      <c r="DM6" s="3">
        <f t="shared" si="53"/>
        <v>-1108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-241.98707317073169</v>
      </c>
      <c r="DQ6" s="3">
        <f t="shared" si="57"/>
        <v>-562.0100000000001</v>
      </c>
      <c r="DR6" s="3" t="e">
        <f t="shared" ca="1" si="58"/>
        <v>#NUM!</v>
      </c>
      <c r="DS6" s="3">
        <f t="shared" si="59"/>
        <v>-30.34</v>
      </c>
      <c r="DT6" s="3">
        <f t="shared" si="60"/>
        <v>-1071</v>
      </c>
      <c r="DU6" s="3">
        <f t="shared" si="61"/>
        <v>37</v>
      </c>
      <c r="DV6" s="3">
        <f t="shared" si="62"/>
        <v>1071</v>
      </c>
      <c r="DW6" s="3">
        <f t="shared" si="23"/>
        <v>28</v>
      </c>
      <c r="DX6" s="3" t="e">
        <f t="shared" ca="1" si="24"/>
        <v>#NUM!</v>
      </c>
      <c r="DY6" s="3" t="e">
        <f t="shared" ca="1" si="25"/>
        <v>#NUM!</v>
      </c>
      <c r="DZ6" s="3" t="e">
        <f t="shared" ca="1" si="26"/>
        <v>#NUM!</v>
      </c>
      <c r="EA6" s="3" t="e">
        <f t="shared" ca="1" si="27"/>
        <v>#NUM!</v>
      </c>
      <c r="EB6" s="3" t="e">
        <f t="shared" ca="1" si="28"/>
        <v>#NUM!</v>
      </c>
      <c r="EC6" s="3" t="e">
        <f t="shared" ca="1" si="29"/>
        <v>#NUM!</v>
      </c>
      <c r="EE6" s="59">
        <f t="shared" si="63"/>
        <v>1.2793000000000001</v>
      </c>
      <c r="EF6" s="59">
        <f t="shared" si="30"/>
        <v>3.8163999999999998</v>
      </c>
      <c r="EG6" s="59">
        <f t="shared" si="31"/>
        <v>1.2793000000000001</v>
      </c>
      <c r="EH6" s="59">
        <f t="shared" si="32"/>
        <v>2.7433000000000001</v>
      </c>
      <c r="EI6" s="59">
        <f t="shared" si="33"/>
        <v>0.21460000000000001</v>
      </c>
      <c r="EJ6" s="59">
        <f t="shared" si="34"/>
        <v>0.23710000000000001</v>
      </c>
      <c r="EL6" s="3" t="str">
        <f>RTD("tos.rtd",,EL$2,"."&amp;$A$2&amp;$AS$1&amp;"C"&amp;$A6)</f>
        <v>127.93%</v>
      </c>
      <c r="EM6" s="3" t="str">
        <f>RTD("tos.rtd",,EM$2,"."&amp;$A$2&amp;$AS$1&amp;"P"&amp;$A6)</f>
        <v>381.64%</v>
      </c>
      <c r="EN6" s="3" t="str">
        <f>RTD("tos.rtd",,EN$2,"."&amp;$A$2&amp;$AU$1&amp;"C"&amp;$A6)</f>
        <v>127.93%</v>
      </c>
      <c r="EO6" s="3" t="str">
        <f>RTD("tos.rtd",,EO$2,"."&amp;$A$2&amp;$AU$1&amp;"P"&amp;$A6)</f>
        <v>274.33%</v>
      </c>
      <c r="EP6" s="3" t="str">
        <f>RTD("tos.rtd",,EP$2,"."&amp;$A$2&amp;$AW$1&amp;"C"&amp;$A6)</f>
        <v>21.46%</v>
      </c>
      <c r="EQ6" s="3" t="str">
        <f>RTD("tos.rtd",,EQ$2,"."&amp;$A$2&amp;$AW$1&amp;"P"&amp;$A6)</f>
        <v>23.71%</v>
      </c>
      <c r="ES6" s="63" t="str">
        <f t="shared" si="64"/>
        <v>580,1099.00</v>
      </c>
      <c r="ET6" s="63" t="str">
        <f t="shared" ca="1" si="65"/>
        <v>580,00.00</v>
      </c>
      <c r="EU6" s="67">
        <v>562.52</v>
      </c>
      <c r="EV6" s="67" t="s">
        <v>67</v>
      </c>
      <c r="EW6" s="67">
        <v>484.69</v>
      </c>
      <c r="EX6" s="67" t="s">
        <v>68</v>
      </c>
      <c r="EY6" s="67">
        <v>5639</v>
      </c>
      <c r="EZ6" s="67" t="s">
        <v>69</v>
      </c>
      <c r="FA6" s="67">
        <v>19911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6"/>
        <v>579</v>
      </c>
      <c r="B7" s="3">
        <f t="shared" si="9"/>
        <v>3246</v>
      </c>
      <c r="C7" s="3">
        <f t="shared" si="10"/>
        <v>12061</v>
      </c>
      <c r="D7" s="3">
        <f t="shared" si="11"/>
        <v>4893</v>
      </c>
      <c r="E7" s="3">
        <f t="shared" si="12"/>
        <v>20200</v>
      </c>
      <c r="F7" s="4">
        <f t="shared" si="13"/>
        <v>5826.9050991501417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7444</v>
      </c>
      <c r="AN7" s="1">
        <v>14</v>
      </c>
      <c r="AO7" s="1">
        <v>579</v>
      </c>
      <c r="AP7" s="1">
        <v>7444</v>
      </c>
      <c r="AQ7" s="1">
        <v>-20</v>
      </c>
      <c r="AR7" s="1"/>
      <c r="AS7" s="6">
        <f>IF(RTD("tos.rtd",,AS$2,"."&amp;$A$2&amp;$AS$1&amp;"C"&amp;$A7)="N/A",0,RTD("tos.rtd",,AS$2,"."&amp;$A$2&amp;$AS$1&amp;"C"&amp;$A7))</f>
        <v>3225</v>
      </c>
      <c r="AT7" s="7">
        <f>-IF(RTD("tos.rtd",,AT$2,"."&amp;$A$2&amp;$AS$1&amp;"P"&amp;$A7)="N/A",0,RTD("tos.rtd",,AT$2,"."&amp;$A$2&amp;$AS$1&amp;"P"&amp;$A7))</f>
        <v>-21</v>
      </c>
      <c r="AU7" s="6">
        <f>IF(RTD("tos.rtd",,AU$2,"."&amp;$A$2&amp;$AU$1&amp;"C"&amp;$A7)="N/A",0,RTD("tos.rtd",,AU$2,"."&amp;$A$2&amp;$AU$1&amp;"C"&amp;$A7))</f>
        <v>12052</v>
      </c>
      <c r="AV7" s="7">
        <f>-IF(RTD("tos.rtd",,AV$2,"."&amp;$A$2&amp;$AU$1&amp;"P"&amp;$A7)="N/A",0,RTD("tos.rtd",,AV$2,"."&amp;$A$2&amp;$AU$1&amp;"P"&amp;$A7))</f>
        <v>-9</v>
      </c>
      <c r="AW7" s="6">
        <f>IF(RTD("tos.rtd",,AW$2,"."&amp;$A$2&amp;$AW$1&amp;"C"&amp;$A7)="N/A",0,RTD("tos.rtd",,AW$2,"."&amp;$A$2&amp;$AW$1&amp;"C"&amp;$A7))</f>
        <v>4881</v>
      </c>
      <c r="AX7" s="7">
        <f>-IF(RTD("tos.rtd",,AX$2,"."&amp;$A$2&amp;$AW$1&amp;"P"&amp;$A7)="N/A",0,RTD("tos.rtd",,AX$2,"."&amp;$A$2&amp;$AW$1&amp;"P"&amp;$A7))</f>
        <v>-12</v>
      </c>
      <c r="AY7" s="1">
        <f t="shared" si="67"/>
        <v>20116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0</v>
      </c>
      <c r="BB7" s="7">
        <f>-IF(RTD("tos.rtd",,BB$2,"."&amp;$A$2&amp;$AS$1&amp;"P"&amp;$A7)="N/A",0,RTD("tos.rtd",,BB$2,"."&amp;$A$2&amp;$AS$1&amp;"P"&amp;$A7))</f>
        <v>0</v>
      </c>
      <c r="BC7" s="6">
        <f>IF(RTD("tos.rtd",,BC$2,"."&amp;$A$2&amp;$AU$1&amp;"C"&amp;$A7)="N/A",0,RTD("tos.rtd",,BC$2,"."&amp;$A$2&amp;$AU$1&amp;"C"&amp;$A7))</f>
        <v>7161</v>
      </c>
      <c r="BD7" s="7">
        <f>-IF(RTD("tos.rtd",,BD$2,"."&amp;$A$2&amp;$AU$1&amp;"P"&amp;$A7)="N/A",0,RTD("tos.rtd",,BD$2,"."&amp;$A$2&amp;$AU$1&amp;"P"&amp;$A7))</f>
        <v>-54</v>
      </c>
      <c r="BE7" s="6">
        <f>IF(RTD("tos.rtd",,BE$2,"."&amp;$A$2&amp;$AW$1&amp;"C"&amp;$A7)="N/A",0,RTD("tos.rtd",,BE$2,"."&amp;$A$2&amp;$AW$1&amp;"C"&amp;$A7))</f>
        <v>2367</v>
      </c>
      <c r="BF7" s="83">
        <f>-IF(RTD("tos.rtd",,BF$2,"."&amp;$A$2&amp;$AW$1&amp;"P"&amp;$A7)="N/A",0,RTD("tos.rtd",,BF$2,"."&amp;$A$2&amp;$AW$1&amp;"P"&amp;$A7))</f>
        <v>-25</v>
      </c>
      <c r="BG7" s="32">
        <f ca="1">+Hoja2!Y8</f>
        <v>1040</v>
      </c>
      <c r="BH7" s="7">
        <f t="shared" ca="1" si="36"/>
        <v>10489</v>
      </c>
      <c r="BI7" s="8" t="str">
        <f t="shared" ref="BI7" ca="1" si="76">IF(AND(BH7&lt;0,BH6&gt;0), "Cruce -", IF(AND(BH7&gt;0,BH6&lt;0),"Cruce +", ""))</f>
        <v/>
      </c>
      <c r="BJ7" s="3" t="e">
        <f ca="1">IF($BP$1=1,DX7,IF(RTD("tos.rtd",,BJ$2,"."&amp;$A$2&amp;$AS$1&amp;"C"&amp;$A7)="N/A",0,RTD("tos.rtd",,BJ$2,"."&amp;$A$2&amp;$AS$1&amp;"C"&amp;$A7)))</f>
        <v>#NUM!</v>
      </c>
      <c r="BK7" s="3" t="e">
        <f ca="1">IF($BP$1=1,DY7,-IF(RTD("tos.rtd",,BK$2,"."&amp;$A$2&amp;$AS$1&amp;"P"&amp;$A7)="N/A",0,RTD("tos.rtd",,BK$2,"."&amp;$A$2&amp;$AS$1&amp;"P"&amp;$A7)))</f>
        <v>#NUM!</v>
      </c>
      <c r="BL7" s="3" t="e">
        <f ca="1">IF($BP$1=1,DZ7,IF(RTD("tos.rtd",,BL$2,"."&amp;$A$2&amp;$AU$1&amp;"C"&amp;$A7)="N/A",0,RTD("tos.rtd",,BL$2,"."&amp;$A$2&amp;$AU$1&amp;"C"&amp;$A7)))</f>
        <v>#NUM!</v>
      </c>
      <c r="BM7" s="3" t="e">
        <f ca="1">IF($BP$1=1,EA7,-IF(RTD("tos.rtd",,BM$2,"."&amp;$A$2&amp;$AU$1&amp;"P"&amp;$A7)="N/A",0,RTD("tos.rtd",,BM$2,"."&amp;$A$2&amp;$AU$1&amp;"P"&amp;$A7)))</f>
        <v>#NUM!</v>
      </c>
      <c r="BN7" s="3" t="e">
        <f ca="1">IF($BP$1=1,EB7,IF(RTD("tos.rtd",,BN$2,"."&amp;$A$2&amp;$AW$1&amp;"C"&amp;$A7)="N/A",0,RTD("tos.rtd",,BN$2,"."&amp;$A$2&amp;$AW$1&amp;"C"&amp;$A7)))</f>
        <v>#NUM!</v>
      </c>
      <c r="BO7" s="3" t="e">
        <f ca="1">IF($BP$1=1,EC7,-IF(RTD("tos.rtd",,BO$2,"."&amp;$A$2&amp;$AW$1&amp;"P"&amp;$A7)="N/A",0,RTD("tos.rtd",,BO$2,"."&amp;$A$2&amp;$AW$1&amp;"P"&amp;$A7)))</f>
        <v>#NUM!</v>
      </c>
      <c r="BQ7" s="3" t="e">
        <f t="shared" ca="1" si="37"/>
        <v>#NUM!</v>
      </c>
      <c r="BR7" s="3" t="e">
        <f t="shared" ca="1" si="69"/>
        <v>#NUM!</v>
      </c>
      <c r="BS7" s="3" t="e">
        <f t="shared" ca="1" si="38"/>
        <v>#NUM!</v>
      </c>
      <c r="BT7" s="3" t="e">
        <f t="shared" ca="1" si="69"/>
        <v>#NUM!</v>
      </c>
      <c r="BU7" s="3" t="e">
        <f t="shared" ca="1" si="39"/>
        <v>#NUM!</v>
      </c>
      <c r="BV7" s="3" t="e">
        <f t="shared" ref="BV7" ca="1" si="77">IF(AND(BU7&lt;0,BU6&gt;0), "Cruce -", IF(AND(BU7&gt;0,BU6&lt;0),"Cruce +", ""))</f>
        <v>#NUM!</v>
      </c>
      <c r="BX7" s="3" t="e">
        <f t="shared" ca="1" si="40"/>
        <v>#NUM!</v>
      </c>
      <c r="BY7" s="3" t="e">
        <f t="shared" ca="1" si="71"/>
        <v>#NUM!</v>
      </c>
      <c r="BZ7" s="3" t="e">
        <f t="shared" ca="1" si="41"/>
        <v>#NUM!</v>
      </c>
      <c r="CA7" s="3" t="e">
        <f t="shared" ca="1" si="72"/>
        <v>#NUM!</v>
      </c>
      <c r="CB7" s="3" t="e">
        <f t="shared" ca="1" si="42"/>
        <v>#NUM!</v>
      </c>
      <c r="CC7" s="3" t="e">
        <f t="shared" ca="1" si="73"/>
        <v>#NUM!</v>
      </c>
      <c r="CD7" s="3">
        <f>IF(RTD("tos.rtd",,CD$2,"."&amp;$A$2&amp;$AS$1&amp;"C"&amp;$A7)="N/A",0,RTD("tos.rtd",,CD$2,"."&amp;$A$2&amp;$AS$1&amp;"C"&amp;$A7))</f>
        <v>0</v>
      </c>
      <c r="CE7" s="3">
        <f>-IF(RTD("tos.rtd",,CE$2,"."&amp;$A$2&amp;$AS$1&amp;"P"&amp;$A7)="N/A",0,RTD("tos.rtd",,CE$2,"."&amp;$A$2&amp;$AS$1&amp;"P"&amp;$A7))</f>
        <v>0.81</v>
      </c>
      <c r="CF7" s="3">
        <f>IF(RTD("tos.rtd",,CF$2,"."&amp;$A$2&amp;$AU$1&amp;"C"&amp;$A7)="N/A",0,RTD("tos.rtd",,CF$2,"."&amp;$A$2&amp;$AU$1&amp;"C"&amp;$A7))</f>
        <v>0</v>
      </c>
      <c r="CG7" s="3">
        <f>-IF(RTD("tos.rtd",,CG$2,"."&amp;$A$2&amp;$AU$1&amp;"P"&amp;$A7)="N/A",0,RTD("tos.rtd",,CG$2,"."&amp;$A$2&amp;$AU$1&amp;"P"&amp;$A7))</f>
        <v>0.89</v>
      </c>
      <c r="CH7" s="3">
        <f>IF(RTD("tos.rtd",,CH$2,"."&amp;$A$2&amp;$AW$1&amp;"C"&amp;$A7)="N/A",0,RTD("tos.rtd",,CH$2,"."&amp;$A$2&amp;$AW$1&amp;"C"&amp;$A7))</f>
        <v>0.17</v>
      </c>
      <c r="CI7" s="3">
        <f>-IF(RTD("tos.rtd",,CI$2,"."&amp;$A$2&amp;$AW$1&amp;"P"&amp;$A7)="N/A",0,RTD("tos.rtd",,CI$2,"."&amp;$A$2&amp;$AW$1&amp;"P"&amp;$A7))</f>
        <v>0.81</v>
      </c>
      <c r="CK7" s="3">
        <f t="shared" si="17"/>
        <v>-1701.0000000000002</v>
      </c>
      <c r="CL7" s="3"/>
      <c r="CM7" s="3">
        <f t="shared" si="18"/>
        <v>-801</v>
      </c>
      <c r="CN7" s="3"/>
      <c r="CO7" s="3">
        <f t="shared" si="19"/>
        <v>82005.000000000015</v>
      </c>
      <c r="CP7" s="3">
        <f t="shared" si="43"/>
        <v>79503.000000000015</v>
      </c>
      <c r="CQ7" s="3">
        <f t="shared" si="44"/>
        <v>0</v>
      </c>
      <c r="CR7" s="3"/>
      <c r="CS7" s="3">
        <f t="shared" si="20"/>
        <v>7107</v>
      </c>
      <c r="CT7" s="3"/>
      <c r="CU7" s="3">
        <f t="shared" si="21"/>
        <v>2342</v>
      </c>
      <c r="CV7" s="3">
        <f t="shared" si="45"/>
        <v>9449</v>
      </c>
      <c r="CW7" s="3" t="e">
        <f t="shared" ca="1" si="46"/>
        <v>#NUM!</v>
      </c>
      <c r="CX7" s="85" t="e">
        <f t="shared" ca="1" si="74"/>
        <v>#NUM!</v>
      </c>
      <c r="CY7" s="3" t="e">
        <f t="shared" ca="1" si="47"/>
        <v>#NUM!</v>
      </c>
      <c r="CZ7" s="85" t="e">
        <f t="shared" ca="1" si="75"/>
        <v>#NUM!</v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15.3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16.809999999999999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14.76</v>
      </c>
      <c r="DG7" s="86">
        <f t="shared" si="48"/>
        <v>14.200000000000045</v>
      </c>
      <c r="DH7" s="3">
        <f t="shared" si="22"/>
        <v>-7444</v>
      </c>
      <c r="DI7" s="3">
        <f t="shared" si="49"/>
        <v>5.2682926829268411</v>
      </c>
      <c r="DJ7" s="3">
        <f t="shared" si="50"/>
        <v>-7444</v>
      </c>
      <c r="DK7" s="3">
        <f t="shared" si="51"/>
        <v>-20</v>
      </c>
      <c r="DL7" s="3">
        <f t="shared" si="52"/>
        <v>-7438.7317073170734</v>
      </c>
      <c r="DM7" s="3">
        <f t="shared" si="53"/>
        <v>-7464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6.1648780487806789</v>
      </c>
      <c r="DQ7" s="3">
        <f t="shared" si="57"/>
        <v>-380.44</v>
      </c>
      <c r="DR7" s="3" t="e">
        <f t="shared" ca="1" si="58"/>
        <v>#NUM!</v>
      </c>
      <c r="DS7" s="3">
        <f t="shared" si="59"/>
        <v>-16.200000000000003</v>
      </c>
      <c r="DT7" s="3">
        <f t="shared" si="60"/>
        <v>-7444</v>
      </c>
      <c r="DU7" s="3">
        <f t="shared" si="61"/>
        <v>20</v>
      </c>
      <c r="DV7" s="3">
        <f t="shared" si="62"/>
        <v>7444</v>
      </c>
      <c r="DW7" s="3">
        <f t="shared" si="23"/>
        <v>14</v>
      </c>
      <c r="DX7" s="3" t="e">
        <f t="shared" ca="1" si="24"/>
        <v>#NUM!</v>
      </c>
      <c r="DY7" s="3" t="e">
        <f t="shared" ca="1" si="25"/>
        <v>#NUM!</v>
      </c>
      <c r="DZ7" s="3" t="e">
        <f t="shared" ca="1" si="26"/>
        <v>#NUM!</v>
      </c>
      <c r="EA7" s="3" t="e">
        <f t="shared" ca="1" si="27"/>
        <v>#NUM!</v>
      </c>
      <c r="EB7" s="3" t="e">
        <f t="shared" ca="1" si="28"/>
        <v>#NUM!</v>
      </c>
      <c r="EC7" s="3" t="e">
        <f t="shared" ca="1" si="29"/>
        <v>#NUM!</v>
      </c>
      <c r="EE7" s="59">
        <f t="shared" si="63"/>
        <v>1.2042999999999999</v>
      </c>
      <c r="EF7" s="59">
        <f t="shared" si="30"/>
        <v>3.66</v>
      </c>
      <c r="EG7" s="59">
        <f t="shared" si="31"/>
        <v>1.2042999999999999</v>
      </c>
      <c r="EH7" s="59">
        <f t="shared" si="32"/>
        <v>2.6105</v>
      </c>
      <c r="EI7" s="59">
        <f t="shared" si="33"/>
        <v>0.21609999999999999</v>
      </c>
      <c r="EJ7" s="59">
        <f t="shared" si="34"/>
        <v>0.2359</v>
      </c>
      <c r="EL7" s="3" t="str">
        <f>RTD("tos.rtd",,EL$2,"."&amp;$A$2&amp;$AS$1&amp;"C"&amp;$A7)</f>
        <v>120.43%</v>
      </c>
      <c r="EM7" s="3" t="str">
        <f>RTD("tos.rtd",,EM$2,"."&amp;$A$2&amp;$AS$1&amp;"P"&amp;$A7)</f>
        <v>366.00%</v>
      </c>
      <c r="EN7" s="3" t="str">
        <f>RTD("tos.rtd",,EN$2,"."&amp;$A$2&amp;$AU$1&amp;"C"&amp;$A7)</f>
        <v>120.43%</v>
      </c>
      <c r="EO7" s="3" t="str">
        <f>RTD("tos.rtd",,EO$2,"."&amp;$A$2&amp;$AU$1&amp;"P"&amp;$A7)</f>
        <v>261.05%</v>
      </c>
      <c r="EP7" s="3" t="str">
        <f>RTD("tos.rtd",,EP$2,"."&amp;$A$2&amp;$AW$1&amp;"C"&amp;$A7)</f>
        <v>21.61%</v>
      </c>
      <c r="EQ7" s="3" t="str">
        <f>RTD("tos.rtd",,EQ$2,"."&amp;$A$2&amp;$AW$1&amp;"P"&amp;$A7)</f>
        <v>23.59%</v>
      </c>
      <c r="ES7" s="63" t="str">
        <f t="shared" si="64"/>
        <v>579,7458.00</v>
      </c>
      <c r="ET7" s="63" t="str">
        <f t="shared" ca="1" si="65"/>
        <v>579,00.00</v>
      </c>
      <c r="EU7" s="67">
        <v>562.58000000000004</v>
      </c>
      <c r="EV7" s="67" t="s">
        <v>75</v>
      </c>
      <c r="EW7" s="67">
        <v>484.74</v>
      </c>
      <c r="EX7" s="67" t="s">
        <v>76</v>
      </c>
      <c r="EY7" s="67">
        <v>5639.5</v>
      </c>
      <c r="EZ7" s="67" t="s">
        <v>77</v>
      </c>
      <c r="FA7" s="67">
        <v>19912.5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6"/>
        <v>578</v>
      </c>
      <c r="B8" s="3">
        <f t="shared" si="9"/>
        <v>2607</v>
      </c>
      <c r="C8" s="3">
        <f t="shared" si="10"/>
        <v>4808</v>
      </c>
      <c r="D8" s="3">
        <f t="shared" si="11"/>
        <v>10669</v>
      </c>
      <c r="E8" s="3">
        <f t="shared" si="12"/>
        <v>18084</v>
      </c>
      <c r="F8" s="4">
        <f t="shared" si="13"/>
        <v>5816.8413597733716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2101</v>
      </c>
      <c r="AN8" s="1">
        <v>-11</v>
      </c>
      <c r="AO8" s="1">
        <v>578</v>
      </c>
      <c r="AP8" s="1">
        <v>4657</v>
      </c>
      <c r="AQ8" s="1">
        <v>-43</v>
      </c>
      <c r="AR8" s="1"/>
      <c r="AS8" s="6">
        <f>IF(RTD("tos.rtd",,AS$2,"."&amp;$A$2&amp;$AS$1&amp;"C"&amp;$A8)="N/A",0,RTD("tos.rtd",,AS$2,"."&amp;$A$2&amp;$AS$1&amp;"C"&amp;$A8))</f>
        <v>2453</v>
      </c>
      <c r="AT8" s="7">
        <f>-IF(RTD("tos.rtd",,AT$2,"."&amp;$A$2&amp;$AS$1&amp;"P"&amp;$A8)="N/A",0,RTD("tos.rtd",,AT$2,"."&amp;$A$2&amp;$AS$1&amp;"P"&amp;$A8))</f>
        <v>-154</v>
      </c>
      <c r="AU8" s="6">
        <f>IF(RTD("tos.rtd",,AU$2,"."&amp;$A$2&amp;$AU$1&amp;"C"&amp;$A8)="N/A",0,RTD("tos.rtd",,AU$2,"."&amp;$A$2&amp;$AU$1&amp;"C"&amp;$A8))</f>
        <v>4793</v>
      </c>
      <c r="AV8" s="7">
        <f>-IF(RTD("tos.rtd",,AV$2,"."&amp;$A$2&amp;$AU$1&amp;"P"&amp;$A8)="N/A",0,RTD("tos.rtd",,AV$2,"."&amp;$A$2&amp;$AU$1&amp;"P"&amp;$A8))</f>
        <v>-15</v>
      </c>
      <c r="AW8" s="6">
        <f>IF(RTD("tos.rtd",,AW$2,"."&amp;$A$2&amp;$AW$1&amp;"C"&amp;$A8)="N/A",0,RTD("tos.rtd",,AW$2,"."&amp;$A$2&amp;$AW$1&amp;"C"&amp;$A8))</f>
        <v>10374</v>
      </c>
      <c r="AX8" s="7">
        <f>-IF(RTD("tos.rtd",,AX$2,"."&amp;$A$2&amp;$AW$1&amp;"P"&amp;$A8)="N/A",0,RTD("tos.rtd",,AX$2,"."&amp;$A$2&amp;$AW$1&amp;"P"&amp;$A8))</f>
        <v>-295</v>
      </c>
      <c r="AY8" s="1">
        <f t="shared" si="67"/>
        <v>17156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0</v>
      </c>
      <c r="BB8" s="7">
        <f>-IF(RTD("tos.rtd",,BB$2,"."&amp;$A$2&amp;$AS$1&amp;"P"&amp;$A8)="N/A",0,RTD("tos.rtd",,BB$2,"."&amp;$A$2&amp;$AS$1&amp;"P"&amp;$A8))</f>
        <v>0</v>
      </c>
      <c r="BC8" s="6">
        <f>IF(RTD("tos.rtd",,BC$2,"."&amp;$A$2&amp;$AU$1&amp;"C"&amp;$A8)="N/A",0,RTD("tos.rtd",,BC$2,"."&amp;$A$2&amp;$AU$1&amp;"C"&amp;$A8))</f>
        <v>6252</v>
      </c>
      <c r="BD8" s="7">
        <f>-IF(RTD("tos.rtd",,BD$2,"."&amp;$A$2&amp;$AU$1&amp;"P"&amp;$A8)="N/A",0,RTD("tos.rtd",,BD$2,"."&amp;$A$2&amp;$AU$1&amp;"P"&amp;$A8))</f>
        <v>-37</v>
      </c>
      <c r="BE8" s="6">
        <f>IF(RTD("tos.rtd",,BE$2,"."&amp;$A$2&amp;$AW$1&amp;"C"&amp;$A8)="N/A",0,RTD("tos.rtd",,BE$2,"."&amp;$A$2&amp;$AW$1&amp;"C"&amp;$A8))</f>
        <v>4148</v>
      </c>
      <c r="BF8" s="83">
        <f>-IF(RTD("tos.rtd",,BF$2,"."&amp;$A$2&amp;$AW$1&amp;"P"&amp;$A8)="N/A",0,RTD("tos.rtd",,BF$2,"."&amp;$A$2&amp;$AW$1&amp;"P"&amp;$A8))</f>
        <v>-29</v>
      </c>
      <c r="BG8" s="32">
        <f ca="1">+Hoja2!Y9</f>
        <v>1371</v>
      </c>
      <c r="BH8" s="7">
        <f t="shared" ca="1" si="36"/>
        <v>11705</v>
      </c>
      <c r="BI8" s="8" t="str">
        <f t="shared" ref="BI8" ca="1" si="78">IF(AND(BH8&lt;0,BH7&gt;0), "Cruce -", IF(AND(BH8&gt;0,BH7&lt;0),"Cruce +", ""))</f>
        <v/>
      </c>
      <c r="BJ8" s="3" t="e">
        <f ca="1">IF($BP$1=1,DX8,IF(RTD("tos.rtd",,BJ$2,"."&amp;$A$2&amp;$AS$1&amp;"C"&amp;$A8)="N/A",0,RTD("tos.rtd",,BJ$2,"."&amp;$A$2&amp;$AS$1&amp;"C"&amp;$A8)))</f>
        <v>#NUM!</v>
      </c>
      <c r="BK8" s="3" t="e">
        <f ca="1">IF($BP$1=1,DY8,-IF(RTD("tos.rtd",,BK$2,"."&amp;$A$2&amp;$AS$1&amp;"P"&amp;$A8)="N/A",0,RTD("tos.rtd",,BK$2,"."&amp;$A$2&amp;$AS$1&amp;"P"&amp;$A8)))</f>
        <v>#NUM!</v>
      </c>
      <c r="BL8" s="3" t="e">
        <f ca="1">IF($BP$1=1,DZ8,IF(RTD("tos.rtd",,BL$2,"."&amp;$A$2&amp;$AU$1&amp;"C"&amp;$A8)="N/A",0,RTD("tos.rtd",,BL$2,"."&amp;$A$2&amp;$AU$1&amp;"C"&amp;$A8)))</f>
        <v>#NUM!</v>
      </c>
      <c r="BM8" s="3" t="e">
        <f ca="1">IF($BP$1=1,EA8,-IF(RTD("tos.rtd",,BM$2,"."&amp;$A$2&amp;$AU$1&amp;"P"&amp;$A8)="N/A",0,RTD("tos.rtd",,BM$2,"."&amp;$A$2&amp;$AU$1&amp;"P"&amp;$A8)))</f>
        <v>#NUM!</v>
      </c>
      <c r="BN8" s="3" t="e">
        <f ca="1">IF($BP$1=1,EB8,IF(RTD("tos.rtd",,BN$2,"."&amp;$A$2&amp;$AW$1&amp;"C"&amp;$A8)="N/A",0,RTD("tos.rtd",,BN$2,"."&amp;$A$2&amp;$AW$1&amp;"C"&amp;$A8)))</f>
        <v>#NUM!</v>
      </c>
      <c r="BO8" s="3" t="e">
        <f ca="1">IF($BP$1=1,EC8,-IF(RTD("tos.rtd",,BO$2,"."&amp;$A$2&amp;$AW$1&amp;"P"&amp;$A8)="N/A",0,RTD("tos.rtd",,BO$2,"."&amp;$A$2&amp;$AW$1&amp;"P"&amp;$A8)))</f>
        <v>#NUM!</v>
      </c>
      <c r="BQ8" s="3" t="e">
        <f t="shared" ca="1" si="37"/>
        <v>#NUM!</v>
      </c>
      <c r="BR8" s="3" t="e">
        <f t="shared" ca="1" si="69"/>
        <v>#NUM!</v>
      </c>
      <c r="BS8" s="3" t="e">
        <f t="shared" ca="1" si="38"/>
        <v>#NUM!</v>
      </c>
      <c r="BT8" s="3" t="e">
        <f t="shared" ca="1" si="69"/>
        <v>#NUM!</v>
      </c>
      <c r="BU8" s="3" t="e">
        <f t="shared" ca="1" si="39"/>
        <v>#NUM!</v>
      </c>
      <c r="BV8" s="3" t="e">
        <f t="shared" ref="BV8" ca="1" si="79">IF(AND(BU8&lt;0,BU7&gt;0), "Cruce -", IF(AND(BU8&gt;0,BU7&lt;0),"Cruce +", ""))</f>
        <v>#NUM!</v>
      </c>
      <c r="BX8" s="3" t="e">
        <f t="shared" ca="1" si="40"/>
        <v>#NUM!</v>
      </c>
      <c r="BY8" s="3" t="e">
        <f t="shared" ca="1" si="71"/>
        <v>#NUM!</v>
      </c>
      <c r="BZ8" s="3" t="e">
        <f t="shared" ca="1" si="41"/>
        <v>#NUM!</v>
      </c>
      <c r="CA8" s="3" t="e">
        <f t="shared" ca="1" si="72"/>
        <v>#NUM!</v>
      </c>
      <c r="CB8" s="3" t="e">
        <f t="shared" ca="1" si="42"/>
        <v>#NUM!</v>
      </c>
      <c r="CC8" s="3" t="e">
        <f t="shared" ca="1" si="73"/>
        <v>#NUM!</v>
      </c>
      <c r="CD8" s="3">
        <f>IF(RTD("tos.rtd",,CD$2,"."&amp;$A$2&amp;$AS$1&amp;"C"&amp;$A8)="N/A",0,RTD("tos.rtd",,CD$2,"."&amp;$A$2&amp;$AS$1&amp;"C"&amp;$A8))</f>
        <v>0</v>
      </c>
      <c r="CE8" s="3">
        <f>-IF(RTD("tos.rtd",,CE$2,"."&amp;$A$2&amp;$AS$1&amp;"P"&amp;$A8)="N/A",0,RTD("tos.rtd",,CE$2,"."&amp;$A$2&amp;$AS$1&amp;"P"&amp;$A8))</f>
        <v>0.8</v>
      </c>
      <c r="CF8" s="3">
        <f>IF(RTD("tos.rtd",,CF$2,"."&amp;$A$2&amp;$AU$1&amp;"C"&amp;$A8)="N/A",0,RTD("tos.rtd",,CF$2,"."&amp;$A$2&amp;$AU$1&amp;"C"&amp;$A8))</f>
        <v>0</v>
      </c>
      <c r="CG8" s="3">
        <f>-IF(RTD("tos.rtd",,CG$2,"."&amp;$A$2&amp;$AU$1&amp;"P"&amp;$A8)="N/A",0,RTD("tos.rtd",,CG$2,"."&amp;$A$2&amp;$AU$1&amp;"P"&amp;$A8))</f>
        <v>0.89</v>
      </c>
      <c r="CH8" s="3">
        <f>IF(RTD("tos.rtd",,CH$2,"."&amp;$A$2&amp;$AW$1&amp;"C"&amp;$A8)="N/A",0,RTD("tos.rtd",,CH$2,"."&amp;$A$2&amp;$AW$1&amp;"C"&amp;$A8))</f>
        <v>0.19</v>
      </c>
      <c r="CI8" s="3">
        <f>-IF(RTD("tos.rtd",,CI$2,"."&amp;$A$2&amp;$AW$1&amp;"P"&amp;$A8)="N/A",0,RTD("tos.rtd",,CI$2,"."&amp;$A$2&amp;$AW$1&amp;"P"&amp;$A8))</f>
        <v>0.79</v>
      </c>
      <c r="CK8" s="3">
        <f t="shared" si="17"/>
        <v>-12320</v>
      </c>
      <c r="CL8" s="3"/>
      <c r="CM8" s="3">
        <f t="shared" si="18"/>
        <v>-1335</v>
      </c>
      <c r="CN8" s="3"/>
      <c r="CO8" s="3">
        <f t="shared" si="19"/>
        <v>173801</v>
      </c>
      <c r="CP8" s="3">
        <f t="shared" si="43"/>
        <v>160146</v>
      </c>
      <c r="CQ8" s="3">
        <f t="shared" si="44"/>
        <v>0</v>
      </c>
      <c r="CR8" s="3"/>
      <c r="CS8" s="3">
        <f t="shared" si="20"/>
        <v>6215</v>
      </c>
      <c r="CT8" s="3"/>
      <c r="CU8" s="3">
        <f t="shared" si="21"/>
        <v>4119</v>
      </c>
      <c r="CV8" s="3">
        <f t="shared" si="45"/>
        <v>10334</v>
      </c>
      <c r="CW8" s="3" t="e">
        <f t="shared" ca="1" si="46"/>
        <v>#NUM!</v>
      </c>
      <c r="CX8" s="85" t="e">
        <f t="shared" ca="1" si="74"/>
        <v>#NUM!</v>
      </c>
      <c r="CY8" s="3" t="e">
        <f t="shared" ca="1" si="47"/>
        <v>#NUM!</v>
      </c>
      <c r="CZ8" s="85" t="e">
        <f t="shared" ca="1" si="75"/>
        <v>#NUM!</v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12.04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15.81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13.76</v>
      </c>
      <c r="DG8" s="86">
        <f t="shared" si="48"/>
        <v>13.200000000000045</v>
      </c>
      <c r="DH8" s="3">
        <f t="shared" si="22"/>
        <v>-4657</v>
      </c>
      <c r="DI8" s="3">
        <f t="shared" si="49"/>
        <v>-36.078048780487805</v>
      </c>
      <c r="DJ8" s="3">
        <f t="shared" si="50"/>
        <v>-4657</v>
      </c>
      <c r="DK8" s="3">
        <f t="shared" si="51"/>
        <v>-43</v>
      </c>
      <c r="DL8" s="3">
        <f t="shared" si="52"/>
        <v>-4693.0780487804877</v>
      </c>
      <c r="DM8" s="3">
        <f t="shared" si="53"/>
        <v>-4700</v>
      </c>
      <c r="DN8" s="63" t="str">
        <f t="shared" si="54"/>
        <v>UNKNOWN</v>
      </c>
      <c r="DO8" s="63" t="str">
        <f t="shared" si="55"/>
        <v>UNKNOWN</v>
      </c>
      <c r="DP8" s="3">
        <f t="shared" si="56"/>
        <v>-480.94970731707315</v>
      </c>
      <c r="DQ8" s="3">
        <f t="shared" si="57"/>
        <v>-564.29</v>
      </c>
      <c r="DR8" s="3" t="e">
        <f t="shared" ca="1" si="58"/>
        <v>#NUM!</v>
      </c>
      <c r="DS8" s="3">
        <f t="shared" si="59"/>
        <v>-34.4</v>
      </c>
      <c r="DT8" s="3">
        <f t="shared" si="60"/>
        <v>-4657</v>
      </c>
      <c r="DU8" s="3">
        <f t="shared" si="61"/>
        <v>43</v>
      </c>
      <c r="DV8" s="3">
        <f t="shared" si="62"/>
        <v>2101</v>
      </c>
      <c r="DW8" s="3">
        <f t="shared" si="23"/>
        <v>-11</v>
      </c>
      <c r="DX8" s="3" t="e">
        <f t="shared" ca="1" si="24"/>
        <v>#NUM!</v>
      </c>
      <c r="DY8" s="3" t="e">
        <f t="shared" ca="1" si="25"/>
        <v>#NUM!</v>
      </c>
      <c r="DZ8" s="3" t="e">
        <f t="shared" ca="1" si="26"/>
        <v>#NUM!</v>
      </c>
      <c r="EA8" s="3" t="e">
        <f t="shared" ca="1" si="27"/>
        <v>#NUM!</v>
      </c>
      <c r="EB8" s="3" t="e">
        <f t="shared" ca="1" si="28"/>
        <v>#NUM!</v>
      </c>
      <c r="EC8" s="3" t="e">
        <f t="shared" ca="1" si="29"/>
        <v>#NUM!</v>
      </c>
      <c r="EE8" s="59">
        <f t="shared" si="63"/>
        <v>1.1287</v>
      </c>
      <c r="EF8" s="59">
        <f t="shared" si="30"/>
        <v>3.5007999999999999</v>
      </c>
      <c r="EG8" s="59">
        <f t="shared" si="31"/>
        <v>1.1287</v>
      </c>
      <c r="EH8" s="59">
        <f t="shared" si="32"/>
        <v>2.4769000000000001</v>
      </c>
      <c r="EI8" s="59">
        <f t="shared" si="33"/>
        <v>0.217</v>
      </c>
      <c r="EJ8" s="59">
        <f t="shared" si="34"/>
        <v>0.2359</v>
      </c>
      <c r="EL8" s="3" t="str">
        <f>RTD("tos.rtd",,EL$2,"."&amp;$A$2&amp;$AS$1&amp;"C"&amp;$A8)</f>
        <v>112.87%</v>
      </c>
      <c r="EM8" s="3" t="str">
        <f>RTD("tos.rtd",,EM$2,"."&amp;$A$2&amp;$AS$1&amp;"P"&amp;$A8)</f>
        <v>350.08%</v>
      </c>
      <c r="EN8" s="3" t="str">
        <f>RTD("tos.rtd",,EN$2,"."&amp;$A$2&amp;$AU$1&amp;"C"&amp;$A8)</f>
        <v>112.87%</v>
      </c>
      <c r="EO8" s="3" t="str">
        <f>RTD("tos.rtd",,EO$2,"."&amp;$A$2&amp;$AU$1&amp;"P"&amp;$A8)</f>
        <v>247.69%</v>
      </c>
      <c r="EP8" s="3" t="str">
        <f>RTD("tos.rtd",,EP$2,"."&amp;$A$2&amp;$AW$1&amp;"C"&amp;$A8)</f>
        <v>21.70%</v>
      </c>
      <c r="EQ8" s="3" t="str">
        <f>RTD("tos.rtd",,EQ$2,"."&amp;$A$2&amp;$AW$1&amp;"P"&amp;$A8)</f>
        <v>23.59%</v>
      </c>
      <c r="ES8" s="63" t="str">
        <f t="shared" si="64"/>
        <v>578,2090.00</v>
      </c>
      <c r="ET8" s="63" t="str">
        <f t="shared" ca="1" si="65"/>
        <v>578,00.00</v>
      </c>
      <c r="EU8" s="67">
        <v>562.57000000000005</v>
      </c>
      <c r="EV8" s="67" t="s">
        <v>83</v>
      </c>
      <c r="EW8" s="67">
        <v>484.71</v>
      </c>
      <c r="EX8" s="67" t="s">
        <v>84</v>
      </c>
      <c r="EY8" s="67">
        <v>5639.25</v>
      </c>
      <c r="EZ8" s="67" t="s">
        <v>85</v>
      </c>
      <c r="FA8" s="67">
        <v>19914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6"/>
        <v>577</v>
      </c>
      <c r="B9" s="3">
        <f t="shared" ref="B9:B14" si="80">+IF($A$1="ABS",AS9-AT9,AS9+AT9)</f>
        <v>7272</v>
      </c>
      <c r="C9" s="3">
        <f t="shared" ref="C9:C14" si="81">+IF($A$1="ABS",AU9-AV9,AU9+AV9)</f>
        <v>4806</v>
      </c>
      <c r="D9" s="3">
        <f t="shared" ref="D9:D14" si="82">+IF($A$1="ABS",AW9-AX9,AW9+AX9)</f>
        <v>4702</v>
      </c>
      <c r="E9" s="3">
        <f t="shared" ref="E9:E14" si="83">SUM(B9:D9)</f>
        <v>16780</v>
      </c>
      <c r="F9" s="4">
        <f t="shared" ref="F9:F14" si="84">+$F$3/$A$3*A9</f>
        <v>5806.7776203966005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-2906</v>
      </c>
      <c r="AN9" s="1">
        <v>-11</v>
      </c>
      <c r="AO9" s="1">
        <v>577</v>
      </c>
      <c r="AP9" s="1">
        <v>4532</v>
      </c>
      <c r="AQ9" s="1">
        <v>-60</v>
      </c>
      <c r="AR9" s="1"/>
      <c r="AS9" s="6">
        <f>IF(RTD("tos.rtd",,AS$2,"."&amp;$A$2&amp;$AS$1&amp;"C"&amp;$A9)="N/A",0,RTD("tos.rtd",,AS$2,"."&amp;$A$2&amp;$AS$1&amp;"C"&amp;$A9))</f>
        <v>7105</v>
      </c>
      <c r="AT9" s="7">
        <f>-IF(RTD("tos.rtd",,AT$2,"."&amp;$A$2&amp;$AS$1&amp;"P"&amp;$A9)="N/A",0,RTD("tos.rtd",,AT$2,"."&amp;$A$2&amp;$AS$1&amp;"P"&amp;$A9))</f>
        <v>-167</v>
      </c>
      <c r="AU9" s="6">
        <f>IF(RTD("tos.rtd",,AU$2,"."&amp;$A$2&amp;$AU$1&amp;"C"&amp;$A9)="N/A",0,RTD("tos.rtd",,AU$2,"."&amp;$A$2&amp;$AU$1&amp;"C"&amp;$A9))</f>
        <v>4796</v>
      </c>
      <c r="AV9" s="7">
        <f>-IF(RTD("tos.rtd",,AV$2,"."&amp;$A$2&amp;$AU$1&amp;"P"&amp;$A9)="N/A",0,RTD("tos.rtd",,AV$2,"."&amp;$A$2&amp;$AU$1&amp;"P"&amp;$A9))</f>
        <v>-10</v>
      </c>
      <c r="AW9" s="6">
        <f>IF(RTD("tos.rtd",,AW$2,"."&amp;$A$2&amp;$AW$1&amp;"C"&amp;$A9)="N/A",0,RTD("tos.rtd",,AW$2,"."&amp;$A$2&amp;$AW$1&amp;"C"&amp;$A9))</f>
        <v>4664</v>
      </c>
      <c r="AX9" s="7">
        <f>-IF(RTD("tos.rtd",,AX$2,"."&amp;$A$2&amp;$AW$1&amp;"P"&amp;$A9)="N/A",0,RTD("tos.rtd",,AX$2,"."&amp;$A$2&amp;$AW$1&amp;"P"&amp;$A9))</f>
        <v>-38</v>
      </c>
      <c r="AY9" s="1">
        <f t="shared" ref="AY9:AY14" si="85">SUM(AS9:AX9)</f>
        <v>16350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0</v>
      </c>
      <c r="BB9" s="7">
        <f>-IF(RTD("tos.rtd",,BB$2,"."&amp;$A$2&amp;$AS$1&amp;"P"&amp;$A9)="N/A",0,RTD("tos.rtd",,BB$2,"."&amp;$A$2&amp;$AS$1&amp;"P"&amp;$A9))</f>
        <v>0</v>
      </c>
      <c r="BC9" s="6">
        <f>IF(RTD("tos.rtd",,BC$2,"."&amp;$A$2&amp;$AU$1&amp;"C"&amp;$A9)="N/A",0,RTD("tos.rtd",,BC$2,"."&amp;$A$2&amp;$AU$1&amp;"C"&amp;$A9))</f>
        <v>13773</v>
      </c>
      <c r="BD9" s="7">
        <f>-IF(RTD("tos.rtd",,BD$2,"."&amp;$A$2&amp;$AU$1&amp;"P"&amp;$A9)="N/A",0,RTD("tos.rtd",,BD$2,"."&amp;$A$2&amp;$AU$1&amp;"P"&amp;$A9))</f>
        <v>-111</v>
      </c>
      <c r="BE9" s="6">
        <f>IF(RTD("tos.rtd",,BE$2,"."&amp;$A$2&amp;$AW$1&amp;"C"&amp;$A9)="N/A",0,RTD("tos.rtd",,BE$2,"."&amp;$A$2&amp;$AW$1&amp;"C"&amp;$A9))</f>
        <v>2466</v>
      </c>
      <c r="BF9" s="83">
        <f>-IF(RTD("tos.rtd",,BF$2,"."&amp;$A$2&amp;$AW$1&amp;"P"&amp;$A9)="N/A",0,RTD("tos.rtd",,BF$2,"."&amp;$A$2&amp;$AW$1&amp;"P"&amp;$A9))</f>
        <v>-34</v>
      </c>
      <c r="BG9" s="32">
        <f ca="1">+Hoja2!Y10</f>
        <v>808</v>
      </c>
      <c r="BH9" s="7">
        <f t="shared" ca="1" si="36"/>
        <v>16902</v>
      </c>
      <c r="BI9" s="8" t="str">
        <f t="shared" ref="BI9" ca="1" si="86">IF(AND(BH9&lt;0,BH8&gt;0), "Cruce -", IF(AND(BH9&gt;0,BH8&lt;0),"Cruce +", ""))</f>
        <v/>
      </c>
      <c r="BJ9" s="3" t="e">
        <f ca="1">IF($BP$1=1,DX9,IF(RTD("tos.rtd",,BJ$2,"."&amp;$A$2&amp;$AS$1&amp;"C"&amp;$A9)="N/A",0,RTD("tos.rtd",,BJ$2,"."&amp;$A$2&amp;$AS$1&amp;"C"&amp;$A9)))</f>
        <v>#NUM!</v>
      </c>
      <c r="BK9" s="3" t="e">
        <f ca="1">IF($BP$1=1,DY9,-IF(RTD("tos.rtd",,BK$2,"."&amp;$A$2&amp;$AS$1&amp;"P"&amp;$A9)="N/A",0,RTD("tos.rtd",,BK$2,"."&amp;$A$2&amp;$AS$1&amp;"P"&amp;$A9)))</f>
        <v>#NUM!</v>
      </c>
      <c r="BL9" s="3" t="e">
        <f ca="1">IF($BP$1=1,DZ9,IF(RTD("tos.rtd",,BL$2,"."&amp;$A$2&amp;$AU$1&amp;"C"&amp;$A9)="N/A",0,RTD("tos.rtd",,BL$2,"."&amp;$A$2&amp;$AU$1&amp;"C"&amp;$A9)))</f>
        <v>#NUM!</v>
      </c>
      <c r="BM9" s="3" t="e">
        <f ca="1">IF($BP$1=1,EA9,-IF(RTD("tos.rtd",,BM$2,"."&amp;$A$2&amp;$AU$1&amp;"P"&amp;$A9)="N/A",0,RTD("tos.rtd",,BM$2,"."&amp;$A$2&amp;$AU$1&amp;"P"&amp;$A9)))</f>
        <v>#NUM!</v>
      </c>
      <c r="BN9" s="3" t="e">
        <f ca="1">IF($BP$1=1,EB9,IF(RTD("tos.rtd",,BN$2,"."&amp;$A$2&amp;$AW$1&amp;"C"&amp;$A9)="N/A",0,RTD("tos.rtd",,BN$2,"."&amp;$A$2&amp;$AW$1&amp;"C"&amp;$A9)))</f>
        <v>#NUM!</v>
      </c>
      <c r="BO9" s="3" t="e">
        <f ca="1">IF($BP$1=1,EC9,-IF(RTD("tos.rtd",,BO$2,"."&amp;$A$2&amp;$AW$1&amp;"P"&amp;$A9)="N/A",0,RTD("tos.rtd",,BO$2,"."&amp;$A$2&amp;$AW$1&amp;"P"&amp;$A9)))</f>
        <v>#NUM!</v>
      </c>
      <c r="BQ9" s="3" t="e">
        <f t="shared" ref="BQ9:BQ14" ca="1" si="87">+$A$3*$A$3*AS9*BJ9-$A$3*$A$3*AT9*BK9</f>
        <v>#NUM!</v>
      </c>
      <c r="BR9" s="3" t="e">
        <f t="shared" ca="1" si="69"/>
        <v>#NUM!</v>
      </c>
      <c r="BS9" s="3" t="e">
        <f t="shared" ref="BS9:BS14" ca="1" si="88">+$A$3*$A$3*AU9*BL9-$A$3*$A$3*AV9*BM9</f>
        <v>#NUM!</v>
      </c>
      <c r="BT9" s="3" t="e">
        <f t="shared" ca="1" si="69"/>
        <v>#NUM!</v>
      </c>
      <c r="BU9" s="3" t="e">
        <f t="shared" ref="BU9:BU14" ca="1" si="89">+$A$3*$A$3*AW9*BN9-$A$3*$A$3*AX9*BO9</f>
        <v>#NUM!</v>
      </c>
      <c r="BV9" s="3" t="e">
        <f t="shared" ref="BV9" ca="1" si="90">IF(AND(BU9&lt;0,BU8&gt;0), "Cruce -", IF(AND(BU9&gt;0,BU8&lt;0),"Cruce +", ""))</f>
        <v>#NUM!</v>
      </c>
      <c r="BX9" s="3" t="e">
        <f t="shared" ref="BX9:BX14" ca="1" si="91">+$A$3*$A$3*BA9*BJ9-$A$3*$A$3*BB9*BK9</f>
        <v>#NUM!</v>
      </c>
      <c r="BY9" s="3" t="e">
        <f t="shared" ca="1" si="71"/>
        <v>#NUM!</v>
      </c>
      <c r="BZ9" s="3" t="e">
        <f t="shared" ref="BZ9:BZ14" ca="1" si="92">+$A$3*$A$3*BC9*BL9-$A$3*$A$3*BD9*BM9</f>
        <v>#NUM!</v>
      </c>
      <c r="CA9" s="3" t="e">
        <f t="shared" ca="1" si="72"/>
        <v>#NUM!</v>
      </c>
      <c r="CB9" s="3" t="e">
        <f t="shared" ref="CB9:CB14" ca="1" si="93">+$A$3*$A$3*BE9*BN9-$A$3*$A$3*BF9*BO9</f>
        <v>#NUM!</v>
      </c>
      <c r="CC9" s="3" t="e">
        <f t="shared" ca="1" si="73"/>
        <v>#NUM!</v>
      </c>
      <c r="CD9" s="3">
        <f>IF(RTD("tos.rtd",,CD$2,"."&amp;$A$2&amp;$AS$1&amp;"C"&amp;$A9)="N/A",0,RTD("tos.rtd",,CD$2,"."&amp;$A$2&amp;$AS$1&amp;"C"&amp;$A9))</f>
        <v>0</v>
      </c>
      <c r="CE9" s="3">
        <f>-IF(RTD("tos.rtd",,CE$2,"."&amp;$A$2&amp;$AS$1&amp;"P"&amp;$A9)="N/A",0,RTD("tos.rtd",,CE$2,"."&amp;$A$2&amp;$AS$1&amp;"P"&amp;$A9))</f>
        <v>0.8</v>
      </c>
      <c r="CF9" s="3">
        <f>IF(RTD("tos.rtd",,CF$2,"."&amp;$A$2&amp;$AU$1&amp;"C"&amp;$A9)="N/A",0,RTD("tos.rtd",,CF$2,"."&amp;$A$2&amp;$AU$1&amp;"C"&amp;$A9))</f>
        <v>0</v>
      </c>
      <c r="CG9" s="3">
        <f>-IF(RTD("tos.rtd",,CG$2,"."&amp;$A$2&amp;$AU$1&amp;"P"&amp;$A9)="N/A",0,RTD("tos.rtd",,CG$2,"."&amp;$A$2&amp;$AU$1&amp;"P"&amp;$A9))</f>
        <v>0.88</v>
      </c>
      <c r="CH9" s="3">
        <f>IF(RTD("tos.rtd",,CH$2,"."&amp;$A$2&amp;$AW$1&amp;"C"&amp;$A9)="N/A",0,RTD("tos.rtd",,CH$2,"."&amp;$A$2&amp;$AW$1&amp;"C"&amp;$A9))</f>
        <v>0.21</v>
      </c>
      <c r="CI9" s="3">
        <f>-IF(RTD("tos.rtd",,CI$2,"."&amp;$A$2&amp;$AW$1&amp;"P"&amp;$A9)="N/A",0,RTD("tos.rtd",,CI$2,"."&amp;$A$2&amp;$AW$1&amp;"P"&amp;$A9))</f>
        <v>0.77</v>
      </c>
      <c r="CK9" s="3">
        <f t="shared" ref="CK9:CK14" si="94">+AS9*CD9*100+AT9*CE9*100</f>
        <v>-13360</v>
      </c>
      <c r="CL9" s="3"/>
      <c r="CM9" s="3">
        <f t="shared" ref="CM9:CM14" si="95">+AU9*CF9*100+AV9*CG9*100</f>
        <v>-880.00000000000011</v>
      </c>
      <c r="CN9" s="3"/>
      <c r="CO9" s="3">
        <f t="shared" ref="CO9:CO14" si="96">+AW9*CH9*100+AX9*CI9*100</f>
        <v>95018</v>
      </c>
      <c r="CP9" s="3">
        <f t="shared" ref="CP9:CP14" si="97">+CK9+CM9+CO9</f>
        <v>80778</v>
      </c>
      <c r="CQ9" s="3">
        <f t="shared" ref="CQ9:CQ14" si="98">+BA9+BB9</f>
        <v>0</v>
      </c>
      <c r="CR9" s="3"/>
      <c r="CS9" s="3">
        <f t="shared" ref="CS9:CS14" si="99">+BC9+BD9</f>
        <v>13662</v>
      </c>
      <c r="CT9" s="3"/>
      <c r="CU9" s="3">
        <f t="shared" ref="CU9:CU14" si="100">+BE9+BF9</f>
        <v>2432</v>
      </c>
      <c r="CV9" s="3">
        <f t="shared" ref="CV9:CV14" si="101">+CQ9+CS9+CU9</f>
        <v>16094</v>
      </c>
      <c r="CW9" s="3" t="e">
        <f t="shared" ref="CW9:CW14" ca="1" si="102">+BQ9+BS9+BU9</f>
        <v>#NUM!</v>
      </c>
      <c r="CX9" s="85" t="e">
        <f t="shared" ca="1" si="74"/>
        <v>#NUM!</v>
      </c>
      <c r="CY9" s="3" t="e">
        <f t="shared" ref="CY9:CY14" ca="1" si="103">+BX9+BZ9+CB9</f>
        <v>#NUM!</v>
      </c>
      <c r="CZ9" s="85" t="e">
        <f t="shared" ca="1" si="75"/>
        <v>#NUM!</v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10.41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14.81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12.76</v>
      </c>
      <c r="DG9" s="86">
        <f t="shared" si="48"/>
        <v>12.200000000000045</v>
      </c>
      <c r="DH9" s="3">
        <f t="shared" ref="DH9:DH14" si="104">((DA9-DE9)/(DC9-DE9))*(BA9-AP9)</f>
        <v>-4532</v>
      </c>
      <c r="DI9" s="3">
        <f t="shared" ref="DI9:DI14" si="105">((DB9-DF9)/(DD9-DF9))*(BB9-AQ9)</f>
        <v>-68.780487804878021</v>
      </c>
      <c r="DJ9" s="3">
        <f t="shared" ref="DJ9:DJ14" si="106">IF(DA9&gt;=(DE9+(DC9-DE9)*0.6),(BA9-AP9),IF(DA9&lt;=(DE9+(DC9-DE9)*0.4),-(BA9-AP9),0))</f>
        <v>-4532</v>
      </c>
      <c r="DK9" s="3">
        <f t="shared" si="51"/>
        <v>-60</v>
      </c>
      <c r="DL9" s="3">
        <f t="shared" si="52"/>
        <v>-4600.7804878048782</v>
      </c>
      <c r="DM9" s="3">
        <f t="shared" si="53"/>
        <v>-4592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-761.32487804878031</v>
      </c>
      <c r="DQ9" s="3">
        <f t="shared" si="57"/>
        <v>-669.92000000000007</v>
      </c>
      <c r="DR9" s="3" t="e">
        <f t="shared" ca="1" si="58"/>
        <v>#NUM!</v>
      </c>
      <c r="DS9" s="3">
        <f t="shared" si="59"/>
        <v>-48</v>
      </c>
      <c r="DT9" s="3">
        <f t="shared" si="60"/>
        <v>-4532</v>
      </c>
      <c r="DU9" s="3">
        <f t="shared" si="61"/>
        <v>60</v>
      </c>
      <c r="DV9" s="3">
        <f t="shared" si="62"/>
        <v>-2906</v>
      </c>
      <c r="DW9" s="3">
        <f t="shared" si="23"/>
        <v>-11</v>
      </c>
      <c r="DX9" s="3" t="e">
        <f t="shared" ca="1" si="24"/>
        <v>#NUM!</v>
      </c>
      <c r="DY9" s="3" t="e">
        <f t="shared" ca="1" si="25"/>
        <v>#NUM!</v>
      </c>
      <c r="DZ9" s="3" t="e">
        <f t="shared" ca="1" si="26"/>
        <v>#NUM!</v>
      </c>
      <c r="EA9" s="3" t="e">
        <f t="shared" ca="1" si="27"/>
        <v>#NUM!</v>
      </c>
      <c r="EB9" s="3" t="e">
        <f t="shared" ca="1" si="28"/>
        <v>#NUM!</v>
      </c>
      <c r="EC9" s="3" t="e">
        <f t="shared" ca="1" si="29"/>
        <v>#NUM!</v>
      </c>
      <c r="EE9" s="59">
        <f t="shared" ref="EE9:EE14" si="107">IFERROR(VALUE(IF(OR(EL9="--",EL9="0.00%"),$EE$1,EL9)),$EE$1)</f>
        <v>1.0525</v>
      </c>
      <c r="EF9" s="59">
        <f t="shared" ref="EF9:EF14" si="108">IFERROR(VALUE(IF(OR(EM9="--",EM9="0.00%"),$EE$1,EM9)),$EE$1)</f>
        <v>3.3391999999999999</v>
      </c>
      <c r="EG9" s="59">
        <f t="shared" ref="EG9:EG14" si="109">IFERROR(VALUE(IF(OR(EN9="--",EN9="0.00%"),$EE$1,EN9)),$EE$1)</f>
        <v>1.0525</v>
      </c>
      <c r="EH9" s="59">
        <f t="shared" ref="EH9:EH14" si="110">IFERROR(VALUE(IF(OR(EO9="--",EO9="0.00%"),$EE$1,EO9)),$EE$1)</f>
        <v>2.3290000000000002</v>
      </c>
      <c r="EI9" s="59">
        <f t="shared" ref="EI9:EI14" si="111">IFERROR(VALUE(IF(OR(EP9="--",EP9="0.00%"),$EE$1,EP9)),$EE$1)</f>
        <v>0.21840000000000001</v>
      </c>
      <c r="EJ9" s="59">
        <f t="shared" ref="EJ9:EJ14" si="112">IFERROR(VALUE(IF(OR(EQ9="--",EQ9="0.00%"),$EE$1,EQ9)),$EE$1)</f>
        <v>0.2354</v>
      </c>
      <c r="EL9" s="3" t="str">
        <f>RTD("tos.rtd",,EL$2,"."&amp;$A$2&amp;$AS$1&amp;"C"&amp;$A9)</f>
        <v>105.25%</v>
      </c>
      <c r="EM9" s="3" t="str">
        <f>RTD("tos.rtd",,EM$2,"."&amp;$A$2&amp;$AS$1&amp;"P"&amp;$A9)</f>
        <v>333.92%</v>
      </c>
      <c r="EN9" s="3" t="str">
        <f>RTD("tos.rtd",,EN$2,"."&amp;$A$2&amp;$AU$1&amp;"C"&amp;$A9)</f>
        <v>105.25%</v>
      </c>
      <c r="EO9" s="3" t="str">
        <f>RTD("tos.rtd",,EO$2,"."&amp;$A$2&amp;$AU$1&amp;"P"&amp;$A9)</f>
        <v>232.90%</v>
      </c>
      <c r="EP9" s="3" t="str">
        <f>RTD("tos.rtd",,EP$2,"."&amp;$A$2&amp;$AW$1&amp;"C"&amp;$A9)</f>
        <v>21.84%</v>
      </c>
      <c r="EQ9" s="3" t="str">
        <f>RTD("tos.rtd",,EQ$2,"."&amp;$A$2&amp;$AW$1&amp;"P"&amp;$A9)</f>
        <v>23.54%</v>
      </c>
      <c r="ES9" s="63" t="str">
        <f t="shared" si="64"/>
        <v>577,-2917.00</v>
      </c>
      <c r="ET9" s="63" t="str">
        <f t="shared" ca="1" si="65"/>
        <v>577,00.00</v>
      </c>
      <c r="EU9" s="67">
        <v>562.54999999999995</v>
      </c>
      <c r="EV9" s="67" t="s">
        <v>91</v>
      </c>
      <c r="EW9" s="67">
        <v>484.63</v>
      </c>
      <c r="EX9" s="67" t="s">
        <v>92</v>
      </c>
      <c r="EY9" s="67">
        <v>5639</v>
      </c>
      <c r="EZ9" s="67" t="s">
        <v>93</v>
      </c>
      <c r="FA9" s="67">
        <v>19908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6"/>
        <v>576</v>
      </c>
      <c r="B10" s="3">
        <f t="shared" si="80"/>
        <v>5322</v>
      </c>
      <c r="C10" s="3">
        <f t="shared" si="81"/>
        <v>4843</v>
      </c>
      <c r="D10" s="3">
        <f t="shared" si="82"/>
        <v>4705</v>
      </c>
      <c r="E10" s="3">
        <f t="shared" si="83"/>
        <v>14870</v>
      </c>
      <c r="F10" s="4">
        <f t="shared" si="84"/>
        <v>5796.7138810198303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496</v>
      </c>
      <c r="AN10" s="1">
        <v>17</v>
      </c>
      <c r="AO10" s="1">
        <v>576</v>
      </c>
      <c r="AP10" s="1">
        <v>3110</v>
      </c>
      <c r="AQ10" s="1">
        <v>-245</v>
      </c>
      <c r="AR10" s="1"/>
      <c r="AS10" s="6">
        <f>IF(RTD("tos.rtd",,AS$2,"."&amp;$A$2&amp;$AS$1&amp;"C"&amp;$A10)="N/A",0,RTD("tos.rtd",,AS$2,"."&amp;$A$2&amp;$AS$1&amp;"C"&amp;$A10))</f>
        <v>5140</v>
      </c>
      <c r="AT10" s="7">
        <f>-IF(RTD("tos.rtd",,AT$2,"."&amp;$A$2&amp;$AS$1&amp;"P"&amp;$A10)="N/A",0,RTD("tos.rtd",,AT$2,"."&amp;$A$2&amp;$AS$1&amp;"P"&amp;$A10))</f>
        <v>-182</v>
      </c>
      <c r="AU10" s="6">
        <f>IF(RTD("tos.rtd",,AU$2,"."&amp;$A$2&amp;$AU$1&amp;"C"&amp;$A10)="N/A",0,RTD("tos.rtd",,AU$2,"."&amp;$A$2&amp;$AU$1&amp;"C"&amp;$A10))</f>
        <v>4756</v>
      </c>
      <c r="AV10" s="7">
        <f>-IF(RTD("tos.rtd",,AV$2,"."&amp;$A$2&amp;$AU$1&amp;"P"&amp;$A10)="N/A",0,RTD("tos.rtd",,AV$2,"."&amp;$A$2&amp;$AU$1&amp;"P"&amp;$A10))</f>
        <v>-87</v>
      </c>
      <c r="AW10" s="6">
        <f>IF(RTD("tos.rtd",,AW$2,"."&amp;$A$2&amp;$AW$1&amp;"C"&amp;$A10)="N/A",0,RTD("tos.rtd",,AW$2,"."&amp;$A$2&amp;$AW$1&amp;"C"&amp;$A10))</f>
        <v>4396</v>
      </c>
      <c r="AX10" s="7">
        <f>-IF(RTD("tos.rtd",,AX$2,"."&amp;$A$2&amp;$AW$1&amp;"P"&amp;$A10)="N/A",0,RTD("tos.rtd",,AX$2,"."&amp;$A$2&amp;$AW$1&amp;"P"&amp;$A10))</f>
        <v>-309</v>
      </c>
      <c r="AY10" s="1">
        <f t="shared" si="85"/>
        <v>13714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0</v>
      </c>
      <c r="BB10" s="7">
        <f>-IF(RTD("tos.rtd",,BB$2,"."&amp;$A$2&amp;$AS$1&amp;"P"&amp;$A10)="N/A",0,RTD("tos.rtd",,BB$2,"."&amp;$A$2&amp;$AS$1&amp;"P"&amp;$A10))</f>
        <v>0</v>
      </c>
      <c r="BC10" s="6">
        <f>IF(RTD("tos.rtd",,BC$2,"."&amp;$A$2&amp;$AU$1&amp;"C"&amp;$A10)="N/A",0,RTD("tos.rtd",,BC$2,"."&amp;$A$2&amp;$AU$1&amp;"C"&amp;$A10))</f>
        <v>17723</v>
      </c>
      <c r="BD10" s="7">
        <f>-IF(RTD("tos.rtd",,BD$2,"."&amp;$A$2&amp;$AU$1&amp;"P"&amp;$A10)="N/A",0,RTD("tos.rtd",,BD$2,"."&amp;$A$2&amp;$AU$1&amp;"P"&amp;$A10))</f>
        <v>-570</v>
      </c>
      <c r="BE10" s="6">
        <f>IF(RTD("tos.rtd",,BE$2,"."&amp;$A$2&amp;$AW$1&amp;"C"&amp;$A10)="N/A",0,RTD("tos.rtd",,BE$2,"."&amp;$A$2&amp;$AW$1&amp;"C"&amp;$A10))</f>
        <v>3648</v>
      </c>
      <c r="BF10" s="83">
        <f>-IF(RTD("tos.rtd",,BF$2,"."&amp;$A$2&amp;$AW$1&amp;"P"&amp;$A10)="N/A",0,RTD("tos.rtd",,BF$2,"."&amp;$A$2&amp;$AW$1&amp;"P"&amp;$A10))</f>
        <v>-18</v>
      </c>
      <c r="BG10" s="32">
        <f ca="1">+Hoja2!Y11</f>
        <v>1417</v>
      </c>
      <c r="BH10" s="7">
        <f t="shared" ca="1" si="36"/>
        <v>22200</v>
      </c>
      <c r="BI10" s="8" t="str">
        <f t="shared" ref="BI10" ca="1" si="113">IF(AND(BH10&lt;0,BH9&gt;0), "Cruce -", IF(AND(BH10&gt;0,BH9&lt;0),"Cruce +", ""))</f>
        <v/>
      </c>
      <c r="BJ10" s="3" t="e">
        <f ca="1">IF($BP$1=1,DX10,IF(RTD("tos.rtd",,BJ$2,"."&amp;$A$2&amp;$AS$1&amp;"C"&amp;$A10)="N/A",0,RTD("tos.rtd",,BJ$2,"."&amp;$A$2&amp;$AS$1&amp;"C"&amp;$A10)))</f>
        <v>#NUM!</v>
      </c>
      <c r="BK10" s="3" t="e">
        <f ca="1">IF($BP$1=1,DY10,-IF(RTD("tos.rtd",,BK$2,"."&amp;$A$2&amp;$AS$1&amp;"P"&amp;$A10)="N/A",0,RTD("tos.rtd",,BK$2,"."&amp;$A$2&amp;$AS$1&amp;"P"&amp;$A10)))</f>
        <v>#NUM!</v>
      </c>
      <c r="BL10" s="3" t="e">
        <f ca="1">IF($BP$1=1,DZ10,IF(RTD("tos.rtd",,BL$2,"."&amp;$A$2&amp;$AU$1&amp;"C"&amp;$A10)="N/A",0,RTD("tos.rtd",,BL$2,"."&amp;$A$2&amp;$AU$1&amp;"C"&amp;$A10)))</f>
        <v>#NUM!</v>
      </c>
      <c r="BM10" s="3" t="e">
        <f ca="1">IF($BP$1=1,EA10,-IF(RTD("tos.rtd",,BM$2,"."&amp;$A$2&amp;$AU$1&amp;"P"&amp;$A10)="N/A",0,RTD("tos.rtd",,BM$2,"."&amp;$A$2&amp;$AU$1&amp;"P"&amp;$A10)))</f>
        <v>#NUM!</v>
      </c>
      <c r="BN10" s="3" t="e">
        <f ca="1">IF($BP$1=1,EB10,IF(RTD("tos.rtd",,BN$2,"."&amp;$A$2&amp;$AW$1&amp;"C"&amp;$A10)="N/A",0,RTD("tos.rtd",,BN$2,"."&amp;$A$2&amp;$AW$1&amp;"C"&amp;$A10)))</f>
        <v>#NUM!</v>
      </c>
      <c r="BO10" s="3" t="e">
        <f ca="1">IF($BP$1=1,EC10,-IF(RTD("tos.rtd",,BO$2,"."&amp;$A$2&amp;$AW$1&amp;"P"&amp;$A10)="N/A",0,RTD("tos.rtd",,BO$2,"."&amp;$A$2&amp;$AW$1&amp;"P"&amp;$A10)))</f>
        <v>#NUM!</v>
      </c>
      <c r="BQ10" s="3" t="e">
        <f t="shared" ca="1" si="87"/>
        <v>#NUM!</v>
      </c>
      <c r="BR10" s="3" t="e">
        <f t="shared" ca="1" si="69"/>
        <v>#NUM!</v>
      </c>
      <c r="BS10" s="3" t="e">
        <f t="shared" ca="1" si="88"/>
        <v>#NUM!</v>
      </c>
      <c r="BT10" s="3" t="e">
        <f t="shared" ca="1" si="69"/>
        <v>#NUM!</v>
      </c>
      <c r="BU10" s="3" t="e">
        <f t="shared" ca="1" si="89"/>
        <v>#NUM!</v>
      </c>
      <c r="BV10" s="3" t="e">
        <f t="shared" ref="BV10" ca="1" si="114">IF(AND(BU10&lt;0,BU9&gt;0), "Cruce -", IF(AND(BU10&gt;0,BU9&lt;0),"Cruce +", ""))</f>
        <v>#NUM!</v>
      </c>
      <c r="BX10" s="3" t="e">
        <f t="shared" ca="1" si="91"/>
        <v>#NUM!</v>
      </c>
      <c r="BY10" s="3" t="e">
        <f t="shared" ca="1" si="71"/>
        <v>#NUM!</v>
      </c>
      <c r="BZ10" s="3" t="e">
        <f t="shared" ca="1" si="92"/>
        <v>#NUM!</v>
      </c>
      <c r="CA10" s="3" t="e">
        <f t="shared" ca="1" si="72"/>
        <v>#NUM!</v>
      </c>
      <c r="CB10" s="3" t="e">
        <f t="shared" ca="1" si="93"/>
        <v>#NUM!</v>
      </c>
      <c r="CC10" s="3" t="e">
        <f t="shared" ca="1" si="73"/>
        <v>#NUM!</v>
      </c>
      <c r="CD10" s="3">
        <f>IF(RTD("tos.rtd",,CD$2,"."&amp;$A$2&amp;$AS$1&amp;"C"&amp;$A10)="N/A",0,RTD("tos.rtd",,CD$2,"."&amp;$A$2&amp;$AS$1&amp;"C"&amp;$A10))</f>
        <v>0</v>
      </c>
      <c r="CE10" s="3">
        <f>-IF(RTD("tos.rtd",,CE$2,"."&amp;$A$2&amp;$AS$1&amp;"P"&amp;$A10)="N/A",0,RTD("tos.rtd",,CE$2,"."&amp;$A$2&amp;$AS$1&amp;"P"&amp;$A10))</f>
        <v>0.79</v>
      </c>
      <c r="CF10" s="3">
        <f>IF(RTD("tos.rtd",,CF$2,"."&amp;$A$2&amp;$AU$1&amp;"C"&amp;$A10)="N/A",0,RTD("tos.rtd",,CF$2,"."&amp;$A$2&amp;$AU$1&amp;"C"&amp;$A10))</f>
        <v>0</v>
      </c>
      <c r="CG10" s="3">
        <f>-IF(RTD("tos.rtd",,CG$2,"."&amp;$A$2&amp;$AU$1&amp;"P"&amp;$A10)="N/A",0,RTD("tos.rtd",,CG$2,"."&amp;$A$2&amp;$AU$1&amp;"P"&amp;$A10))</f>
        <v>0.88</v>
      </c>
      <c r="CH10" s="3">
        <f>IF(RTD("tos.rtd",,CH$2,"."&amp;$A$2&amp;$AW$1&amp;"C"&amp;$A10)="N/A",0,RTD("tos.rtd",,CH$2,"."&amp;$A$2&amp;$AW$1&amp;"C"&amp;$A10))</f>
        <v>0.23</v>
      </c>
      <c r="CI10" s="3">
        <f>-IF(RTD("tos.rtd",,CI$2,"."&amp;$A$2&amp;$AW$1&amp;"P"&amp;$A10)="N/A",0,RTD("tos.rtd",,CI$2,"."&amp;$A$2&amp;$AW$1&amp;"P"&amp;$A10))</f>
        <v>0.75</v>
      </c>
      <c r="CK10" s="3">
        <f t="shared" si="94"/>
        <v>-14378</v>
      </c>
      <c r="CL10" s="3"/>
      <c r="CM10" s="3">
        <f t="shared" si="95"/>
        <v>-7656</v>
      </c>
      <c r="CN10" s="3"/>
      <c r="CO10" s="3">
        <f t="shared" si="96"/>
        <v>77933</v>
      </c>
      <c r="CP10" s="3">
        <f t="shared" si="97"/>
        <v>55899</v>
      </c>
      <c r="CQ10" s="3">
        <f t="shared" si="98"/>
        <v>0</v>
      </c>
      <c r="CR10" s="3"/>
      <c r="CS10" s="3">
        <f t="shared" si="99"/>
        <v>17153</v>
      </c>
      <c r="CT10" s="3"/>
      <c r="CU10" s="3">
        <f t="shared" si="100"/>
        <v>3630</v>
      </c>
      <c r="CV10" s="3">
        <f t="shared" si="101"/>
        <v>20783</v>
      </c>
      <c r="CW10" s="3" t="e">
        <f t="shared" ca="1" si="102"/>
        <v>#NUM!</v>
      </c>
      <c r="CX10" s="85" t="e">
        <f t="shared" ca="1" si="74"/>
        <v>#NUM!</v>
      </c>
      <c r="CY10" s="3" t="e">
        <f t="shared" ca="1" si="103"/>
        <v>#NUM!</v>
      </c>
      <c r="CZ10" s="85" t="e">
        <f t="shared" ca="1" si="75"/>
        <v>#NUM!</v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12.12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13.81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11.76</v>
      </c>
      <c r="DG10" s="86">
        <f t="shared" si="48"/>
        <v>11.200000000000045</v>
      </c>
      <c r="DH10" s="3">
        <f t="shared" si="104"/>
        <v>-3110</v>
      </c>
      <c r="DI10" s="3">
        <f t="shared" si="105"/>
        <v>43.024390243902353</v>
      </c>
      <c r="DJ10" s="3">
        <f t="shared" si="106"/>
        <v>-3110</v>
      </c>
      <c r="DK10" s="3">
        <f t="shared" si="51"/>
        <v>-245</v>
      </c>
      <c r="DL10" s="3">
        <f t="shared" si="52"/>
        <v>-3066.9756097560976</v>
      </c>
      <c r="DM10" s="3">
        <f t="shared" si="53"/>
        <v>-3355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490.35560975609644</v>
      </c>
      <c r="DQ10" s="3">
        <f t="shared" si="57"/>
        <v>-3000.4999999999995</v>
      </c>
      <c r="DR10" s="3" t="e">
        <f t="shared" ca="1" si="58"/>
        <v>#NUM!</v>
      </c>
      <c r="DS10" s="3">
        <f t="shared" si="59"/>
        <v>-193.55</v>
      </c>
      <c r="DT10" s="3">
        <f t="shared" si="60"/>
        <v>-3110</v>
      </c>
      <c r="DU10" s="3">
        <f t="shared" si="61"/>
        <v>245</v>
      </c>
      <c r="DV10" s="3">
        <f t="shared" si="62"/>
        <v>496</v>
      </c>
      <c r="DW10" s="3">
        <f t="shared" si="23"/>
        <v>17</v>
      </c>
      <c r="DX10" s="3" t="e">
        <f t="shared" ca="1" si="24"/>
        <v>#NUM!</v>
      </c>
      <c r="DY10" s="3" t="e">
        <f t="shared" ca="1" si="25"/>
        <v>#NUM!</v>
      </c>
      <c r="DZ10" s="3" t="e">
        <f t="shared" ca="1" si="26"/>
        <v>#NUM!</v>
      </c>
      <c r="EA10" s="3" t="e">
        <f t="shared" ca="1" si="27"/>
        <v>#NUM!</v>
      </c>
      <c r="EB10" s="3" t="e">
        <f t="shared" ca="1" si="28"/>
        <v>#NUM!</v>
      </c>
      <c r="EC10" s="3" t="e">
        <f t="shared" ca="1" si="29"/>
        <v>#NUM!</v>
      </c>
      <c r="EE10" s="59">
        <f t="shared" si="107"/>
        <v>0.97560000000000002</v>
      </c>
      <c r="EF10" s="59">
        <f t="shared" si="108"/>
        <v>3.1747999999999998</v>
      </c>
      <c r="EG10" s="59">
        <f t="shared" si="109"/>
        <v>0.97560000000000002</v>
      </c>
      <c r="EH10" s="59">
        <f t="shared" si="110"/>
        <v>2.1623000000000001</v>
      </c>
      <c r="EI10" s="59">
        <f t="shared" si="111"/>
        <v>0.22</v>
      </c>
      <c r="EJ10" s="59">
        <f t="shared" si="112"/>
        <v>0.23599999999999999</v>
      </c>
      <c r="EL10" s="3" t="str">
        <f>RTD("tos.rtd",,EL$2,"."&amp;$A$2&amp;$AS$1&amp;"C"&amp;$A10)</f>
        <v>97.56%</v>
      </c>
      <c r="EM10" s="3" t="str">
        <f>RTD("tos.rtd",,EM$2,"."&amp;$A$2&amp;$AS$1&amp;"P"&amp;$A10)</f>
        <v>317.48%</v>
      </c>
      <c r="EN10" s="3" t="str">
        <f>RTD("tos.rtd",,EN$2,"."&amp;$A$2&amp;$AU$1&amp;"C"&amp;$A10)</f>
        <v>97.56%</v>
      </c>
      <c r="EO10" s="3" t="str">
        <f>RTD("tos.rtd",,EO$2,"."&amp;$A$2&amp;$AU$1&amp;"P"&amp;$A10)</f>
        <v>216.23%</v>
      </c>
      <c r="EP10" s="3" t="str">
        <f>RTD("tos.rtd",,EP$2,"."&amp;$A$2&amp;$AW$1&amp;"C"&amp;$A10)</f>
        <v>22.00%</v>
      </c>
      <c r="EQ10" s="3" t="str">
        <f>RTD("tos.rtd",,EQ$2,"."&amp;$A$2&amp;$AW$1&amp;"P"&amp;$A10)</f>
        <v>23.60%</v>
      </c>
      <c r="ES10" s="63" t="str">
        <f t="shared" si="64"/>
        <v>576,513.00</v>
      </c>
      <c r="ET10" s="63" t="str">
        <f t="shared" ca="1" si="65"/>
        <v>576,00.00</v>
      </c>
      <c r="EU10" s="67">
        <v>562.35</v>
      </c>
      <c r="EV10" s="67" t="s">
        <v>99</v>
      </c>
      <c r="EW10" s="67">
        <v>484.36</v>
      </c>
      <c r="EX10" s="67" t="s">
        <v>100</v>
      </c>
      <c r="EY10" s="67">
        <v>5637</v>
      </c>
      <c r="EZ10" s="67" t="s">
        <v>101</v>
      </c>
      <c r="FA10" s="67">
        <v>19898.75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6"/>
        <v>575</v>
      </c>
      <c r="B11" s="3">
        <f t="shared" si="80"/>
        <v>14803</v>
      </c>
      <c r="C11" s="3">
        <f t="shared" si="81"/>
        <v>20044</v>
      </c>
      <c r="D11" s="3">
        <f t="shared" si="82"/>
        <v>51061</v>
      </c>
      <c r="E11" s="3">
        <f t="shared" si="83"/>
        <v>85908</v>
      </c>
      <c r="F11" s="4">
        <f t="shared" si="84"/>
        <v>5786.6501416430592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3783</v>
      </c>
      <c r="AN11" s="1">
        <v>34</v>
      </c>
      <c r="AO11" s="1">
        <v>575</v>
      </c>
      <c r="AP11" s="1">
        <v>11517</v>
      </c>
      <c r="AQ11" s="1">
        <v>-448</v>
      </c>
      <c r="AR11" s="1"/>
      <c r="AS11" s="6">
        <f>IF(RTD("tos.rtd",,AS$2,"."&amp;$A$2&amp;$AS$1&amp;"C"&amp;$A11)="N/A",0,RTD("tos.rtd",,AS$2,"."&amp;$A$2&amp;$AS$1&amp;"C"&amp;$A11))</f>
        <v>14340</v>
      </c>
      <c r="AT11" s="7">
        <f>-IF(RTD("tos.rtd",,AT$2,"."&amp;$A$2&amp;$AS$1&amp;"P"&amp;$A11)="N/A",0,RTD("tos.rtd",,AT$2,"."&amp;$A$2&amp;$AS$1&amp;"P"&amp;$A11))</f>
        <v>-463</v>
      </c>
      <c r="AU11" s="6">
        <f>IF(RTD("tos.rtd",,AU$2,"."&amp;$A$2&amp;$AU$1&amp;"C"&amp;$A11)="N/A",0,RTD("tos.rtd",,AU$2,"."&amp;$A$2&amp;$AU$1&amp;"C"&amp;$A11))</f>
        <v>19915</v>
      </c>
      <c r="AV11" s="7">
        <f>-IF(RTD("tos.rtd",,AV$2,"."&amp;$A$2&amp;$AU$1&amp;"P"&amp;$A11)="N/A",0,RTD("tos.rtd",,AV$2,"."&amp;$A$2&amp;$AU$1&amp;"P"&amp;$A11))</f>
        <v>-129</v>
      </c>
      <c r="AW11" s="6">
        <f>IF(RTD("tos.rtd",,AW$2,"."&amp;$A$2&amp;$AW$1&amp;"C"&amp;$A11)="N/A",0,RTD("tos.rtd",,AW$2,"."&amp;$A$2&amp;$AW$1&amp;"C"&amp;$A11))</f>
        <v>48089</v>
      </c>
      <c r="AX11" s="7">
        <f>-IF(RTD("tos.rtd",,AX$2,"."&amp;$A$2&amp;$AW$1&amp;"P"&amp;$A11)="N/A",0,RTD("tos.rtd",,AX$2,"."&amp;$A$2&amp;$AW$1&amp;"P"&amp;$A11))</f>
        <v>-2972</v>
      </c>
      <c r="AY11" s="1">
        <f t="shared" si="85"/>
        <v>78780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0</v>
      </c>
      <c r="BB11" s="7">
        <f>-IF(RTD("tos.rtd",,BB$2,"."&amp;$A$2&amp;$AS$1&amp;"P"&amp;$A11)="N/A",0,RTD("tos.rtd",,BB$2,"."&amp;$A$2&amp;$AS$1&amp;"P"&amp;$A11))</f>
        <v>0</v>
      </c>
      <c r="BC11" s="6">
        <f>IF(RTD("tos.rtd",,BC$2,"."&amp;$A$2&amp;$AU$1&amp;"C"&amp;$A11)="N/A",0,RTD("tos.rtd",,BC$2,"."&amp;$A$2&amp;$AU$1&amp;"C"&amp;$A11))</f>
        <v>43555</v>
      </c>
      <c r="BD11" s="7">
        <f>-IF(RTD("tos.rtd",,BD$2,"."&amp;$A$2&amp;$AU$1&amp;"P"&amp;$A11)="N/A",0,RTD("tos.rtd",,BD$2,"."&amp;$A$2&amp;$AU$1&amp;"P"&amp;$A11))</f>
        <v>-1768</v>
      </c>
      <c r="BE11" s="6">
        <f>IF(RTD("tos.rtd",,BE$2,"."&amp;$A$2&amp;$AW$1&amp;"C"&amp;$A11)="N/A",0,RTD("tos.rtd",,BE$2,"."&amp;$A$2&amp;$AW$1&amp;"C"&amp;$A11))</f>
        <v>20039</v>
      </c>
      <c r="BF11" s="83">
        <f>-IF(RTD("tos.rtd",,BF$2,"."&amp;$A$2&amp;$AW$1&amp;"P"&amp;$A11)="N/A",0,RTD("tos.rtd",,BF$2,"."&amp;$A$2&amp;$AW$1&amp;"P"&amp;$A11))</f>
        <v>-471</v>
      </c>
      <c r="BG11" s="32">
        <f ca="1">+Hoja2!Y12</f>
        <v>8054</v>
      </c>
      <c r="BH11" s="7">
        <f t="shared" ca="1" si="36"/>
        <v>69409</v>
      </c>
      <c r="BI11" s="8" t="str">
        <f t="shared" ref="BI11" ca="1" si="115">IF(AND(BH11&lt;0,BH10&gt;0), "Cruce -", IF(AND(BH11&gt;0,BH10&lt;0),"Cruce +", ""))</f>
        <v/>
      </c>
      <c r="BJ11" s="3" t="e">
        <f ca="1">IF($BP$1=1,DX11,IF(RTD("tos.rtd",,BJ$2,"."&amp;$A$2&amp;$AS$1&amp;"C"&amp;$A11)="N/A",0,RTD("tos.rtd",,BJ$2,"."&amp;$A$2&amp;$AS$1&amp;"C"&amp;$A11)))</f>
        <v>#NUM!</v>
      </c>
      <c r="BK11" s="3" t="e">
        <f ca="1">IF($BP$1=1,DY11,-IF(RTD("tos.rtd",,BK$2,"."&amp;$A$2&amp;$AS$1&amp;"P"&amp;$A11)="N/A",0,RTD("tos.rtd",,BK$2,"."&amp;$A$2&amp;$AS$1&amp;"P"&amp;$A11)))</f>
        <v>#NUM!</v>
      </c>
      <c r="BL11" s="3" t="e">
        <f ca="1">IF($BP$1=1,DZ11,IF(RTD("tos.rtd",,BL$2,"."&amp;$A$2&amp;$AU$1&amp;"C"&amp;$A11)="N/A",0,RTD("tos.rtd",,BL$2,"."&amp;$A$2&amp;$AU$1&amp;"C"&amp;$A11)))</f>
        <v>#NUM!</v>
      </c>
      <c r="BM11" s="3" t="e">
        <f ca="1">IF($BP$1=1,EA11,-IF(RTD("tos.rtd",,BM$2,"."&amp;$A$2&amp;$AU$1&amp;"P"&amp;$A11)="N/A",0,RTD("tos.rtd",,BM$2,"."&amp;$A$2&amp;$AU$1&amp;"P"&amp;$A11)))</f>
        <v>#NUM!</v>
      </c>
      <c r="BN11" s="3" t="e">
        <f ca="1">IF($BP$1=1,EB11,IF(RTD("tos.rtd",,BN$2,"."&amp;$A$2&amp;$AW$1&amp;"C"&amp;$A11)="N/A",0,RTD("tos.rtd",,BN$2,"."&amp;$A$2&amp;$AW$1&amp;"C"&amp;$A11)))</f>
        <v>#NUM!</v>
      </c>
      <c r="BO11" s="3" t="e">
        <f ca="1">IF($BP$1=1,EC11,-IF(RTD("tos.rtd",,BO$2,"."&amp;$A$2&amp;$AW$1&amp;"P"&amp;$A11)="N/A",0,RTD("tos.rtd",,BO$2,"."&amp;$A$2&amp;$AW$1&amp;"P"&amp;$A11)))</f>
        <v>#NUM!</v>
      </c>
      <c r="BQ11" s="3" t="e">
        <f t="shared" ca="1" si="87"/>
        <v>#NUM!</v>
      </c>
      <c r="BR11" s="3" t="e">
        <f t="shared" ca="1" si="69"/>
        <v>#NUM!</v>
      </c>
      <c r="BS11" s="3" t="e">
        <f t="shared" ca="1" si="88"/>
        <v>#NUM!</v>
      </c>
      <c r="BT11" s="3" t="e">
        <f t="shared" ca="1" si="69"/>
        <v>#NUM!</v>
      </c>
      <c r="BU11" s="3" t="e">
        <f t="shared" ca="1" si="89"/>
        <v>#NUM!</v>
      </c>
      <c r="BV11" s="3" t="e">
        <f t="shared" ref="BV11" ca="1" si="116">IF(AND(BU11&lt;0,BU10&gt;0), "Cruce -", IF(AND(BU11&gt;0,BU10&lt;0),"Cruce +", ""))</f>
        <v>#NUM!</v>
      </c>
      <c r="BX11" s="3" t="e">
        <f t="shared" ca="1" si="91"/>
        <v>#NUM!</v>
      </c>
      <c r="BY11" s="3" t="e">
        <f t="shared" ca="1" si="71"/>
        <v>#NUM!</v>
      </c>
      <c r="BZ11" s="3" t="e">
        <f t="shared" ca="1" si="92"/>
        <v>#NUM!</v>
      </c>
      <c r="CA11" s="3" t="e">
        <f t="shared" ca="1" si="72"/>
        <v>#NUM!</v>
      </c>
      <c r="CB11" s="3" t="e">
        <f t="shared" ca="1" si="93"/>
        <v>#NUM!</v>
      </c>
      <c r="CC11" s="3" t="e">
        <f t="shared" ca="1" si="73"/>
        <v>#NUM!</v>
      </c>
      <c r="CD11" s="3">
        <f>IF(RTD("tos.rtd",,CD$2,"."&amp;$A$2&amp;$AS$1&amp;"C"&amp;$A11)="N/A",0,RTD("tos.rtd",,CD$2,"."&amp;$A$2&amp;$AS$1&amp;"C"&amp;$A11))</f>
        <v>0</v>
      </c>
      <c r="CE11" s="3">
        <f>-IF(RTD("tos.rtd",,CE$2,"."&amp;$A$2&amp;$AS$1&amp;"P"&amp;$A11)="N/A",0,RTD("tos.rtd",,CE$2,"."&amp;$A$2&amp;$AS$1&amp;"P"&amp;$A11))</f>
        <v>0.78</v>
      </c>
      <c r="CF11" s="3">
        <f>IF(RTD("tos.rtd",,CF$2,"."&amp;$A$2&amp;$AU$1&amp;"C"&amp;$A11)="N/A",0,RTD("tos.rtd",,CF$2,"."&amp;$A$2&amp;$AU$1&amp;"C"&amp;$A11))</f>
        <v>0</v>
      </c>
      <c r="CG11" s="3">
        <f>-IF(RTD("tos.rtd",,CG$2,"."&amp;$A$2&amp;$AU$1&amp;"P"&amp;$A11)="N/A",0,RTD("tos.rtd",,CG$2,"."&amp;$A$2&amp;$AU$1&amp;"P"&amp;$A11))</f>
        <v>0.87</v>
      </c>
      <c r="CH11" s="3">
        <f>IF(RTD("tos.rtd",,CH$2,"."&amp;$A$2&amp;$AW$1&amp;"C"&amp;$A11)="N/A",0,RTD("tos.rtd",,CH$2,"."&amp;$A$2&amp;$AW$1&amp;"C"&amp;$A11))</f>
        <v>0.26</v>
      </c>
      <c r="CI11" s="3">
        <f>-IF(RTD("tos.rtd",,CI$2,"."&amp;$A$2&amp;$AW$1&amp;"P"&amp;$A11)="N/A",0,RTD("tos.rtd",,CI$2,"."&amp;$A$2&amp;$AW$1&amp;"P"&amp;$A11))</f>
        <v>0.73</v>
      </c>
      <c r="CK11" s="3">
        <f t="shared" si="94"/>
        <v>-36114</v>
      </c>
      <c r="CL11" s="3"/>
      <c r="CM11" s="3">
        <f t="shared" si="95"/>
        <v>-11223</v>
      </c>
      <c r="CN11" s="3"/>
      <c r="CO11" s="3">
        <f t="shared" si="96"/>
        <v>1033358.0000000002</v>
      </c>
      <c r="CP11" s="3">
        <f t="shared" si="97"/>
        <v>986021.00000000023</v>
      </c>
      <c r="CQ11" s="3">
        <f t="shared" si="98"/>
        <v>0</v>
      </c>
      <c r="CR11" s="3"/>
      <c r="CS11" s="3">
        <f t="shared" si="99"/>
        <v>41787</v>
      </c>
      <c r="CT11" s="3"/>
      <c r="CU11" s="3">
        <f t="shared" si="100"/>
        <v>19568</v>
      </c>
      <c r="CV11" s="3">
        <f t="shared" si="101"/>
        <v>61355</v>
      </c>
      <c r="CW11" s="3" t="e">
        <f t="shared" ca="1" si="102"/>
        <v>#NUM!</v>
      </c>
      <c r="CX11" s="85" t="e">
        <f t="shared" ca="1" si="74"/>
        <v>#NUM!</v>
      </c>
      <c r="CY11" s="3" t="e">
        <f t="shared" ca="1" si="103"/>
        <v>#NUM!</v>
      </c>
      <c r="CZ11" s="85" t="e">
        <f t="shared" ca="1" si="75"/>
        <v>#NUM!</v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11.99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12.81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10.93</v>
      </c>
      <c r="DG11" s="86">
        <f t="shared" si="48"/>
        <v>10.200000000000045</v>
      </c>
      <c r="DH11" s="3">
        <f t="shared" si="104"/>
        <v>-11517</v>
      </c>
      <c r="DI11" s="3">
        <f t="shared" si="105"/>
        <v>252.59574468085106</v>
      </c>
      <c r="DJ11" s="3">
        <f t="shared" si="106"/>
        <v>-11517</v>
      </c>
      <c r="DK11" s="3">
        <f t="shared" si="51"/>
        <v>0</v>
      </c>
      <c r="DL11" s="3">
        <f t="shared" si="52"/>
        <v>-11264.404255319148</v>
      </c>
      <c r="DM11" s="3">
        <f t="shared" si="53"/>
        <v>-11517</v>
      </c>
      <c r="DN11" s="63" t="str">
        <f t="shared" si="54"/>
        <v>UNKNOWN</v>
      </c>
      <c r="DO11" s="63" t="str">
        <f t="shared" si="55"/>
        <v>UNKNOWN</v>
      </c>
      <c r="DP11" s="3">
        <f t="shared" si="56"/>
        <v>2913.4529787234042</v>
      </c>
      <c r="DQ11" s="3">
        <f t="shared" si="57"/>
        <v>-115.17</v>
      </c>
      <c r="DR11" s="3" t="e">
        <f t="shared" ca="1" si="58"/>
        <v>#NUM!</v>
      </c>
      <c r="DS11" s="3">
        <f t="shared" si="59"/>
        <v>0</v>
      </c>
      <c r="DT11" s="3">
        <f t="shared" si="60"/>
        <v>-11517</v>
      </c>
      <c r="DU11" s="3">
        <f t="shared" si="61"/>
        <v>448</v>
      </c>
      <c r="DV11" s="3">
        <f t="shared" si="62"/>
        <v>3783</v>
      </c>
      <c r="DW11" s="3">
        <f t="shared" si="23"/>
        <v>34</v>
      </c>
      <c r="DX11" s="3" t="e">
        <f t="shared" ca="1" si="24"/>
        <v>#NUM!</v>
      </c>
      <c r="DY11" s="3" t="e">
        <f t="shared" ca="1" si="25"/>
        <v>#NUM!</v>
      </c>
      <c r="DZ11" s="3" t="e">
        <f t="shared" ca="1" si="26"/>
        <v>#NUM!</v>
      </c>
      <c r="EA11" s="3" t="e">
        <f t="shared" ca="1" si="27"/>
        <v>#NUM!</v>
      </c>
      <c r="EB11" s="3" t="e">
        <f t="shared" ca="1" si="28"/>
        <v>#NUM!</v>
      </c>
      <c r="EC11" s="3" t="e">
        <f t="shared" ca="1" si="29"/>
        <v>#NUM!</v>
      </c>
      <c r="EE11" s="59">
        <f t="shared" si="107"/>
        <v>0.89800000000000002</v>
      </c>
      <c r="EF11" s="59">
        <f t="shared" si="108"/>
        <v>3.0743999999999998</v>
      </c>
      <c r="EG11" s="59">
        <f t="shared" si="109"/>
        <v>0.89800000000000002</v>
      </c>
      <c r="EH11" s="59">
        <f t="shared" si="110"/>
        <v>2.0238</v>
      </c>
      <c r="EI11" s="59">
        <f t="shared" si="111"/>
        <v>0.2213</v>
      </c>
      <c r="EJ11" s="59">
        <f t="shared" si="112"/>
        <v>0.23649999999999999</v>
      </c>
      <c r="EL11" s="3" t="str">
        <f>RTD("tos.rtd",,EL$2,"."&amp;$A$2&amp;$AS$1&amp;"C"&amp;$A11)</f>
        <v>89.80%</v>
      </c>
      <c r="EM11" s="3" t="str">
        <f>RTD("tos.rtd",,EM$2,"."&amp;$A$2&amp;$AS$1&amp;"P"&amp;$A11)</f>
        <v>307.44%</v>
      </c>
      <c r="EN11" s="3" t="str">
        <f>RTD("tos.rtd",,EN$2,"."&amp;$A$2&amp;$AU$1&amp;"C"&amp;$A11)</f>
        <v>89.80%</v>
      </c>
      <c r="EO11" s="3" t="str">
        <f>RTD("tos.rtd",,EO$2,"."&amp;$A$2&amp;$AU$1&amp;"P"&amp;$A11)</f>
        <v>202.38%</v>
      </c>
      <c r="EP11" s="3" t="str">
        <f>RTD("tos.rtd",,EP$2,"."&amp;$A$2&amp;$AW$1&amp;"C"&amp;$A11)</f>
        <v>22.13%</v>
      </c>
      <c r="EQ11" s="3" t="str">
        <f>RTD("tos.rtd",,EQ$2,"."&amp;$A$2&amp;$AW$1&amp;"P"&amp;$A11)</f>
        <v>23.65%</v>
      </c>
      <c r="ES11" s="63" t="str">
        <f t="shared" si="64"/>
        <v>575,3817.00</v>
      </c>
      <c r="ET11" s="63" t="str">
        <f t="shared" ca="1" si="65"/>
        <v>575,00.00</v>
      </c>
      <c r="EU11" s="67">
        <v>562.44000000000005</v>
      </c>
      <c r="EV11" s="67" t="s">
        <v>107</v>
      </c>
      <c r="EW11" s="67">
        <v>484.47</v>
      </c>
      <c r="EX11" s="67" t="s">
        <v>108</v>
      </c>
      <c r="EY11" s="67">
        <v>5638</v>
      </c>
      <c r="EZ11" s="67" t="s">
        <v>109</v>
      </c>
      <c r="FA11" s="67">
        <v>19904.25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6"/>
        <v>574</v>
      </c>
      <c r="B12" s="3">
        <f t="shared" si="80"/>
        <v>4238</v>
      </c>
      <c r="C12" s="3">
        <f t="shared" si="81"/>
        <v>4205</v>
      </c>
      <c r="D12" s="3">
        <f t="shared" si="82"/>
        <v>3227</v>
      </c>
      <c r="E12" s="3">
        <f t="shared" si="83"/>
        <v>11670</v>
      </c>
      <c r="F12" s="4">
        <f t="shared" si="84"/>
        <v>5776.586402266289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-1783</v>
      </c>
      <c r="AN12" s="1">
        <v>-37</v>
      </c>
      <c r="AO12" s="1">
        <v>574</v>
      </c>
      <c r="AP12" s="1">
        <v>12555</v>
      </c>
      <c r="AQ12" s="1">
        <v>-463</v>
      </c>
      <c r="AR12" s="1"/>
      <c r="AS12" s="6">
        <f>IF(RTD("tos.rtd",,AS$2,"."&amp;$A$2&amp;$AS$1&amp;"C"&amp;$A12)="N/A",0,RTD("tos.rtd",,AS$2,"."&amp;$A$2&amp;$AS$1&amp;"C"&amp;$A12))</f>
        <v>4166</v>
      </c>
      <c r="AT12" s="7">
        <f>-IF(RTD("tos.rtd",,AT$2,"."&amp;$A$2&amp;$AS$1&amp;"P"&amp;$A12)="N/A",0,RTD("tos.rtd",,AT$2,"."&amp;$A$2&amp;$AS$1&amp;"P"&amp;$A12))</f>
        <v>-72</v>
      </c>
      <c r="AU12" s="6">
        <f>IF(RTD("tos.rtd",,AU$2,"."&amp;$A$2&amp;$AU$1&amp;"C"&amp;$A12)="N/A",0,RTD("tos.rtd",,AU$2,"."&amp;$A$2&amp;$AU$1&amp;"C"&amp;$A12))</f>
        <v>4115</v>
      </c>
      <c r="AV12" s="7">
        <f>-IF(RTD("tos.rtd",,AV$2,"."&amp;$A$2&amp;$AU$1&amp;"P"&amp;$A12)="N/A",0,RTD("tos.rtd",,AV$2,"."&amp;$A$2&amp;$AU$1&amp;"P"&amp;$A12))</f>
        <v>-90</v>
      </c>
      <c r="AW12" s="6">
        <f>IF(RTD("tos.rtd",,AW$2,"."&amp;$A$2&amp;$AW$1&amp;"C"&amp;$A12)="N/A",0,RTD("tos.rtd",,AW$2,"."&amp;$A$2&amp;$AW$1&amp;"C"&amp;$A12))</f>
        <v>2859</v>
      </c>
      <c r="AX12" s="7">
        <f>-IF(RTD("tos.rtd",,AX$2,"."&amp;$A$2&amp;$AW$1&amp;"P"&amp;$A12)="N/A",0,RTD("tos.rtd",,AX$2,"."&amp;$A$2&amp;$AW$1&amp;"P"&amp;$A12))</f>
        <v>-368</v>
      </c>
      <c r="AY12" s="1">
        <f t="shared" si="85"/>
        <v>10610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0</v>
      </c>
      <c r="BB12" s="7">
        <f>-IF(RTD("tos.rtd",,BB$2,"."&amp;$A$2&amp;$AS$1&amp;"P"&amp;$A12)="N/A",0,RTD("tos.rtd",,BB$2,"."&amp;$A$2&amp;$AS$1&amp;"P"&amp;$A12))</f>
        <v>0</v>
      </c>
      <c r="BC12" s="6">
        <f>IF(RTD("tos.rtd",,BC$2,"."&amp;$A$2&amp;$AU$1&amp;"C"&amp;$A12)="N/A",0,RTD("tos.rtd",,BC$2,"."&amp;$A$2&amp;$AU$1&amp;"C"&amp;$A12))</f>
        <v>27683</v>
      </c>
      <c r="BD12" s="7">
        <f>-IF(RTD("tos.rtd",,BD$2,"."&amp;$A$2&amp;$AU$1&amp;"P"&amp;$A12)="N/A",0,RTD("tos.rtd",,BD$2,"."&amp;$A$2&amp;$AU$1&amp;"P"&amp;$A12))</f>
        <v>-402</v>
      </c>
      <c r="BE12" s="6">
        <f>IF(RTD("tos.rtd",,BE$2,"."&amp;$A$2&amp;$AW$1&amp;"C"&amp;$A12)="N/A",0,RTD("tos.rtd",,BE$2,"."&amp;$A$2&amp;$AW$1&amp;"C"&amp;$A12))</f>
        <v>1697</v>
      </c>
      <c r="BF12" s="83">
        <f>-IF(RTD("tos.rtd",,BF$2,"."&amp;$A$2&amp;$AW$1&amp;"P"&amp;$A12)="N/A",0,RTD("tos.rtd",,BF$2,"."&amp;$A$2&amp;$AW$1&amp;"P"&amp;$A12))</f>
        <v>-15</v>
      </c>
      <c r="BG12" s="32">
        <f ca="1">+Hoja2!Y13</f>
        <v>700</v>
      </c>
      <c r="BH12" s="7">
        <f t="shared" ca="1" si="36"/>
        <v>29663</v>
      </c>
      <c r="BI12" s="8" t="str">
        <f t="shared" ref="BI12" ca="1" si="117">IF(AND(BH12&lt;0,BH11&gt;0), "Cruce -", IF(AND(BH12&gt;0,BH11&lt;0),"Cruce +", ""))</f>
        <v/>
      </c>
      <c r="BJ12" s="3" t="e">
        <f ca="1">IF($BP$1=1,DX12,IF(RTD("tos.rtd",,BJ$2,"."&amp;$A$2&amp;$AS$1&amp;"C"&amp;$A12)="N/A",0,RTD("tos.rtd",,BJ$2,"."&amp;$A$2&amp;$AS$1&amp;"C"&amp;$A12)))</f>
        <v>#NUM!</v>
      </c>
      <c r="BK12" s="3" t="e">
        <f ca="1">IF($BP$1=1,DY12,-IF(RTD("tos.rtd",,BK$2,"."&amp;$A$2&amp;$AS$1&amp;"P"&amp;$A12)="N/A",0,RTD("tos.rtd",,BK$2,"."&amp;$A$2&amp;$AS$1&amp;"P"&amp;$A12)))</f>
        <v>#NUM!</v>
      </c>
      <c r="BL12" s="3" t="e">
        <f ca="1">IF($BP$1=1,DZ12,IF(RTD("tos.rtd",,BL$2,"."&amp;$A$2&amp;$AU$1&amp;"C"&amp;$A12)="N/A",0,RTD("tos.rtd",,BL$2,"."&amp;$A$2&amp;$AU$1&amp;"C"&amp;$A12)))</f>
        <v>#NUM!</v>
      </c>
      <c r="BM12" s="3" t="e">
        <f ca="1">IF($BP$1=1,EA12,-IF(RTD("tos.rtd",,BM$2,"."&amp;$A$2&amp;$AU$1&amp;"P"&amp;$A12)="N/A",0,RTD("tos.rtd",,BM$2,"."&amp;$A$2&amp;$AU$1&amp;"P"&amp;$A12)))</f>
        <v>#NUM!</v>
      </c>
      <c r="BN12" s="3" t="e">
        <f ca="1">IF($BP$1=1,EB12,IF(RTD("tos.rtd",,BN$2,"."&amp;$A$2&amp;$AW$1&amp;"C"&amp;$A12)="N/A",0,RTD("tos.rtd",,BN$2,"."&amp;$A$2&amp;$AW$1&amp;"C"&amp;$A12)))</f>
        <v>#NUM!</v>
      </c>
      <c r="BO12" s="3" t="e">
        <f ca="1">IF($BP$1=1,EC12,-IF(RTD("tos.rtd",,BO$2,"."&amp;$A$2&amp;$AW$1&amp;"P"&amp;$A12)="N/A",0,RTD("tos.rtd",,BO$2,"."&amp;$A$2&amp;$AW$1&amp;"P"&amp;$A12)))</f>
        <v>#NUM!</v>
      </c>
      <c r="BQ12" s="3" t="e">
        <f t="shared" ca="1" si="87"/>
        <v>#NUM!</v>
      </c>
      <c r="BR12" s="3" t="e">
        <f t="shared" ca="1" si="69"/>
        <v>#NUM!</v>
      </c>
      <c r="BS12" s="3" t="e">
        <f t="shared" ca="1" si="88"/>
        <v>#NUM!</v>
      </c>
      <c r="BT12" s="3" t="e">
        <f t="shared" ca="1" si="69"/>
        <v>#NUM!</v>
      </c>
      <c r="BU12" s="3" t="e">
        <f t="shared" ca="1" si="89"/>
        <v>#NUM!</v>
      </c>
      <c r="BV12" s="3" t="e">
        <f t="shared" ref="BV12" ca="1" si="118">IF(AND(BU12&lt;0,BU11&gt;0), "Cruce -", IF(AND(BU12&gt;0,BU11&lt;0),"Cruce +", ""))</f>
        <v>#NUM!</v>
      </c>
      <c r="BX12" s="3" t="e">
        <f t="shared" ca="1" si="91"/>
        <v>#NUM!</v>
      </c>
      <c r="BY12" s="3" t="e">
        <f t="shared" ca="1" si="71"/>
        <v>#NUM!</v>
      </c>
      <c r="BZ12" s="3" t="e">
        <f t="shared" ca="1" si="92"/>
        <v>#NUM!</v>
      </c>
      <c r="CA12" s="3" t="e">
        <f t="shared" ca="1" si="72"/>
        <v>#NUM!</v>
      </c>
      <c r="CB12" s="3" t="e">
        <f t="shared" ca="1" si="93"/>
        <v>#NUM!</v>
      </c>
      <c r="CC12" s="3" t="e">
        <f t="shared" ca="1" si="73"/>
        <v>#NUM!</v>
      </c>
      <c r="CD12" s="3">
        <f>IF(RTD("tos.rtd",,CD$2,"."&amp;$A$2&amp;$AS$1&amp;"C"&amp;$A12)="N/A",0,RTD("tos.rtd",,CD$2,"."&amp;$A$2&amp;$AS$1&amp;"C"&amp;$A12))</f>
        <v>0</v>
      </c>
      <c r="CE12" s="3">
        <f>-IF(RTD("tos.rtd",,CE$2,"."&amp;$A$2&amp;$AS$1&amp;"P"&amp;$A12)="N/A",0,RTD("tos.rtd",,CE$2,"."&amp;$A$2&amp;$AS$1&amp;"P"&amp;$A12))</f>
        <v>0.77</v>
      </c>
      <c r="CF12" s="3">
        <f>IF(RTD("tos.rtd",,CF$2,"."&amp;$A$2&amp;$AU$1&amp;"C"&amp;$A12)="N/A",0,RTD("tos.rtd",,CF$2,"."&amp;$A$2&amp;$AU$1&amp;"C"&amp;$A12))</f>
        <v>0</v>
      </c>
      <c r="CG12" s="3">
        <f>-IF(RTD("tos.rtd",,CG$2,"."&amp;$A$2&amp;$AU$1&amp;"P"&amp;$A12)="N/A",0,RTD("tos.rtd",,CG$2,"."&amp;$A$2&amp;$AU$1&amp;"P"&amp;$A12))</f>
        <v>0.87</v>
      </c>
      <c r="CH12" s="3">
        <f>IF(RTD("tos.rtd",,CH$2,"."&amp;$A$2&amp;$AW$1&amp;"C"&amp;$A12)="N/A",0,RTD("tos.rtd",,CH$2,"."&amp;$A$2&amp;$AW$1&amp;"C"&amp;$A12))</f>
        <v>0.28000000000000003</v>
      </c>
      <c r="CI12" s="3">
        <f>-IF(RTD("tos.rtd",,CI$2,"."&amp;$A$2&amp;$AW$1&amp;"P"&amp;$A12)="N/A",0,RTD("tos.rtd",,CI$2,"."&amp;$A$2&amp;$AW$1&amp;"P"&amp;$A12))</f>
        <v>0.71</v>
      </c>
      <c r="CK12" s="3">
        <f t="shared" si="94"/>
        <v>-5544</v>
      </c>
      <c r="CL12" s="3"/>
      <c r="CM12" s="3">
        <f t="shared" si="95"/>
        <v>-7830</v>
      </c>
      <c r="CN12" s="3"/>
      <c r="CO12" s="3">
        <f t="shared" si="96"/>
        <v>53924.000000000015</v>
      </c>
      <c r="CP12" s="3">
        <f t="shared" si="97"/>
        <v>40550.000000000015</v>
      </c>
      <c r="CQ12" s="3">
        <f t="shared" si="98"/>
        <v>0</v>
      </c>
      <c r="CR12" s="3"/>
      <c r="CS12" s="3">
        <f t="shared" si="99"/>
        <v>27281</v>
      </c>
      <c r="CT12" s="3"/>
      <c r="CU12" s="3">
        <f t="shared" si="100"/>
        <v>1682</v>
      </c>
      <c r="CV12" s="3">
        <f t="shared" si="101"/>
        <v>28963</v>
      </c>
      <c r="CW12" s="3" t="e">
        <f t="shared" ca="1" si="102"/>
        <v>#NUM!</v>
      </c>
      <c r="CX12" s="85" t="e">
        <f t="shared" ca="1" si="74"/>
        <v>#NUM!</v>
      </c>
      <c r="CY12" s="3" t="e">
        <f t="shared" ca="1" si="103"/>
        <v>#NUM!</v>
      </c>
      <c r="CZ12" s="85" t="e">
        <f t="shared" ca="1" si="75"/>
        <v>#NUM!</v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10.65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11.81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9.93</v>
      </c>
      <c r="DG12" s="86">
        <f t="shared" si="48"/>
        <v>9.2000000000000455</v>
      </c>
      <c r="DH12" s="3">
        <f t="shared" si="104"/>
        <v>-12555</v>
      </c>
      <c r="DI12" s="3">
        <f t="shared" si="105"/>
        <v>177.31914893617028</v>
      </c>
      <c r="DJ12" s="3">
        <f t="shared" si="106"/>
        <v>-12555</v>
      </c>
      <c r="DK12" s="3">
        <f t="shared" si="51"/>
        <v>-463</v>
      </c>
      <c r="DL12" s="3">
        <f t="shared" si="52"/>
        <v>-12377.680851063829</v>
      </c>
      <c r="DM12" s="3">
        <f t="shared" si="53"/>
        <v>-13018</v>
      </c>
      <c r="DN12" s="63" t="str">
        <f t="shared" si="54"/>
        <v>UNKNOWN</v>
      </c>
      <c r="DO12" s="63" t="str">
        <f t="shared" si="55"/>
        <v>UNKNOWN</v>
      </c>
      <c r="DP12" s="3">
        <f t="shared" si="56"/>
        <v>1762.8989361702136</v>
      </c>
      <c r="DQ12" s="3">
        <f t="shared" si="57"/>
        <v>-5056.5</v>
      </c>
      <c r="DR12" s="3" t="e">
        <f t="shared" ca="1" si="58"/>
        <v>#NUM!</v>
      </c>
      <c r="DS12" s="3">
        <f t="shared" si="59"/>
        <v>-356.51</v>
      </c>
      <c r="DT12" s="3">
        <f t="shared" si="60"/>
        <v>-12555</v>
      </c>
      <c r="DU12" s="3">
        <f t="shared" si="61"/>
        <v>463</v>
      </c>
      <c r="DV12" s="3">
        <f t="shared" si="62"/>
        <v>-1783</v>
      </c>
      <c r="DW12" s="3">
        <f t="shared" si="23"/>
        <v>-37</v>
      </c>
      <c r="DX12" s="3" t="e">
        <f t="shared" ca="1" si="24"/>
        <v>#NUM!</v>
      </c>
      <c r="DY12" s="3" t="e">
        <f t="shared" ca="1" si="25"/>
        <v>#NUM!</v>
      </c>
      <c r="DZ12" s="3" t="e">
        <f t="shared" ca="1" si="26"/>
        <v>#NUM!</v>
      </c>
      <c r="EA12" s="3" t="e">
        <f t="shared" ca="1" si="27"/>
        <v>#NUM!</v>
      </c>
      <c r="EB12" s="3" t="e">
        <f t="shared" ca="1" si="28"/>
        <v>#NUM!</v>
      </c>
      <c r="EC12" s="3" t="e">
        <f t="shared" ca="1" si="29"/>
        <v>#NUM!</v>
      </c>
      <c r="EE12" s="59">
        <f t="shared" si="107"/>
        <v>0.8196</v>
      </c>
      <c r="EF12" s="59">
        <f t="shared" si="108"/>
        <v>2.9020999999999999</v>
      </c>
      <c r="EG12" s="59">
        <f t="shared" si="109"/>
        <v>0.8196</v>
      </c>
      <c r="EH12" s="59">
        <f t="shared" si="110"/>
        <v>1.883</v>
      </c>
      <c r="EI12" s="59">
        <f t="shared" si="111"/>
        <v>0.2228</v>
      </c>
      <c r="EJ12" s="59">
        <f t="shared" si="112"/>
        <v>0.2366</v>
      </c>
      <c r="EL12" s="3" t="str">
        <f>RTD("tos.rtd",,EL$2,"."&amp;$A$2&amp;$AS$1&amp;"C"&amp;$A12)</f>
        <v>81.96%</v>
      </c>
      <c r="EM12" s="3" t="str">
        <f>RTD("tos.rtd",,EM$2,"."&amp;$A$2&amp;$AS$1&amp;"P"&amp;$A12)</f>
        <v>290.21%</v>
      </c>
      <c r="EN12" s="3" t="str">
        <f>RTD("tos.rtd",,EN$2,"."&amp;$A$2&amp;$AU$1&amp;"C"&amp;$A12)</f>
        <v>81.96%</v>
      </c>
      <c r="EO12" s="3" t="str">
        <f>RTD("tos.rtd",,EO$2,"."&amp;$A$2&amp;$AU$1&amp;"P"&amp;$A12)</f>
        <v>188.30%</v>
      </c>
      <c r="EP12" s="3" t="str">
        <f>RTD("tos.rtd",,EP$2,"."&amp;$A$2&amp;$AW$1&amp;"C"&amp;$A12)</f>
        <v>22.28%</v>
      </c>
      <c r="EQ12" s="3" t="str">
        <f>RTD("tos.rtd",,EQ$2,"."&amp;$A$2&amp;$AW$1&amp;"P"&amp;$A12)</f>
        <v>23.66%</v>
      </c>
      <c r="ES12" s="63" t="str">
        <f t="shared" si="64"/>
        <v>574,-1820.00</v>
      </c>
      <c r="ET12" s="63" t="str">
        <f t="shared" ca="1" si="65"/>
        <v>574,00.00</v>
      </c>
      <c r="EU12" s="67">
        <v>562.51</v>
      </c>
      <c r="EV12" s="67" t="s">
        <v>115</v>
      </c>
      <c r="EW12" s="67">
        <v>484.68</v>
      </c>
      <c r="EX12" s="67" t="s">
        <v>116</v>
      </c>
      <c r="EY12" s="67">
        <v>5638.75</v>
      </c>
      <c r="EZ12" s="67" t="s">
        <v>117</v>
      </c>
      <c r="FA12" s="67">
        <v>19911.5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6"/>
        <v>573</v>
      </c>
      <c r="B13" s="3">
        <f t="shared" si="80"/>
        <v>6339</v>
      </c>
      <c r="C13" s="3">
        <f t="shared" si="81"/>
        <v>7547</v>
      </c>
      <c r="D13" s="3">
        <f t="shared" si="82"/>
        <v>4258</v>
      </c>
      <c r="E13" s="3">
        <f t="shared" si="83"/>
        <v>18144</v>
      </c>
      <c r="F13" s="4">
        <f t="shared" si="84"/>
        <v>5766.5226628895189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-2254</v>
      </c>
      <c r="AN13" s="1">
        <v>-125</v>
      </c>
      <c r="AO13" s="1">
        <v>573</v>
      </c>
      <c r="AP13" s="1">
        <v>15236</v>
      </c>
      <c r="AQ13" s="1">
        <v>-798</v>
      </c>
      <c r="AR13" s="1"/>
      <c r="AS13" s="6">
        <f>IF(RTD("tos.rtd",,AS$2,"."&amp;$A$2&amp;$AS$1&amp;"C"&amp;$A13)="N/A",0,RTD("tos.rtd",,AS$2,"."&amp;$A$2&amp;$AS$1&amp;"C"&amp;$A13))</f>
        <v>6231</v>
      </c>
      <c r="AT13" s="7">
        <f>-IF(RTD("tos.rtd",,AT$2,"."&amp;$A$2&amp;$AS$1&amp;"P"&amp;$A13)="N/A",0,RTD("tos.rtd",,AT$2,"."&amp;$A$2&amp;$AS$1&amp;"P"&amp;$A13))</f>
        <v>-108</v>
      </c>
      <c r="AU13" s="6">
        <f>IF(RTD("tos.rtd",,AU$2,"."&amp;$A$2&amp;$AU$1&amp;"C"&amp;$A13)="N/A",0,RTD("tos.rtd",,AU$2,"."&amp;$A$2&amp;$AU$1&amp;"C"&amp;$A13))</f>
        <v>7342</v>
      </c>
      <c r="AV13" s="7">
        <f>-IF(RTD("tos.rtd",,AV$2,"."&amp;$A$2&amp;$AU$1&amp;"P"&amp;$A13)="N/A",0,RTD("tos.rtd",,AV$2,"."&amp;$A$2&amp;$AU$1&amp;"P"&amp;$A13))</f>
        <v>-205</v>
      </c>
      <c r="AW13" s="6">
        <f>IF(RTD("tos.rtd",,AW$2,"."&amp;$A$2&amp;$AW$1&amp;"C"&amp;$A13)="N/A",0,RTD("tos.rtd",,AW$2,"."&amp;$A$2&amp;$AW$1&amp;"C"&amp;$A13))</f>
        <v>3726</v>
      </c>
      <c r="AX13" s="7">
        <f>-IF(RTD("tos.rtd",,AX$2,"."&amp;$A$2&amp;$AW$1&amp;"P"&amp;$A13)="N/A",0,RTD("tos.rtd",,AX$2,"."&amp;$A$2&amp;$AW$1&amp;"P"&amp;$A13))</f>
        <v>-532</v>
      </c>
      <c r="AY13" s="1">
        <f t="shared" si="85"/>
        <v>16454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0</v>
      </c>
      <c r="BB13" s="7">
        <f>-IF(RTD("tos.rtd",,BB$2,"."&amp;$A$2&amp;$AS$1&amp;"P"&amp;$A13)="N/A",0,RTD("tos.rtd",,BB$2,"."&amp;$A$2&amp;$AS$1&amp;"P"&amp;$A13))</f>
        <v>0</v>
      </c>
      <c r="BC13" s="6">
        <f>IF(RTD("tos.rtd",,BC$2,"."&amp;$A$2&amp;$AU$1&amp;"C"&amp;$A13)="N/A",0,RTD("tos.rtd",,BC$2,"."&amp;$A$2&amp;$AU$1&amp;"C"&amp;$A13))</f>
        <v>36747</v>
      </c>
      <c r="BD13" s="7">
        <f>-IF(RTD("tos.rtd",,BD$2,"."&amp;$A$2&amp;$AU$1&amp;"P"&amp;$A13)="N/A",0,RTD("tos.rtd",,BD$2,"."&amp;$A$2&amp;$AU$1&amp;"P"&amp;$A13))</f>
        <v>-1067</v>
      </c>
      <c r="BE13" s="6">
        <f>IF(RTD("tos.rtd",,BE$2,"."&amp;$A$2&amp;$AW$1&amp;"C"&amp;$A13)="N/A",0,RTD("tos.rtd",,BE$2,"."&amp;$A$2&amp;$AW$1&amp;"C"&amp;$A13))</f>
        <v>2031</v>
      </c>
      <c r="BF13" s="83">
        <f>-IF(RTD("tos.rtd",,BF$2,"."&amp;$A$2&amp;$AW$1&amp;"P"&amp;$A13)="N/A",0,RTD("tos.rtd",,BF$2,"."&amp;$A$2&amp;$AW$1&amp;"P"&amp;$A13))</f>
        <v>-44</v>
      </c>
      <c r="BG13" s="32">
        <f ca="1">+Hoja2!Y14</f>
        <v>1435</v>
      </c>
      <c r="BH13" s="7">
        <f t="shared" ca="1" si="36"/>
        <v>39102</v>
      </c>
      <c r="BI13" s="8" t="str">
        <f t="shared" ref="BI13" ca="1" si="119">IF(AND(BH13&lt;0,BH12&gt;0), "Cruce -", IF(AND(BH13&gt;0,BH12&lt;0),"Cruce +", ""))</f>
        <v/>
      </c>
      <c r="BJ13" s="3" t="e">
        <f ca="1">IF($BP$1=1,DX13,IF(RTD("tos.rtd",,BJ$2,"."&amp;$A$2&amp;$AS$1&amp;"C"&amp;$A13)="N/A",0,RTD("tos.rtd",,BJ$2,"."&amp;$A$2&amp;$AS$1&amp;"C"&amp;$A13)))</f>
        <v>#NUM!</v>
      </c>
      <c r="BK13" s="3" t="e">
        <f ca="1">IF($BP$1=1,DY13,-IF(RTD("tos.rtd",,BK$2,"."&amp;$A$2&amp;$AS$1&amp;"P"&amp;$A13)="N/A",0,RTD("tos.rtd",,BK$2,"."&amp;$A$2&amp;$AS$1&amp;"P"&amp;$A13)))</f>
        <v>#NUM!</v>
      </c>
      <c r="BL13" s="3" t="e">
        <f ca="1">IF($BP$1=1,DZ13,IF(RTD("tos.rtd",,BL$2,"."&amp;$A$2&amp;$AU$1&amp;"C"&amp;$A13)="N/A",0,RTD("tos.rtd",,BL$2,"."&amp;$A$2&amp;$AU$1&amp;"C"&amp;$A13)))</f>
        <v>#NUM!</v>
      </c>
      <c r="BM13" s="3" t="e">
        <f ca="1">IF($BP$1=1,EA13,-IF(RTD("tos.rtd",,BM$2,"."&amp;$A$2&amp;$AU$1&amp;"P"&amp;$A13)="N/A",0,RTD("tos.rtd",,BM$2,"."&amp;$A$2&amp;$AU$1&amp;"P"&amp;$A13)))</f>
        <v>#NUM!</v>
      </c>
      <c r="BN13" s="3" t="e">
        <f ca="1">IF($BP$1=1,EB13,IF(RTD("tos.rtd",,BN$2,"."&amp;$A$2&amp;$AW$1&amp;"C"&amp;$A13)="N/A",0,RTD("tos.rtd",,BN$2,"."&amp;$A$2&amp;$AW$1&amp;"C"&amp;$A13)))</f>
        <v>#NUM!</v>
      </c>
      <c r="BO13" s="3" t="e">
        <f ca="1">IF($BP$1=1,EC13,-IF(RTD("tos.rtd",,BO$2,"."&amp;$A$2&amp;$AW$1&amp;"P"&amp;$A13)="N/A",0,RTD("tos.rtd",,BO$2,"."&amp;$A$2&amp;$AW$1&amp;"P"&amp;$A13)))</f>
        <v>#NUM!</v>
      </c>
      <c r="BQ13" s="3" t="e">
        <f t="shared" ca="1" si="87"/>
        <v>#NUM!</v>
      </c>
      <c r="BR13" s="3" t="e">
        <f t="shared" ca="1" si="69"/>
        <v>#NUM!</v>
      </c>
      <c r="BS13" s="3" t="e">
        <f t="shared" ca="1" si="88"/>
        <v>#NUM!</v>
      </c>
      <c r="BT13" s="3" t="e">
        <f t="shared" ca="1" si="69"/>
        <v>#NUM!</v>
      </c>
      <c r="BU13" s="3" t="e">
        <f t="shared" ca="1" si="89"/>
        <v>#NUM!</v>
      </c>
      <c r="BV13" s="3" t="e">
        <f t="shared" ref="BV13" ca="1" si="120">IF(AND(BU13&lt;0,BU12&gt;0), "Cruce -", IF(AND(BU13&gt;0,BU12&lt;0),"Cruce +", ""))</f>
        <v>#NUM!</v>
      </c>
      <c r="BX13" s="3" t="e">
        <f t="shared" ca="1" si="91"/>
        <v>#NUM!</v>
      </c>
      <c r="BY13" s="3" t="e">
        <f t="shared" ca="1" si="71"/>
        <v>#NUM!</v>
      </c>
      <c r="BZ13" s="3" t="e">
        <f t="shared" ca="1" si="92"/>
        <v>#NUM!</v>
      </c>
      <c r="CA13" s="3" t="e">
        <f t="shared" ca="1" si="72"/>
        <v>#NUM!</v>
      </c>
      <c r="CB13" s="3" t="e">
        <f t="shared" ca="1" si="93"/>
        <v>#NUM!</v>
      </c>
      <c r="CC13" s="3" t="e">
        <f t="shared" ca="1" si="73"/>
        <v>#NUM!</v>
      </c>
      <c r="CD13" s="3">
        <f>IF(RTD("tos.rtd",,CD$2,"."&amp;$A$2&amp;$AS$1&amp;"C"&amp;$A13)="N/A",0,RTD("tos.rtd",,CD$2,"."&amp;$A$2&amp;$AS$1&amp;"C"&amp;$A13))</f>
        <v>0.01</v>
      </c>
      <c r="CE13" s="3">
        <f>-IF(RTD("tos.rtd",,CE$2,"."&amp;$A$2&amp;$AS$1&amp;"P"&amp;$A13)="N/A",0,RTD("tos.rtd",,CE$2,"."&amp;$A$2&amp;$AS$1&amp;"P"&amp;$A13))</f>
        <v>0.75</v>
      </c>
      <c r="CF13" s="3">
        <f>IF(RTD("tos.rtd",,CF$2,"."&amp;$A$2&amp;$AU$1&amp;"C"&amp;$A13)="N/A",0,RTD("tos.rtd",,CF$2,"."&amp;$A$2&amp;$AU$1&amp;"C"&amp;$A13))</f>
        <v>0.01</v>
      </c>
      <c r="CG13" s="3">
        <f>-IF(RTD("tos.rtd",,CG$2,"."&amp;$A$2&amp;$AU$1&amp;"P"&amp;$A13)="N/A",0,RTD("tos.rtd",,CG$2,"."&amp;$A$2&amp;$AU$1&amp;"P"&amp;$A13))</f>
        <v>0.86</v>
      </c>
      <c r="CH13" s="3">
        <f>IF(RTD("tos.rtd",,CH$2,"."&amp;$A$2&amp;$AW$1&amp;"C"&amp;$A13)="N/A",0,RTD("tos.rtd",,CH$2,"."&amp;$A$2&amp;$AW$1&amp;"C"&amp;$A13))</f>
        <v>0.3</v>
      </c>
      <c r="CI13" s="3">
        <f>-IF(RTD("tos.rtd",,CI$2,"."&amp;$A$2&amp;$AW$1&amp;"P"&amp;$A13)="N/A",0,RTD("tos.rtd",,CI$2,"."&amp;$A$2&amp;$AW$1&amp;"P"&amp;$A13))</f>
        <v>0.69</v>
      </c>
      <c r="CK13" s="3">
        <f t="shared" si="94"/>
        <v>-1869</v>
      </c>
      <c r="CL13" s="3"/>
      <c r="CM13" s="3">
        <f t="shared" si="95"/>
        <v>-10288</v>
      </c>
      <c r="CN13" s="3"/>
      <c r="CO13" s="3">
        <f t="shared" si="96"/>
        <v>75072</v>
      </c>
      <c r="CP13" s="3">
        <f t="shared" si="97"/>
        <v>62915</v>
      </c>
      <c r="CQ13" s="3">
        <f t="shared" si="98"/>
        <v>0</v>
      </c>
      <c r="CR13" s="3"/>
      <c r="CS13" s="3">
        <f t="shared" si="99"/>
        <v>35680</v>
      </c>
      <c r="CT13" s="3"/>
      <c r="CU13" s="3">
        <f t="shared" si="100"/>
        <v>1987</v>
      </c>
      <c r="CV13" s="3">
        <f t="shared" si="101"/>
        <v>37667</v>
      </c>
      <c r="CW13" s="3" t="e">
        <f t="shared" ca="1" si="102"/>
        <v>#NUM!</v>
      </c>
      <c r="CX13" s="85" t="e">
        <f t="shared" ca="1" si="74"/>
        <v>#NUM!</v>
      </c>
      <c r="CY13" s="3" t="e">
        <f t="shared" ca="1" si="103"/>
        <v>#NUM!</v>
      </c>
      <c r="CZ13" s="85" t="e">
        <f t="shared" ca="1" si="75"/>
        <v>#NUM!</v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9.65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10.81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8.93</v>
      </c>
      <c r="DG13" s="86">
        <f t="shared" si="48"/>
        <v>8.2000000000000455</v>
      </c>
      <c r="DH13" s="3">
        <f t="shared" si="104"/>
        <v>-15236</v>
      </c>
      <c r="DI13" s="3">
        <f t="shared" si="105"/>
        <v>305.61702127659589</v>
      </c>
      <c r="DJ13" s="3">
        <f t="shared" si="106"/>
        <v>-15236</v>
      </c>
      <c r="DK13" s="3">
        <f t="shared" si="51"/>
        <v>-798</v>
      </c>
      <c r="DL13" s="3">
        <f t="shared" si="52"/>
        <v>-14930.382978723404</v>
      </c>
      <c r="DM13" s="3">
        <f t="shared" si="53"/>
        <v>-16034</v>
      </c>
      <c r="DN13" s="63" t="str">
        <f t="shared" si="54"/>
        <v>UNKNOWN</v>
      </c>
      <c r="DO13" s="63" t="str">
        <f t="shared" si="55"/>
        <v>UNKNOWN</v>
      </c>
      <c r="DP13" s="3">
        <f t="shared" si="56"/>
        <v>2796.8442553191503</v>
      </c>
      <c r="DQ13" s="3">
        <f t="shared" si="57"/>
        <v>-7853.06</v>
      </c>
      <c r="DR13" s="3" t="e">
        <f t="shared" ca="1" si="58"/>
        <v>#NUM!</v>
      </c>
      <c r="DS13" s="3">
        <f t="shared" si="59"/>
        <v>-750.86</v>
      </c>
      <c r="DT13" s="3">
        <f t="shared" si="60"/>
        <v>-15236</v>
      </c>
      <c r="DU13" s="3">
        <f t="shared" si="61"/>
        <v>798</v>
      </c>
      <c r="DV13" s="3">
        <f t="shared" si="62"/>
        <v>-2254</v>
      </c>
      <c r="DW13" s="3">
        <f t="shared" si="23"/>
        <v>-125</v>
      </c>
      <c r="DX13" s="3" t="e">
        <f t="shared" ca="1" si="24"/>
        <v>#NUM!</v>
      </c>
      <c r="DY13" s="3" t="e">
        <f t="shared" ca="1" si="25"/>
        <v>#NUM!</v>
      </c>
      <c r="DZ13" s="3" t="e">
        <f t="shared" ca="1" si="26"/>
        <v>#NUM!</v>
      </c>
      <c r="EA13" s="3" t="e">
        <f t="shared" ca="1" si="27"/>
        <v>#NUM!</v>
      </c>
      <c r="EB13" s="3" t="e">
        <f t="shared" ca="1" si="28"/>
        <v>#NUM!</v>
      </c>
      <c r="EC13" s="3" t="e">
        <f t="shared" ca="1" si="29"/>
        <v>#NUM!</v>
      </c>
      <c r="EE13" s="59">
        <f t="shared" si="107"/>
        <v>0.74029999999999996</v>
      </c>
      <c r="EF13" s="59">
        <f t="shared" si="108"/>
        <v>2.7258</v>
      </c>
      <c r="EG13" s="59">
        <f t="shared" si="109"/>
        <v>0.74029999999999996</v>
      </c>
      <c r="EH13" s="59">
        <f t="shared" si="110"/>
        <v>1.7396</v>
      </c>
      <c r="EI13" s="59">
        <f t="shared" si="111"/>
        <v>0.22450000000000001</v>
      </c>
      <c r="EJ13" s="59">
        <f t="shared" si="112"/>
        <v>0.23760000000000001</v>
      </c>
      <c r="EL13" s="3" t="str">
        <f>RTD("tos.rtd",,EL$2,"."&amp;$A$2&amp;$AS$1&amp;"C"&amp;$A13)</f>
        <v>74.03%</v>
      </c>
      <c r="EM13" s="3" t="str">
        <f>RTD("tos.rtd",,EM$2,"."&amp;$A$2&amp;$AS$1&amp;"P"&amp;$A13)</f>
        <v>272.58%</v>
      </c>
      <c r="EN13" s="3" t="str">
        <f>RTD("tos.rtd",,EN$2,"."&amp;$A$2&amp;$AU$1&amp;"C"&amp;$A13)</f>
        <v>74.03%</v>
      </c>
      <c r="EO13" s="3" t="str">
        <f>RTD("tos.rtd",,EO$2,"."&amp;$A$2&amp;$AU$1&amp;"P"&amp;$A13)</f>
        <v>173.96%</v>
      </c>
      <c r="EP13" s="3" t="str">
        <f>RTD("tos.rtd",,EP$2,"."&amp;$A$2&amp;$AW$1&amp;"C"&amp;$A13)</f>
        <v>22.45%</v>
      </c>
      <c r="EQ13" s="3" t="str">
        <f>RTD("tos.rtd",,EQ$2,"."&amp;$A$2&amp;$AW$1&amp;"P"&amp;$A13)</f>
        <v>23.76%</v>
      </c>
      <c r="ES13" s="63" t="str">
        <f t="shared" si="64"/>
        <v>573,-2379.00</v>
      </c>
      <c r="ET13" s="63" t="str">
        <f t="shared" ca="1" si="65"/>
        <v>573,00.00</v>
      </c>
      <c r="EU13" s="67">
        <v>562.66999999999996</v>
      </c>
      <c r="EV13" s="67" t="s">
        <v>123</v>
      </c>
      <c r="EW13" s="67">
        <v>484.84</v>
      </c>
      <c r="EX13" s="67" t="s">
        <v>124</v>
      </c>
      <c r="EY13" s="67">
        <v>5640.5</v>
      </c>
      <c r="EZ13" s="67" t="s">
        <v>125</v>
      </c>
      <c r="FA13" s="67">
        <v>19917.5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6"/>
        <v>572</v>
      </c>
      <c r="B14" s="3">
        <f t="shared" si="80"/>
        <v>4678</v>
      </c>
      <c r="C14" s="3">
        <f t="shared" si="81"/>
        <v>14022</v>
      </c>
      <c r="D14" s="3">
        <f t="shared" si="82"/>
        <v>3639</v>
      </c>
      <c r="E14" s="3">
        <f t="shared" si="83"/>
        <v>22339</v>
      </c>
      <c r="F14" s="4">
        <f t="shared" si="84"/>
        <v>5756.4589235127478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-2154</v>
      </c>
      <c r="AN14" s="1">
        <v>-484</v>
      </c>
      <c r="AO14" s="1">
        <v>572</v>
      </c>
      <c r="AP14" s="1">
        <v>27774</v>
      </c>
      <c r="AQ14" s="1">
        <v>-961</v>
      </c>
      <c r="AR14" s="1"/>
      <c r="AS14" s="6">
        <f>IF(RTD("tos.rtd",,AS$2,"."&amp;$A$2&amp;$AS$1&amp;"C"&amp;$A14)="N/A",0,RTD("tos.rtd",,AS$2,"."&amp;$A$2&amp;$AS$1&amp;"C"&amp;$A14))</f>
        <v>3978</v>
      </c>
      <c r="AT14" s="7">
        <f>-IF(RTD("tos.rtd",,AT$2,"."&amp;$A$2&amp;$AS$1&amp;"P"&amp;$A14)="N/A",0,RTD("tos.rtd",,AT$2,"."&amp;$A$2&amp;$AS$1&amp;"P"&amp;$A14))</f>
        <v>-700</v>
      </c>
      <c r="AU14" s="6">
        <f>IF(RTD("tos.rtd",,AU$2,"."&amp;$A$2&amp;$AU$1&amp;"C"&amp;$A14)="N/A",0,RTD("tos.rtd",,AU$2,"."&amp;$A$2&amp;$AU$1&amp;"C"&amp;$A14))</f>
        <v>13194</v>
      </c>
      <c r="AV14" s="7">
        <f>-IF(RTD("tos.rtd",,AV$2,"."&amp;$A$2&amp;$AU$1&amp;"P"&amp;$A14)="N/A",0,RTD("tos.rtd",,AV$2,"."&amp;$A$2&amp;$AU$1&amp;"P"&amp;$A14))</f>
        <v>-828</v>
      </c>
      <c r="AW14" s="6">
        <f>IF(RTD("tos.rtd",,AW$2,"."&amp;$A$2&amp;$AW$1&amp;"C"&amp;$A14)="N/A",0,RTD("tos.rtd",,AW$2,"."&amp;$A$2&amp;$AW$1&amp;"C"&amp;$A14))</f>
        <v>2830</v>
      </c>
      <c r="AX14" s="7">
        <f>-IF(RTD("tos.rtd",,AX$2,"."&amp;$A$2&amp;$AW$1&amp;"P"&amp;$A14)="N/A",0,RTD("tos.rtd",,AX$2,"."&amp;$A$2&amp;$AW$1&amp;"P"&amp;$A14))</f>
        <v>-809</v>
      </c>
      <c r="AY14" s="1">
        <f t="shared" si="85"/>
        <v>17665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0</v>
      </c>
      <c r="BB14" s="7">
        <f>-IF(RTD("tos.rtd",,BB$2,"."&amp;$A$2&amp;$AS$1&amp;"P"&amp;$A14)="N/A",0,RTD("tos.rtd",,BB$2,"."&amp;$A$2&amp;$AS$1&amp;"P"&amp;$A14))</f>
        <v>0</v>
      </c>
      <c r="BC14" s="6">
        <f>IF(RTD("tos.rtd",,BC$2,"."&amp;$A$2&amp;$AU$1&amp;"C"&amp;$A14)="N/A",0,RTD("tos.rtd",,BC$2,"."&amp;$A$2&amp;$AU$1&amp;"C"&amp;$A14))</f>
        <v>73412</v>
      </c>
      <c r="BD14" s="7">
        <f>-IF(RTD("tos.rtd",,BD$2,"."&amp;$A$2&amp;$AU$1&amp;"P"&amp;$A14)="N/A",0,RTD("tos.rtd",,BD$2,"."&amp;$A$2&amp;$AU$1&amp;"P"&amp;$A14))</f>
        <v>-1733</v>
      </c>
      <c r="BE14" s="6">
        <f>IF(RTD("tos.rtd",,BE$2,"."&amp;$A$2&amp;$AW$1&amp;"C"&amp;$A14)="N/A",0,RTD("tos.rtd",,BE$2,"."&amp;$A$2&amp;$AW$1&amp;"C"&amp;$A14))</f>
        <v>2726</v>
      </c>
      <c r="BF14" s="83">
        <f>-IF(RTD("tos.rtd",,BF$2,"."&amp;$A$2&amp;$AW$1&amp;"P"&amp;$A14)="N/A",0,RTD("tos.rtd",,BF$2,"."&amp;$A$2&amp;$AW$1&amp;"P"&amp;$A14))</f>
        <v>-67</v>
      </c>
      <c r="BG14" s="32">
        <f ca="1">+Hoja2!Y15</f>
        <v>1426</v>
      </c>
      <c r="BH14" s="7">
        <f t="shared" ca="1" si="36"/>
        <v>75764</v>
      </c>
      <c r="BI14" s="8" t="str">
        <f t="shared" ref="BI14" ca="1" si="121">IF(AND(BH14&lt;0,BH13&gt;0), "Cruce -", IF(AND(BH14&gt;0,BH13&lt;0),"Cruce +", ""))</f>
        <v/>
      </c>
      <c r="BJ14" s="3" t="e">
        <f ca="1">IF($BP$1=1,DX14,IF(RTD("tos.rtd",,BJ$2,"."&amp;$A$2&amp;$AS$1&amp;"C"&amp;$A14)="N/A",0,RTD("tos.rtd",,BJ$2,"."&amp;$A$2&amp;$AS$1&amp;"C"&amp;$A14)))</f>
        <v>#NUM!</v>
      </c>
      <c r="BK14" s="3" t="e">
        <f ca="1">IF($BP$1=1,DY14,-IF(RTD("tos.rtd",,BK$2,"."&amp;$A$2&amp;$AS$1&amp;"P"&amp;$A14)="N/A",0,RTD("tos.rtd",,BK$2,"."&amp;$A$2&amp;$AS$1&amp;"P"&amp;$A14)))</f>
        <v>#NUM!</v>
      </c>
      <c r="BL14" s="3" t="e">
        <f ca="1">IF($BP$1=1,DZ14,IF(RTD("tos.rtd",,BL$2,"."&amp;$A$2&amp;$AU$1&amp;"C"&amp;$A14)="N/A",0,RTD("tos.rtd",,BL$2,"."&amp;$A$2&amp;$AU$1&amp;"C"&amp;$A14)))</f>
        <v>#NUM!</v>
      </c>
      <c r="BM14" s="3" t="e">
        <f ca="1">IF($BP$1=1,EA14,-IF(RTD("tos.rtd",,BM$2,"."&amp;$A$2&amp;$AU$1&amp;"P"&amp;$A14)="N/A",0,RTD("tos.rtd",,BM$2,"."&amp;$A$2&amp;$AU$1&amp;"P"&amp;$A14)))</f>
        <v>#NUM!</v>
      </c>
      <c r="BN14" s="3" t="e">
        <f ca="1">IF($BP$1=1,EB14,IF(RTD("tos.rtd",,BN$2,"."&amp;$A$2&amp;$AW$1&amp;"C"&amp;$A14)="N/A",0,RTD("tos.rtd",,BN$2,"."&amp;$A$2&amp;$AW$1&amp;"C"&amp;$A14)))</f>
        <v>#NUM!</v>
      </c>
      <c r="BO14" s="3" t="e">
        <f ca="1">IF($BP$1=1,EC14,-IF(RTD("tos.rtd",,BO$2,"."&amp;$A$2&amp;$AW$1&amp;"P"&amp;$A14)="N/A",0,RTD("tos.rtd",,BO$2,"."&amp;$A$2&amp;$AW$1&amp;"P"&amp;$A14)))</f>
        <v>#NUM!</v>
      </c>
      <c r="BQ14" s="3" t="e">
        <f t="shared" ca="1" si="87"/>
        <v>#NUM!</v>
      </c>
      <c r="BR14" s="3" t="e">
        <f t="shared" ca="1" si="69"/>
        <v>#NUM!</v>
      </c>
      <c r="BS14" s="3" t="e">
        <f t="shared" ca="1" si="88"/>
        <v>#NUM!</v>
      </c>
      <c r="BT14" s="3" t="e">
        <f t="shared" ca="1" si="69"/>
        <v>#NUM!</v>
      </c>
      <c r="BU14" s="3" t="e">
        <f t="shared" ca="1" si="89"/>
        <v>#NUM!</v>
      </c>
      <c r="BV14" s="3" t="e">
        <f t="shared" ref="BV14" ca="1" si="122">IF(AND(BU14&lt;0,BU13&gt;0), "Cruce -", IF(AND(BU14&gt;0,BU13&lt;0),"Cruce +", ""))</f>
        <v>#NUM!</v>
      </c>
      <c r="BX14" s="3" t="e">
        <f t="shared" ca="1" si="91"/>
        <v>#NUM!</v>
      </c>
      <c r="BY14" s="3" t="e">
        <f t="shared" ca="1" si="71"/>
        <v>#NUM!</v>
      </c>
      <c r="BZ14" s="3" t="e">
        <f t="shared" ca="1" si="92"/>
        <v>#NUM!</v>
      </c>
      <c r="CA14" s="3" t="e">
        <f t="shared" ca="1" si="72"/>
        <v>#NUM!</v>
      </c>
      <c r="CB14" s="3" t="e">
        <f t="shared" ca="1" si="93"/>
        <v>#NUM!</v>
      </c>
      <c r="CC14" s="3" t="e">
        <f t="shared" ca="1" si="73"/>
        <v>#NUM!</v>
      </c>
      <c r="CD14" s="3">
        <f>IF(RTD("tos.rtd",,CD$2,"."&amp;$A$2&amp;$AS$1&amp;"C"&amp;$A14)="N/A",0,RTD("tos.rtd",,CD$2,"."&amp;$A$2&amp;$AS$1&amp;"C"&amp;$A14))</f>
        <v>0.01</v>
      </c>
      <c r="CE14" s="3">
        <f>-IF(RTD("tos.rtd",,CE$2,"."&amp;$A$2&amp;$AS$1&amp;"P"&amp;$A14)="N/A",0,RTD("tos.rtd",,CE$2,"."&amp;$A$2&amp;$AS$1&amp;"P"&amp;$A14))</f>
        <v>0.74</v>
      </c>
      <c r="CF14" s="3">
        <f>IF(RTD("tos.rtd",,CF$2,"."&amp;$A$2&amp;$AU$1&amp;"C"&amp;$A14)="N/A",0,RTD("tos.rtd",,CF$2,"."&amp;$A$2&amp;$AU$1&amp;"C"&amp;$A14))</f>
        <v>0.01</v>
      </c>
      <c r="CG14" s="3">
        <f>-IF(RTD("tos.rtd",,CG$2,"."&amp;$A$2&amp;$AU$1&amp;"P"&amp;$A14)="N/A",0,RTD("tos.rtd",,CG$2,"."&amp;$A$2&amp;$AU$1&amp;"P"&amp;$A14))</f>
        <v>0.87</v>
      </c>
      <c r="CH14" s="3">
        <f>IF(RTD("tos.rtd",,CH$2,"."&amp;$A$2&amp;$AW$1&amp;"C"&amp;$A14)="N/A",0,RTD("tos.rtd",,CH$2,"."&amp;$A$2&amp;$AW$1&amp;"C"&amp;$A14))</f>
        <v>0.33</v>
      </c>
      <c r="CI14" s="3">
        <f>-IF(RTD("tos.rtd",,CI$2,"."&amp;$A$2&amp;$AW$1&amp;"P"&amp;$A14)="N/A",0,RTD("tos.rtd",,CI$2,"."&amp;$A$2&amp;$AW$1&amp;"P"&amp;$A14))</f>
        <v>0.67</v>
      </c>
      <c r="CK14" s="3">
        <f t="shared" si="94"/>
        <v>-47822</v>
      </c>
      <c r="CL14" s="3"/>
      <c r="CM14" s="3">
        <f t="shared" si="95"/>
        <v>-58842</v>
      </c>
      <c r="CN14" s="3"/>
      <c r="CO14" s="3">
        <f t="shared" si="96"/>
        <v>39187.000000000007</v>
      </c>
      <c r="CP14" s="3">
        <f t="shared" si="97"/>
        <v>-67477</v>
      </c>
      <c r="CQ14" s="3">
        <f t="shared" si="98"/>
        <v>0</v>
      </c>
      <c r="CR14" s="3"/>
      <c r="CS14" s="3">
        <f t="shared" si="99"/>
        <v>71679</v>
      </c>
      <c r="CT14" s="3"/>
      <c r="CU14" s="3">
        <f t="shared" si="100"/>
        <v>2659</v>
      </c>
      <c r="CV14" s="3">
        <f t="shared" si="101"/>
        <v>74338</v>
      </c>
      <c r="CW14" s="3" t="e">
        <f t="shared" ca="1" si="102"/>
        <v>#NUM!</v>
      </c>
      <c r="CX14" s="85" t="e">
        <f t="shared" ca="1" si="74"/>
        <v>#NUM!</v>
      </c>
      <c r="CY14" s="3" t="e">
        <f t="shared" ca="1" si="103"/>
        <v>#NUM!</v>
      </c>
      <c r="CZ14" s="85" t="e">
        <f t="shared" ca="1" si="75"/>
        <v>#NUM!</v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8.56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9.81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7.93</v>
      </c>
      <c r="DG14" s="86">
        <f t="shared" si="48"/>
        <v>7.2000000000000455</v>
      </c>
      <c r="DH14" s="3">
        <f t="shared" si="104"/>
        <v>-27774</v>
      </c>
      <c r="DI14" s="3">
        <f t="shared" si="105"/>
        <v>322.03723404255345</v>
      </c>
      <c r="DJ14" s="3">
        <f t="shared" si="106"/>
        <v>-27774</v>
      </c>
      <c r="DK14" s="3">
        <f t="shared" si="51"/>
        <v>-961</v>
      </c>
      <c r="DL14" s="3">
        <f t="shared" si="52"/>
        <v>-27451.962765957447</v>
      </c>
      <c r="DM14" s="3">
        <f t="shared" si="53"/>
        <v>-28735</v>
      </c>
      <c r="DN14" s="63" t="str">
        <f t="shared" si="54"/>
        <v>UNKNOWN</v>
      </c>
      <c r="DO14" s="63" t="str">
        <f t="shared" si="55"/>
        <v>UNKNOWN</v>
      </c>
      <c r="DP14" s="3">
        <f t="shared" si="56"/>
        <v>2478.8987234042579</v>
      </c>
      <c r="DQ14" s="3">
        <f t="shared" si="57"/>
        <v>-8503.9</v>
      </c>
      <c r="DR14" s="3" t="e">
        <f t="shared" ca="1" si="58"/>
        <v>#NUM!</v>
      </c>
      <c r="DS14" s="3">
        <f t="shared" si="59"/>
        <v>-988.88</v>
      </c>
      <c r="DT14" s="3">
        <f t="shared" si="60"/>
        <v>-27774</v>
      </c>
      <c r="DU14" s="3">
        <f t="shared" si="61"/>
        <v>961</v>
      </c>
      <c r="DV14" s="3">
        <f t="shared" si="62"/>
        <v>-2154</v>
      </c>
      <c r="DW14" s="3">
        <f t="shared" si="23"/>
        <v>-484</v>
      </c>
      <c r="DX14" s="3" t="e">
        <f t="shared" ca="1" si="24"/>
        <v>#NUM!</v>
      </c>
      <c r="DY14" s="3" t="e">
        <f t="shared" ca="1" si="25"/>
        <v>#NUM!</v>
      </c>
      <c r="DZ14" s="3" t="e">
        <f t="shared" ca="1" si="26"/>
        <v>#NUM!</v>
      </c>
      <c r="EA14" s="3" t="e">
        <f t="shared" ca="1" si="27"/>
        <v>#NUM!</v>
      </c>
      <c r="EB14" s="3" t="e">
        <f t="shared" ca="1" si="28"/>
        <v>#NUM!</v>
      </c>
      <c r="EC14" s="3" t="e">
        <f t="shared" ca="1" si="29"/>
        <v>#NUM!</v>
      </c>
      <c r="EE14" s="59">
        <f t="shared" si="107"/>
        <v>0.66</v>
      </c>
      <c r="EF14" s="59">
        <f t="shared" si="108"/>
        <v>2.5451999999999999</v>
      </c>
      <c r="EG14" s="59">
        <f t="shared" si="109"/>
        <v>0.66</v>
      </c>
      <c r="EH14" s="59">
        <f t="shared" si="110"/>
        <v>1.4936</v>
      </c>
      <c r="EI14" s="59">
        <f t="shared" si="111"/>
        <v>0.22589999999999999</v>
      </c>
      <c r="EJ14" s="59">
        <f t="shared" si="112"/>
        <v>0.23830000000000001</v>
      </c>
      <c r="EL14" s="3" t="str">
        <f>RTD("tos.rtd",,EL$2,"."&amp;$A$2&amp;$AS$1&amp;"C"&amp;$A14)</f>
        <v>66.00%</v>
      </c>
      <c r="EM14" s="3" t="str">
        <f>RTD("tos.rtd",,EM$2,"."&amp;$A$2&amp;$AS$1&amp;"P"&amp;$A14)</f>
        <v>254.52%</v>
      </c>
      <c r="EN14" s="3" t="str">
        <f>RTD("tos.rtd",,EN$2,"."&amp;$A$2&amp;$AU$1&amp;"C"&amp;$A14)</f>
        <v>66.00%</v>
      </c>
      <c r="EO14" s="3" t="str">
        <f>RTD("tos.rtd",,EO$2,"."&amp;$A$2&amp;$AU$1&amp;"P"&amp;$A14)</f>
        <v>149.36%</v>
      </c>
      <c r="EP14" s="3" t="str">
        <f>RTD("tos.rtd",,EP$2,"."&amp;$A$2&amp;$AW$1&amp;"C"&amp;$A14)</f>
        <v>22.59%</v>
      </c>
      <c r="EQ14" s="3" t="str">
        <f>RTD("tos.rtd",,EQ$2,"."&amp;$A$2&amp;$AW$1&amp;"P"&amp;$A14)</f>
        <v>23.83%</v>
      </c>
      <c r="ES14" s="63" t="str">
        <f t="shared" si="64"/>
        <v>572,-2638.00</v>
      </c>
      <c r="ET14" s="63" t="str">
        <f t="shared" ca="1" si="65"/>
        <v>572,00.00</v>
      </c>
      <c r="EU14" s="67">
        <v>562.72</v>
      </c>
      <c r="EV14" s="67" t="s">
        <v>131</v>
      </c>
      <c r="EW14" s="67">
        <v>484.83</v>
      </c>
      <c r="EX14" s="67" t="s">
        <v>132</v>
      </c>
      <c r="EY14" s="67">
        <v>5640.5</v>
      </c>
      <c r="EZ14" s="67" t="s">
        <v>133</v>
      </c>
      <c r="FA14" s="67">
        <v>19918.5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6"/>
        <v>571</v>
      </c>
      <c r="B15" s="3">
        <f t="shared" si="9"/>
        <v>4085</v>
      </c>
      <c r="C15" s="3">
        <f t="shared" si="10"/>
        <v>10817</v>
      </c>
      <c r="D15" s="3">
        <f t="shared" si="11"/>
        <v>3968</v>
      </c>
      <c r="E15" s="3">
        <f t="shared" si="12"/>
        <v>18870</v>
      </c>
      <c r="F15" s="4">
        <f t="shared" si="13"/>
        <v>5746.3951841359776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-725</v>
      </c>
      <c r="AN15" s="1">
        <v>232</v>
      </c>
      <c r="AO15" s="1">
        <v>571</v>
      </c>
      <c r="AP15" s="1">
        <v>37967</v>
      </c>
      <c r="AQ15" s="1">
        <v>-767</v>
      </c>
      <c r="AR15" s="1"/>
      <c r="AS15" s="6">
        <f>IF(RTD("tos.rtd",,AS$2,"."&amp;$A$2&amp;$AS$1&amp;"C"&amp;$A15)="N/A",0,RTD("tos.rtd",,AS$2,"."&amp;$A$2&amp;$AS$1&amp;"C"&amp;$A15))</f>
        <v>3514</v>
      </c>
      <c r="AT15" s="7">
        <f>-IF(RTD("tos.rtd",,AT$2,"."&amp;$A$2&amp;$AS$1&amp;"P"&amp;$A15)="N/A",0,RTD("tos.rtd",,AT$2,"."&amp;$A$2&amp;$AS$1&amp;"P"&amp;$A15))</f>
        <v>-571</v>
      </c>
      <c r="AU15" s="6">
        <f>IF(RTD("tos.rtd",,AU$2,"."&amp;$A$2&amp;$AU$1&amp;"C"&amp;$A15)="N/A",0,RTD("tos.rtd",,AU$2,"."&amp;$A$2&amp;$AU$1&amp;"C"&amp;$A15))</f>
        <v>8834</v>
      </c>
      <c r="AV15" s="7">
        <f>-IF(RTD("tos.rtd",,AV$2,"."&amp;$A$2&amp;$AU$1&amp;"P"&amp;$A15)="N/A",0,RTD("tos.rtd",,AV$2,"."&amp;$A$2&amp;$AU$1&amp;"P"&amp;$A15))</f>
        <v>-1983</v>
      </c>
      <c r="AW15" s="6">
        <f>IF(RTD("tos.rtd",,AW$2,"."&amp;$A$2&amp;$AW$1&amp;"C"&amp;$A15)="N/A",0,RTD("tos.rtd",,AW$2,"."&amp;$A$2&amp;$AW$1&amp;"C"&amp;$A15))</f>
        <v>3097</v>
      </c>
      <c r="AX15" s="7">
        <f>-IF(RTD("tos.rtd",,AX$2,"."&amp;$A$2&amp;$AW$1&amp;"P"&amp;$A15)="N/A",0,RTD("tos.rtd",,AX$2,"."&amp;$A$2&amp;$AW$1&amp;"P"&amp;$A15))</f>
        <v>-871</v>
      </c>
      <c r="AY15" s="1">
        <f t="shared" si="67"/>
        <v>12020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0</v>
      </c>
      <c r="BB15" s="7">
        <f>-IF(RTD("tos.rtd",,BB$2,"."&amp;$A$2&amp;$AS$1&amp;"P"&amp;$A15)="N/A",0,RTD("tos.rtd",,BB$2,"."&amp;$A$2&amp;$AS$1&amp;"P"&amp;$A15))</f>
        <v>0</v>
      </c>
      <c r="BC15" s="6">
        <f>IF(RTD("tos.rtd",,BC$2,"."&amp;$A$2&amp;$AU$1&amp;"C"&amp;$A15)="N/A",0,RTD("tos.rtd",,BC$2,"."&amp;$A$2&amp;$AU$1&amp;"C"&amp;$A15))</f>
        <v>81781</v>
      </c>
      <c r="BD15" s="7">
        <f>-IF(RTD("tos.rtd",,BD$2,"."&amp;$A$2&amp;$AU$1&amp;"P"&amp;$A15)="N/A",0,RTD("tos.rtd",,BD$2,"."&amp;$A$2&amp;$AU$1&amp;"P"&amp;$A15))</f>
        <v>-1727</v>
      </c>
      <c r="BE15" s="6">
        <f>IF(RTD("tos.rtd",,BE$2,"."&amp;$A$2&amp;$AW$1&amp;"C"&amp;$A15)="N/A",0,RTD("tos.rtd",,BE$2,"."&amp;$A$2&amp;$AW$1&amp;"C"&amp;$A15))</f>
        <v>3571</v>
      </c>
      <c r="BF15" s="83">
        <f>-IF(RTD("tos.rtd",,BF$2,"."&amp;$A$2&amp;$AW$1&amp;"P"&amp;$A15)="N/A",0,RTD("tos.rtd",,BF$2,"."&amp;$A$2&amp;$AW$1&amp;"P"&amp;$A15))</f>
        <v>-17</v>
      </c>
      <c r="BG15" s="32">
        <f ca="1">+Hoja2!Y16</f>
        <v>2170</v>
      </c>
      <c r="BH15" s="7">
        <f t="shared" ca="1" si="36"/>
        <v>85778</v>
      </c>
      <c r="BI15" s="8" t="str">
        <f t="shared" ref="BI15" ca="1" si="123">IF(AND(BH15&lt;0,BH14&gt;0), "Cruce -", IF(AND(BH15&gt;0,BH14&lt;0),"Cruce +", ""))</f>
        <v/>
      </c>
      <c r="BJ15" s="3" t="e">
        <f ca="1">IF($BP$1=1,DX15,IF(RTD("tos.rtd",,BJ$2,"."&amp;$A$2&amp;$AS$1&amp;"C"&amp;$A15)="N/A",0,RTD("tos.rtd",,BJ$2,"."&amp;$A$2&amp;$AS$1&amp;"C"&amp;$A15)))</f>
        <v>#NUM!</v>
      </c>
      <c r="BK15" s="3" t="e">
        <f ca="1">IF($BP$1=1,DY15,-IF(RTD("tos.rtd",,BK$2,"."&amp;$A$2&amp;$AS$1&amp;"P"&amp;$A15)="N/A",0,RTD("tos.rtd",,BK$2,"."&amp;$A$2&amp;$AS$1&amp;"P"&amp;$A15)))</f>
        <v>#NUM!</v>
      </c>
      <c r="BL15" s="3" t="e">
        <f ca="1">IF($BP$1=1,DZ15,IF(RTD("tos.rtd",,BL$2,"."&amp;$A$2&amp;$AU$1&amp;"C"&amp;$A15)="N/A",0,RTD("tos.rtd",,BL$2,"."&amp;$A$2&amp;$AU$1&amp;"C"&amp;$A15)))</f>
        <v>#NUM!</v>
      </c>
      <c r="BM15" s="3" t="e">
        <f ca="1">IF($BP$1=1,EA15,-IF(RTD("tos.rtd",,BM$2,"."&amp;$A$2&amp;$AU$1&amp;"P"&amp;$A15)="N/A",0,RTD("tos.rtd",,BM$2,"."&amp;$A$2&amp;$AU$1&amp;"P"&amp;$A15)))</f>
        <v>#NUM!</v>
      </c>
      <c r="BN15" s="3" t="e">
        <f ca="1">IF($BP$1=1,EB15,IF(RTD("tos.rtd",,BN$2,"."&amp;$A$2&amp;$AW$1&amp;"C"&amp;$A15)="N/A",0,RTD("tos.rtd",,BN$2,"."&amp;$A$2&amp;$AW$1&amp;"C"&amp;$A15)))</f>
        <v>#NUM!</v>
      </c>
      <c r="BO15" s="3" t="e">
        <f ca="1">IF($BP$1=1,EC15,-IF(RTD("tos.rtd",,BO$2,"."&amp;$A$2&amp;$AW$1&amp;"P"&amp;$A15)="N/A",0,RTD("tos.rtd",,BO$2,"."&amp;$A$2&amp;$AW$1&amp;"P"&amp;$A15)))</f>
        <v>#NUM!</v>
      </c>
      <c r="BQ15" s="3" t="e">
        <f t="shared" ca="1" si="37"/>
        <v>#NUM!</v>
      </c>
      <c r="BR15" s="3" t="e">
        <f t="shared" ca="1" si="69"/>
        <v>#NUM!</v>
      </c>
      <c r="BS15" s="3" t="e">
        <f t="shared" ca="1" si="38"/>
        <v>#NUM!</v>
      </c>
      <c r="BT15" s="3" t="e">
        <f t="shared" ca="1" si="69"/>
        <v>#NUM!</v>
      </c>
      <c r="BU15" s="3" t="e">
        <f t="shared" ca="1" si="39"/>
        <v>#NUM!</v>
      </c>
      <c r="BV15" s="3" t="e">
        <f t="shared" ref="BV15" ca="1" si="124">IF(AND(BU15&lt;0,BU14&gt;0), "Cruce -", IF(AND(BU15&gt;0,BU14&lt;0),"Cruce +", ""))</f>
        <v>#NUM!</v>
      </c>
      <c r="BX15" s="3" t="e">
        <f t="shared" ca="1" si="40"/>
        <v>#NUM!</v>
      </c>
      <c r="BY15" s="3" t="e">
        <f t="shared" ca="1" si="71"/>
        <v>#NUM!</v>
      </c>
      <c r="BZ15" s="3" t="e">
        <f t="shared" ca="1" si="41"/>
        <v>#NUM!</v>
      </c>
      <c r="CA15" s="3" t="e">
        <f t="shared" ca="1" si="72"/>
        <v>#NUM!</v>
      </c>
      <c r="CB15" s="3" t="e">
        <f t="shared" ca="1" si="42"/>
        <v>#NUM!</v>
      </c>
      <c r="CC15" s="3" t="e">
        <f t="shared" ca="1" si="73"/>
        <v>#NUM!</v>
      </c>
      <c r="CD15" s="3">
        <f>IF(RTD("tos.rtd",,CD$2,"."&amp;$A$2&amp;$AS$1&amp;"C"&amp;$A15)="N/A",0,RTD("tos.rtd",,CD$2,"."&amp;$A$2&amp;$AS$1&amp;"C"&amp;$A15))</f>
        <v>0.01</v>
      </c>
      <c r="CE15" s="3">
        <f>-IF(RTD("tos.rtd",,CE$2,"."&amp;$A$2&amp;$AS$1&amp;"P"&amp;$A15)="N/A",0,RTD("tos.rtd",,CE$2,"."&amp;$A$2&amp;$AS$1&amp;"P"&amp;$A15))</f>
        <v>0.73</v>
      </c>
      <c r="CF15" s="3">
        <f>IF(RTD("tos.rtd",,CF$2,"."&amp;$A$2&amp;$AU$1&amp;"C"&amp;$A15)="N/A",0,RTD("tos.rtd",,CF$2,"."&amp;$A$2&amp;$AU$1&amp;"C"&amp;$A15))</f>
        <v>0.01</v>
      </c>
      <c r="CG15" s="3">
        <f>-IF(RTD("tos.rtd",,CG$2,"."&amp;$A$2&amp;$AU$1&amp;"P"&amp;$A15)="N/A",0,RTD("tos.rtd",,CG$2,"."&amp;$A$2&amp;$AU$1&amp;"P"&amp;$A15))</f>
        <v>0.86</v>
      </c>
      <c r="CH15" s="3">
        <f>IF(RTD("tos.rtd",,CH$2,"."&amp;$A$2&amp;$AW$1&amp;"C"&amp;$A15)="N/A",0,RTD("tos.rtd",,CH$2,"."&amp;$A$2&amp;$AW$1&amp;"C"&amp;$A15))</f>
        <v>0.35</v>
      </c>
      <c r="CI15" s="3">
        <f>-IF(RTD("tos.rtd",,CI$2,"."&amp;$A$2&amp;$AW$1&amp;"P"&amp;$A15)="N/A",0,RTD("tos.rtd",,CI$2,"."&amp;$A$2&amp;$AW$1&amp;"P"&amp;$A15))</f>
        <v>0.64</v>
      </c>
      <c r="CK15" s="3">
        <f t="shared" si="17"/>
        <v>-38169</v>
      </c>
      <c r="CL15" s="3"/>
      <c r="CM15" s="3">
        <f t="shared" si="18"/>
        <v>-161704</v>
      </c>
      <c r="CN15" s="3"/>
      <c r="CO15" s="3">
        <f t="shared" si="19"/>
        <v>52650.999999999978</v>
      </c>
      <c r="CP15" s="3">
        <f t="shared" si="43"/>
        <v>-147222.00000000003</v>
      </c>
      <c r="CQ15" s="3">
        <f t="shared" si="44"/>
        <v>0</v>
      </c>
      <c r="CR15" s="3"/>
      <c r="CS15" s="3">
        <f t="shared" si="20"/>
        <v>80054</v>
      </c>
      <c r="CT15" s="3"/>
      <c r="CU15" s="3">
        <f t="shared" si="21"/>
        <v>3554</v>
      </c>
      <c r="CV15" s="3">
        <f t="shared" si="45"/>
        <v>83608</v>
      </c>
      <c r="CW15" s="3" t="e">
        <f t="shared" ca="1" si="46"/>
        <v>#NUM!</v>
      </c>
      <c r="CX15" s="85" t="e">
        <f t="shared" ca="1" si="74"/>
        <v>#NUM!</v>
      </c>
      <c r="CY15" s="3" t="e">
        <f t="shared" ca="1" si="47"/>
        <v>#NUM!</v>
      </c>
      <c r="CZ15" s="85" t="e">
        <f t="shared" ca="1" si="75"/>
        <v>#NUM!</v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7.78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8.81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6.93</v>
      </c>
      <c r="DG15" s="86">
        <f t="shared" si="48"/>
        <v>6.2000000000000455</v>
      </c>
      <c r="DH15" s="3">
        <f t="shared" si="22"/>
        <v>-37967</v>
      </c>
      <c r="DI15" s="3">
        <f t="shared" si="49"/>
        <v>346.78191489361706</v>
      </c>
      <c r="DJ15" s="3">
        <f t="shared" si="50"/>
        <v>-37967</v>
      </c>
      <c r="DK15" s="3">
        <f t="shared" si="51"/>
        <v>0</v>
      </c>
      <c r="DL15" s="3">
        <f t="shared" si="52"/>
        <v>-37620.218085106382</v>
      </c>
      <c r="DM15" s="3">
        <f t="shared" si="53"/>
        <v>-37967</v>
      </c>
      <c r="DN15" s="63" t="str">
        <f t="shared" si="54"/>
        <v>UNKNOWN</v>
      </c>
      <c r="DO15" s="63" t="str">
        <f t="shared" si="55"/>
        <v>UNKNOWN</v>
      </c>
      <c r="DP15" s="3">
        <f t="shared" si="56"/>
        <v>2318.2932978723406</v>
      </c>
      <c r="DQ15" s="3">
        <f t="shared" si="57"/>
        <v>-379.67</v>
      </c>
      <c r="DR15" s="3" t="e">
        <f t="shared" ca="1" si="58"/>
        <v>#NUM!</v>
      </c>
      <c r="DS15" s="3">
        <f t="shared" si="59"/>
        <v>-379.67</v>
      </c>
      <c r="DT15" s="3">
        <f t="shared" si="60"/>
        <v>-37967</v>
      </c>
      <c r="DU15" s="3">
        <f t="shared" si="61"/>
        <v>767</v>
      </c>
      <c r="DV15" s="3">
        <f t="shared" si="62"/>
        <v>-725</v>
      </c>
      <c r="DW15" s="3">
        <f t="shared" si="23"/>
        <v>232</v>
      </c>
      <c r="DX15" s="3" t="e">
        <f t="shared" ca="1" si="24"/>
        <v>#NUM!</v>
      </c>
      <c r="DY15" s="3" t="e">
        <f t="shared" ca="1" si="25"/>
        <v>#NUM!</v>
      </c>
      <c r="DZ15" s="3" t="e">
        <f t="shared" ca="1" si="26"/>
        <v>#NUM!</v>
      </c>
      <c r="EA15" s="3" t="e">
        <f t="shared" ca="1" si="27"/>
        <v>#NUM!</v>
      </c>
      <c r="EB15" s="3" t="e">
        <f t="shared" ca="1" si="28"/>
        <v>#NUM!</v>
      </c>
      <c r="EC15" s="3" t="e">
        <f t="shared" ca="1" si="29"/>
        <v>#NUM!</v>
      </c>
      <c r="EE15" s="59">
        <f t="shared" si="63"/>
        <v>0.57850000000000001</v>
      </c>
      <c r="EF15" s="59">
        <f t="shared" si="30"/>
        <v>2.3593999999999999</v>
      </c>
      <c r="EG15" s="59">
        <f t="shared" si="31"/>
        <v>0.57850000000000001</v>
      </c>
      <c r="EH15" s="59">
        <f t="shared" si="32"/>
        <v>1.3431999999999999</v>
      </c>
      <c r="EI15" s="59">
        <f t="shared" si="33"/>
        <v>0.2276</v>
      </c>
      <c r="EJ15" s="59">
        <f t="shared" si="34"/>
        <v>0.23910000000000001</v>
      </c>
      <c r="EL15" s="3" t="str">
        <f>RTD("tos.rtd",,EL$2,"."&amp;$A$2&amp;$AS$1&amp;"C"&amp;$A15)</f>
        <v>57.85%</v>
      </c>
      <c r="EM15" s="3" t="str">
        <f>RTD("tos.rtd",,EM$2,"."&amp;$A$2&amp;$AS$1&amp;"P"&amp;$A15)</f>
        <v>235.94%</v>
      </c>
      <c r="EN15" s="3" t="str">
        <f>RTD("tos.rtd",,EN$2,"."&amp;$A$2&amp;$AU$1&amp;"C"&amp;$A15)</f>
        <v>57.85%</v>
      </c>
      <c r="EO15" s="3" t="str">
        <f>RTD("tos.rtd",,EO$2,"."&amp;$A$2&amp;$AU$1&amp;"P"&amp;$A15)</f>
        <v>134.32%</v>
      </c>
      <c r="EP15" s="3" t="str">
        <f>RTD("tos.rtd",,EP$2,"."&amp;$A$2&amp;$AW$1&amp;"C"&amp;$A15)</f>
        <v>22.76%</v>
      </c>
      <c r="EQ15" s="3" t="str">
        <f>RTD("tos.rtd",,EQ$2,"."&amp;$A$2&amp;$AW$1&amp;"P"&amp;$A15)</f>
        <v>23.91%</v>
      </c>
      <c r="ES15" s="63" t="str">
        <f t="shared" si="64"/>
        <v>571,-493.00</v>
      </c>
      <c r="ET15" s="63" t="str">
        <f t="shared" ca="1" si="65"/>
        <v>571,00.00</v>
      </c>
      <c r="EU15" s="67">
        <v>562.75</v>
      </c>
      <c r="EV15" s="67" t="s">
        <v>139</v>
      </c>
      <c r="EW15" s="67">
        <v>484.97</v>
      </c>
      <c r="EX15" s="67" t="s">
        <v>140</v>
      </c>
      <c r="EY15" s="67">
        <v>5641.75</v>
      </c>
      <c r="EZ15" s="67" t="s">
        <v>141</v>
      </c>
      <c r="FA15" s="67">
        <v>19924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6"/>
        <v>570</v>
      </c>
      <c r="B16" s="3">
        <f t="shared" si="9"/>
        <v>10649</v>
      </c>
      <c r="C16" s="3">
        <f t="shared" si="10"/>
        <v>23284</v>
      </c>
      <c r="D16" s="3">
        <f>+IF($A$1="ABS",AW16-AX16,AW16+AX16)</f>
        <v>37981</v>
      </c>
      <c r="E16" s="3">
        <f t="shared" si="12"/>
        <v>71914</v>
      </c>
      <c r="F16" s="4">
        <f t="shared" si="13"/>
        <v>5736.3314447592065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5603</v>
      </c>
      <c r="AN16" s="1">
        <v>-646</v>
      </c>
      <c r="AO16" s="1">
        <v>570</v>
      </c>
      <c r="AP16" s="1">
        <v>124995</v>
      </c>
      <c r="AQ16" s="1">
        <v>-5422</v>
      </c>
      <c r="AR16" s="1"/>
      <c r="AS16" s="6">
        <f>IF(RTD("tos.rtd",,AS$2,"."&amp;$A$2&amp;$AS$1&amp;"C"&amp;$A16)="N/A",0,RTD("tos.rtd",,AS$2,"."&amp;$A$2&amp;$AS$1&amp;"C"&amp;$A16))</f>
        <v>9300</v>
      </c>
      <c r="AT16" s="7">
        <f>-IF(RTD("tos.rtd",,AT$2,"."&amp;$A$2&amp;$AS$1&amp;"P"&amp;$A16)="N/A",0,RTD("tos.rtd",,AT$2,"."&amp;$A$2&amp;$AS$1&amp;"P"&amp;$A16))</f>
        <v>-1349</v>
      </c>
      <c r="AU16" s="6">
        <f>IF(RTD("tos.rtd",,AU$2,"."&amp;$A$2&amp;$AU$1&amp;"C"&amp;$A16)="N/A",0,RTD("tos.rtd",,AU$2,"."&amp;$A$2&amp;$AU$1&amp;"C"&amp;$A16))</f>
        <v>19050</v>
      </c>
      <c r="AV16" s="7">
        <f>-IF(RTD("tos.rtd",,AV$2,"."&amp;$A$2&amp;$AU$1&amp;"P"&amp;$A16)="N/A",0,RTD("tos.rtd",,AV$2,"."&amp;$A$2&amp;$AU$1&amp;"P"&amp;$A16))</f>
        <v>-4234</v>
      </c>
      <c r="AW16" s="6">
        <f>IF(RTD("tos.rtd",,AW$2,"."&amp;$A$2&amp;$AW$1&amp;"C"&amp;$A16)="N/A",0,RTD("tos.rtd",,AW$2,"."&amp;$A$2&amp;$AW$1&amp;"C"&amp;$A16))</f>
        <v>21921</v>
      </c>
      <c r="AX16" s="7">
        <f>-IF(RTD("tos.rtd",,AX$2,"."&amp;$A$2&amp;$AW$1&amp;"P"&amp;$A16)="N/A",0,RTD("tos.rtd",,AX$2,"."&amp;$A$2&amp;$AW$1&amp;"P"&amp;$A16))</f>
        <v>-16060</v>
      </c>
      <c r="AY16" s="1">
        <f t="shared" si="67"/>
        <v>28628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0</v>
      </c>
      <c r="BB16" s="7">
        <f>-IF(RTD("tos.rtd",,BB$2,"."&amp;$A$2&amp;$AS$1&amp;"P"&amp;$A16)="N/A",0,RTD("tos.rtd",,BB$2,"."&amp;$A$2&amp;$AS$1&amp;"P"&amp;$A16))</f>
        <v>0</v>
      </c>
      <c r="BC16" s="6">
        <f>IF(RTD("tos.rtd",,BC$2,"."&amp;$A$2&amp;$AU$1&amp;"C"&amp;$A16)="N/A",0,RTD("tos.rtd",,BC$2,"."&amp;$A$2&amp;$AU$1&amp;"C"&amp;$A16))</f>
        <v>230171</v>
      </c>
      <c r="BD16" s="7">
        <f>-IF(RTD("tos.rtd",,BD$2,"."&amp;$A$2&amp;$AU$1&amp;"P"&amp;$A16)="N/A",0,RTD("tos.rtd",,BD$2,"."&amp;$A$2&amp;$AU$1&amp;"P"&amp;$A16))</f>
        <v>-10311</v>
      </c>
      <c r="BE16" s="6">
        <f>IF(RTD("tos.rtd",,BE$2,"."&amp;$A$2&amp;$AW$1&amp;"C"&amp;$A16)="N/A",0,RTD("tos.rtd",,BE$2,"."&amp;$A$2&amp;$AW$1&amp;"C"&amp;$A16))</f>
        <v>28207</v>
      </c>
      <c r="BF16" s="83">
        <f>-IF(RTD("tos.rtd",,BF$2,"."&amp;$A$2&amp;$AW$1&amp;"P"&amp;$A16)="N/A",0,RTD("tos.rtd",,BF$2,"."&amp;$A$2&amp;$AW$1&amp;"P"&amp;$A16))</f>
        <v>-1942</v>
      </c>
      <c r="BG16" s="32">
        <f ca="1">+Hoja2!Y17</f>
        <v>3544</v>
      </c>
      <c r="BH16" s="7">
        <f t="shared" ca="1" si="36"/>
        <v>249669</v>
      </c>
      <c r="BI16" s="8" t="str">
        <f t="shared" ref="BI16" ca="1" si="125">IF(AND(BH16&lt;0,BH15&gt;0), "Cruce -", IF(AND(BH16&gt;0,BH15&lt;0),"Cruce +", ""))</f>
        <v/>
      </c>
      <c r="BJ16" s="3" t="e">
        <f ca="1">IF($BP$1=1,DX16,IF(RTD("tos.rtd",,BJ$2,"."&amp;$A$2&amp;$AS$1&amp;"C"&amp;$A16)="N/A",0,RTD("tos.rtd",,BJ$2,"."&amp;$A$2&amp;$AS$1&amp;"C"&amp;$A16)))</f>
        <v>#NUM!</v>
      </c>
      <c r="BK16" s="3" t="e">
        <f ca="1">IF($BP$1=1,DY16,-IF(RTD("tos.rtd",,BK$2,"."&amp;$A$2&amp;$AS$1&amp;"P"&amp;$A16)="N/A",0,RTD("tos.rtd",,BK$2,"."&amp;$A$2&amp;$AS$1&amp;"P"&amp;$A16)))</f>
        <v>#NUM!</v>
      </c>
      <c r="BL16" s="3" t="e">
        <f ca="1">IF($BP$1=1,DZ16,IF(RTD("tos.rtd",,BL$2,"."&amp;$A$2&amp;$AU$1&amp;"C"&amp;$A16)="N/A",0,RTD("tos.rtd",,BL$2,"."&amp;$A$2&amp;$AU$1&amp;"C"&amp;$A16)))</f>
        <v>#NUM!</v>
      </c>
      <c r="BM16" s="3" t="e">
        <f ca="1">IF($BP$1=1,EA16,-IF(RTD("tos.rtd",,BM$2,"."&amp;$A$2&amp;$AU$1&amp;"P"&amp;$A16)="N/A",0,RTD("tos.rtd",,BM$2,"."&amp;$A$2&amp;$AU$1&amp;"P"&amp;$A16)))</f>
        <v>#NUM!</v>
      </c>
      <c r="BN16" s="3" t="e">
        <f ca="1">IF($BP$1=1,EB16,IF(RTD("tos.rtd",,BN$2,"."&amp;$A$2&amp;$AW$1&amp;"C"&amp;$A16)="N/A",0,RTD("tos.rtd",,BN$2,"."&amp;$A$2&amp;$AW$1&amp;"C"&amp;$A16)))</f>
        <v>#NUM!</v>
      </c>
      <c r="BO16" s="3" t="e">
        <f ca="1">IF($BP$1=1,EC16,-IF(RTD("tos.rtd",,BO$2,"."&amp;$A$2&amp;$AW$1&amp;"P"&amp;$A16)="N/A",0,RTD("tos.rtd",,BO$2,"."&amp;$A$2&amp;$AW$1&amp;"P"&amp;$A16)))</f>
        <v>#NUM!</v>
      </c>
      <c r="BQ16" s="3" t="e">
        <f t="shared" ca="1" si="37"/>
        <v>#NUM!</v>
      </c>
      <c r="BR16" s="3" t="e">
        <f t="shared" ca="1" si="69"/>
        <v>#NUM!</v>
      </c>
      <c r="BS16" s="3" t="e">
        <f t="shared" ca="1" si="38"/>
        <v>#NUM!</v>
      </c>
      <c r="BT16" s="3" t="e">
        <f t="shared" ca="1" si="69"/>
        <v>#NUM!</v>
      </c>
      <c r="BU16" s="3" t="e">
        <f t="shared" ca="1" si="39"/>
        <v>#NUM!</v>
      </c>
      <c r="BV16" s="3" t="e">
        <f t="shared" ref="BV16" ca="1" si="126">IF(AND(BU16&lt;0,BU15&gt;0), "Cruce -", IF(AND(BU16&gt;0,BU15&lt;0),"Cruce +", ""))</f>
        <v>#NUM!</v>
      </c>
      <c r="BX16" s="3" t="e">
        <f t="shared" ca="1" si="40"/>
        <v>#NUM!</v>
      </c>
      <c r="BY16" s="3" t="e">
        <f t="shared" ca="1" si="71"/>
        <v>#NUM!</v>
      </c>
      <c r="BZ16" s="3" t="e">
        <f t="shared" ca="1" si="41"/>
        <v>#NUM!</v>
      </c>
      <c r="CA16" s="3" t="e">
        <f t="shared" ca="1" si="72"/>
        <v>#NUM!</v>
      </c>
      <c r="CB16" s="3" t="e">
        <f t="shared" ca="1" si="42"/>
        <v>#NUM!</v>
      </c>
      <c r="CC16" s="3" t="e">
        <f t="shared" ca="1" si="73"/>
        <v>#NUM!</v>
      </c>
      <c r="CD16" s="3">
        <f>IF(RTD("tos.rtd",,CD$2,"."&amp;$A$2&amp;$AS$1&amp;"C"&amp;$A16)="N/A",0,RTD("tos.rtd",,CD$2,"."&amp;$A$2&amp;$AS$1&amp;"C"&amp;$A16))</f>
        <v>0.01</v>
      </c>
      <c r="CE16" s="3">
        <f>-IF(RTD("tos.rtd",,CE$2,"."&amp;$A$2&amp;$AS$1&amp;"P"&amp;$A16)="N/A",0,RTD("tos.rtd",,CE$2,"."&amp;$A$2&amp;$AS$1&amp;"P"&amp;$A16))</f>
        <v>0.71</v>
      </c>
      <c r="CF16" s="3">
        <f>IF(RTD("tos.rtd",,CF$2,"."&amp;$A$2&amp;$AU$1&amp;"C"&amp;$A16)="N/A",0,RTD("tos.rtd",,CF$2,"."&amp;$A$2&amp;$AU$1&amp;"C"&amp;$A16))</f>
        <v>0.01</v>
      </c>
      <c r="CG16" s="3">
        <f>-IF(RTD("tos.rtd",,CG$2,"."&amp;$A$2&amp;$AU$1&amp;"P"&amp;$A16)="N/A",0,RTD("tos.rtd",,CG$2,"."&amp;$A$2&amp;$AU$1&amp;"P"&amp;$A16))</f>
        <v>0.83</v>
      </c>
      <c r="CH16" s="3">
        <f>IF(RTD("tos.rtd",,CH$2,"."&amp;$A$2&amp;$AW$1&amp;"C"&amp;$A16)="N/A",0,RTD("tos.rtd",,CH$2,"."&amp;$A$2&amp;$AW$1&amp;"C"&amp;$A16))</f>
        <v>0.38</v>
      </c>
      <c r="CI16" s="3">
        <f>-IF(RTD("tos.rtd",,CI$2,"."&amp;$A$2&amp;$AW$1&amp;"P"&amp;$A16)="N/A",0,RTD("tos.rtd",,CI$2,"."&amp;$A$2&amp;$AW$1&amp;"P"&amp;$A16))</f>
        <v>0.62</v>
      </c>
      <c r="CK16" s="3">
        <f t="shared" si="17"/>
        <v>-86479</v>
      </c>
      <c r="CL16" s="3"/>
      <c r="CM16" s="3">
        <f t="shared" si="18"/>
        <v>-332372</v>
      </c>
      <c r="CN16" s="3"/>
      <c r="CO16" s="3">
        <f t="shared" si="19"/>
        <v>-162722.00000000012</v>
      </c>
      <c r="CP16" s="3">
        <f t="shared" si="43"/>
        <v>-581573.00000000012</v>
      </c>
      <c r="CQ16" s="3">
        <f t="shared" si="44"/>
        <v>0</v>
      </c>
      <c r="CR16" s="3"/>
      <c r="CS16" s="3">
        <f t="shared" si="20"/>
        <v>219860</v>
      </c>
      <c r="CT16" s="3"/>
      <c r="CU16" s="3">
        <f t="shared" si="21"/>
        <v>26265</v>
      </c>
      <c r="CV16" s="3">
        <f t="shared" si="45"/>
        <v>246125</v>
      </c>
      <c r="CW16" s="3" t="e">
        <f t="shared" ca="1" si="46"/>
        <v>#NUM!</v>
      </c>
      <c r="CX16" s="85" t="e">
        <f t="shared" ca="1" si="74"/>
        <v>#NUM!</v>
      </c>
      <c r="CY16" s="3" t="e">
        <f t="shared" ca="1" si="47"/>
        <v>#NUM!</v>
      </c>
      <c r="CZ16" s="85" t="e">
        <f t="shared" ca="1" si="75"/>
        <v>#NUM!</v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7.1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7.81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5.97</v>
      </c>
      <c r="DG16" s="86">
        <f t="shared" si="48"/>
        <v>5.2000000000000455</v>
      </c>
      <c r="DH16" s="3">
        <f t="shared" si="22"/>
        <v>-124995</v>
      </c>
      <c r="DI16" s="3">
        <f t="shared" si="49"/>
        <v>3329.815217391304</v>
      </c>
      <c r="DJ16" s="3">
        <f t="shared" si="50"/>
        <v>-124995</v>
      </c>
      <c r="DK16" s="3">
        <f t="shared" si="51"/>
        <v>5422</v>
      </c>
      <c r="DL16" s="3">
        <f t="shared" si="52"/>
        <v>-121665.1847826087</v>
      </c>
      <c r="DM16" s="3">
        <f t="shared" si="53"/>
        <v>-119573</v>
      </c>
      <c r="DN16" s="63" t="str">
        <f t="shared" si="54"/>
        <v>UNKNOWN</v>
      </c>
      <c r="DO16" s="63" t="str">
        <f t="shared" si="55"/>
        <v>UNKNOWN</v>
      </c>
      <c r="DP16" s="3">
        <f t="shared" si="56"/>
        <v>22391.738043478257</v>
      </c>
      <c r="DQ16" s="3">
        <f t="shared" si="57"/>
        <v>37246.25</v>
      </c>
      <c r="DR16" s="3" t="e">
        <f t="shared" ca="1" si="58"/>
        <v>#NUM!</v>
      </c>
      <c r="DS16" s="3">
        <f t="shared" si="59"/>
        <v>2599.67</v>
      </c>
      <c r="DT16" s="3">
        <f t="shared" si="60"/>
        <v>-124995</v>
      </c>
      <c r="DU16" s="3">
        <f t="shared" si="61"/>
        <v>5422</v>
      </c>
      <c r="DV16" s="3">
        <f t="shared" si="62"/>
        <v>5603</v>
      </c>
      <c r="DW16" s="3">
        <f t="shared" si="23"/>
        <v>-646</v>
      </c>
      <c r="DX16" s="3" t="e">
        <f t="shared" ca="1" si="24"/>
        <v>#NUM!</v>
      </c>
      <c r="DY16" s="3" t="e">
        <f t="shared" ca="1" si="25"/>
        <v>#NUM!</v>
      </c>
      <c r="DZ16" s="3" t="e">
        <f t="shared" ca="1" si="26"/>
        <v>#NUM!</v>
      </c>
      <c r="EA16" s="3" t="e">
        <f t="shared" ca="1" si="27"/>
        <v>#NUM!</v>
      </c>
      <c r="EB16" s="3" t="e">
        <f t="shared" ca="1" si="28"/>
        <v>#NUM!</v>
      </c>
      <c r="EC16" s="3" t="e">
        <f t="shared" ca="1" si="29"/>
        <v>#NUM!</v>
      </c>
      <c r="EE16" s="59">
        <f t="shared" si="63"/>
        <v>0.49569999999999997</v>
      </c>
      <c r="EF16" s="59">
        <f t="shared" si="30"/>
        <v>2.1812999999999998</v>
      </c>
      <c r="EG16" s="59">
        <f t="shared" si="31"/>
        <v>0.49569999999999997</v>
      </c>
      <c r="EH16" s="59">
        <f t="shared" si="32"/>
        <v>1.2421</v>
      </c>
      <c r="EI16" s="59">
        <f t="shared" si="33"/>
        <v>0.22900000000000001</v>
      </c>
      <c r="EJ16" s="59">
        <f t="shared" si="34"/>
        <v>0.24049999999999999</v>
      </c>
      <c r="EL16" s="3" t="str">
        <f>RTD("tos.rtd",,EL$2,"."&amp;$A$2&amp;$AS$1&amp;"C"&amp;$A16)</f>
        <v>49.57%</v>
      </c>
      <c r="EM16" s="3" t="str">
        <f>RTD("tos.rtd",,EM$2,"."&amp;$A$2&amp;$AS$1&amp;"P"&amp;$A16)</f>
        <v>218.13%</v>
      </c>
      <c r="EN16" s="3" t="str">
        <f>RTD("tos.rtd",,EN$2,"."&amp;$A$2&amp;$AU$1&amp;"C"&amp;$A16)</f>
        <v>49.57%</v>
      </c>
      <c r="EO16" s="3" t="str">
        <f>RTD("tos.rtd",,EO$2,"."&amp;$A$2&amp;$AU$1&amp;"P"&amp;$A16)</f>
        <v>124.21%</v>
      </c>
      <c r="EP16" s="3" t="str">
        <f>RTD("tos.rtd",,EP$2,"."&amp;$A$2&amp;$AW$1&amp;"C"&amp;$A16)</f>
        <v>22.90%</v>
      </c>
      <c r="EQ16" s="3" t="str">
        <f>RTD("tos.rtd",,EQ$2,"."&amp;$A$2&amp;$AW$1&amp;"P"&amp;$A16)</f>
        <v>24.05%</v>
      </c>
      <c r="ES16" s="63" t="str">
        <f t="shared" si="64"/>
        <v>570,4957.00</v>
      </c>
      <c r="ET16" s="63" t="str">
        <f t="shared" ca="1" si="65"/>
        <v>570,00.00</v>
      </c>
      <c r="EU16" s="67">
        <v>562.75</v>
      </c>
      <c r="EV16" s="67" t="s">
        <v>147</v>
      </c>
      <c r="EW16" s="67">
        <v>484.99</v>
      </c>
      <c r="EX16" s="67" t="s">
        <v>148</v>
      </c>
      <c r="EY16" s="67">
        <v>5641.75</v>
      </c>
      <c r="EZ16" s="67" t="s">
        <v>149</v>
      </c>
      <c r="FA16" s="67">
        <v>19923.75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6"/>
        <v>569</v>
      </c>
      <c r="B17" s="3">
        <f t="shared" si="9"/>
        <v>5963</v>
      </c>
      <c r="C17" s="3">
        <f t="shared" si="10"/>
        <v>12588</v>
      </c>
      <c r="D17" s="3">
        <f t="shared" si="11"/>
        <v>6031</v>
      </c>
      <c r="E17" s="3">
        <f t="shared" si="12"/>
        <v>24582</v>
      </c>
      <c r="F17" s="4">
        <f t="shared" si="13"/>
        <v>5726.2677053824364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3966</v>
      </c>
      <c r="AN17" s="1">
        <v>-178</v>
      </c>
      <c r="AO17" s="1">
        <v>569</v>
      </c>
      <c r="AP17" s="1">
        <v>96842</v>
      </c>
      <c r="AQ17" s="1">
        <v>-2461</v>
      </c>
      <c r="AR17" s="1"/>
      <c r="AS17" s="6">
        <f>IF(RTD("tos.rtd",,AS$2,"."&amp;$A$2&amp;$AS$1&amp;"C"&amp;$A17)="N/A",0,RTD("tos.rtd",,AS$2,"."&amp;$A$2&amp;$AS$1&amp;"C"&amp;$A17))</f>
        <v>5217</v>
      </c>
      <c r="AT17" s="7">
        <f>-IF(RTD("tos.rtd",,AT$2,"."&amp;$A$2&amp;$AS$1&amp;"P"&amp;$A17)="N/A",0,RTD("tos.rtd",,AT$2,"."&amp;$A$2&amp;$AS$1&amp;"P"&amp;$A17))</f>
        <v>-746</v>
      </c>
      <c r="AU17" s="6">
        <f>IF(RTD("tos.rtd",,AU$2,"."&amp;$A$2&amp;$AU$1&amp;"C"&amp;$A17)="N/A",0,RTD("tos.rtd",,AU$2,"."&amp;$A$2&amp;$AU$1&amp;"C"&amp;$A17))</f>
        <v>8923</v>
      </c>
      <c r="AV17" s="7">
        <f>-IF(RTD("tos.rtd",,AV$2,"."&amp;$A$2&amp;$AU$1&amp;"P"&amp;$A17)="N/A",0,RTD("tos.rtd",,AV$2,"."&amp;$A$2&amp;$AU$1&amp;"P"&amp;$A17))</f>
        <v>-3665</v>
      </c>
      <c r="AW17" s="6">
        <f>IF(RTD("tos.rtd",,AW$2,"."&amp;$A$2&amp;$AW$1&amp;"C"&amp;$A17)="N/A",0,RTD("tos.rtd",,AW$2,"."&amp;$A$2&amp;$AW$1&amp;"C"&amp;$A17))</f>
        <v>3633</v>
      </c>
      <c r="AX17" s="7">
        <f>-IF(RTD("tos.rtd",,AX$2,"."&amp;$A$2&amp;$AW$1&amp;"P"&amp;$A17)="N/A",0,RTD("tos.rtd",,AX$2,"."&amp;$A$2&amp;$AW$1&amp;"P"&amp;$A17))</f>
        <v>-2398</v>
      </c>
      <c r="AY17" s="1">
        <f t="shared" si="67"/>
        <v>10964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0</v>
      </c>
      <c r="BB17" s="7">
        <f>-IF(RTD("tos.rtd",,BB$2,"."&amp;$A$2&amp;$AS$1&amp;"P"&amp;$A17)="N/A",0,RTD("tos.rtd",,BB$2,"."&amp;$A$2&amp;$AS$1&amp;"P"&amp;$A17))</f>
        <v>0</v>
      </c>
      <c r="BC17" s="6">
        <f>IF(RTD("tos.rtd",,BC$2,"."&amp;$A$2&amp;$AU$1&amp;"C"&amp;$A17)="N/A",0,RTD("tos.rtd",,BC$2,"."&amp;$A$2&amp;$AU$1&amp;"C"&amp;$A17))</f>
        <v>178857</v>
      </c>
      <c r="BD17" s="7">
        <f>-IF(RTD("tos.rtd",,BD$2,"."&amp;$A$2&amp;$AU$1&amp;"P"&amp;$A17)="N/A",0,RTD("tos.rtd",,BD$2,"."&amp;$A$2&amp;$AU$1&amp;"P"&amp;$A17))</f>
        <v>-6738</v>
      </c>
      <c r="BE17" s="6">
        <f>IF(RTD("tos.rtd",,BE$2,"."&amp;$A$2&amp;$AW$1&amp;"C"&amp;$A17)="N/A",0,RTD("tos.rtd",,BE$2,"."&amp;$A$2&amp;$AW$1&amp;"C"&amp;$A17))</f>
        <v>4892</v>
      </c>
      <c r="BF17" s="83">
        <f>-IF(RTD("tos.rtd",,BF$2,"."&amp;$A$2&amp;$AW$1&amp;"P"&amp;$A17)="N/A",0,RTD("tos.rtd",,BF$2,"."&amp;$A$2&amp;$AW$1&amp;"P"&amp;$A17))</f>
        <v>-1079</v>
      </c>
      <c r="BG17" s="32">
        <f ca="1">+Hoja2!Y18</f>
        <v>413</v>
      </c>
      <c r="BH17" s="7">
        <f t="shared" ca="1" si="36"/>
        <v>176345</v>
      </c>
      <c r="BI17" s="8" t="str">
        <f t="shared" ref="BI17" ca="1" si="127">IF(AND(BH17&lt;0,BH16&gt;0), "Cruce -", IF(AND(BH17&gt;0,BH16&lt;0),"Cruce +", ""))</f>
        <v/>
      </c>
      <c r="BJ17" s="3" t="e">
        <f ca="1">IF($BP$1=1,DX17,IF(RTD("tos.rtd",,BJ$2,"."&amp;$A$2&amp;$AS$1&amp;"C"&amp;$A17)="N/A",0,RTD("tos.rtd",,BJ$2,"."&amp;$A$2&amp;$AS$1&amp;"C"&amp;$A17)))</f>
        <v>#NUM!</v>
      </c>
      <c r="BK17" s="3" t="e">
        <f ca="1">IF($BP$1=1,DY17,-IF(RTD("tos.rtd",,BK$2,"."&amp;$A$2&amp;$AS$1&amp;"P"&amp;$A17)="N/A",0,RTD("tos.rtd",,BK$2,"."&amp;$A$2&amp;$AS$1&amp;"P"&amp;$A17)))</f>
        <v>#NUM!</v>
      </c>
      <c r="BL17" s="3" t="e">
        <f ca="1">IF($BP$1=1,DZ17,IF(RTD("tos.rtd",,BL$2,"."&amp;$A$2&amp;$AU$1&amp;"C"&amp;$A17)="N/A",0,RTD("tos.rtd",,BL$2,"."&amp;$A$2&amp;$AU$1&amp;"C"&amp;$A17)))</f>
        <v>#NUM!</v>
      </c>
      <c r="BM17" s="3" t="e">
        <f ca="1">IF($BP$1=1,EA17,-IF(RTD("tos.rtd",,BM$2,"."&amp;$A$2&amp;$AU$1&amp;"P"&amp;$A17)="N/A",0,RTD("tos.rtd",,BM$2,"."&amp;$A$2&amp;$AU$1&amp;"P"&amp;$A17)))</f>
        <v>#NUM!</v>
      </c>
      <c r="BN17" s="3" t="e">
        <f ca="1">IF($BP$1=1,EB17,IF(RTD("tos.rtd",,BN$2,"."&amp;$A$2&amp;$AW$1&amp;"C"&amp;$A17)="N/A",0,RTD("tos.rtd",,BN$2,"."&amp;$A$2&amp;$AW$1&amp;"C"&amp;$A17)))</f>
        <v>#NUM!</v>
      </c>
      <c r="BO17" s="3" t="e">
        <f ca="1">IF($BP$1=1,EC17,-IF(RTD("tos.rtd",,BO$2,"."&amp;$A$2&amp;$AW$1&amp;"P"&amp;$A17)="N/A",0,RTD("tos.rtd",,BO$2,"."&amp;$A$2&amp;$AW$1&amp;"P"&amp;$A17)))</f>
        <v>#NUM!</v>
      </c>
      <c r="BQ17" s="3" t="e">
        <f t="shared" ca="1" si="37"/>
        <v>#NUM!</v>
      </c>
      <c r="BR17" s="3" t="e">
        <f t="shared" ca="1" si="69"/>
        <v>#NUM!</v>
      </c>
      <c r="BS17" s="3" t="e">
        <f t="shared" ca="1" si="38"/>
        <v>#NUM!</v>
      </c>
      <c r="BT17" s="3" t="e">
        <f t="shared" ca="1" si="69"/>
        <v>#NUM!</v>
      </c>
      <c r="BU17" s="3" t="e">
        <f t="shared" ca="1" si="39"/>
        <v>#NUM!</v>
      </c>
      <c r="BV17" s="3" t="e">
        <f t="shared" ref="BV17" ca="1" si="128">IF(AND(BU17&lt;0,BU16&gt;0), "Cruce -", IF(AND(BU17&gt;0,BU16&lt;0),"Cruce +", ""))</f>
        <v>#NUM!</v>
      </c>
      <c r="BX17" s="3" t="e">
        <f t="shared" ca="1" si="40"/>
        <v>#NUM!</v>
      </c>
      <c r="BY17" s="3" t="e">
        <f t="shared" ca="1" si="71"/>
        <v>#NUM!</v>
      </c>
      <c r="BZ17" s="3" t="e">
        <f t="shared" ca="1" si="41"/>
        <v>#NUM!</v>
      </c>
      <c r="CA17" s="3" t="e">
        <f t="shared" ca="1" si="72"/>
        <v>#NUM!</v>
      </c>
      <c r="CB17" s="3" t="e">
        <f t="shared" ca="1" si="42"/>
        <v>#NUM!</v>
      </c>
      <c r="CC17" s="3" t="e">
        <f t="shared" ca="1" si="73"/>
        <v>#NUM!</v>
      </c>
      <c r="CD17" s="3">
        <f>IF(RTD("tos.rtd",,CD$2,"."&amp;$A$2&amp;$AS$1&amp;"C"&amp;$A17)="N/A",0,RTD("tos.rtd",,CD$2,"."&amp;$A$2&amp;$AS$1&amp;"C"&amp;$A17))</f>
        <v>0.01</v>
      </c>
      <c r="CE17" s="3">
        <f>-IF(RTD("tos.rtd",,CE$2,"."&amp;$A$2&amp;$AS$1&amp;"P"&amp;$A17)="N/A",0,RTD("tos.rtd",,CE$2,"."&amp;$A$2&amp;$AS$1&amp;"P"&amp;$A17))</f>
        <v>0.68</v>
      </c>
      <c r="CF17" s="3">
        <f>IF(RTD("tos.rtd",,CF$2,"."&amp;$A$2&amp;$AU$1&amp;"C"&amp;$A17)="N/A",0,RTD("tos.rtd",,CF$2,"."&amp;$A$2&amp;$AU$1&amp;"C"&amp;$A17))</f>
        <v>0.01</v>
      </c>
      <c r="CG17" s="3">
        <f>-IF(RTD("tos.rtd",,CG$2,"."&amp;$A$2&amp;$AU$1&amp;"P"&amp;$A17)="N/A",0,RTD("tos.rtd",,CG$2,"."&amp;$A$2&amp;$AU$1&amp;"P"&amp;$A17))</f>
        <v>0.82</v>
      </c>
      <c r="CH17" s="3">
        <f>IF(RTD("tos.rtd",,CH$2,"."&amp;$A$2&amp;$AW$1&amp;"C"&amp;$A17)="N/A",0,RTD("tos.rtd",,CH$2,"."&amp;$A$2&amp;$AW$1&amp;"C"&amp;$A17))</f>
        <v>0.4</v>
      </c>
      <c r="CI17" s="3">
        <f>-IF(RTD("tos.rtd",,CI$2,"."&amp;$A$2&amp;$AW$1&amp;"P"&amp;$A17)="N/A",0,RTD("tos.rtd",,CI$2,"."&amp;$A$2&amp;$AW$1&amp;"P"&amp;$A17))</f>
        <v>0.59</v>
      </c>
      <c r="CK17" s="3">
        <f t="shared" si="17"/>
        <v>-45511</v>
      </c>
      <c r="CL17" s="3"/>
      <c r="CM17" s="3">
        <f t="shared" si="18"/>
        <v>-291607</v>
      </c>
      <c r="CN17" s="3"/>
      <c r="CO17" s="3">
        <f t="shared" si="19"/>
        <v>3838</v>
      </c>
      <c r="CP17" s="3">
        <f t="shared" si="43"/>
        <v>-333280</v>
      </c>
      <c r="CQ17" s="3">
        <f t="shared" si="44"/>
        <v>0</v>
      </c>
      <c r="CR17" s="3"/>
      <c r="CS17" s="3">
        <f t="shared" si="20"/>
        <v>172119</v>
      </c>
      <c r="CT17" s="3"/>
      <c r="CU17" s="3">
        <f t="shared" si="21"/>
        <v>3813</v>
      </c>
      <c r="CV17" s="3">
        <f t="shared" si="45"/>
        <v>175932</v>
      </c>
      <c r="CW17" s="3" t="e">
        <f t="shared" ca="1" si="46"/>
        <v>#NUM!</v>
      </c>
      <c r="CX17" s="85" t="e">
        <f t="shared" ca="1" si="74"/>
        <v>#NUM!</v>
      </c>
      <c r="CY17" s="3" t="e">
        <f t="shared" ca="1" si="47"/>
        <v>#NUM!</v>
      </c>
      <c r="CZ17" s="85" t="e">
        <f t="shared" ca="1" si="75"/>
        <v>#NUM!</v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6.05</v>
      </c>
      <c r="DC17" s="3">
        <f>IF(RTD("tos.rtd",,DC$2,"."&amp;$A$2&amp;$AS$1&amp;"C"&amp;$A17)="N/A",0,RTD("tos.rtd",,DC$2,"."&amp;$A$2&amp;$AS$1&amp;"C"&amp;$A17))</f>
        <v>0.01</v>
      </c>
      <c r="DD17" s="3">
        <f>IF(RTD("tos.rtd",,DD$2,"."&amp;$A$2&amp;$AS$1&amp;"P"&amp;$A17)="N/A",0,RTD("tos.rtd",,DD$2,"."&amp;$A$2&amp;$AS$1&amp;"P"&amp;$A17))</f>
        <v>6.98</v>
      </c>
      <c r="DE17" s="3">
        <f>IF(RTD("tos.rtd",,DE$2,"."&amp;$A$2&amp;$AS$1&amp;"C"&amp;$A17)="N/A",0,RTD("tos.rtd",,DE$2,"."&amp;$A$2&amp;$AS$1&amp;"C"&amp;$A17))</f>
        <v>0</v>
      </c>
      <c r="DF17" s="3">
        <f>IF(RTD("tos.rtd",,DF$2,"."&amp;$A$2&amp;$AS$1&amp;"P"&amp;$A17)="N/A",0,RTD("tos.rtd",,DF$2,"."&amp;$A$2&amp;$AS$1&amp;"P"&amp;$A17))</f>
        <v>5.04</v>
      </c>
      <c r="DG17" s="86">
        <f t="shared" si="48"/>
        <v>4.2000000000000455</v>
      </c>
      <c r="DH17" s="3">
        <f t="shared" si="22"/>
        <v>-96842</v>
      </c>
      <c r="DI17" s="3">
        <f t="shared" si="49"/>
        <v>1281.2422680412367</v>
      </c>
      <c r="DJ17" s="3">
        <f t="shared" si="50"/>
        <v>-96842</v>
      </c>
      <c r="DK17" s="3">
        <f t="shared" si="51"/>
        <v>0</v>
      </c>
      <c r="DL17" s="3">
        <f t="shared" si="52"/>
        <v>-95560.757731958758</v>
      </c>
      <c r="DM17" s="3">
        <f t="shared" si="53"/>
        <v>-96842</v>
      </c>
      <c r="DN17" s="63" t="str">
        <f t="shared" si="54"/>
        <v>UNKNOWN</v>
      </c>
      <c r="DO17" s="63" t="str">
        <f t="shared" si="55"/>
        <v>UNKNOWN</v>
      </c>
      <c r="DP17" s="3">
        <f t="shared" si="56"/>
        <v>6783.0957216494817</v>
      </c>
      <c r="DQ17" s="3">
        <f t="shared" si="57"/>
        <v>-968.42000000000007</v>
      </c>
      <c r="DR17" s="3" t="e">
        <f t="shared" ca="1" si="58"/>
        <v>#NUM!</v>
      </c>
      <c r="DS17" s="3">
        <f t="shared" si="59"/>
        <v>-968.42000000000007</v>
      </c>
      <c r="DT17" s="3">
        <f t="shared" si="60"/>
        <v>-96842</v>
      </c>
      <c r="DU17" s="3">
        <f t="shared" si="61"/>
        <v>2461</v>
      </c>
      <c r="DV17" s="3">
        <f t="shared" si="62"/>
        <v>3966</v>
      </c>
      <c r="DW17" s="3">
        <f t="shared" si="23"/>
        <v>-178</v>
      </c>
      <c r="DX17" s="3" t="e">
        <f t="shared" ca="1" si="24"/>
        <v>#NUM!</v>
      </c>
      <c r="DY17" s="3" t="e">
        <f t="shared" ca="1" si="25"/>
        <v>#NUM!</v>
      </c>
      <c r="DZ17" s="3" t="e">
        <f t="shared" ca="1" si="26"/>
        <v>#NUM!</v>
      </c>
      <c r="EA17" s="3" t="e">
        <f t="shared" ca="1" si="27"/>
        <v>#NUM!</v>
      </c>
      <c r="EB17" s="3" t="e">
        <f t="shared" ca="1" si="28"/>
        <v>#NUM!</v>
      </c>
      <c r="EC17" s="3" t="e">
        <f t="shared" ca="1" si="29"/>
        <v>#NUM!</v>
      </c>
      <c r="EE17" s="59">
        <f t="shared" si="63"/>
        <v>0.41110000000000002</v>
      </c>
      <c r="EF17" s="59">
        <f t="shared" si="30"/>
        <v>2.0607000000000002</v>
      </c>
      <c r="EG17" s="59">
        <f t="shared" si="31"/>
        <v>0.41110000000000002</v>
      </c>
      <c r="EH17" s="59">
        <f t="shared" si="32"/>
        <v>1.0711999999999999</v>
      </c>
      <c r="EI17" s="59">
        <f t="shared" si="33"/>
        <v>0.23050000000000001</v>
      </c>
      <c r="EJ17" s="59">
        <f t="shared" si="34"/>
        <v>0.24149999999999999</v>
      </c>
      <c r="EL17" s="3" t="str">
        <f>RTD("tos.rtd",,EL$2,"."&amp;$A$2&amp;$AS$1&amp;"C"&amp;$A17)</f>
        <v>41.11%</v>
      </c>
      <c r="EM17" s="3" t="str">
        <f>RTD("tos.rtd",,EM$2,"."&amp;$A$2&amp;$AS$1&amp;"P"&amp;$A17)</f>
        <v>206.07%</v>
      </c>
      <c r="EN17" s="3" t="str">
        <f>RTD("tos.rtd",,EN$2,"."&amp;$A$2&amp;$AU$1&amp;"C"&amp;$A17)</f>
        <v>41.11%</v>
      </c>
      <c r="EO17" s="3" t="str">
        <f>RTD("tos.rtd",,EO$2,"."&amp;$A$2&amp;$AU$1&amp;"P"&amp;$A17)</f>
        <v>107.12%</v>
      </c>
      <c r="EP17" s="3" t="str">
        <f>RTD("tos.rtd",,EP$2,"."&amp;$A$2&amp;$AW$1&amp;"C"&amp;$A17)</f>
        <v>23.05%</v>
      </c>
      <c r="EQ17" s="3" t="str">
        <f>RTD("tos.rtd",,EQ$2,"."&amp;$A$2&amp;$AW$1&amp;"P"&amp;$A17)</f>
        <v>24.15%</v>
      </c>
      <c r="ES17" s="63" t="str">
        <f t="shared" si="64"/>
        <v>569,3788.00</v>
      </c>
      <c r="ET17" s="63" t="str">
        <f t="shared" ca="1" si="65"/>
        <v>569,00.00</v>
      </c>
      <c r="EU17" s="67">
        <v>562.75</v>
      </c>
      <c r="EV17" s="67" t="s">
        <v>155</v>
      </c>
      <c r="EW17" s="67">
        <v>485.11</v>
      </c>
      <c r="EX17" s="67" t="s">
        <v>156</v>
      </c>
      <c r="EY17" s="67">
        <v>5642.25</v>
      </c>
      <c r="EZ17" s="67" t="s">
        <v>157</v>
      </c>
      <c r="FA17" s="67">
        <v>19929.25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6"/>
        <v>568</v>
      </c>
      <c r="B18" s="3">
        <f t="shared" si="9"/>
        <v>11351</v>
      </c>
      <c r="C18" s="3">
        <f t="shared" si="10"/>
        <v>14457</v>
      </c>
      <c r="D18" s="3">
        <f t="shared" si="11"/>
        <v>10756</v>
      </c>
      <c r="E18" s="3">
        <f t="shared" si="12"/>
        <v>36564</v>
      </c>
      <c r="F18" s="4">
        <f t="shared" si="13"/>
        <v>5716.2039660056662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13172</v>
      </c>
      <c r="AN18" s="1">
        <v>-786</v>
      </c>
      <c r="AO18" s="1">
        <v>568</v>
      </c>
      <c r="AP18" s="1">
        <v>168012</v>
      </c>
      <c r="AQ18" s="1">
        <v>-14781</v>
      </c>
      <c r="AR18" s="1"/>
      <c r="AS18" s="6">
        <f>IF(RTD("tos.rtd",,AS$2,"."&amp;$A$2&amp;$AS$1&amp;"C"&amp;$A18)="N/A",0,RTD("tos.rtd",,AS$2,"."&amp;$A$2&amp;$AS$1&amp;"C"&amp;$A18))</f>
        <v>7662</v>
      </c>
      <c r="AT18" s="7">
        <f>-IF(RTD("tos.rtd",,AT$2,"."&amp;$A$2&amp;$AS$1&amp;"P"&amp;$A18)="N/A",0,RTD("tos.rtd",,AT$2,"."&amp;$A$2&amp;$AS$1&amp;"P"&amp;$A18))</f>
        <v>-3689</v>
      </c>
      <c r="AU18" s="6">
        <f>IF(RTD("tos.rtd",,AU$2,"."&amp;$A$2&amp;$AU$1&amp;"C"&amp;$A18)="N/A",0,RTD("tos.rtd",,AU$2,"."&amp;$A$2&amp;$AU$1&amp;"C"&amp;$A18))</f>
        <v>10091</v>
      </c>
      <c r="AV18" s="7">
        <f>-IF(RTD("tos.rtd",,AV$2,"."&amp;$A$2&amp;$AU$1&amp;"P"&amp;$A18)="N/A",0,RTD("tos.rtd",,AV$2,"."&amp;$A$2&amp;$AU$1&amp;"P"&amp;$A18))</f>
        <v>-4366</v>
      </c>
      <c r="AW18" s="6">
        <f>IF(RTD("tos.rtd",,AW$2,"."&amp;$A$2&amp;$AW$1&amp;"C"&amp;$A18)="N/A",0,RTD("tos.rtd",,AW$2,"."&amp;$A$2&amp;$AW$1&amp;"C"&amp;$A18))</f>
        <v>7460</v>
      </c>
      <c r="AX18" s="7">
        <f>-IF(RTD("tos.rtd",,AX$2,"."&amp;$A$2&amp;$AW$1&amp;"P"&amp;$A18)="N/A",0,RTD("tos.rtd",,AX$2,"."&amp;$A$2&amp;$AW$1&amp;"P"&amp;$A18))</f>
        <v>-3296</v>
      </c>
      <c r="AY18" s="1">
        <f t="shared" si="67"/>
        <v>13862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0</v>
      </c>
      <c r="BB18" s="7">
        <f>-IF(RTD("tos.rtd",,BB$2,"."&amp;$A$2&amp;$AS$1&amp;"P"&amp;$A18)="N/A",0,RTD("tos.rtd",,BB$2,"."&amp;$A$2&amp;$AS$1&amp;"P"&amp;$A18))</f>
        <v>0</v>
      </c>
      <c r="BC18" s="6">
        <f>IF(RTD("tos.rtd",,BC$2,"."&amp;$A$2&amp;$AU$1&amp;"C"&amp;$A18)="N/A",0,RTD("tos.rtd",,BC$2,"."&amp;$A$2&amp;$AU$1&amp;"C"&amp;$A18))</f>
        <v>217360</v>
      </c>
      <c r="BD18" s="7">
        <f>-IF(RTD("tos.rtd",,BD$2,"."&amp;$A$2&amp;$AU$1&amp;"P"&amp;$A18)="N/A",0,RTD("tos.rtd",,BD$2,"."&amp;$A$2&amp;$AU$1&amp;"P"&amp;$A18))</f>
        <v>-18389</v>
      </c>
      <c r="BE18" s="6">
        <f>IF(RTD("tos.rtd",,BE$2,"."&amp;$A$2&amp;$AW$1&amp;"C"&amp;$A18)="N/A",0,RTD("tos.rtd",,BE$2,"."&amp;$A$2&amp;$AW$1&amp;"C"&amp;$A18))</f>
        <v>7129</v>
      </c>
      <c r="BF18" s="83">
        <f>-IF(RTD("tos.rtd",,BF$2,"."&amp;$A$2&amp;$AW$1&amp;"P"&amp;$A18)="N/A",0,RTD("tos.rtd",,BF$2,"."&amp;$A$2&amp;$AW$1&amp;"P"&amp;$A18))</f>
        <v>-1593</v>
      </c>
      <c r="BG18" s="32">
        <f ca="1">+Hoja2!Y19</f>
        <v>1416</v>
      </c>
      <c r="BH18" s="7">
        <f t="shared" ca="1" si="36"/>
        <v>205923</v>
      </c>
      <c r="BI18" s="8" t="str">
        <f t="shared" ref="BI18" ca="1" si="129">IF(AND(BH18&lt;0,BH17&gt;0), "Cruce -", IF(AND(BH18&gt;0,BH17&lt;0),"Cruce +", ""))</f>
        <v/>
      </c>
      <c r="BJ18" s="3" t="e">
        <f ca="1">IF($BP$1=1,DX18,IF(RTD("tos.rtd",,BJ$2,"."&amp;$A$2&amp;$AS$1&amp;"C"&amp;$A18)="N/A",0,RTD("tos.rtd",,BJ$2,"."&amp;$A$2&amp;$AS$1&amp;"C"&amp;$A18)))</f>
        <v>#NUM!</v>
      </c>
      <c r="BK18" s="3" t="e">
        <f ca="1">IF($BP$1=1,DY18,-IF(RTD("tos.rtd",,BK$2,"."&amp;$A$2&amp;$AS$1&amp;"P"&amp;$A18)="N/A",0,RTD("tos.rtd",,BK$2,"."&amp;$A$2&amp;$AS$1&amp;"P"&amp;$A18)))</f>
        <v>#NUM!</v>
      </c>
      <c r="BL18" s="3" t="e">
        <f ca="1">IF($BP$1=1,DZ18,IF(RTD("tos.rtd",,BL$2,"."&amp;$A$2&amp;$AU$1&amp;"C"&amp;$A18)="N/A",0,RTD("tos.rtd",,BL$2,"."&amp;$A$2&amp;$AU$1&amp;"C"&amp;$A18)))</f>
        <v>#NUM!</v>
      </c>
      <c r="BM18" s="3" t="e">
        <f ca="1">IF($BP$1=1,EA18,-IF(RTD("tos.rtd",,BM$2,"."&amp;$A$2&amp;$AU$1&amp;"P"&amp;$A18)="N/A",0,RTD("tos.rtd",,BM$2,"."&amp;$A$2&amp;$AU$1&amp;"P"&amp;$A18)))</f>
        <v>#NUM!</v>
      </c>
      <c r="BN18" s="3" t="e">
        <f ca="1">IF($BP$1=1,EB18,IF(RTD("tos.rtd",,BN$2,"."&amp;$A$2&amp;$AW$1&amp;"C"&amp;$A18)="N/A",0,RTD("tos.rtd",,BN$2,"."&amp;$A$2&amp;$AW$1&amp;"C"&amp;$A18)))</f>
        <v>#NUM!</v>
      </c>
      <c r="BO18" s="3" t="e">
        <f ca="1">IF($BP$1=1,EC18,-IF(RTD("tos.rtd",,BO$2,"."&amp;$A$2&amp;$AW$1&amp;"P"&amp;$A18)="N/A",0,RTD("tos.rtd",,BO$2,"."&amp;$A$2&amp;$AW$1&amp;"P"&amp;$A18)))</f>
        <v>#NUM!</v>
      </c>
      <c r="BQ18" s="3" t="e">
        <f t="shared" ca="1" si="37"/>
        <v>#NUM!</v>
      </c>
      <c r="BR18" s="3" t="e">
        <f t="shared" ca="1" si="69"/>
        <v>#NUM!</v>
      </c>
      <c r="BS18" s="3" t="e">
        <f t="shared" ca="1" si="38"/>
        <v>#NUM!</v>
      </c>
      <c r="BT18" s="3" t="e">
        <f t="shared" ca="1" si="69"/>
        <v>#NUM!</v>
      </c>
      <c r="BU18" s="3" t="e">
        <f t="shared" ca="1" si="39"/>
        <v>#NUM!</v>
      </c>
      <c r="BV18" s="3" t="e">
        <f t="shared" ref="BV18" ca="1" si="130">IF(AND(BU18&lt;0,BU17&gt;0), "Cruce -", IF(AND(BU18&gt;0,BU17&lt;0),"Cruce +", ""))</f>
        <v>#NUM!</v>
      </c>
      <c r="BX18" s="3" t="e">
        <f t="shared" ca="1" si="40"/>
        <v>#NUM!</v>
      </c>
      <c r="BY18" s="3" t="e">
        <f t="shared" ca="1" si="71"/>
        <v>#NUM!</v>
      </c>
      <c r="BZ18" s="3" t="e">
        <f t="shared" ca="1" si="41"/>
        <v>#NUM!</v>
      </c>
      <c r="CA18" s="3" t="e">
        <f t="shared" ca="1" si="72"/>
        <v>#NUM!</v>
      </c>
      <c r="CB18" s="3" t="e">
        <f t="shared" ca="1" si="42"/>
        <v>#NUM!</v>
      </c>
      <c r="CC18" s="3" t="e">
        <f t="shared" ca="1" si="73"/>
        <v>#NUM!</v>
      </c>
      <c r="CD18" s="3">
        <f>IF(RTD("tos.rtd",,CD$2,"."&amp;$A$2&amp;$AS$1&amp;"C"&amp;$A18)="N/A",0,RTD("tos.rtd",,CD$2,"."&amp;$A$2&amp;$AS$1&amp;"C"&amp;$A18))</f>
        <v>0.01</v>
      </c>
      <c r="CE18" s="3">
        <f>-IF(RTD("tos.rtd",,CE$2,"."&amp;$A$2&amp;$AS$1&amp;"P"&amp;$A18)="N/A",0,RTD("tos.rtd",,CE$2,"."&amp;$A$2&amp;$AS$1&amp;"P"&amp;$A18))</f>
        <v>0.65</v>
      </c>
      <c r="CF18" s="3">
        <f>IF(RTD("tos.rtd",,CF$2,"."&amp;$A$2&amp;$AU$1&amp;"C"&amp;$A18)="N/A",0,RTD("tos.rtd",,CF$2,"."&amp;$A$2&amp;$AU$1&amp;"C"&amp;$A18))</f>
        <v>0.01</v>
      </c>
      <c r="CG18" s="3">
        <f>-IF(RTD("tos.rtd",,CG$2,"."&amp;$A$2&amp;$AU$1&amp;"P"&amp;$A18)="N/A",0,RTD("tos.rtd",,CG$2,"."&amp;$A$2&amp;$AU$1&amp;"P"&amp;$A18))</f>
        <v>0.79</v>
      </c>
      <c r="CH18" s="3">
        <f>IF(RTD("tos.rtd",,CH$2,"."&amp;$A$2&amp;$AW$1&amp;"C"&amp;$A18)="N/A",0,RTD("tos.rtd",,CH$2,"."&amp;$A$2&amp;$AW$1&amp;"C"&amp;$A18))</f>
        <v>0.43</v>
      </c>
      <c r="CI18" s="3">
        <f>-IF(RTD("tos.rtd",,CI$2,"."&amp;$A$2&amp;$AW$1&amp;"P"&amp;$A18)="N/A",0,RTD("tos.rtd",,CI$2,"."&amp;$A$2&amp;$AW$1&amp;"P"&amp;$A18))</f>
        <v>0.56999999999999995</v>
      </c>
      <c r="CK18" s="3">
        <f t="shared" si="17"/>
        <v>-232123</v>
      </c>
      <c r="CL18" s="3"/>
      <c r="CM18" s="3">
        <f t="shared" si="18"/>
        <v>-334823.00000000006</v>
      </c>
      <c r="CN18" s="3"/>
      <c r="CO18" s="3">
        <f t="shared" si="19"/>
        <v>132908.00000000003</v>
      </c>
      <c r="CP18" s="3">
        <f t="shared" si="43"/>
        <v>-434038</v>
      </c>
      <c r="CQ18" s="3">
        <f t="shared" si="44"/>
        <v>0</v>
      </c>
      <c r="CR18" s="3"/>
      <c r="CS18" s="3">
        <f t="shared" si="20"/>
        <v>198971</v>
      </c>
      <c r="CT18" s="3"/>
      <c r="CU18" s="3">
        <f t="shared" si="21"/>
        <v>5536</v>
      </c>
      <c r="CV18" s="3">
        <f t="shared" si="45"/>
        <v>204507</v>
      </c>
      <c r="CW18" s="3" t="e">
        <f t="shared" ca="1" si="46"/>
        <v>#NUM!</v>
      </c>
      <c r="CX18" s="85" t="e">
        <f t="shared" ca="1" si="74"/>
        <v>#NUM!</v>
      </c>
      <c r="CY18" s="3" t="e">
        <f t="shared" ca="1" si="47"/>
        <v>#NUM!</v>
      </c>
      <c r="CZ18" s="85" t="e">
        <f t="shared" ca="1" si="75"/>
        <v>#NUM!</v>
      </c>
      <c r="DA18" s="3">
        <f>IF(RTD("tos.rtd",,DA$2,"."&amp;$A$2&amp;$AS$1&amp;"C"&amp;$A18)="N/A",0,RTD("tos.rtd",,DA$2,"."&amp;$A$2&amp;$AS$1&amp;"C"&amp;$A18))</f>
        <v>0.01</v>
      </c>
      <c r="DB18" s="3">
        <f>IF(RTD("tos.rtd",,DB$2,"."&amp;$A$2&amp;$AS$1&amp;"P"&amp;$A18)="N/A",0,RTD("tos.rtd",,DB$2,"."&amp;$A$2&amp;$AS$1&amp;"P"&amp;$A18))</f>
        <v>4.8499999999999996</v>
      </c>
      <c r="DC18" s="3">
        <f>IF(RTD("tos.rtd",,DC$2,"."&amp;$A$2&amp;$AS$1&amp;"C"&amp;$A18)="N/A",0,RTD("tos.rtd",,DC$2,"."&amp;$A$2&amp;$AS$1&amp;"C"&amp;$A18))</f>
        <v>0.01</v>
      </c>
      <c r="DD18" s="3">
        <f>IF(RTD("tos.rtd",,DD$2,"."&amp;$A$2&amp;$AS$1&amp;"P"&amp;$A18)="N/A",0,RTD("tos.rtd",,DD$2,"."&amp;$A$2&amp;$AS$1&amp;"P"&amp;$A18))</f>
        <v>5.98</v>
      </c>
      <c r="DE18" s="3">
        <f>IF(RTD("tos.rtd",,DE$2,"."&amp;$A$2&amp;$AS$1&amp;"C"&amp;$A18)="N/A",0,RTD("tos.rtd",,DE$2,"."&amp;$A$2&amp;$AS$1&amp;"C"&amp;$A18))</f>
        <v>0</v>
      </c>
      <c r="DF18" s="3">
        <f>IF(RTD("tos.rtd",,DF$2,"."&amp;$A$2&amp;$AS$1&amp;"P"&amp;$A18)="N/A",0,RTD("tos.rtd",,DF$2,"."&amp;$A$2&amp;$AS$1&amp;"P"&amp;$A18))</f>
        <v>4.09</v>
      </c>
      <c r="DG18" s="86">
        <f t="shared" si="48"/>
        <v>3.2000000000000455</v>
      </c>
      <c r="DH18" s="3">
        <f t="shared" si="22"/>
        <v>-168012</v>
      </c>
      <c r="DI18" s="3">
        <f t="shared" si="49"/>
        <v>5943.6825396825361</v>
      </c>
      <c r="DJ18" s="3">
        <f t="shared" si="50"/>
        <v>-168012</v>
      </c>
      <c r="DK18" s="3">
        <f t="shared" si="51"/>
        <v>0</v>
      </c>
      <c r="DL18" s="3">
        <f t="shared" si="52"/>
        <v>-162068.31746031746</v>
      </c>
      <c r="DM18" s="3">
        <f t="shared" si="53"/>
        <v>-168012</v>
      </c>
      <c r="DN18" s="63" t="str">
        <f t="shared" si="54"/>
        <v>UNKNOWN</v>
      </c>
      <c r="DO18" s="63" t="str">
        <f t="shared" si="55"/>
        <v>UNKNOWN</v>
      </c>
      <c r="DP18" s="3">
        <f t="shared" si="56"/>
        <v>27146.740317460299</v>
      </c>
      <c r="DQ18" s="3">
        <f t="shared" si="57"/>
        <v>-1680.1200000000001</v>
      </c>
      <c r="DR18" s="3" t="e">
        <f t="shared" ca="1" si="58"/>
        <v>#NUM!</v>
      </c>
      <c r="DS18" s="3">
        <f t="shared" si="59"/>
        <v>-1680.1200000000001</v>
      </c>
      <c r="DT18" s="3">
        <f t="shared" si="60"/>
        <v>-168012</v>
      </c>
      <c r="DU18" s="3">
        <f t="shared" si="61"/>
        <v>14781</v>
      </c>
      <c r="DV18" s="3">
        <f t="shared" si="62"/>
        <v>13172</v>
      </c>
      <c r="DW18" s="3">
        <f t="shared" si="23"/>
        <v>-786</v>
      </c>
      <c r="DX18" s="3" t="e">
        <f t="shared" ca="1" si="24"/>
        <v>#NUM!</v>
      </c>
      <c r="DY18" s="3" t="e">
        <f t="shared" ca="1" si="25"/>
        <v>#NUM!</v>
      </c>
      <c r="DZ18" s="3" t="e">
        <f t="shared" ca="1" si="26"/>
        <v>#NUM!</v>
      </c>
      <c r="EA18" s="3" t="e">
        <f t="shared" ca="1" si="27"/>
        <v>#NUM!</v>
      </c>
      <c r="EB18" s="3" t="e">
        <f t="shared" ca="1" si="28"/>
        <v>#NUM!</v>
      </c>
      <c r="EC18" s="3" t="e">
        <f t="shared" ca="1" si="29"/>
        <v>#NUM!</v>
      </c>
      <c r="EE18" s="59">
        <f t="shared" si="63"/>
        <v>0.32440000000000002</v>
      </c>
      <c r="EF18" s="59">
        <f t="shared" si="30"/>
        <v>1.8653999999999999</v>
      </c>
      <c r="EG18" s="59">
        <f t="shared" si="31"/>
        <v>0.32440000000000002</v>
      </c>
      <c r="EH18" s="59">
        <f t="shared" si="32"/>
        <v>0.92359999999999998</v>
      </c>
      <c r="EI18" s="59">
        <f t="shared" si="33"/>
        <v>0.23180000000000001</v>
      </c>
      <c r="EJ18" s="59">
        <f t="shared" si="34"/>
        <v>0.24260000000000001</v>
      </c>
      <c r="EL18" s="3" t="str">
        <f>RTD("tos.rtd",,EL$2,"."&amp;$A$2&amp;$AS$1&amp;"C"&amp;$A18)</f>
        <v>32.44%</v>
      </c>
      <c r="EM18" s="3" t="str">
        <f>RTD("tos.rtd",,EM$2,"."&amp;$A$2&amp;$AS$1&amp;"P"&amp;$A18)</f>
        <v>186.54%</v>
      </c>
      <c r="EN18" s="3" t="str">
        <f>RTD("tos.rtd",,EN$2,"."&amp;$A$2&amp;$AU$1&amp;"C"&amp;$A18)</f>
        <v>32.44%</v>
      </c>
      <c r="EO18" s="3" t="str">
        <f>RTD("tos.rtd",,EO$2,"."&amp;$A$2&amp;$AU$1&amp;"P"&amp;$A18)</f>
        <v>92.36%</v>
      </c>
      <c r="EP18" s="3" t="str">
        <f>RTD("tos.rtd",,EP$2,"."&amp;$A$2&amp;$AW$1&amp;"C"&amp;$A18)</f>
        <v>23.18%</v>
      </c>
      <c r="EQ18" s="3" t="str">
        <f>RTD("tos.rtd",,EQ$2,"."&amp;$A$2&amp;$AW$1&amp;"P"&amp;$A18)</f>
        <v>24.26%</v>
      </c>
      <c r="ES18" s="63" t="str">
        <f t="shared" si="64"/>
        <v>568,12386.00</v>
      </c>
      <c r="ET18" s="63" t="str">
        <f t="shared" ca="1" si="65"/>
        <v>568,00.00</v>
      </c>
      <c r="EU18" s="67">
        <v>562.75</v>
      </c>
      <c r="EV18" s="67" t="s">
        <v>163</v>
      </c>
      <c r="EW18" s="67">
        <v>485.02</v>
      </c>
      <c r="EX18" s="67" t="s">
        <v>164</v>
      </c>
      <c r="EY18" s="67">
        <v>5641.5</v>
      </c>
      <c r="EZ18" s="67" t="s">
        <v>165</v>
      </c>
      <c r="FA18" s="67">
        <v>19924.5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6"/>
        <v>567</v>
      </c>
      <c r="B19" s="3">
        <f t="shared" si="9"/>
        <v>16157</v>
      </c>
      <c r="C19" s="3">
        <f t="shared" si="10"/>
        <v>12394</v>
      </c>
      <c r="D19" s="3">
        <f t="shared" si="11"/>
        <v>7794</v>
      </c>
      <c r="E19" s="3">
        <f t="shared" si="12"/>
        <v>36345</v>
      </c>
      <c r="F19" s="4">
        <f t="shared" si="13"/>
        <v>5706.1402266288951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-12142</v>
      </c>
      <c r="AN19" s="1">
        <v>5623</v>
      </c>
      <c r="AO19" s="1">
        <v>567</v>
      </c>
      <c r="AP19" s="1">
        <v>332934</v>
      </c>
      <c r="AQ19" s="1">
        <v>-48895</v>
      </c>
      <c r="AR19" s="1"/>
      <c r="AS19" s="6">
        <f>IF(RTD("tos.rtd",,AS$2,"."&amp;$A$2&amp;$AS$1&amp;"C"&amp;$A19)="N/A",0,RTD("tos.rtd",,AS$2,"."&amp;$A$2&amp;$AS$1&amp;"C"&amp;$A19))</f>
        <v>7914</v>
      </c>
      <c r="AT19" s="7">
        <f>-IF(RTD("tos.rtd",,AT$2,"."&amp;$A$2&amp;$AS$1&amp;"P"&amp;$A19)="N/A",0,RTD("tos.rtd",,AT$2,"."&amp;$A$2&amp;$AS$1&amp;"P"&amp;$A19))</f>
        <v>-8243</v>
      </c>
      <c r="AU19" s="6">
        <f>IF(RTD("tos.rtd",,AU$2,"."&amp;$A$2&amp;$AU$1&amp;"C"&amp;$A19)="N/A",0,RTD("tos.rtd",,AU$2,"."&amp;$A$2&amp;$AU$1&amp;"C"&amp;$A19))</f>
        <v>9415</v>
      </c>
      <c r="AV19" s="7">
        <f>-IF(RTD("tos.rtd",,AV$2,"."&amp;$A$2&amp;$AU$1&amp;"P"&amp;$A19)="N/A",0,RTD("tos.rtd",,AV$2,"."&amp;$A$2&amp;$AU$1&amp;"P"&amp;$A19))</f>
        <v>-2979</v>
      </c>
      <c r="AW19" s="6">
        <f>IF(RTD("tos.rtd",,AW$2,"."&amp;$A$2&amp;$AW$1&amp;"C"&amp;$A19)="N/A",0,RTD("tos.rtd",,AW$2,"."&amp;$A$2&amp;$AW$1&amp;"C"&amp;$A19))</f>
        <v>4563</v>
      </c>
      <c r="AX19" s="7">
        <f>-IF(RTD("tos.rtd",,AX$2,"."&amp;$A$2&amp;$AW$1&amp;"P"&amp;$A19)="N/A",0,RTD("tos.rtd",,AX$2,"."&amp;$A$2&amp;$AW$1&amp;"P"&amp;$A19))</f>
        <v>-3231</v>
      </c>
      <c r="AY19" s="1">
        <f t="shared" si="67"/>
        <v>7439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0</v>
      </c>
      <c r="BB19" s="7">
        <f>-IF(RTD("tos.rtd",,BB$2,"."&amp;$A$2&amp;$AS$1&amp;"P"&amp;$A19)="N/A",0,RTD("tos.rtd",,BB$2,"."&amp;$A$2&amp;$AS$1&amp;"P"&amp;$A19))</f>
        <v>0</v>
      </c>
      <c r="BC19" s="6">
        <f>IF(RTD("tos.rtd",,BC$2,"."&amp;$A$2&amp;$AU$1&amp;"C"&amp;$A19)="N/A",0,RTD("tos.rtd",,BC$2,"."&amp;$A$2&amp;$AU$1&amp;"C"&amp;$A19))</f>
        <v>397613</v>
      </c>
      <c r="BD19" s="7">
        <f>-IF(RTD("tos.rtd",,BD$2,"."&amp;$A$2&amp;$AU$1&amp;"P"&amp;$A19)="N/A",0,RTD("tos.rtd",,BD$2,"."&amp;$A$2&amp;$AU$1&amp;"P"&amp;$A19))</f>
        <v>-72903</v>
      </c>
      <c r="BE19" s="6">
        <f>IF(RTD("tos.rtd",,BE$2,"."&amp;$A$2&amp;$AW$1&amp;"C"&amp;$A19)="N/A",0,RTD("tos.rtd",,BE$2,"."&amp;$A$2&amp;$AW$1&amp;"C"&amp;$A19))</f>
        <v>13645</v>
      </c>
      <c r="BF19" s="83">
        <f>-IF(RTD("tos.rtd",,BF$2,"."&amp;$A$2&amp;$AW$1&amp;"P"&amp;$A19)="N/A",0,RTD("tos.rtd",,BF$2,"."&amp;$A$2&amp;$AW$1&amp;"P"&amp;$A19))</f>
        <v>-3740</v>
      </c>
      <c r="BG19" s="32">
        <f ca="1">+Hoja2!Y20</f>
        <v>-247</v>
      </c>
      <c r="BH19" s="7">
        <f t="shared" ca="1" si="36"/>
        <v>334368</v>
      </c>
      <c r="BI19" s="8" t="str">
        <f t="shared" ref="BI19" ca="1" si="131">IF(AND(BH19&lt;0,BH18&gt;0), "Cruce -", IF(AND(BH19&gt;0,BH18&lt;0),"Cruce +", ""))</f>
        <v/>
      </c>
      <c r="BJ19" s="3" t="e">
        <f ca="1">IF($BP$1=1,DX19,IF(RTD("tos.rtd",,BJ$2,"."&amp;$A$2&amp;$AS$1&amp;"C"&amp;$A19)="N/A",0,RTD("tos.rtd",,BJ$2,"."&amp;$A$2&amp;$AS$1&amp;"C"&amp;$A19)))</f>
        <v>#NUM!</v>
      </c>
      <c r="BK19" s="3" t="e">
        <f ca="1">IF($BP$1=1,DY19,-IF(RTD("tos.rtd",,BK$2,"."&amp;$A$2&amp;$AS$1&amp;"P"&amp;$A19)="N/A",0,RTD("tos.rtd",,BK$2,"."&amp;$A$2&amp;$AS$1&amp;"P"&amp;$A19)))</f>
        <v>#NUM!</v>
      </c>
      <c r="BL19" s="3" t="e">
        <f ca="1">IF($BP$1=1,DZ19,IF(RTD("tos.rtd",,BL$2,"."&amp;$A$2&amp;$AU$1&amp;"C"&amp;$A19)="N/A",0,RTD("tos.rtd",,BL$2,"."&amp;$A$2&amp;$AU$1&amp;"C"&amp;$A19)))</f>
        <v>#NUM!</v>
      </c>
      <c r="BM19" s="3" t="e">
        <f ca="1">IF($BP$1=1,EA19,-IF(RTD("tos.rtd",,BM$2,"."&amp;$A$2&amp;$AU$1&amp;"P"&amp;$A19)="N/A",0,RTD("tos.rtd",,BM$2,"."&amp;$A$2&amp;$AU$1&amp;"P"&amp;$A19)))</f>
        <v>#NUM!</v>
      </c>
      <c r="BN19" s="3" t="e">
        <f ca="1">IF($BP$1=1,EB19,IF(RTD("tos.rtd",,BN$2,"."&amp;$A$2&amp;$AW$1&amp;"C"&amp;$A19)="N/A",0,RTD("tos.rtd",,BN$2,"."&amp;$A$2&amp;$AW$1&amp;"C"&amp;$A19)))</f>
        <v>#NUM!</v>
      </c>
      <c r="BO19" s="3" t="e">
        <f ca="1">IF($BP$1=1,EC19,-IF(RTD("tos.rtd",,BO$2,"."&amp;$A$2&amp;$AW$1&amp;"P"&amp;$A19)="N/A",0,RTD("tos.rtd",,BO$2,"."&amp;$A$2&amp;$AW$1&amp;"P"&amp;$A19)))</f>
        <v>#NUM!</v>
      </c>
      <c r="BQ19" s="3" t="e">
        <f t="shared" ca="1" si="37"/>
        <v>#NUM!</v>
      </c>
      <c r="BR19" s="3" t="e">
        <f t="shared" ca="1" si="69"/>
        <v>#NUM!</v>
      </c>
      <c r="BS19" s="3" t="e">
        <f t="shared" ca="1" si="38"/>
        <v>#NUM!</v>
      </c>
      <c r="BT19" s="3" t="e">
        <f t="shared" ca="1" si="69"/>
        <v>#NUM!</v>
      </c>
      <c r="BU19" s="3" t="e">
        <f t="shared" ca="1" si="39"/>
        <v>#NUM!</v>
      </c>
      <c r="BV19" s="3" t="e">
        <f t="shared" ref="BV19" ca="1" si="132">IF(AND(BU19&lt;0,BU18&gt;0), "Cruce -", IF(AND(BU19&gt;0,BU18&lt;0),"Cruce +", ""))</f>
        <v>#NUM!</v>
      </c>
      <c r="BX19" s="3" t="e">
        <f t="shared" ca="1" si="40"/>
        <v>#NUM!</v>
      </c>
      <c r="BY19" s="3" t="e">
        <f t="shared" ca="1" si="71"/>
        <v>#NUM!</v>
      </c>
      <c r="BZ19" s="3" t="e">
        <f t="shared" ca="1" si="41"/>
        <v>#NUM!</v>
      </c>
      <c r="CA19" s="3" t="e">
        <f t="shared" ca="1" si="72"/>
        <v>#NUM!</v>
      </c>
      <c r="CB19" s="3" t="e">
        <f t="shared" ca="1" si="42"/>
        <v>#NUM!</v>
      </c>
      <c r="CC19" s="3" t="e">
        <f t="shared" ca="1" si="73"/>
        <v>#NUM!</v>
      </c>
      <c r="CD19" s="3">
        <f>IF(RTD("tos.rtd",,CD$2,"."&amp;$A$2&amp;$AS$1&amp;"C"&amp;$A19)="N/A",0,RTD("tos.rtd",,CD$2,"."&amp;$A$2&amp;$AS$1&amp;"C"&amp;$A19))</f>
        <v>0.01</v>
      </c>
      <c r="CE19" s="3">
        <f>-IF(RTD("tos.rtd",,CE$2,"."&amp;$A$2&amp;$AS$1&amp;"P"&amp;$A19)="N/A",0,RTD("tos.rtd",,CE$2,"."&amp;$A$2&amp;$AS$1&amp;"P"&amp;$A19))</f>
        <v>0.63</v>
      </c>
      <c r="CF19" s="3">
        <f>IF(RTD("tos.rtd",,CF$2,"."&amp;$A$2&amp;$AU$1&amp;"C"&amp;$A19)="N/A",0,RTD("tos.rtd",,CF$2,"."&amp;$A$2&amp;$AU$1&amp;"C"&amp;$A19))</f>
        <v>0.01</v>
      </c>
      <c r="CG19" s="3">
        <f>-IF(RTD("tos.rtd",,CG$2,"."&amp;$A$2&amp;$AU$1&amp;"P"&amp;$A19)="N/A",0,RTD("tos.rtd",,CG$2,"."&amp;$A$2&amp;$AU$1&amp;"P"&amp;$A19))</f>
        <v>0.75</v>
      </c>
      <c r="CH19" s="3">
        <f>IF(RTD("tos.rtd",,CH$2,"."&amp;$A$2&amp;$AW$1&amp;"C"&amp;$A19)="N/A",0,RTD("tos.rtd",,CH$2,"."&amp;$A$2&amp;$AW$1&amp;"C"&amp;$A19))</f>
        <v>0.46</v>
      </c>
      <c r="CI19" s="3">
        <f>-IF(RTD("tos.rtd",,CI$2,"."&amp;$A$2&amp;$AW$1&amp;"P"&amp;$A19)="N/A",0,RTD("tos.rtd",,CI$2,"."&amp;$A$2&amp;$AW$1&amp;"P"&amp;$A19))</f>
        <v>0.54</v>
      </c>
      <c r="CK19" s="3">
        <f t="shared" si="17"/>
        <v>-511395</v>
      </c>
      <c r="CL19" s="3"/>
      <c r="CM19" s="3">
        <f t="shared" si="18"/>
        <v>-214010</v>
      </c>
      <c r="CN19" s="3"/>
      <c r="CO19" s="3">
        <f t="shared" si="19"/>
        <v>35424</v>
      </c>
      <c r="CP19" s="3">
        <f t="shared" si="43"/>
        <v>-689981</v>
      </c>
      <c r="CQ19" s="3">
        <f t="shared" si="44"/>
        <v>0</v>
      </c>
      <c r="CR19" s="3"/>
      <c r="CS19" s="3">
        <f t="shared" si="20"/>
        <v>324710</v>
      </c>
      <c r="CT19" s="3"/>
      <c r="CU19" s="3">
        <f t="shared" si="21"/>
        <v>9905</v>
      </c>
      <c r="CV19" s="3">
        <f t="shared" si="45"/>
        <v>334615</v>
      </c>
      <c r="CW19" s="3" t="e">
        <f t="shared" ca="1" si="46"/>
        <v>#NUM!</v>
      </c>
      <c r="CX19" s="85" t="e">
        <f t="shared" ca="1" si="74"/>
        <v>#NUM!</v>
      </c>
      <c r="CY19" s="3" t="e">
        <f t="shared" ca="1" si="47"/>
        <v>#NUM!</v>
      </c>
      <c r="CZ19" s="85" t="e">
        <f t="shared" ca="1" si="75"/>
        <v>#NUM!</v>
      </c>
      <c r="DA19" s="3">
        <f>IF(RTD("tos.rtd",,DA$2,"."&amp;$A$2&amp;$AS$1&amp;"C"&amp;$A19)="N/A",0,RTD("tos.rtd",,DA$2,"."&amp;$A$2&amp;$AS$1&amp;"C"&amp;$A19))</f>
        <v>0.01</v>
      </c>
      <c r="DB19" s="3">
        <f>IF(RTD("tos.rtd",,DB$2,"."&amp;$A$2&amp;$AS$1&amp;"P"&amp;$A19)="N/A",0,RTD("tos.rtd",,DB$2,"."&amp;$A$2&amp;$AS$1&amp;"P"&amp;$A19))</f>
        <v>4.13</v>
      </c>
      <c r="DC19" s="3">
        <f>IF(RTD("tos.rtd",,DC$2,"."&amp;$A$2&amp;$AS$1&amp;"C"&amp;$A19)="N/A",0,RTD("tos.rtd",,DC$2,"."&amp;$A$2&amp;$AS$1&amp;"C"&amp;$A19))</f>
        <v>0.01</v>
      </c>
      <c r="DD19" s="3">
        <f>IF(RTD("tos.rtd",,DD$2,"."&amp;$A$2&amp;$AS$1&amp;"P"&amp;$A19)="N/A",0,RTD("tos.rtd",,DD$2,"."&amp;$A$2&amp;$AS$1&amp;"P"&amp;$A19))</f>
        <v>4.13</v>
      </c>
      <c r="DE19" s="3">
        <f>IF(RTD("tos.rtd",,DE$2,"."&amp;$A$2&amp;$AS$1&amp;"C"&amp;$A19)="N/A",0,RTD("tos.rtd",,DE$2,"."&amp;$A$2&amp;$AS$1&amp;"C"&amp;$A19))</f>
        <v>0</v>
      </c>
      <c r="DF19" s="3">
        <f>IF(RTD("tos.rtd",,DF$2,"."&amp;$A$2&amp;$AS$1&amp;"P"&amp;$A19)="N/A",0,RTD("tos.rtd",,DF$2,"."&amp;$A$2&amp;$AS$1&amp;"P"&amp;$A19))</f>
        <v>3.67</v>
      </c>
      <c r="DG19" s="86">
        <f t="shared" si="48"/>
        <v>2.2000000000000455</v>
      </c>
      <c r="DH19" s="3">
        <f t="shared" si="22"/>
        <v>-332934</v>
      </c>
      <c r="DI19" s="3">
        <f t="shared" si="49"/>
        <v>48895</v>
      </c>
      <c r="DJ19" s="3">
        <f t="shared" si="50"/>
        <v>-332934</v>
      </c>
      <c r="DK19" s="3">
        <f t="shared" si="51"/>
        <v>48895</v>
      </c>
      <c r="DL19" s="3">
        <f t="shared" si="52"/>
        <v>-284039</v>
      </c>
      <c r="DM19" s="3">
        <f t="shared" si="53"/>
        <v>-284039</v>
      </c>
      <c r="DN19" s="63" t="str">
        <f t="shared" si="54"/>
        <v>UNKNOWN</v>
      </c>
      <c r="DO19" s="63" t="str">
        <f t="shared" si="55"/>
        <v>UNKNOWN</v>
      </c>
      <c r="DP19" s="3">
        <f t="shared" si="56"/>
        <v>198607.01</v>
      </c>
      <c r="DQ19" s="3">
        <f t="shared" si="57"/>
        <v>198607.01</v>
      </c>
      <c r="DR19" s="3" t="e">
        <f t="shared" ca="1" si="58"/>
        <v>#NUM!</v>
      </c>
      <c r="DS19" s="3">
        <f t="shared" si="59"/>
        <v>27474.51</v>
      </c>
      <c r="DT19" s="3">
        <f t="shared" si="60"/>
        <v>-332934</v>
      </c>
      <c r="DU19" s="3">
        <f t="shared" si="61"/>
        <v>48895</v>
      </c>
      <c r="DV19" s="3">
        <f t="shared" si="62"/>
        <v>-12142</v>
      </c>
      <c r="DW19" s="3">
        <f t="shared" si="23"/>
        <v>5623</v>
      </c>
      <c r="DX19" s="3" t="e">
        <f t="shared" ca="1" si="24"/>
        <v>#NUM!</v>
      </c>
      <c r="DY19" s="3" t="e">
        <f t="shared" ca="1" si="25"/>
        <v>#NUM!</v>
      </c>
      <c r="DZ19" s="3" t="e">
        <f t="shared" ca="1" si="26"/>
        <v>#NUM!</v>
      </c>
      <c r="EA19" s="3" t="e">
        <f t="shared" ca="1" si="27"/>
        <v>#NUM!</v>
      </c>
      <c r="EB19" s="3" t="e">
        <f t="shared" ca="1" si="28"/>
        <v>#NUM!</v>
      </c>
      <c r="EC19" s="3" t="e">
        <f t="shared" ca="1" si="29"/>
        <v>#NUM!</v>
      </c>
      <c r="EE19" s="59">
        <f t="shared" si="63"/>
        <v>0.2346</v>
      </c>
      <c r="EF19" s="59">
        <f t="shared" si="30"/>
        <v>1.5585</v>
      </c>
      <c r="EG19" s="59">
        <f t="shared" si="31"/>
        <v>0.2346</v>
      </c>
      <c r="EH19" s="59">
        <f t="shared" si="32"/>
        <v>0.74439999999999995</v>
      </c>
      <c r="EI19" s="59">
        <f t="shared" si="33"/>
        <v>0.23350000000000001</v>
      </c>
      <c r="EJ19" s="59">
        <f t="shared" si="34"/>
        <v>0.24379999999999999</v>
      </c>
      <c r="EL19" s="3" t="str">
        <f>RTD("tos.rtd",,EL$2,"."&amp;$A$2&amp;$AS$1&amp;"C"&amp;$A19)</f>
        <v>23.46%</v>
      </c>
      <c r="EM19" s="3" t="str">
        <f>RTD("tos.rtd",,EM$2,"."&amp;$A$2&amp;$AS$1&amp;"P"&amp;$A19)</f>
        <v>155.85%</v>
      </c>
      <c r="EN19" s="3" t="str">
        <f>RTD("tos.rtd",,EN$2,"."&amp;$A$2&amp;$AU$1&amp;"C"&amp;$A19)</f>
        <v>23.46%</v>
      </c>
      <c r="EO19" s="3" t="str">
        <f>RTD("tos.rtd",,EO$2,"."&amp;$A$2&amp;$AU$1&amp;"P"&amp;$A19)</f>
        <v>74.44%</v>
      </c>
      <c r="EP19" s="3" t="str">
        <f>RTD("tos.rtd",,EP$2,"."&amp;$A$2&amp;$AW$1&amp;"C"&amp;$A19)</f>
        <v>23.35%</v>
      </c>
      <c r="EQ19" s="3" t="str">
        <f>RTD("tos.rtd",,EQ$2,"."&amp;$A$2&amp;$AW$1&amp;"P"&amp;$A19)</f>
        <v>24.38%</v>
      </c>
      <c r="ES19" s="63" t="str">
        <f t="shared" si="64"/>
        <v>567,-6519.00</v>
      </c>
      <c r="ET19" s="63" t="str">
        <f t="shared" ca="1" si="65"/>
        <v>567,00.00</v>
      </c>
      <c r="EU19" s="67">
        <v>562.74</v>
      </c>
      <c r="EV19" s="67" t="s">
        <v>171</v>
      </c>
      <c r="EW19" s="67">
        <v>485.02</v>
      </c>
      <c r="EX19" s="67" t="s">
        <v>172</v>
      </c>
      <c r="EY19" s="67">
        <v>5641</v>
      </c>
      <c r="EZ19" s="67" t="s">
        <v>173</v>
      </c>
      <c r="FA19" s="67">
        <v>19924.25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6"/>
        <v>566</v>
      </c>
      <c r="B20" s="3">
        <f t="shared" si="9"/>
        <v>8519</v>
      </c>
      <c r="C20" s="3">
        <f t="shared" si="10"/>
        <v>13784</v>
      </c>
      <c r="D20" s="3">
        <f t="shared" si="11"/>
        <v>9309</v>
      </c>
      <c r="E20" s="3">
        <f t="shared" si="12"/>
        <v>31612</v>
      </c>
      <c r="F20" s="4">
        <f t="shared" si="13"/>
        <v>5696.0764872521249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5465</v>
      </c>
      <c r="AN20" s="1">
        <v>-41465</v>
      </c>
      <c r="AO20" s="1">
        <v>566</v>
      </c>
      <c r="AP20" s="1">
        <v>481175</v>
      </c>
      <c r="AQ20" s="1">
        <v>-202332</v>
      </c>
      <c r="AR20" s="1"/>
      <c r="AS20" s="6">
        <f>IF(RTD("tos.rtd",,AS$2,"."&amp;$A$2&amp;$AS$1&amp;"C"&amp;$A20)="N/A",0,RTD("tos.rtd",,AS$2,"."&amp;$A$2&amp;$AS$1&amp;"C"&amp;$A20))</f>
        <v>2856</v>
      </c>
      <c r="AT20" s="7">
        <f>-IF(RTD("tos.rtd",,AT$2,"."&amp;$A$2&amp;$AS$1&amp;"P"&amp;$A20)="N/A",0,RTD("tos.rtd",,AT$2,"."&amp;$A$2&amp;$AS$1&amp;"P"&amp;$A20))</f>
        <v>-5663</v>
      </c>
      <c r="AU20" s="6">
        <f>IF(RTD("tos.rtd",,AU$2,"."&amp;$A$2&amp;$AU$1&amp;"C"&amp;$A20)="N/A",0,RTD("tos.rtd",,AU$2,"."&amp;$A$2&amp;$AU$1&amp;"C"&amp;$A20))</f>
        <v>8954</v>
      </c>
      <c r="AV20" s="7">
        <f>-IF(RTD("tos.rtd",,AV$2,"."&amp;$A$2&amp;$AU$1&amp;"P"&amp;$A20)="N/A",0,RTD("tos.rtd",,AV$2,"."&amp;$A$2&amp;$AU$1&amp;"P"&amp;$A20))</f>
        <v>-4830</v>
      </c>
      <c r="AW20" s="6">
        <f>IF(RTD("tos.rtd",,AW$2,"."&amp;$A$2&amp;$AW$1&amp;"C"&amp;$A20)="N/A",0,RTD("tos.rtd",,AW$2,"."&amp;$A$2&amp;$AW$1&amp;"C"&amp;$A20))</f>
        <v>5539</v>
      </c>
      <c r="AX20" s="7">
        <f>-IF(RTD("tos.rtd",,AX$2,"."&amp;$A$2&amp;$AW$1&amp;"P"&amp;$A20)="N/A",0,RTD("tos.rtd",,AX$2,"."&amp;$A$2&amp;$AW$1&amp;"P"&amp;$A20))</f>
        <v>-3770</v>
      </c>
      <c r="AY20" s="1">
        <f t="shared" si="67"/>
        <v>3086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0</v>
      </c>
      <c r="BB20" s="7">
        <f>-IF(RTD("tos.rtd",,BB$2,"."&amp;$A$2&amp;$AS$1&amp;"P"&amp;$A20)="N/A",0,RTD("tos.rtd",,BB$2,"."&amp;$A$2&amp;$AS$1&amp;"P"&amp;$A20))</f>
        <v>0</v>
      </c>
      <c r="BC20" s="6">
        <f>IF(RTD("tos.rtd",,BC$2,"."&amp;$A$2&amp;$AU$1&amp;"C"&amp;$A20)="N/A",0,RTD("tos.rtd",,BC$2,"."&amp;$A$2&amp;$AU$1&amp;"C"&amp;$A20))</f>
        <v>387340</v>
      </c>
      <c r="BD20" s="7">
        <f>-IF(RTD("tos.rtd",,BD$2,"."&amp;$A$2&amp;$AU$1&amp;"P"&amp;$A20)="N/A",0,RTD("tos.rtd",,BD$2,"."&amp;$A$2&amp;$AU$1&amp;"P"&amp;$A20))</f>
        <v>-172752</v>
      </c>
      <c r="BE20" s="6">
        <f>IF(RTD("tos.rtd",,BE$2,"."&amp;$A$2&amp;$AW$1&amp;"C"&amp;$A20)="N/A",0,RTD("tos.rtd",,BE$2,"."&amp;$A$2&amp;$AW$1&amp;"C"&amp;$A20))</f>
        <v>7469</v>
      </c>
      <c r="BF20" s="83">
        <f>-IF(RTD("tos.rtd",,BF$2,"."&amp;$A$2&amp;$AW$1&amp;"P"&amp;$A20)="N/A",0,RTD("tos.rtd",,BF$2,"."&amp;$A$2&amp;$AW$1&amp;"P"&amp;$A20))</f>
        <v>-3679</v>
      </c>
      <c r="BG20" s="32">
        <f ca="1">+Hoja2!Y21</f>
        <v>299</v>
      </c>
      <c r="BH20" s="7">
        <f t="shared" ca="1" si="36"/>
        <v>218677</v>
      </c>
      <c r="BI20" s="8" t="str">
        <f t="shared" ref="BI20" ca="1" si="133">IF(AND(BH20&lt;0,BH19&gt;0), "Cruce -", IF(AND(BH20&gt;0,BH19&lt;0),"Cruce +", ""))</f>
        <v/>
      </c>
      <c r="BJ20" s="3" t="e">
        <f ca="1">IF($BP$1=1,DX20,IF(RTD("tos.rtd",,BJ$2,"."&amp;$A$2&amp;$AS$1&amp;"C"&amp;$A20)="N/A",0,RTD("tos.rtd",,BJ$2,"."&amp;$A$2&amp;$AS$1&amp;"C"&amp;$A20)))</f>
        <v>#NUM!</v>
      </c>
      <c r="BK20" s="3" t="e">
        <f ca="1">IF($BP$1=1,DY20,-IF(RTD("tos.rtd",,BK$2,"."&amp;$A$2&amp;$AS$1&amp;"P"&amp;$A20)="N/A",0,RTD("tos.rtd",,BK$2,"."&amp;$A$2&amp;$AS$1&amp;"P"&amp;$A20)))</f>
        <v>#NUM!</v>
      </c>
      <c r="BL20" s="3" t="e">
        <f ca="1">IF($BP$1=1,DZ20,IF(RTD("tos.rtd",,BL$2,"."&amp;$A$2&amp;$AU$1&amp;"C"&amp;$A20)="N/A",0,RTD("tos.rtd",,BL$2,"."&amp;$A$2&amp;$AU$1&amp;"C"&amp;$A20)))</f>
        <v>#NUM!</v>
      </c>
      <c r="BM20" s="3" t="e">
        <f ca="1">IF($BP$1=1,EA20,-IF(RTD("tos.rtd",,BM$2,"."&amp;$A$2&amp;$AU$1&amp;"P"&amp;$A20)="N/A",0,RTD("tos.rtd",,BM$2,"."&amp;$A$2&amp;$AU$1&amp;"P"&amp;$A20)))</f>
        <v>#NUM!</v>
      </c>
      <c r="BN20" s="3" t="e">
        <f ca="1">IF($BP$1=1,EB20,IF(RTD("tos.rtd",,BN$2,"."&amp;$A$2&amp;$AW$1&amp;"C"&amp;$A20)="N/A",0,RTD("tos.rtd",,BN$2,"."&amp;$A$2&amp;$AW$1&amp;"C"&amp;$A20)))</f>
        <v>#NUM!</v>
      </c>
      <c r="BO20" s="3" t="e">
        <f ca="1">IF($BP$1=1,EC20,-IF(RTD("tos.rtd",,BO$2,"."&amp;$A$2&amp;$AW$1&amp;"P"&amp;$A20)="N/A",0,RTD("tos.rtd",,BO$2,"."&amp;$A$2&amp;$AW$1&amp;"P"&amp;$A20)))</f>
        <v>#NUM!</v>
      </c>
      <c r="BQ20" s="3" t="e">
        <f t="shared" ca="1" si="37"/>
        <v>#NUM!</v>
      </c>
      <c r="BR20" s="3" t="e">
        <f t="shared" ca="1" si="69"/>
        <v>#NUM!</v>
      </c>
      <c r="BS20" s="3" t="e">
        <f t="shared" ca="1" si="38"/>
        <v>#NUM!</v>
      </c>
      <c r="BT20" s="3" t="e">
        <f t="shared" ca="1" si="69"/>
        <v>#NUM!</v>
      </c>
      <c r="BU20" s="3" t="e">
        <f t="shared" ca="1" si="39"/>
        <v>#NUM!</v>
      </c>
      <c r="BV20" s="3" t="e">
        <f t="shared" ref="BV20" ca="1" si="134">IF(AND(BU20&lt;0,BU19&gt;0), "Cruce -", IF(AND(BU20&gt;0,BU19&lt;0),"Cruce +", ""))</f>
        <v>#NUM!</v>
      </c>
      <c r="BX20" s="3" t="e">
        <f t="shared" ca="1" si="40"/>
        <v>#NUM!</v>
      </c>
      <c r="BY20" s="3" t="e">
        <f t="shared" ca="1" si="71"/>
        <v>#NUM!</v>
      </c>
      <c r="BZ20" s="3" t="e">
        <f t="shared" ca="1" si="41"/>
        <v>#NUM!</v>
      </c>
      <c r="CA20" s="3" t="e">
        <f t="shared" ca="1" si="72"/>
        <v>#NUM!</v>
      </c>
      <c r="CB20" s="3" t="e">
        <f t="shared" ca="1" si="42"/>
        <v>#NUM!</v>
      </c>
      <c r="CC20" s="3" t="e">
        <f t="shared" ca="1" si="73"/>
        <v>#NUM!</v>
      </c>
      <c r="CD20" s="3">
        <f>IF(RTD("tos.rtd",,CD$2,"."&amp;$A$2&amp;$AS$1&amp;"C"&amp;$A20)="N/A",0,RTD("tos.rtd",,CD$2,"."&amp;$A$2&amp;$AS$1&amp;"C"&amp;$A20))</f>
        <v>0.02</v>
      </c>
      <c r="CE20" s="3">
        <f>-IF(RTD("tos.rtd",,CE$2,"."&amp;$A$2&amp;$AS$1&amp;"P"&amp;$A20)="N/A",0,RTD("tos.rtd",,CE$2,"."&amp;$A$2&amp;$AS$1&amp;"P"&amp;$A20))</f>
        <v>0.57999999999999996</v>
      </c>
      <c r="CF20" s="3">
        <f>IF(RTD("tos.rtd",,CF$2,"."&amp;$A$2&amp;$AU$1&amp;"C"&amp;$A20)="N/A",0,RTD("tos.rtd",,CF$2,"."&amp;$A$2&amp;$AU$1&amp;"C"&amp;$A20))</f>
        <v>0.02</v>
      </c>
      <c r="CG20" s="3">
        <f>-IF(RTD("tos.rtd",,CG$2,"."&amp;$A$2&amp;$AU$1&amp;"P"&amp;$A20)="N/A",0,RTD("tos.rtd",,CG$2,"."&amp;$A$2&amp;$AU$1&amp;"P"&amp;$A20))</f>
        <v>0.7</v>
      </c>
      <c r="CH20" s="3">
        <f>IF(RTD("tos.rtd",,CH$2,"."&amp;$A$2&amp;$AW$1&amp;"C"&amp;$A20)="N/A",0,RTD("tos.rtd",,CH$2,"."&amp;$A$2&amp;$AW$1&amp;"C"&amp;$A20))</f>
        <v>0.48</v>
      </c>
      <c r="CI20" s="3">
        <f>-IF(RTD("tos.rtd",,CI$2,"."&amp;$A$2&amp;$AW$1&amp;"P"&amp;$A20)="N/A",0,RTD("tos.rtd",,CI$2,"."&amp;$A$2&amp;$AW$1&amp;"P"&amp;$A20))</f>
        <v>0.52</v>
      </c>
      <c r="CK20" s="3">
        <f t="shared" si="17"/>
        <v>-322742</v>
      </c>
      <c r="CL20" s="3"/>
      <c r="CM20" s="3">
        <f t="shared" si="18"/>
        <v>-320192</v>
      </c>
      <c r="CN20" s="3"/>
      <c r="CO20" s="3">
        <f t="shared" si="19"/>
        <v>69832</v>
      </c>
      <c r="CP20" s="3">
        <f t="shared" si="43"/>
        <v>-573102</v>
      </c>
      <c r="CQ20" s="3">
        <f t="shared" si="44"/>
        <v>0</v>
      </c>
      <c r="CR20" s="3"/>
      <c r="CS20" s="3">
        <f t="shared" si="20"/>
        <v>214588</v>
      </c>
      <c r="CT20" s="3"/>
      <c r="CU20" s="3">
        <f t="shared" si="21"/>
        <v>3790</v>
      </c>
      <c r="CV20" s="3">
        <f t="shared" si="45"/>
        <v>218378</v>
      </c>
      <c r="CW20" s="3" t="e">
        <f t="shared" ca="1" si="46"/>
        <v>#NUM!</v>
      </c>
      <c r="CX20" s="85" t="e">
        <f t="shared" ca="1" si="74"/>
        <v>#NUM!</v>
      </c>
      <c r="CY20" s="3" t="e">
        <f t="shared" ca="1" si="47"/>
        <v>#NUM!</v>
      </c>
      <c r="CZ20" s="85" t="e">
        <f t="shared" ca="1" si="75"/>
        <v>#NUM!</v>
      </c>
      <c r="DA20" s="3">
        <f>IF(RTD("tos.rtd",,DA$2,"."&amp;$A$2&amp;$AS$1&amp;"C"&amp;$A20)="N/A",0,RTD("tos.rtd",,DA$2,"."&amp;$A$2&amp;$AS$1&amp;"C"&amp;$A20))</f>
        <v>0.01</v>
      </c>
      <c r="DB20" s="3">
        <f>IF(RTD("tos.rtd",,DB$2,"."&amp;$A$2&amp;$AS$1&amp;"P"&amp;$A20)="N/A",0,RTD("tos.rtd",,DB$2,"."&amp;$A$2&amp;$AS$1&amp;"P"&amp;$A20))</f>
        <v>3.05</v>
      </c>
      <c r="DC20" s="3">
        <f>IF(RTD("tos.rtd",,DC$2,"."&amp;$A$2&amp;$AS$1&amp;"C"&amp;$A20)="N/A",0,RTD("tos.rtd",,DC$2,"."&amp;$A$2&amp;$AS$1&amp;"C"&amp;$A20))</f>
        <v>0.01</v>
      </c>
      <c r="DD20" s="3">
        <f>IF(RTD("tos.rtd",,DD$2,"."&amp;$A$2&amp;$AS$1&amp;"P"&amp;$A20)="N/A",0,RTD("tos.rtd",,DD$2,"."&amp;$A$2&amp;$AS$1&amp;"P"&amp;$A20))</f>
        <v>3.09</v>
      </c>
      <c r="DE20" s="3">
        <f>IF(RTD("tos.rtd",,DE$2,"."&amp;$A$2&amp;$AS$1&amp;"C"&amp;$A20)="N/A",0,RTD("tos.rtd",,DE$2,"."&amp;$A$2&amp;$AS$1&amp;"C"&amp;$A20))</f>
        <v>0</v>
      </c>
      <c r="DF20" s="3">
        <f>IF(RTD("tos.rtd",,DF$2,"."&amp;$A$2&amp;$AS$1&amp;"P"&amp;$A20)="N/A",0,RTD("tos.rtd",,DF$2,"."&amp;$A$2&amp;$AS$1&amp;"P"&amp;$A20))</f>
        <v>2.7</v>
      </c>
      <c r="DG20" s="86">
        <f t="shared" si="48"/>
        <v>1.2000000000000455</v>
      </c>
      <c r="DH20" s="3">
        <f t="shared" si="22"/>
        <v>-481175</v>
      </c>
      <c r="DI20" s="3">
        <f t="shared" si="49"/>
        <v>181579.99999999997</v>
      </c>
      <c r="DJ20" s="3">
        <f t="shared" si="50"/>
        <v>-481175</v>
      </c>
      <c r="DK20" s="3">
        <f t="shared" si="51"/>
        <v>202332</v>
      </c>
      <c r="DL20" s="3">
        <f t="shared" si="52"/>
        <v>-299595</v>
      </c>
      <c r="DM20" s="3">
        <f t="shared" si="53"/>
        <v>-278843</v>
      </c>
      <c r="DN20" s="63" t="str">
        <f t="shared" si="54"/>
        <v>UNKNOWN</v>
      </c>
      <c r="DO20" s="63" t="str">
        <f t="shared" si="55"/>
        <v>UNKNOWN</v>
      </c>
      <c r="DP20" s="3">
        <f t="shared" si="56"/>
        <v>549007.24999999988</v>
      </c>
      <c r="DQ20" s="3">
        <f t="shared" si="57"/>
        <v>612300.85</v>
      </c>
      <c r="DR20" s="3" t="e">
        <f t="shared" ca="1" si="58"/>
        <v>#NUM!</v>
      </c>
      <c r="DS20" s="3">
        <f t="shared" si="59"/>
        <v>107729.06</v>
      </c>
      <c r="DT20" s="3">
        <f t="shared" si="60"/>
        <v>-481175</v>
      </c>
      <c r="DU20" s="3">
        <f t="shared" si="61"/>
        <v>202332</v>
      </c>
      <c r="DV20" s="3">
        <f t="shared" si="62"/>
        <v>5465</v>
      </c>
      <c r="DW20" s="3">
        <f t="shared" si="23"/>
        <v>-41465</v>
      </c>
      <c r="DX20" s="3" t="e">
        <f t="shared" ca="1" si="24"/>
        <v>#NUM!</v>
      </c>
      <c r="DY20" s="3" t="e">
        <f t="shared" ca="1" si="25"/>
        <v>#NUM!</v>
      </c>
      <c r="DZ20" s="3" t="e">
        <f t="shared" ca="1" si="26"/>
        <v>#NUM!</v>
      </c>
      <c r="EA20" s="3" t="e">
        <f t="shared" ca="1" si="27"/>
        <v>#NUM!</v>
      </c>
      <c r="EB20" s="3" t="e">
        <f t="shared" ca="1" si="28"/>
        <v>#NUM!</v>
      </c>
      <c r="EC20" s="3" t="e">
        <f t="shared" ca="1" si="29"/>
        <v>#NUM!</v>
      </c>
      <c r="EE20" s="59">
        <f t="shared" si="63"/>
        <v>0.14000000000000001</v>
      </c>
      <c r="EF20" s="59">
        <f t="shared" si="30"/>
        <v>1.3178000000000001</v>
      </c>
      <c r="EG20" s="59">
        <f t="shared" si="31"/>
        <v>0.14000000000000001</v>
      </c>
      <c r="EH20" s="59">
        <f t="shared" si="32"/>
        <v>0.54610000000000003</v>
      </c>
      <c r="EI20" s="59">
        <f t="shared" si="33"/>
        <v>0.2349</v>
      </c>
      <c r="EJ20" s="59">
        <f t="shared" si="34"/>
        <v>0.245</v>
      </c>
      <c r="EL20" s="3" t="str">
        <f>RTD("tos.rtd",,EL$2,"."&amp;$A$2&amp;$AS$1&amp;"C"&amp;$A20)</f>
        <v>14.00%</v>
      </c>
      <c r="EM20" s="3" t="str">
        <f>RTD("tos.rtd",,EM$2,"."&amp;$A$2&amp;$AS$1&amp;"P"&amp;$A20)</f>
        <v>131.78%</v>
      </c>
      <c r="EN20" s="3" t="str">
        <f>RTD("tos.rtd",,EN$2,"."&amp;$A$2&amp;$AU$1&amp;"C"&amp;$A20)</f>
        <v>14.00%</v>
      </c>
      <c r="EO20" s="3" t="str">
        <f>RTD("tos.rtd",,EO$2,"."&amp;$A$2&amp;$AU$1&amp;"P"&amp;$A20)</f>
        <v>54.61%</v>
      </c>
      <c r="EP20" s="3" t="str">
        <f>RTD("tos.rtd",,EP$2,"."&amp;$A$2&amp;$AW$1&amp;"C"&amp;$A20)</f>
        <v>23.49%</v>
      </c>
      <c r="EQ20" s="3" t="str">
        <f>RTD("tos.rtd",,EQ$2,"."&amp;$A$2&amp;$AW$1&amp;"P"&amp;$A20)</f>
        <v>24.50%</v>
      </c>
      <c r="ES20" s="63" t="str">
        <f t="shared" si="64"/>
        <v>566,-36000.00</v>
      </c>
      <c r="ET20" s="63" t="str">
        <f t="shared" ca="1" si="65"/>
        <v>566,00.00</v>
      </c>
      <c r="EU20" s="67">
        <v>562.98</v>
      </c>
      <c r="EV20" s="67" t="s">
        <v>179</v>
      </c>
      <c r="EW20" s="67">
        <v>485.36</v>
      </c>
      <c r="EX20" s="67" t="s">
        <v>180</v>
      </c>
      <c r="EY20" s="67">
        <v>5644.25</v>
      </c>
      <c r="EZ20" s="67" t="s">
        <v>181</v>
      </c>
      <c r="FA20" s="67">
        <v>19938.25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6"/>
        <v>565</v>
      </c>
      <c r="B21" s="33">
        <f t="shared" si="9"/>
        <v>12335</v>
      </c>
      <c r="C21" s="33">
        <f t="shared" si="10"/>
        <v>19993</v>
      </c>
      <c r="D21" s="33">
        <f t="shared" si="11"/>
        <v>30509</v>
      </c>
      <c r="E21" s="33">
        <f t="shared" si="12"/>
        <v>62837</v>
      </c>
      <c r="F21" s="34">
        <f t="shared" si="13"/>
        <v>5686.0127478753539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-72055</v>
      </c>
      <c r="AN21" s="12">
        <v>-16513</v>
      </c>
      <c r="AO21" s="12">
        <v>565</v>
      </c>
      <c r="AP21" s="12">
        <v>545321</v>
      </c>
      <c r="AQ21" s="12">
        <v>-383003</v>
      </c>
      <c r="AR21" s="12"/>
      <c r="AS21" s="13">
        <f>IF(RTD("tos.rtd",,AS$2,"."&amp;$A$2&amp;$AS$1&amp;"C"&amp;$A21)="N/A",0,RTD("tos.rtd",,AS$2,"."&amp;$A$2&amp;$AS$1&amp;"C"&amp;$A21))</f>
        <v>4040</v>
      </c>
      <c r="AT21" s="29">
        <f>-IF(RTD("tos.rtd",,AT$2,"."&amp;$A$2&amp;$AS$1&amp;"P"&amp;$A21)="N/A",0,RTD("tos.rtd",,AT$2,"."&amp;$A$2&amp;$AS$1&amp;"P"&amp;$A21))</f>
        <v>-8295</v>
      </c>
      <c r="AU21" s="13">
        <f>IF(RTD("tos.rtd",,AU$2,"."&amp;$A$2&amp;$AU$1&amp;"C"&amp;$A21)="N/A",0,RTD("tos.rtd",,AU$2,"."&amp;$A$2&amp;$AU$1&amp;"C"&amp;$A21))</f>
        <v>8590</v>
      </c>
      <c r="AV21" s="29">
        <f>-IF(RTD("tos.rtd",,AV$2,"."&amp;$A$2&amp;$AU$1&amp;"P"&amp;$A21)="N/A",0,RTD("tos.rtd",,AV$2,"."&amp;$A$2&amp;$AU$1&amp;"P"&amp;$A21))</f>
        <v>-11403</v>
      </c>
      <c r="AW21" s="13">
        <f>IF(RTD("tos.rtd",,AW$2,"."&amp;$A$2&amp;$AW$1&amp;"C"&amp;$A21)="N/A",0,RTD("tos.rtd",,AW$2,"."&amp;$A$2&amp;$AW$1&amp;"C"&amp;$A21))</f>
        <v>18222</v>
      </c>
      <c r="AX21" s="29">
        <f>-IF(RTD("tos.rtd",,AX$2,"."&amp;$A$2&amp;$AW$1&amp;"P"&amp;$A21)="N/A",0,RTD("tos.rtd",,AX$2,"."&amp;$A$2&amp;$AW$1&amp;"P"&amp;$A21))</f>
        <v>-12287</v>
      </c>
      <c r="AY21" s="1">
        <f t="shared" si="67"/>
        <v>-1133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0</v>
      </c>
      <c r="BB21" s="29">
        <f>-IF(RTD("tos.rtd",,BB$2,"."&amp;$A$2&amp;$AS$1&amp;"P"&amp;$A21)="N/A",0,RTD("tos.rtd",,BB$2,"."&amp;$A$2&amp;$AS$1&amp;"P"&amp;$A21))</f>
        <v>0</v>
      </c>
      <c r="BC21" s="13">
        <f>IF(RTD("tos.rtd",,BC$2,"."&amp;$A$2&amp;$AU$1&amp;"C"&amp;$A21)="N/A",0,RTD("tos.rtd",,BC$2,"."&amp;$A$2&amp;$AU$1&amp;"C"&amp;$A21))</f>
        <v>491754</v>
      </c>
      <c r="BD21" s="29">
        <f>-IF(RTD("tos.rtd",,BD$2,"."&amp;$A$2&amp;$AU$1&amp;"P"&amp;$A21)="N/A",0,RTD("tos.rtd",,BD$2,"."&amp;$A$2&amp;$AU$1&amp;"P"&amp;$A21))</f>
        <v>-347771</v>
      </c>
      <c r="BE21" s="13">
        <f>IF(RTD("tos.rtd",,BE$2,"."&amp;$A$2&amp;$AW$1&amp;"C"&amp;$A21)="N/A",0,RTD("tos.rtd",,BE$2,"."&amp;$A$2&amp;$AW$1&amp;"C"&amp;$A21))</f>
        <v>28175</v>
      </c>
      <c r="BF21" s="12">
        <f>-IF(RTD("tos.rtd",,BF$2,"."&amp;$A$2&amp;$AW$1&amp;"P"&amp;$A21)="N/A",0,RTD("tos.rtd",,BF$2,"."&amp;$A$2&amp;$AW$1&amp;"P"&amp;$A21))</f>
        <v>-27590</v>
      </c>
      <c r="BG21" s="100">
        <f ca="1">+Hoja2!Y22</f>
        <v>-1099</v>
      </c>
      <c r="BH21" s="29">
        <f t="shared" ca="1" si="36"/>
        <v>143469</v>
      </c>
      <c r="BI21" s="8" t="str">
        <f t="shared" ref="BI21" ca="1" si="135">IF(AND(BH21&lt;0,BH20&gt;0), "Cruce -", IF(AND(BH21&gt;0,BH20&lt;0),"Cruce +", ""))</f>
        <v/>
      </c>
      <c r="BJ21" s="3" t="e">
        <f ca="1">IF($BP$1=1,DX21,IF(RTD("tos.rtd",,BJ$2,"."&amp;$A$2&amp;$AS$1&amp;"C"&amp;$A21)="N/A",0,RTD("tos.rtd",,BJ$2,"."&amp;$A$2&amp;$AS$1&amp;"C"&amp;$A21)))</f>
        <v>#NUM!</v>
      </c>
      <c r="BK21" s="3" t="e">
        <f ca="1">IF($BP$1=1,DY21,-IF(RTD("tos.rtd",,BK$2,"."&amp;$A$2&amp;$AS$1&amp;"P"&amp;$A21)="N/A",0,RTD("tos.rtd",,BK$2,"."&amp;$A$2&amp;$AS$1&amp;"P"&amp;$A21)))</f>
        <v>#NUM!</v>
      </c>
      <c r="BL21" s="3" t="e">
        <f ca="1">IF($BP$1=1,DZ21,IF(RTD("tos.rtd",,BL$2,"."&amp;$A$2&amp;$AU$1&amp;"C"&amp;$A21)="N/A",0,RTD("tos.rtd",,BL$2,"."&amp;$A$2&amp;$AU$1&amp;"C"&amp;$A21)))</f>
        <v>#NUM!</v>
      </c>
      <c r="BM21" s="3" t="e">
        <f ca="1">IF($BP$1=1,EA21,-IF(RTD("tos.rtd",,BM$2,"."&amp;$A$2&amp;$AU$1&amp;"P"&amp;$A21)="N/A",0,RTD("tos.rtd",,BM$2,"."&amp;$A$2&amp;$AU$1&amp;"P"&amp;$A21)))</f>
        <v>#NUM!</v>
      </c>
      <c r="BN21" s="3" t="e">
        <f ca="1">IF($BP$1=1,EB21,IF(RTD("tos.rtd",,BN$2,"."&amp;$A$2&amp;$AW$1&amp;"C"&amp;$A21)="N/A",0,RTD("tos.rtd",,BN$2,"."&amp;$A$2&amp;$AW$1&amp;"C"&amp;$A21)))</f>
        <v>#NUM!</v>
      </c>
      <c r="BO21" s="3" t="e">
        <f ca="1">IF($BP$1=1,EC21,-IF(RTD("tos.rtd",,BO$2,"."&amp;$A$2&amp;$AW$1&amp;"P"&amp;$A21)="N/A",0,RTD("tos.rtd",,BO$2,"."&amp;$A$2&amp;$AW$1&amp;"P"&amp;$A21)))</f>
        <v>#NUM!</v>
      </c>
      <c r="BQ21" s="3" t="e">
        <f t="shared" ca="1" si="37"/>
        <v>#NUM!</v>
      </c>
      <c r="BR21" s="3" t="e">
        <f t="shared" ca="1" si="69"/>
        <v>#NUM!</v>
      </c>
      <c r="BS21" s="3" t="e">
        <f t="shared" ca="1" si="38"/>
        <v>#NUM!</v>
      </c>
      <c r="BT21" s="3" t="e">
        <f t="shared" ca="1" si="69"/>
        <v>#NUM!</v>
      </c>
      <c r="BU21" s="3" t="e">
        <f t="shared" ca="1" si="39"/>
        <v>#NUM!</v>
      </c>
      <c r="BV21" s="3" t="e">
        <f t="shared" ref="BV21" ca="1" si="136">IF(AND(BU21&lt;0,BU20&gt;0), "Cruce -", IF(AND(BU21&gt;0,BU20&lt;0),"Cruce +", ""))</f>
        <v>#NUM!</v>
      </c>
      <c r="BX21" s="3" t="e">
        <f t="shared" ca="1" si="40"/>
        <v>#NUM!</v>
      </c>
      <c r="BY21" s="3" t="e">
        <f t="shared" ca="1" si="71"/>
        <v>#NUM!</v>
      </c>
      <c r="BZ21" s="3" t="e">
        <f t="shared" ca="1" si="41"/>
        <v>#NUM!</v>
      </c>
      <c r="CA21" s="3" t="e">
        <f t="shared" ca="1" si="72"/>
        <v>#NUM!</v>
      </c>
      <c r="CB21" s="3" t="e">
        <f t="shared" ca="1" si="42"/>
        <v>#NUM!</v>
      </c>
      <c r="CC21" s="3" t="e">
        <f t="shared" ca="1" si="73"/>
        <v>#NUM!</v>
      </c>
      <c r="CD21" s="3">
        <f>IF(RTD("tos.rtd",,CD$2,"."&amp;$A$2&amp;$AS$1&amp;"C"&amp;$A21)="N/A",0,RTD("tos.rtd",,CD$2,"."&amp;$A$2&amp;$AS$1&amp;"C"&amp;$A21))</f>
        <v>0.08</v>
      </c>
      <c r="CE21" s="3">
        <f>-IF(RTD("tos.rtd",,CE$2,"."&amp;$A$2&amp;$AS$1&amp;"P"&amp;$A21)="N/A",0,RTD("tos.rtd",,CE$2,"."&amp;$A$2&amp;$AS$1&amp;"P"&amp;$A21))</f>
        <v>0.52</v>
      </c>
      <c r="CF21" s="3">
        <f>IF(RTD("tos.rtd",,CF$2,"."&amp;$A$2&amp;$AU$1&amp;"C"&amp;$A21)="N/A",0,RTD("tos.rtd",,CF$2,"."&amp;$A$2&amp;$AU$1&amp;"C"&amp;$A21))</f>
        <v>0.15</v>
      </c>
      <c r="CG21" s="3">
        <f>-IF(RTD("tos.rtd",,CG$2,"."&amp;$A$2&amp;$AU$1&amp;"P"&amp;$A21)="N/A",0,RTD("tos.rtd",,CG$2,"."&amp;$A$2&amp;$AU$1&amp;"P"&amp;$A21))</f>
        <v>0.56000000000000005</v>
      </c>
      <c r="CH21" s="3">
        <f>IF(RTD("tos.rtd",,CH$2,"."&amp;$A$2&amp;$AW$1&amp;"C"&amp;$A21)="N/A",0,RTD("tos.rtd",,CH$2,"."&amp;$A$2&amp;$AW$1&amp;"C"&amp;$A21))</f>
        <v>0.51</v>
      </c>
      <c r="CI21" s="3">
        <f>-IF(RTD("tos.rtd",,CI$2,"."&amp;$A$2&amp;$AW$1&amp;"P"&amp;$A21)="N/A",0,RTD("tos.rtd",,CI$2,"."&amp;$A$2&amp;$AW$1&amp;"P"&amp;$A21))</f>
        <v>0.49</v>
      </c>
      <c r="CK21" s="3">
        <f t="shared" si="17"/>
        <v>-399020.00000000006</v>
      </c>
      <c r="CL21" s="3"/>
      <c r="CM21" s="3">
        <f t="shared" si="18"/>
        <v>-509718</v>
      </c>
      <c r="CN21" s="3"/>
      <c r="CO21" s="3">
        <f t="shared" si="19"/>
        <v>327258.99999999988</v>
      </c>
      <c r="CP21" s="3">
        <f t="shared" si="43"/>
        <v>-581479.00000000012</v>
      </c>
      <c r="CQ21" s="3">
        <f t="shared" si="44"/>
        <v>0</v>
      </c>
      <c r="CR21" s="3"/>
      <c r="CS21" s="3">
        <f t="shared" si="20"/>
        <v>143983</v>
      </c>
      <c r="CT21" s="3"/>
      <c r="CU21" s="3">
        <f t="shared" si="21"/>
        <v>585</v>
      </c>
      <c r="CV21" s="3">
        <f t="shared" si="45"/>
        <v>144568</v>
      </c>
      <c r="CW21" s="3" t="e">
        <f t="shared" ca="1" si="46"/>
        <v>#NUM!</v>
      </c>
      <c r="CX21" s="85" t="e">
        <f t="shared" ca="1" si="74"/>
        <v>#NUM!</v>
      </c>
      <c r="CY21" s="3" t="e">
        <f t="shared" ca="1" si="47"/>
        <v>#NUM!</v>
      </c>
      <c r="CZ21" s="85" t="e">
        <f t="shared" ca="1" si="75"/>
        <v>#NUM!</v>
      </c>
      <c r="DA21" s="3">
        <f>IF(RTD("tos.rtd",,DA$2,"."&amp;$A$2&amp;$AS$1&amp;"C"&amp;$A21)="N/A",0,RTD("tos.rtd",,DA$2,"."&amp;$A$2&amp;$AS$1&amp;"C"&amp;$A21))</f>
        <v>0.01</v>
      </c>
      <c r="DB21" s="3">
        <f>IF(RTD("tos.rtd",,DB$2,"."&amp;$A$2&amp;$AS$1&amp;"P"&amp;$A21)="N/A",0,RTD("tos.rtd",,DB$2,"."&amp;$A$2&amp;$AS$1&amp;"P"&amp;$A21))</f>
        <v>2.04</v>
      </c>
      <c r="DC21" s="3">
        <f>IF(RTD("tos.rtd",,DC$2,"."&amp;$A$2&amp;$AS$1&amp;"C"&amp;$A21)="N/A",0,RTD("tos.rtd",,DC$2,"."&amp;$A$2&amp;$AS$1&amp;"C"&amp;$A21))</f>
        <v>0.01</v>
      </c>
      <c r="DD21" s="3">
        <f>IF(RTD("tos.rtd",,DD$2,"."&amp;$A$2&amp;$AS$1&amp;"P"&amp;$A21)="N/A",0,RTD("tos.rtd",,DD$2,"."&amp;$A$2&amp;$AS$1&amp;"P"&amp;$A21))</f>
        <v>2.0499999999999998</v>
      </c>
      <c r="DE21" s="3">
        <f>IF(RTD("tos.rtd",,DE$2,"."&amp;$A$2&amp;$AS$1&amp;"C"&amp;$A21)="N/A",0,RTD("tos.rtd",,DE$2,"."&amp;$A$2&amp;$AS$1&amp;"C"&amp;$A21))</f>
        <v>0</v>
      </c>
      <c r="DF21" s="3">
        <f>IF(RTD("tos.rtd",,DF$2,"."&amp;$A$2&amp;$AS$1&amp;"P"&amp;$A21)="N/A",0,RTD("tos.rtd",,DF$2,"."&amp;$A$2&amp;$AS$1&amp;"P"&amp;$A21))</f>
        <v>1.92</v>
      </c>
      <c r="DG21" s="86">
        <f t="shared" si="48"/>
        <v>0.20000000000004547</v>
      </c>
      <c r="DH21" s="3">
        <f t="shared" si="22"/>
        <v>-545321</v>
      </c>
      <c r="DI21" s="3">
        <f t="shared" si="49"/>
        <v>353541.23076923139</v>
      </c>
      <c r="DJ21" s="3">
        <f t="shared" si="50"/>
        <v>-545321</v>
      </c>
      <c r="DK21" s="3">
        <f t="shared" si="51"/>
        <v>383003</v>
      </c>
      <c r="DL21" s="3">
        <f t="shared" si="52"/>
        <v>-191779.76923076861</v>
      </c>
      <c r="DM21" s="3">
        <f t="shared" si="53"/>
        <v>-162318</v>
      </c>
      <c r="DN21" s="63" t="str">
        <f t="shared" si="54"/>
        <v>UNKNOWN</v>
      </c>
      <c r="DO21" s="63" t="str">
        <f t="shared" si="55"/>
        <v>UNKNOWN</v>
      </c>
      <c r="DP21" s="3">
        <f t="shared" si="56"/>
        <v>715770.90076923207</v>
      </c>
      <c r="DQ21" s="3">
        <f t="shared" si="57"/>
        <v>775872.91</v>
      </c>
      <c r="DR21" s="3" t="e">
        <f t="shared" ca="1" si="58"/>
        <v>#NUM!</v>
      </c>
      <c r="DS21" s="3">
        <f t="shared" si="59"/>
        <v>155535.88</v>
      </c>
      <c r="DT21" s="3">
        <f t="shared" si="60"/>
        <v>-545321</v>
      </c>
      <c r="DU21" s="3">
        <f t="shared" si="61"/>
        <v>383003</v>
      </c>
      <c r="DV21" s="3">
        <f t="shared" si="62"/>
        <v>-72055</v>
      </c>
      <c r="DW21" s="3">
        <f t="shared" si="23"/>
        <v>-16513</v>
      </c>
      <c r="DX21" s="3" t="e">
        <f t="shared" ca="1" si="24"/>
        <v>#NUM!</v>
      </c>
      <c r="DY21" s="3" t="e">
        <f t="shared" ca="1" si="25"/>
        <v>#NUM!</v>
      </c>
      <c r="DZ21" s="3" t="e">
        <f t="shared" ca="1" si="26"/>
        <v>#NUM!</v>
      </c>
      <c r="EA21" s="3" t="e">
        <f t="shared" ca="1" si="27"/>
        <v>#NUM!</v>
      </c>
      <c r="EB21" s="3" t="e">
        <f t="shared" ca="1" si="28"/>
        <v>#NUM!</v>
      </c>
      <c r="EC21" s="3" t="e">
        <f t="shared" ca="1" si="29"/>
        <v>#NUM!</v>
      </c>
      <c r="EE21" s="59">
        <f t="shared" si="63"/>
        <v>3.3000000000000002E-2</v>
      </c>
      <c r="EF21" s="59">
        <f t="shared" si="30"/>
        <v>1.1069</v>
      </c>
      <c r="EG21" s="59">
        <f t="shared" si="31"/>
        <v>4.5100000000000001E-2</v>
      </c>
      <c r="EH21" s="59">
        <f t="shared" si="32"/>
        <v>0.28749999999999998</v>
      </c>
      <c r="EI21" s="59">
        <f t="shared" si="33"/>
        <v>0.23630000000000001</v>
      </c>
      <c r="EJ21" s="59">
        <f t="shared" si="34"/>
        <v>0.2462</v>
      </c>
      <c r="EL21" s="3" t="str">
        <f>RTD("tos.rtd",,EL$2,"."&amp;$A$2&amp;$AS$1&amp;"C"&amp;$A21)</f>
        <v>3.30%</v>
      </c>
      <c r="EM21" s="3" t="str">
        <f>RTD("tos.rtd",,EM$2,"."&amp;$A$2&amp;$AS$1&amp;"P"&amp;$A21)</f>
        <v>110.69%</v>
      </c>
      <c r="EN21" s="3" t="str">
        <f>RTD("tos.rtd",,EN$2,"."&amp;$A$2&amp;$AU$1&amp;"C"&amp;$A21)</f>
        <v>4.51%</v>
      </c>
      <c r="EO21" s="3" t="str">
        <f>RTD("tos.rtd",,EO$2,"."&amp;$A$2&amp;$AU$1&amp;"P"&amp;$A21)</f>
        <v>28.75%</v>
      </c>
      <c r="EP21" s="3" t="str">
        <f>RTD("tos.rtd",,EP$2,"."&amp;$A$2&amp;$AW$1&amp;"C"&amp;$A21)</f>
        <v>23.63%</v>
      </c>
      <c r="EQ21" s="3" t="str">
        <f>RTD("tos.rtd",,EQ$2,"."&amp;$A$2&amp;$AW$1&amp;"P"&amp;$A21)</f>
        <v>24.62%</v>
      </c>
      <c r="ES21" s="63" t="str">
        <f t="shared" si="64"/>
        <v>565,-88568.00</v>
      </c>
      <c r="ET21" s="63" t="str">
        <f t="shared" ca="1" si="65"/>
        <v>565,00.00</v>
      </c>
      <c r="EU21" s="67">
        <v>563.11</v>
      </c>
      <c r="EV21" s="67" t="s">
        <v>187</v>
      </c>
      <c r="EW21" s="67">
        <v>485.42</v>
      </c>
      <c r="EX21" s="67" t="s">
        <v>188</v>
      </c>
      <c r="EY21" s="67">
        <v>5644.75</v>
      </c>
      <c r="EZ21" s="67" t="s">
        <v>189</v>
      </c>
      <c r="FA21" s="67">
        <v>19941.25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6"/>
        <v>564</v>
      </c>
      <c r="B22" s="3">
        <f t="shared" si="9"/>
        <v>6875</v>
      </c>
      <c r="C22" s="3">
        <f t="shared" si="10"/>
        <v>9614</v>
      </c>
      <c r="D22" s="3">
        <f t="shared" si="11"/>
        <v>5186</v>
      </c>
      <c r="E22" s="3">
        <f t="shared" si="12"/>
        <v>21675</v>
      </c>
      <c r="F22" s="14">
        <f t="shared" si="13"/>
        <v>5675.9490084985837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-1832</v>
      </c>
      <c r="AN22" s="1">
        <v>-7624</v>
      </c>
      <c r="AO22" s="1">
        <v>564</v>
      </c>
      <c r="AP22" s="1">
        <v>300547</v>
      </c>
      <c r="AQ22" s="1">
        <v>-357985</v>
      </c>
      <c r="AR22" s="1"/>
      <c r="AS22" s="6">
        <f>IF(RTD("tos.rtd",,AS$2,"."&amp;$A$2&amp;$AS$1&amp;"C"&amp;$A22)="N/A",0,RTD("tos.rtd",,AS$2,"."&amp;$A$2&amp;$AS$1&amp;"C"&amp;$A22))</f>
        <v>1894</v>
      </c>
      <c r="AT22" s="7">
        <f>-IF(RTD("tos.rtd",,AT$2,"."&amp;$A$2&amp;$AS$1&amp;"P"&amp;$A22)="N/A",0,RTD("tos.rtd",,AT$2,"."&amp;$A$2&amp;$AS$1&amp;"P"&amp;$A22))</f>
        <v>-4981</v>
      </c>
      <c r="AU22" s="6">
        <f>IF(RTD("tos.rtd",,AU$2,"."&amp;$A$2&amp;$AU$1&amp;"C"&amp;$A22)="N/A",0,RTD("tos.rtd",,AU$2,"."&amp;$A$2&amp;$AU$1&amp;"C"&amp;$A22))</f>
        <v>4240</v>
      </c>
      <c r="AV22" s="7">
        <f>-IF(RTD("tos.rtd",,AV$2,"."&amp;$A$2&amp;$AU$1&amp;"P"&amp;$A22)="N/A",0,RTD("tos.rtd",,AV$2,"."&amp;$A$2&amp;$AU$1&amp;"P"&amp;$A22))</f>
        <v>-5374</v>
      </c>
      <c r="AW22" s="6">
        <f>IF(RTD("tos.rtd",,AW$2,"."&amp;$A$2&amp;$AW$1&amp;"C"&amp;$A22)="N/A",0,RTD("tos.rtd",,AW$2,"."&amp;$A$2&amp;$AW$1&amp;"C"&amp;$A22))</f>
        <v>3149</v>
      </c>
      <c r="AX22" s="7">
        <f>-IF(RTD("tos.rtd",,AX$2,"."&amp;$A$2&amp;$AW$1&amp;"P"&amp;$A22)="N/A",0,RTD("tos.rtd",,AX$2,"."&amp;$A$2&amp;$AW$1&amp;"P"&amp;$A22))</f>
        <v>-2037</v>
      </c>
      <c r="AY22" s="1">
        <f t="shared" si="67"/>
        <v>-3109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0</v>
      </c>
      <c r="BB22" s="7">
        <f>-IF(RTD("tos.rtd",,BB$2,"."&amp;$A$2&amp;$AS$1&amp;"P"&amp;$A22)="N/A",0,RTD("tos.rtd",,BB$2,"."&amp;$A$2&amp;$AS$1&amp;"P"&amp;$A22))</f>
        <v>0</v>
      </c>
      <c r="BC22" s="6">
        <f>IF(RTD("tos.rtd",,BC$2,"."&amp;$A$2&amp;$AU$1&amp;"C"&amp;$A22)="N/A",0,RTD("tos.rtd",,BC$2,"."&amp;$A$2&amp;$AU$1&amp;"C"&amp;$A22))</f>
        <v>311920</v>
      </c>
      <c r="BD22" s="7">
        <f>-IF(RTD("tos.rtd",,BD$2,"."&amp;$A$2&amp;$AU$1&amp;"P"&amp;$A22)="N/A",0,RTD("tos.rtd",,BD$2,"."&amp;$A$2&amp;$AU$1&amp;"P"&amp;$A22))</f>
        <v>-423574</v>
      </c>
      <c r="BE22" s="6">
        <f>IF(RTD("tos.rtd",,BE$2,"."&amp;$A$2&amp;$AW$1&amp;"C"&amp;$A22)="N/A",0,RTD("tos.rtd",,BE$2,"."&amp;$A$2&amp;$AW$1&amp;"C"&amp;$A22))</f>
        <v>7537</v>
      </c>
      <c r="BF22" s="83">
        <f>-IF(RTD("tos.rtd",,BF$2,"."&amp;$A$2&amp;$AW$1&amp;"P"&amp;$A22)="N/A",0,RTD("tos.rtd",,BF$2,"."&amp;$A$2&amp;$AW$1&amp;"P"&amp;$A22))</f>
        <v>-7077</v>
      </c>
      <c r="BG22" s="32">
        <f ca="1">+Hoja2!Y23</f>
        <v>-1026</v>
      </c>
      <c r="BH22" s="7">
        <f t="shared" ca="1" si="36"/>
        <v>-112220</v>
      </c>
      <c r="BI22" s="8" t="str">
        <f t="shared" ref="BI22" ca="1" si="137">IF(AND(BH22&lt;0,BH21&gt;0), "Cruce -", IF(AND(BH22&gt;0,BH21&lt;0),"Cruce +", ""))</f>
        <v>Cruce -</v>
      </c>
      <c r="BJ22" s="3" t="e">
        <f ca="1">IF($BP$1=1,DX22,IF(RTD("tos.rtd",,BJ$2,"."&amp;$A$2&amp;$AS$1&amp;"C"&amp;$A22)="N/A",0,RTD("tos.rtd",,BJ$2,"."&amp;$A$2&amp;$AS$1&amp;"C"&amp;$A22)))</f>
        <v>#NUM!</v>
      </c>
      <c r="BK22" s="3" t="e">
        <f ca="1">IF($BP$1=1,DY22,-IF(RTD("tos.rtd",,BK$2,"."&amp;$A$2&amp;$AS$1&amp;"P"&amp;$A22)="N/A",0,RTD("tos.rtd",,BK$2,"."&amp;$A$2&amp;$AS$1&amp;"P"&amp;$A22)))</f>
        <v>#NUM!</v>
      </c>
      <c r="BL22" s="3" t="e">
        <f ca="1">IF($BP$1=1,DZ22,IF(RTD("tos.rtd",,BL$2,"."&amp;$A$2&amp;$AU$1&amp;"C"&amp;$A22)="N/A",0,RTD("tos.rtd",,BL$2,"."&amp;$A$2&amp;$AU$1&amp;"C"&amp;$A22)))</f>
        <v>#NUM!</v>
      </c>
      <c r="BM22" s="3" t="e">
        <f ca="1">IF($BP$1=1,EA22,-IF(RTD("tos.rtd",,BM$2,"."&amp;$A$2&amp;$AU$1&amp;"P"&amp;$A22)="N/A",0,RTD("tos.rtd",,BM$2,"."&amp;$A$2&amp;$AU$1&amp;"P"&amp;$A22)))</f>
        <v>#NUM!</v>
      </c>
      <c r="BN22" s="3" t="e">
        <f ca="1">IF($BP$1=1,EB22,IF(RTD("tos.rtd",,BN$2,"."&amp;$A$2&amp;$AW$1&amp;"C"&amp;$A22)="N/A",0,RTD("tos.rtd",,BN$2,"."&amp;$A$2&amp;$AW$1&amp;"C"&amp;$A22)))</f>
        <v>#NUM!</v>
      </c>
      <c r="BO22" s="3" t="e">
        <f ca="1">IF($BP$1=1,EC22,-IF(RTD("tos.rtd",,BO$2,"."&amp;$A$2&amp;$AW$1&amp;"P"&amp;$A22)="N/A",0,RTD("tos.rtd",,BO$2,"."&amp;$A$2&amp;$AW$1&amp;"P"&amp;$A22)))</f>
        <v>#NUM!</v>
      </c>
      <c r="BQ22" s="3" t="e">
        <f t="shared" ca="1" si="37"/>
        <v>#NUM!</v>
      </c>
      <c r="BR22" s="3" t="e">
        <f t="shared" ca="1" si="69"/>
        <v>#NUM!</v>
      </c>
      <c r="BS22" s="3" t="e">
        <f t="shared" ca="1" si="38"/>
        <v>#NUM!</v>
      </c>
      <c r="BT22" s="3" t="e">
        <f t="shared" ca="1" si="69"/>
        <v>#NUM!</v>
      </c>
      <c r="BU22" s="3" t="e">
        <f t="shared" ca="1" si="39"/>
        <v>#NUM!</v>
      </c>
      <c r="BV22" s="3" t="e">
        <f t="shared" ref="BV22" ca="1" si="138">IF(AND(BU22&lt;0,BU21&gt;0), "Cruce -", IF(AND(BU22&gt;0,BU21&lt;0),"Cruce +", ""))</f>
        <v>#NUM!</v>
      </c>
      <c r="BX22" s="3" t="e">
        <f t="shared" ca="1" si="40"/>
        <v>#NUM!</v>
      </c>
      <c r="BY22" s="3" t="e">
        <f t="shared" ca="1" si="71"/>
        <v>#NUM!</v>
      </c>
      <c r="BZ22" s="3" t="e">
        <f t="shared" ca="1" si="41"/>
        <v>#NUM!</v>
      </c>
      <c r="CA22" s="3" t="e">
        <f t="shared" ca="1" si="72"/>
        <v>#NUM!</v>
      </c>
      <c r="CB22" s="3" t="e">
        <f t="shared" ca="1" si="42"/>
        <v>#NUM!</v>
      </c>
      <c r="CC22" s="3" t="e">
        <f t="shared" ca="1" si="73"/>
        <v>#NUM!</v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0.41</v>
      </c>
      <c r="CF22" s="3">
        <f>IF(RTD("tos.rtd",,CF$2,"."&amp;$A$2&amp;$AU$1&amp;"C"&amp;$A22)="N/A",0,RTD("tos.rtd",,CF$2,"."&amp;$A$2&amp;$AU$1&amp;"C"&amp;$A22))</f>
        <v>1</v>
      </c>
      <c r="CG22" s="3">
        <f>-IF(RTD("tos.rtd",,CG$2,"."&amp;$A$2&amp;$AU$1&amp;"P"&amp;$A22)="N/A",0,RTD("tos.rtd",,CG$2,"."&amp;$A$2&amp;$AU$1&amp;"P"&amp;$A22))</f>
        <v>7.0000000000000007E-2</v>
      </c>
      <c r="CH22" s="3">
        <f>IF(RTD("tos.rtd",,CH$2,"."&amp;$A$2&amp;$AW$1&amp;"C"&amp;$A22)="N/A",0,RTD("tos.rtd",,CH$2,"."&amp;$A$2&amp;$AW$1&amp;"C"&amp;$A22))</f>
        <v>0.53</v>
      </c>
      <c r="CI22" s="3">
        <f>-IF(RTD("tos.rtd",,CI$2,"."&amp;$A$2&amp;$AW$1&amp;"P"&amp;$A22)="N/A",0,RTD("tos.rtd",,CI$2,"."&amp;$A$2&amp;$AW$1&amp;"P"&amp;$A22))</f>
        <v>0.47</v>
      </c>
      <c r="CK22" s="3">
        <f t="shared" si="17"/>
        <v>-14820.999999999971</v>
      </c>
      <c r="CL22" s="3"/>
      <c r="CM22" s="3">
        <f t="shared" si="18"/>
        <v>386382</v>
      </c>
      <c r="CN22" s="3"/>
      <c r="CO22" s="3">
        <f t="shared" si="19"/>
        <v>71158</v>
      </c>
      <c r="CP22" s="3">
        <f t="shared" si="43"/>
        <v>442719</v>
      </c>
      <c r="CQ22" s="3">
        <f t="shared" si="44"/>
        <v>0</v>
      </c>
      <c r="CR22" s="3"/>
      <c r="CS22" s="3">
        <f t="shared" si="20"/>
        <v>-111654</v>
      </c>
      <c r="CT22" s="3"/>
      <c r="CU22" s="3">
        <f t="shared" si="21"/>
        <v>460</v>
      </c>
      <c r="CV22" s="3">
        <f t="shared" si="45"/>
        <v>-111194</v>
      </c>
      <c r="CW22" s="3" t="e">
        <f t="shared" ca="1" si="46"/>
        <v>#NUM!</v>
      </c>
      <c r="CX22" s="85" t="e">
        <f t="shared" ca="1" si="74"/>
        <v>#NUM!</v>
      </c>
      <c r="CY22" s="3" t="e">
        <f t="shared" ca="1" si="47"/>
        <v>#NUM!</v>
      </c>
      <c r="CZ22" s="85" t="e">
        <f t="shared" ca="1" si="75"/>
        <v>#NUM!</v>
      </c>
      <c r="DA22" s="3">
        <f>IF(RTD("tos.rtd",,DA$2,"."&amp;$A$2&amp;$AS$1&amp;"C"&amp;$A22)="N/A",0,RTD("tos.rtd",,DA$2,"."&amp;$A$2&amp;$AS$1&amp;"C"&amp;$A22))</f>
        <v>0.01</v>
      </c>
      <c r="DB22" s="3">
        <f>IF(RTD("tos.rtd",,DB$2,"."&amp;$A$2&amp;$AS$1&amp;"P"&amp;$A22)="N/A",0,RTD("tos.rtd",,DB$2,"."&amp;$A$2&amp;$AS$1&amp;"P"&amp;$A22))</f>
        <v>1.03</v>
      </c>
      <c r="DC22" s="3">
        <f>IF(RTD("tos.rtd",,DC$2,"."&amp;$A$2&amp;$AS$1&amp;"C"&amp;$A22)="N/A",0,RTD("tos.rtd",,DC$2,"."&amp;$A$2&amp;$AS$1&amp;"C"&amp;$A22))</f>
        <v>0.02</v>
      </c>
      <c r="DD22" s="3">
        <f>IF(RTD("tos.rtd",,DD$2,"."&amp;$A$2&amp;$AS$1&amp;"P"&amp;$A22)="N/A",0,RTD("tos.rtd",,DD$2,"."&amp;$A$2&amp;$AS$1&amp;"P"&amp;$A22))</f>
        <v>1.06</v>
      </c>
      <c r="DE22" s="3">
        <f>IF(RTD("tos.rtd",,DE$2,"."&amp;$A$2&amp;$AS$1&amp;"C"&amp;$A22)="N/A",0,RTD("tos.rtd",,DE$2,"."&amp;$A$2&amp;$AS$1&amp;"C"&amp;$A22))</f>
        <v>0.01</v>
      </c>
      <c r="DF22" s="3">
        <f>IF(RTD("tos.rtd",,DF$2,"."&amp;$A$2&amp;$AS$1&amp;"P"&amp;$A22)="N/A",0,RTD("tos.rtd",,DF$2,"."&amp;$A$2&amp;$AS$1&amp;"P"&amp;$A22))</f>
        <v>0.94</v>
      </c>
      <c r="DG22" s="86">
        <f t="shared" si="48"/>
        <v>-0.79999999999995453</v>
      </c>
      <c r="DH22" s="3">
        <f t="shared" si="22"/>
        <v>0</v>
      </c>
      <c r="DI22" s="3">
        <f t="shared" si="49"/>
        <v>268488.75</v>
      </c>
      <c r="DJ22" s="3">
        <f t="shared" si="50"/>
        <v>300547</v>
      </c>
      <c r="DK22" s="3">
        <f t="shared" si="51"/>
        <v>357985</v>
      </c>
      <c r="DL22" s="3">
        <f t="shared" si="52"/>
        <v>268488.75</v>
      </c>
      <c r="DM22" s="3">
        <f t="shared" si="53"/>
        <v>658532</v>
      </c>
      <c r="DN22" s="63" t="str">
        <f t="shared" si="54"/>
        <v>UNKNOWN</v>
      </c>
      <c r="DO22" s="63" t="str">
        <f t="shared" si="55"/>
        <v>UNKNOWN</v>
      </c>
      <c r="DP22" s="3">
        <f t="shared" si="56"/>
        <v>276543.41250000003</v>
      </c>
      <c r="DQ22" s="3">
        <f t="shared" si="57"/>
        <v>371730.01999999996</v>
      </c>
      <c r="DR22" s="3" t="e">
        <f t="shared" ca="1" si="58"/>
        <v>#NUM!</v>
      </c>
      <c r="DS22" s="3">
        <f t="shared" si="59"/>
        <v>447320.85</v>
      </c>
      <c r="DT22" s="3">
        <f t="shared" si="60"/>
        <v>-300547</v>
      </c>
      <c r="DU22" s="3">
        <f t="shared" si="61"/>
        <v>357985</v>
      </c>
      <c r="DV22" s="3">
        <f t="shared" si="62"/>
        <v>-1832</v>
      </c>
      <c r="DW22" s="3">
        <f t="shared" si="23"/>
        <v>-7624</v>
      </c>
      <c r="DX22" s="3" t="e">
        <f t="shared" ca="1" si="24"/>
        <v>#NUM!</v>
      </c>
      <c r="DY22" s="3" t="e">
        <f t="shared" ca="1" si="25"/>
        <v>#NUM!</v>
      </c>
      <c r="DZ22" s="3" t="e">
        <f t="shared" ca="1" si="26"/>
        <v>#NUM!</v>
      </c>
      <c r="EA22" s="3" t="e">
        <f t="shared" ca="1" si="27"/>
        <v>#NUM!</v>
      </c>
      <c r="EB22" s="3" t="e">
        <f t="shared" ca="1" si="28"/>
        <v>#NUM!</v>
      </c>
      <c r="EC22" s="3" t="e">
        <f t="shared" ca="1" si="29"/>
        <v>#NUM!</v>
      </c>
      <c r="EE22" s="59">
        <f t="shared" si="63"/>
        <v>0.25</v>
      </c>
      <c r="EF22" s="59">
        <f t="shared" si="30"/>
        <v>0.80179999999999996</v>
      </c>
      <c r="EG22" s="59">
        <f t="shared" si="31"/>
        <v>0.25</v>
      </c>
      <c r="EH22" s="59">
        <f t="shared" si="32"/>
        <v>0.12429999999999999</v>
      </c>
      <c r="EI22" s="59">
        <f t="shared" si="33"/>
        <v>0.2379</v>
      </c>
      <c r="EJ22" s="59">
        <f t="shared" si="34"/>
        <v>0.2475</v>
      </c>
      <c r="EL22" s="3" t="str">
        <f>RTD("tos.rtd",,EL$2,"."&amp;$A$2&amp;$AS$1&amp;"C"&amp;$A22)</f>
        <v>--</v>
      </c>
      <c r="EM22" s="3" t="str">
        <f>RTD("tos.rtd",,EM$2,"."&amp;$A$2&amp;$AS$1&amp;"P"&amp;$A22)</f>
        <v>80.18%</v>
      </c>
      <c r="EN22" s="3" t="str">
        <f>RTD("tos.rtd",,EN$2,"."&amp;$A$2&amp;$AU$1&amp;"C"&amp;$A22)</f>
        <v>--</v>
      </c>
      <c r="EO22" s="3" t="str">
        <f>RTD("tos.rtd",,EO$2,"."&amp;$A$2&amp;$AU$1&amp;"P"&amp;$A22)</f>
        <v>12.43%</v>
      </c>
      <c r="EP22" s="3" t="str">
        <f>RTD("tos.rtd",,EP$2,"."&amp;$A$2&amp;$AW$1&amp;"C"&amp;$A22)</f>
        <v>23.79%</v>
      </c>
      <c r="EQ22" s="3" t="str">
        <f>RTD("tos.rtd",,EQ$2,"."&amp;$A$2&amp;$AW$1&amp;"P"&amp;$A22)</f>
        <v>24.75%</v>
      </c>
      <c r="ES22" s="63" t="str">
        <f t="shared" si="64"/>
        <v>564,-9456.00</v>
      </c>
      <c r="ET22" s="63" t="str">
        <f t="shared" ca="1" si="65"/>
        <v>564,00.00</v>
      </c>
      <c r="EU22" s="67">
        <v>563</v>
      </c>
      <c r="EV22" s="67" t="s">
        <v>195</v>
      </c>
      <c r="EW22" s="67">
        <v>485.34</v>
      </c>
      <c r="EX22" s="67" t="s">
        <v>196</v>
      </c>
      <c r="EY22" s="67">
        <v>5643.75</v>
      </c>
      <c r="EZ22" s="67" t="s">
        <v>197</v>
      </c>
      <c r="FA22" s="67">
        <v>19938.75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6"/>
        <v>563</v>
      </c>
      <c r="B23" s="3">
        <f t="shared" ref="B23:B29" si="139">+IF($A$1="ABS",AS23-AT23,AS23+AT23)</f>
        <v>5619</v>
      </c>
      <c r="C23" s="3">
        <f t="shared" ref="C23:C29" si="140">+IF($A$1="ABS",AU23-AV23,AU23+AV23)</f>
        <v>9493</v>
      </c>
      <c r="D23" s="3">
        <f t="shared" ref="D23:D29" si="141">+IF($A$1="ABS",AW23-AX23,AW23+AX23)</f>
        <v>6940</v>
      </c>
      <c r="E23" s="3">
        <f t="shared" ref="E23:E29" si="142">SUM(B23:D23)</f>
        <v>22052</v>
      </c>
      <c r="F23" s="4">
        <f t="shared" ref="F23:F29" si="143">+$F$3/$A$3*A23</f>
        <v>5665.8852691218135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15949</v>
      </c>
      <c r="AN23" s="1">
        <v>25080</v>
      </c>
      <c r="AO23" s="1">
        <v>563</v>
      </c>
      <c r="AP23" s="1">
        <v>141433</v>
      </c>
      <c r="AQ23" s="1">
        <v>-333330</v>
      </c>
      <c r="AR23" s="1"/>
      <c r="AS23" s="6">
        <f>IF(RTD("tos.rtd",,AS$2,"."&amp;$A$2&amp;$AS$1&amp;"C"&amp;$A23)="N/A",0,RTD("tos.rtd",,AS$2,"."&amp;$A$2&amp;$AS$1&amp;"C"&amp;$A23))</f>
        <v>1402</v>
      </c>
      <c r="AT23" s="7">
        <f>-IF(RTD("tos.rtd",,AT$2,"."&amp;$A$2&amp;$AS$1&amp;"P"&amp;$A23)="N/A",0,RTD("tos.rtd",,AT$2,"."&amp;$A$2&amp;$AS$1&amp;"P"&amp;$A23))</f>
        <v>-4217</v>
      </c>
      <c r="AU23" s="6">
        <f>IF(RTD("tos.rtd",,AU$2,"."&amp;$A$2&amp;$AU$1&amp;"C"&amp;$A23)="N/A",0,RTD("tos.rtd",,AU$2,"."&amp;$A$2&amp;$AU$1&amp;"C"&amp;$A23))</f>
        <v>3033</v>
      </c>
      <c r="AV23" s="7">
        <f>-IF(RTD("tos.rtd",,AV$2,"."&amp;$A$2&amp;$AU$1&amp;"P"&amp;$A23)="N/A",0,RTD("tos.rtd",,AV$2,"."&amp;$A$2&amp;$AU$1&amp;"P"&amp;$A23))</f>
        <v>-6460</v>
      </c>
      <c r="AW23" s="6">
        <f>IF(RTD("tos.rtd",,AW$2,"."&amp;$A$2&amp;$AW$1&amp;"C"&amp;$A23)="N/A",0,RTD("tos.rtd",,AW$2,"."&amp;$A$2&amp;$AW$1&amp;"C"&amp;$A23))</f>
        <v>4571</v>
      </c>
      <c r="AX23" s="7">
        <f>-IF(RTD("tos.rtd",,AX$2,"."&amp;$A$2&amp;$AW$1&amp;"P"&amp;$A23)="N/A",0,RTD("tos.rtd",,AX$2,"."&amp;$A$2&amp;$AW$1&amp;"P"&amp;$A23))</f>
        <v>-2369</v>
      </c>
      <c r="AY23" s="1">
        <f t="shared" ref="AY23:AY29" si="144">SUM(AS23:AX23)</f>
        <v>-4040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0</v>
      </c>
      <c r="BB23" s="7">
        <f>-IF(RTD("tos.rtd",,BB$2,"."&amp;$A$2&amp;$AS$1&amp;"P"&amp;$A23)="N/A",0,RTD("tos.rtd",,BB$2,"."&amp;$A$2&amp;$AS$1&amp;"P"&amp;$A23))</f>
        <v>0</v>
      </c>
      <c r="BC23" s="6">
        <f>IF(RTD("tos.rtd",,BC$2,"."&amp;$A$2&amp;$AU$1&amp;"C"&amp;$A23)="N/A",0,RTD("tos.rtd",,BC$2,"."&amp;$A$2&amp;$AU$1&amp;"C"&amp;$A23))</f>
        <v>71490</v>
      </c>
      <c r="BD23" s="7">
        <f>-IF(RTD("tos.rtd",,BD$2,"."&amp;$A$2&amp;$AU$1&amp;"P"&amp;$A23)="N/A",0,RTD("tos.rtd",,BD$2,"."&amp;$A$2&amp;$AU$1&amp;"P"&amp;$A23))</f>
        <v>-329830</v>
      </c>
      <c r="BE23" s="6">
        <f>IF(RTD("tos.rtd",,BE$2,"."&amp;$A$2&amp;$AW$1&amp;"C"&amp;$A23)="N/A",0,RTD("tos.rtd",,BE$2,"."&amp;$A$2&amp;$AW$1&amp;"C"&amp;$A23))</f>
        <v>3176</v>
      </c>
      <c r="BF23" s="83">
        <f>-IF(RTD("tos.rtd",,BF$2,"."&amp;$A$2&amp;$AW$1&amp;"P"&amp;$A23)="N/A",0,RTD("tos.rtd",,BF$2,"."&amp;$A$2&amp;$AW$1&amp;"P"&amp;$A23))</f>
        <v>-4365</v>
      </c>
      <c r="BG23" s="32">
        <f ca="1">+Hoja2!Y24</f>
        <v>173</v>
      </c>
      <c r="BH23" s="7">
        <f t="shared" ca="1" si="36"/>
        <v>-259356</v>
      </c>
      <c r="BI23" s="8" t="str">
        <f t="shared" ref="BI23" ca="1" si="145">IF(AND(BH23&lt;0,BH22&gt;0), "Cruce -", IF(AND(BH23&gt;0,BH22&lt;0),"Cruce +", ""))</f>
        <v/>
      </c>
      <c r="BJ23" s="3" t="e">
        <f ca="1">IF($BP$1=1,DX23,IF(RTD("tos.rtd",,BJ$2,"."&amp;$A$2&amp;$AS$1&amp;"C"&amp;$A23)="N/A",0,RTD("tos.rtd",,BJ$2,"."&amp;$A$2&amp;$AS$1&amp;"C"&amp;$A23)))</f>
        <v>#NUM!</v>
      </c>
      <c r="BK23" s="3" t="e">
        <f ca="1">IF($BP$1=1,DY23,-IF(RTD("tos.rtd",,BK$2,"."&amp;$A$2&amp;$AS$1&amp;"P"&amp;$A23)="N/A",0,RTD("tos.rtd",,BK$2,"."&amp;$A$2&amp;$AS$1&amp;"P"&amp;$A23)))</f>
        <v>#NUM!</v>
      </c>
      <c r="BL23" s="3" t="e">
        <f ca="1">IF($BP$1=1,DZ23,IF(RTD("tos.rtd",,BL$2,"."&amp;$A$2&amp;$AU$1&amp;"C"&amp;$A23)="N/A",0,RTD("tos.rtd",,BL$2,"."&amp;$A$2&amp;$AU$1&amp;"C"&amp;$A23)))</f>
        <v>#NUM!</v>
      </c>
      <c r="BM23" s="3" t="e">
        <f ca="1">IF($BP$1=1,EA23,-IF(RTD("tos.rtd",,BM$2,"."&amp;$A$2&amp;$AU$1&amp;"P"&amp;$A23)="N/A",0,RTD("tos.rtd",,BM$2,"."&amp;$A$2&amp;$AU$1&amp;"P"&amp;$A23)))</f>
        <v>#NUM!</v>
      </c>
      <c r="BN23" s="3" t="e">
        <f ca="1">IF($BP$1=1,EB23,IF(RTD("tos.rtd",,BN$2,"."&amp;$A$2&amp;$AW$1&amp;"C"&amp;$A23)="N/A",0,RTD("tos.rtd",,BN$2,"."&amp;$A$2&amp;$AW$1&amp;"C"&amp;$A23)))</f>
        <v>#NUM!</v>
      </c>
      <c r="BO23" s="3" t="e">
        <f ca="1">IF($BP$1=1,EC23,-IF(RTD("tos.rtd",,BO$2,"."&amp;$A$2&amp;$AW$1&amp;"P"&amp;$A23)="N/A",0,RTD("tos.rtd",,BO$2,"."&amp;$A$2&amp;$AW$1&amp;"P"&amp;$A23)))</f>
        <v>#NUM!</v>
      </c>
      <c r="BQ23" s="3" t="e">
        <f t="shared" ref="BQ23:BQ29" ca="1" si="146">+$A$3*$A$3*AS23*BJ23-$A$3*$A$3*AT23*BK23</f>
        <v>#NUM!</v>
      </c>
      <c r="BR23" s="3" t="e">
        <f t="shared" ca="1" si="69"/>
        <v>#NUM!</v>
      </c>
      <c r="BS23" s="3" t="e">
        <f t="shared" ref="BS23:BS29" ca="1" si="147">+$A$3*$A$3*AU23*BL23-$A$3*$A$3*AV23*BM23</f>
        <v>#NUM!</v>
      </c>
      <c r="BT23" s="3" t="e">
        <f t="shared" ca="1" si="69"/>
        <v>#NUM!</v>
      </c>
      <c r="BU23" s="3" t="e">
        <f t="shared" ref="BU23:BU29" ca="1" si="148">+$A$3*$A$3*AW23*BN23-$A$3*$A$3*AX23*BO23</f>
        <v>#NUM!</v>
      </c>
      <c r="BV23" s="3" t="e">
        <f t="shared" ref="BV23" ca="1" si="149">IF(AND(BU23&lt;0,BU22&gt;0), "Cruce -", IF(AND(BU23&gt;0,BU22&lt;0),"Cruce +", ""))</f>
        <v>#NUM!</v>
      </c>
      <c r="BX23" s="3" t="e">
        <f t="shared" ref="BX23:BX29" ca="1" si="150">+$A$3*$A$3*BA23*BJ23-$A$3*$A$3*BB23*BK23</f>
        <v>#NUM!</v>
      </c>
      <c r="BY23" s="3" t="e">
        <f t="shared" ca="1" si="71"/>
        <v>#NUM!</v>
      </c>
      <c r="BZ23" s="3" t="e">
        <f t="shared" ref="BZ23:BZ29" ca="1" si="151">+$A$3*$A$3*BC23*BL23-$A$3*$A$3*BD23*BM23</f>
        <v>#NUM!</v>
      </c>
      <c r="CA23" s="3" t="e">
        <f t="shared" ca="1" si="72"/>
        <v>#NUM!</v>
      </c>
      <c r="CB23" s="3" t="e">
        <f t="shared" ref="CB23:CB29" ca="1" si="152">+$A$3*$A$3*BE23*BN23-$A$3*$A$3*BF23*BO23</f>
        <v>#NUM!</v>
      </c>
      <c r="CC23" s="3" t="e">
        <f t="shared" ca="1" si="73"/>
        <v>#NUM!</v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0.18</v>
      </c>
      <c r="CF23" s="3">
        <f>IF(RTD("tos.rtd",,CF$2,"."&amp;$A$2&amp;$AU$1&amp;"C"&amp;$A23)="N/A",0,RTD("tos.rtd",,CF$2,"."&amp;$A$2&amp;$AU$1&amp;"C"&amp;$A23))</f>
        <v>1</v>
      </c>
      <c r="CG23" s="3">
        <f>-IF(RTD("tos.rtd",,CG$2,"."&amp;$A$2&amp;$AU$1&amp;"P"&amp;$A23)="N/A",0,RTD("tos.rtd",,CG$2,"."&amp;$A$2&amp;$AU$1&amp;"P"&amp;$A23))</f>
        <v>0.02</v>
      </c>
      <c r="CH23" s="3">
        <f>IF(RTD("tos.rtd",,CH$2,"."&amp;$A$2&amp;$AW$1&amp;"C"&amp;$A23)="N/A",0,RTD("tos.rtd",,CH$2,"."&amp;$A$2&amp;$AW$1&amp;"C"&amp;$A23))</f>
        <v>0.56000000000000005</v>
      </c>
      <c r="CI23" s="3">
        <f>-IF(RTD("tos.rtd",,CI$2,"."&amp;$A$2&amp;$AW$1&amp;"P"&amp;$A23)="N/A",0,RTD("tos.rtd",,CI$2,"."&amp;$A$2&amp;$AW$1&amp;"P"&amp;$A23))</f>
        <v>0.45</v>
      </c>
      <c r="CK23" s="3">
        <f t="shared" ref="CK23:CK29" si="153">+AS23*CD23*100+AT23*CE23*100</f>
        <v>64294</v>
      </c>
      <c r="CL23" s="3"/>
      <c r="CM23" s="3">
        <f t="shared" ref="CM23:CM29" si="154">+AU23*CF23*100+AV23*CG23*100</f>
        <v>290380</v>
      </c>
      <c r="CN23" s="3"/>
      <c r="CO23" s="3">
        <f t="shared" ref="CO23:CO29" si="155">+AW23*CH23*100+AX23*CI23*100</f>
        <v>149371.00000000003</v>
      </c>
      <c r="CP23" s="3">
        <f t="shared" ref="CP23:CP29" si="156">+CK23+CM23+CO23</f>
        <v>504045</v>
      </c>
      <c r="CQ23" s="3">
        <f t="shared" ref="CQ23:CQ29" si="157">+BA23+BB23</f>
        <v>0</v>
      </c>
      <c r="CR23" s="3"/>
      <c r="CS23" s="3">
        <f t="shared" ref="CS23:CS29" si="158">+BC23+BD23</f>
        <v>-258340</v>
      </c>
      <c r="CT23" s="3"/>
      <c r="CU23" s="3">
        <f t="shared" ref="CU23:CU29" si="159">+BE23+BF23</f>
        <v>-1189</v>
      </c>
      <c r="CV23" s="3">
        <f t="shared" ref="CV23:CV29" si="160">+CQ23+CS23+CU23</f>
        <v>-259529</v>
      </c>
      <c r="CW23" s="3" t="e">
        <f t="shared" ref="CW23:CW29" ca="1" si="161">+BQ23+BS23+BU23</f>
        <v>#NUM!</v>
      </c>
      <c r="CX23" s="85" t="e">
        <f t="shared" ca="1" si="74"/>
        <v>#NUM!</v>
      </c>
      <c r="CY23" s="3" t="e">
        <f t="shared" ref="CY23:CY29" ca="1" si="162">+BX23+BZ23+CB23</f>
        <v>#NUM!</v>
      </c>
      <c r="CZ23" s="85" t="e">
        <f t="shared" ca="1" si="75"/>
        <v>#NUM!</v>
      </c>
      <c r="DA23" s="3">
        <f>IF(RTD("tos.rtd",,DA$2,"."&amp;$A$2&amp;$AS$1&amp;"C"&amp;$A23)="N/A",0,RTD("tos.rtd",,DA$2,"."&amp;$A$2&amp;$AS$1&amp;"C"&amp;$A23))</f>
        <v>0.19</v>
      </c>
      <c r="DB23" s="3">
        <f>IF(RTD("tos.rtd",,DB$2,"."&amp;$A$2&amp;$AS$1&amp;"P"&amp;$A23)="N/A",0,RTD("tos.rtd",,DB$2,"."&amp;$A$2&amp;$AS$1&amp;"P"&amp;$A23))</f>
        <v>0.18</v>
      </c>
      <c r="DC23" s="3">
        <f>IF(RTD("tos.rtd",,DC$2,"."&amp;$A$2&amp;$AS$1&amp;"C"&amp;$A23)="N/A",0,RTD("tos.rtd",,DC$2,"."&amp;$A$2&amp;$AS$1&amp;"C"&amp;$A23))</f>
        <v>0.2</v>
      </c>
      <c r="DD23" s="3">
        <f>IF(RTD("tos.rtd",,DD$2,"."&amp;$A$2&amp;$AS$1&amp;"P"&amp;$A23)="N/A",0,RTD("tos.rtd",,DD$2,"."&amp;$A$2&amp;$AS$1&amp;"P"&amp;$A23))</f>
        <v>0.19</v>
      </c>
      <c r="DE23" s="3">
        <f>IF(RTD("tos.rtd",,DE$2,"."&amp;$A$2&amp;$AS$1&amp;"C"&amp;$A23)="N/A",0,RTD("tos.rtd",,DE$2,"."&amp;$A$2&amp;$AS$1&amp;"C"&amp;$A23))</f>
        <v>0.18</v>
      </c>
      <c r="DF23" s="3">
        <f>IF(RTD("tos.rtd",,DF$2,"."&amp;$A$2&amp;$AS$1&amp;"P"&amp;$A23)="N/A",0,RTD("tos.rtd",,DF$2,"."&amp;$A$2&amp;$AS$1&amp;"P"&amp;$A23))</f>
        <v>0.18</v>
      </c>
      <c r="DG23" s="86">
        <f t="shared" si="48"/>
        <v>-1.7999999999999545</v>
      </c>
      <c r="DH23" s="3">
        <f t="shared" ref="DH23:DH29" si="163">((DA23-DE23)/(DC23-DE23))*(BA23-AP23)</f>
        <v>-70716.5</v>
      </c>
      <c r="DI23" s="3">
        <f t="shared" ref="DI23:DI29" si="164">((DB23-DF23)/(DD23-DF23))*(BB23-AQ23)</f>
        <v>0</v>
      </c>
      <c r="DJ23" s="3">
        <f t="shared" ref="DJ23:DJ29" si="165">IF(DA23&gt;=(DE23+(DC23-DE23)*0.6),(BA23-AP23),IF(DA23&lt;=(DE23+(DC23-DE23)*0.4),-(BA23-AP23),0))</f>
        <v>0</v>
      </c>
      <c r="DK23" s="3">
        <f t="shared" si="51"/>
        <v>-333330</v>
      </c>
      <c r="DL23" s="3">
        <f t="shared" si="52"/>
        <v>-70716.5</v>
      </c>
      <c r="DM23" s="3">
        <f t="shared" si="53"/>
        <v>-333330</v>
      </c>
      <c r="DN23" s="63" t="str">
        <f t="shared" si="54"/>
        <v>UNKNOWN</v>
      </c>
      <c r="DO23" s="63" t="str">
        <f t="shared" si="55"/>
        <v>UNKNOWN</v>
      </c>
      <c r="DP23" s="3">
        <f t="shared" si="56"/>
        <v>-13436.135</v>
      </c>
      <c r="DQ23" s="3">
        <f t="shared" si="57"/>
        <v>-59999.399999999994</v>
      </c>
      <c r="DR23" s="3" t="e">
        <f t="shared" ca="1" si="58"/>
        <v>#NUM!</v>
      </c>
      <c r="DS23" s="3">
        <f t="shared" si="59"/>
        <v>-59999.399999999994</v>
      </c>
      <c r="DT23" s="3">
        <f t="shared" si="60"/>
        <v>-141433</v>
      </c>
      <c r="DU23" s="3">
        <f t="shared" si="61"/>
        <v>333330</v>
      </c>
      <c r="DV23" s="3">
        <f t="shared" si="62"/>
        <v>15949</v>
      </c>
      <c r="DW23" s="3">
        <f t="shared" si="23"/>
        <v>25080</v>
      </c>
      <c r="DX23" s="3" t="e">
        <f t="shared" ca="1" si="24"/>
        <v>#NUM!</v>
      </c>
      <c r="DY23" s="3" t="e">
        <f t="shared" ca="1" si="25"/>
        <v>#NUM!</v>
      </c>
      <c r="DZ23" s="3" t="e">
        <f t="shared" ca="1" si="26"/>
        <v>#NUM!</v>
      </c>
      <c r="EA23" s="3" t="e">
        <f t="shared" ca="1" si="27"/>
        <v>#NUM!</v>
      </c>
      <c r="EB23" s="3" t="e">
        <f t="shared" ca="1" si="28"/>
        <v>#NUM!</v>
      </c>
      <c r="EC23" s="3" t="e">
        <f t="shared" ca="1" si="29"/>
        <v>#NUM!</v>
      </c>
      <c r="EE23" s="59">
        <f t="shared" ref="EE23:EE29" si="166">IFERROR(VALUE(IF(OR(EL23="--",EL23="0.00%"),$EE$1,EL23)),$EE$1)</f>
        <v>0.25</v>
      </c>
      <c r="EF23" s="59">
        <f t="shared" ref="EF23:EF29" si="167">IFERROR(VALUE(IF(OR(EM23="--",EM23="0.00%"),$EE$1,EM23)),$EE$1)</f>
        <v>0.45579999999999998</v>
      </c>
      <c r="EG23" s="59">
        <f t="shared" ref="EG23:EG29" si="168">IFERROR(VALUE(IF(OR(EN23="--",EN23="0.00%"),$EE$1,EN23)),$EE$1)</f>
        <v>0.25</v>
      </c>
      <c r="EH23" s="59">
        <f t="shared" ref="EH23:EH29" si="169">IFERROR(VALUE(IF(OR(EO23="--",EO23="0.00%"),$EE$1,EO23)),$EE$1)</f>
        <v>0.19839999999999999</v>
      </c>
      <c r="EI23" s="59">
        <f t="shared" ref="EI23:EI29" si="170">IFERROR(VALUE(IF(OR(EP23="--",EP23="0.00%"),$EE$1,EP23)),$EE$1)</f>
        <v>0.23930000000000001</v>
      </c>
      <c r="EJ23" s="59">
        <f t="shared" ref="EJ23:EJ29" si="171">IFERROR(VALUE(IF(OR(EQ23="--",EQ23="0.00%"),$EE$1,EQ23)),$EE$1)</f>
        <v>0.24890000000000001</v>
      </c>
      <c r="EL23" s="3" t="str">
        <f>RTD("tos.rtd",,EL$2,"."&amp;$A$2&amp;$AS$1&amp;"C"&amp;$A23)</f>
        <v>--</v>
      </c>
      <c r="EM23" s="3" t="str">
        <f>RTD("tos.rtd",,EM$2,"."&amp;$A$2&amp;$AS$1&amp;"P"&amp;$A23)</f>
        <v>45.58%</v>
      </c>
      <c r="EN23" s="3" t="str">
        <f>RTD("tos.rtd",,EN$2,"."&amp;$A$2&amp;$AU$1&amp;"C"&amp;$A23)</f>
        <v>--</v>
      </c>
      <c r="EO23" s="3" t="str">
        <f>RTD("tos.rtd",,EO$2,"."&amp;$A$2&amp;$AU$1&amp;"P"&amp;$A23)</f>
        <v>19.84%</v>
      </c>
      <c r="EP23" s="3" t="str">
        <f>RTD("tos.rtd",,EP$2,"."&amp;$A$2&amp;$AW$1&amp;"C"&amp;$A23)</f>
        <v>23.93%</v>
      </c>
      <c r="EQ23" s="3" t="str">
        <f>RTD("tos.rtd",,EQ$2,"."&amp;$A$2&amp;$AW$1&amp;"P"&amp;$A23)</f>
        <v>24.89%</v>
      </c>
      <c r="ES23" s="63" t="str">
        <f t="shared" si="64"/>
        <v>563,41029.00</v>
      </c>
      <c r="ET23" s="63" t="str">
        <f t="shared" ca="1" si="65"/>
        <v>563,00.00</v>
      </c>
      <c r="EU23" s="67">
        <v>563</v>
      </c>
      <c r="EV23" s="67" t="s">
        <v>203</v>
      </c>
      <c r="EW23" s="67">
        <v>485.32</v>
      </c>
      <c r="EX23" s="67" t="s">
        <v>204</v>
      </c>
      <c r="EY23" s="67">
        <v>5643.75</v>
      </c>
      <c r="EZ23" s="67" t="s">
        <v>205</v>
      </c>
      <c r="FA23" s="67">
        <v>19937.5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6"/>
        <v>562</v>
      </c>
      <c r="B24" s="3">
        <f t="shared" si="139"/>
        <v>5793</v>
      </c>
      <c r="C24" s="3">
        <f t="shared" si="140"/>
        <v>11061</v>
      </c>
      <c r="D24" s="3">
        <f t="shared" si="141"/>
        <v>8454</v>
      </c>
      <c r="E24" s="3">
        <f t="shared" si="142"/>
        <v>25308</v>
      </c>
      <c r="F24" s="4">
        <f t="shared" si="143"/>
        <v>5655.8215297450424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-14739</v>
      </c>
      <c r="AN24" s="1">
        <v>-8537</v>
      </c>
      <c r="AO24" s="1">
        <v>562</v>
      </c>
      <c r="AP24" s="1">
        <v>66455</v>
      </c>
      <c r="AQ24" s="1">
        <v>-255600</v>
      </c>
      <c r="AR24" s="1"/>
      <c r="AS24" s="6">
        <f>IF(RTD("tos.rtd",,AS$2,"."&amp;$A$2&amp;$AS$1&amp;"C"&amp;$A24)="N/A",0,RTD("tos.rtd",,AS$2,"."&amp;$A$2&amp;$AS$1&amp;"C"&amp;$A24))</f>
        <v>1168</v>
      </c>
      <c r="AT24" s="7">
        <f>-IF(RTD("tos.rtd",,AT$2,"."&amp;$A$2&amp;$AS$1&amp;"P"&amp;$A24)="N/A",0,RTD("tos.rtd",,AT$2,"."&amp;$A$2&amp;$AS$1&amp;"P"&amp;$A24))</f>
        <v>-4625</v>
      </c>
      <c r="AU24" s="6">
        <f>IF(RTD("tos.rtd",,AU$2,"."&amp;$A$2&amp;$AU$1&amp;"C"&amp;$A24)="N/A",0,RTD("tos.rtd",,AU$2,"."&amp;$A$2&amp;$AU$1&amp;"C"&amp;$A24))</f>
        <v>3358</v>
      </c>
      <c r="AV24" s="7">
        <f>-IF(RTD("tos.rtd",,AV$2,"."&amp;$A$2&amp;$AU$1&amp;"P"&amp;$A24)="N/A",0,RTD("tos.rtd",,AV$2,"."&amp;$A$2&amp;$AU$1&amp;"P"&amp;$A24))</f>
        <v>-7703</v>
      </c>
      <c r="AW24" s="6">
        <f>IF(RTD("tos.rtd",,AW$2,"."&amp;$A$2&amp;$AW$1&amp;"C"&amp;$A24)="N/A",0,RTD("tos.rtd",,AW$2,"."&amp;$A$2&amp;$AW$1&amp;"C"&amp;$A24))</f>
        <v>5448</v>
      </c>
      <c r="AX24" s="7">
        <f>-IF(RTD("tos.rtd",,AX$2,"."&amp;$A$2&amp;$AW$1&amp;"P"&amp;$A24)="N/A",0,RTD("tos.rtd",,AX$2,"."&amp;$A$2&amp;$AW$1&amp;"P"&amp;$A24))</f>
        <v>-3006</v>
      </c>
      <c r="AY24" s="1">
        <f t="shared" si="144"/>
        <v>-5360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0</v>
      </c>
      <c r="BB24" s="7">
        <f>-IF(RTD("tos.rtd",,BB$2,"."&amp;$A$2&amp;$AS$1&amp;"P"&amp;$A24)="N/A",0,RTD("tos.rtd",,BB$2,"."&amp;$A$2&amp;$AS$1&amp;"P"&amp;$A24))</f>
        <v>0</v>
      </c>
      <c r="BC24" s="6">
        <f>IF(RTD("tos.rtd",,BC$2,"."&amp;$A$2&amp;$AU$1&amp;"C"&amp;$A24)="N/A",0,RTD("tos.rtd",,BC$2,"."&amp;$A$2&amp;$AU$1&amp;"C"&amp;$A24))</f>
        <v>18571</v>
      </c>
      <c r="BD24" s="7">
        <f>-IF(RTD("tos.rtd",,BD$2,"."&amp;$A$2&amp;$AU$1&amp;"P"&amp;$A24)="N/A",0,RTD("tos.rtd",,BD$2,"."&amp;$A$2&amp;$AU$1&amp;"P"&amp;$A24))</f>
        <v>-151651</v>
      </c>
      <c r="BE24" s="6">
        <f>IF(RTD("tos.rtd",,BE$2,"."&amp;$A$2&amp;$AW$1&amp;"C"&amp;$A24)="N/A",0,RTD("tos.rtd",,BE$2,"."&amp;$A$2&amp;$AW$1&amp;"C"&amp;$A24))</f>
        <v>1085</v>
      </c>
      <c r="BF24" s="83">
        <f>-IF(RTD("tos.rtd",,BF$2,"."&amp;$A$2&amp;$AW$1&amp;"P"&amp;$A24)="N/A",0,RTD("tos.rtd",,BF$2,"."&amp;$A$2&amp;$AW$1&amp;"P"&amp;$A24))</f>
        <v>-3759</v>
      </c>
      <c r="BG24" s="32">
        <f ca="1">+Hoja2!Y25</f>
        <v>-584</v>
      </c>
      <c r="BH24" s="7">
        <f t="shared" ca="1" si="36"/>
        <v>-136338</v>
      </c>
      <c r="BI24" s="8" t="str">
        <f t="shared" ref="BI24" ca="1" si="172">IF(AND(BH24&lt;0,BH23&gt;0), "Cruce -", IF(AND(BH24&gt;0,BH23&lt;0),"Cruce +", ""))</f>
        <v/>
      </c>
      <c r="BJ24" s="3" t="e">
        <f ca="1">IF($BP$1=1,DX24,IF(RTD("tos.rtd",,BJ$2,"."&amp;$A$2&amp;$AS$1&amp;"C"&amp;$A24)="N/A",0,RTD("tos.rtd",,BJ$2,"."&amp;$A$2&amp;$AS$1&amp;"C"&amp;$A24)))</f>
        <v>#NUM!</v>
      </c>
      <c r="BK24" s="3" t="e">
        <f ca="1">IF($BP$1=1,DY24,-IF(RTD("tos.rtd",,BK$2,"."&amp;$A$2&amp;$AS$1&amp;"P"&amp;$A24)="N/A",0,RTD("tos.rtd",,BK$2,"."&amp;$A$2&amp;$AS$1&amp;"P"&amp;$A24)))</f>
        <v>#NUM!</v>
      </c>
      <c r="BL24" s="3" t="e">
        <f ca="1">IF($BP$1=1,DZ24,IF(RTD("tos.rtd",,BL$2,"."&amp;$A$2&amp;$AU$1&amp;"C"&amp;$A24)="N/A",0,RTD("tos.rtd",,BL$2,"."&amp;$A$2&amp;$AU$1&amp;"C"&amp;$A24)))</f>
        <v>#NUM!</v>
      </c>
      <c r="BM24" s="3" t="e">
        <f ca="1">IF($BP$1=1,EA24,-IF(RTD("tos.rtd",,BM$2,"."&amp;$A$2&amp;$AU$1&amp;"P"&amp;$A24)="N/A",0,RTD("tos.rtd",,BM$2,"."&amp;$A$2&amp;$AU$1&amp;"P"&amp;$A24)))</f>
        <v>#NUM!</v>
      </c>
      <c r="BN24" s="3" t="e">
        <f ca="1">IF($BP$1=1,EB24,IF(RTD("tos.rtd",,BN$2,"."&amp;$A$2&amp;$AW$1&amp;"C"&amp;$A24)="N/A",0,RTD("tos.rtd",,BN$2,"."&amp;$A$2&amp;$AW$1&amp;"C"&amp;$A24)))</f>
        <v>#NUM!</v>
      </c>
      <c r="BO24" s="3" t="e">
        <f ca="1">IF($BP$1=1,EC24,-IF(RTD("tos.rtd",,BO$2,"."&amp;$A$2&amp;$AW$1&amp;"P"&amp;$A24)="N/A",0,RTD("tos.rtd",,BO$2,"."&amp;$A$2&amp;$AW$1&amp;"P"&amp;$A24)))</f>
        <v>#NUM!</v>
      </c>
      <c r="BQ24" s="3" t="e">
        <f t="shared" ca="1" si="146"/>
        <v>#NUM!</v>
      </c>
      <c r="BR24" s="3" t="e">
        <f t="shared" ca="1" si="69"/>
        <v>#NUM!</v>
      </c>
      <c r="BS24" s="3" t="e">
        <f t="shared" ca="1" si="147"/>
        <v>#NUM!</v>
      </c>
      <c r="BT24" s="3" t="e">
        <f t="shared" ca="1" si="69"/>
        <v>#NUM!</v>
      </c>
      <c r="BU24" s="3" t="e">
        <f t="shared" ca="1" si="148"/>
        <v>#NUM!</v>
      </c>
      <c r="BV24" s="3" t="e">
        <f t="shared" ref="BV24" ca="1" si="173">IF(AND(BU24&lt;0,BU23&gt;0), "Cruce -", IF(AND(BU24&gt;0,BU23&lt;0),"Cruce +", ""))</f>
        <v>#NUM!</v>
      </c>
      <c r="BX24" s="3" t="e">
        <f t="shared" ca="1" si="150"/>
        <v>#NUM!</v>
      </c>
      <c r="BY24" s="3" t="e">
        <f t="shared" ca="1" si="71"/>
        <v>#NUM!</v>
      </c>
      <c r="BZ24" s="3" t="e">
        <f t="shared" ca="1" si="151"/>
        <v>#NUM!</v>
      </c>
      <c r="CA24" s="3" t="e">
        <f t="shared" ca="1" si="72"/>
        <v>#NUM!</v>
      </c>
      <c r="CB24" s="3" t="e">
        <f t="shared" ca="1" si="152"/>
        <v>#NUM!</v>
      </c>
      <c r="CC24" s="3" t="e">
        <f t="shared" ca="1" si="73"/>
        <v>#NUM!</v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0.03</v>
      </c>
      <c r="CF24" s="3">
        <f>IF(RTD("tos.rtd",,CF$2,"."&amp;$A$2&amp;$AU$1&amp;"C"&amp;$A24)="N/A",0,RTD("tos.rtd",,CF$2,"."&amp;$A$2&amp;$AU$1&amp;"C"&amp;$A24))</f>
        <v>1</v>
      </c>
      <c r="CG24" s="3">
        <f>-IF(RTD("tos.rtd",,CG$2,"."&amp;$A$2&amp;$AU$1&amp;"P"&amp;$A24)="N/A",0,RTD("tos.rtd",,CG$2,"."&amp;$A$2&amp;$AU$1&amp;"P"&amp;$A24))</f>
        <v>0.01</v>
      </c>
      <c r="CH24" s="3">
        <f>IF(RTD("tos.rtd",,CH$2,"."&amp;$A$2&amp;$AW$1&amp;"C"&amp;$A24)="N/A",0,RTD("tos.rtd",,CH$2,"."&amp;$A$2&amp;$AW$1&amp;"C"&amp;$A24))</f>
        <v>0.57999999999999996</v>
      </c>
      <c r="CI24" s="3">
        <f>-IF(RTD("tos.rtd",,CI$2,"."&amp;$A$2&amp;$AW$1&amp;"P"&amp;$A24)="N/A",0,RTD("tos.rtd",,CI$2,"."&amp;$A$2&amp;$AW$1&amp;"P"&amp;$A24))</f>
        <v>0.42</v>
      </c>
      <c r="CK24" s="3">
        <f t="shared" si="153"/>
        <v>102925</v>
      </c>
      <c r="CL24" s="3"/>
      <c r="CM24" s="3">
        <f t="shared" si="154"/>
        <v>328097</v>
      </c>
      <c r="CN24" s="3"/>
      <c r="CO24" s="3">
        <f t="shared" si="155"/>
        <v>189731.99999999994</v>
      </c>
      <c r="CP24" s="3">
        <f t="shared" si="156"/>
        <v>620754</v>
      </c>
      <c r="CQ24" s="3">
        <f t="shared" si="157"/>
        <v>0</v>
      </c>
      <c r="CR24" s="3"/>
      <c r="CS24" s="3">
        <f t="shared" si="158"/>
        <v>-133080</v>
      </c>
      <c r="CT24" s="3"/>
      <c r="CU24" s="3">
        <f t="shared" si="159"/>
        <v>-2674</v>
      </c>
      <c r="CV24" s="3">
        <f t="shared" si="160"/>
        <v>-135754</v>
      </c>
      <c r="CW24" s="3" t="e">
        <f t="shared" ca="1" si="161"/>
        <v>#NUM!</v>
      </c>
      <c r="CX24" s="85" t="e">
        <f t="shared" ca="1" si="74"/>
        <v>#NUM!</v>
      </c>
      <c r="CY24" s="3" t="e">
        <f t="shared" ca="1" si="162"/>
        <v>#NUM!</v>
      </c>
      <c r="CZ24" s="85" t="e">
        <f t="shared" ca="1" si="75"/>
        <v>#NUM!</v>
      </c>
      <c r="DA24" s="3">
        <f>IF(RTD("tos.rtd",,DA$2,"."&amp;$A$2&amp;$AS$1&amp;"C"&amp;$A24)="N/A",0,RTD("tos.rtd",,DA$2,"."&amp;$A$2&amp;$AS$1&amp;"C"&amp;$A24))</f>
        <v>1.02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1.08</v>
      </c>
      <c r="DD24" s="3">
        <f>IF(RTD("tos.rtd",,DD$2,"."&amp;$A$2&amp;$AS$1&amp;"P"&amp;$A24)="N/A",0,RTD("tos.rtd",,DD$2,"."&amp;$A$2&amp;$AS$1&amp;"P"&amp;$A24))</f>
        <v>0.02</v>
      </c>
      <c r="DE24" s="3">
        <f>IF(RTD("tos.rtd",,DE$2,"."&amp;$A$2&amp;$AS$1&amp;"C"&amp;$A24)="N/A",0,RTD("tos.rtd",,DE$2,"."&amp;$A$2&amp;$AS$1&amp;"C"&amp;$A24))</f>
        <v>0.96</v>
      </c>
      <c r="DF24" s="3">
        <f>IF(RTD("tos.rtd",,DF$2,"."&amp;$A$2&amp;$AS$1&amp;"P"&amp;$A24)="N/A",0,RTD("tos.rtd",,DF$2,"."&amp;$A$2&amp;$AS$1&amp;"P"&amp;$A24))</f>
        <v>0.01</v>
      </c>
      <c r="DG24" s="86">
        <f t="shared" si="48"/>
        <v>-2.7999999999999545</v>
      </c>
      <c r="DH24" s="3">
        <f t="shared" si="163"/>
        <v>-33227.5</v>
      </c>
      <c r="DI24" s="3">
        <f t="shared" si="164"/>
        <v>0</v>
      </c>
      <c r="DJ24" s="3">
        <f t="shared" si="165"/>
        <v>0</v>
      </c>
      <c r="DK24" s="3">
        <f t="shared" si="51"/>
        <v>-255600</v>
      </c>
      <c r="DL24" s="3">
        <f t="shared" si="52"/>
        <v>-33227.5</v>
      </c>
      <c r="DM24" s="3">
        <f t="shared" si="53"/>
        <v>-255600</v>
      </c>
      <c r="DN24" s="63" t="str">
        <f t="shared" si="54"/>
        <v>UNKNOWN</v>
      </c>
      <c r="DO24" s="63" t="str">
        <f t="shared" si="55"/>
        <v>UNKNOWN</v>
      </c>
      <c r="DP24" s="3">
        <f t="shared" si="56"/>
        <v>-33892.050000000003</v>
      </c>
      <c r="DQ24" s="3">
        <f t="shared" si="57"/>
        <v>-2556</v>
      </c>
      <c r="DR24" s="3" t="e">
        <f t="shared" ca="1" si="58"/>
        <v>#NUM!</v>
      </c>
      <c r="DS24" s="3">
        <f t="shared" si="59"/>
        <v>-7668</v>
      </c>
      <c r="DT24" s="3">
        <f t="shared" si="60"/>
        <v>-66455</v>
      </c>
      <c r="DU24" s="3">
        <f t="shared" si="61"/>
        <v>255600</v>
      </c>
      <c r="DV24" s="3">
        <f t="shared" si="62"/>
        <v>-14739</v>
      </c>
      <c r="DW24" s="3">
        <f t="shared" si="23"/>
        <v>-8537</v>
      </c>
      <c r="DX24" s="3" t="e">
        <f t="shared" ca="1" si="24"/>
        <v>#NUM!</v>
      </c>
      <c r="DY24" s="3" t="e">
        <f t="shared" ca="1" si="25"/>
        <v>#NUM!</v>
      </c>
      <c r="DZ24" s="3" t="e">
        <f t="shared" ca="1" si="26"/>
        <v>#NUM!</v>
      </c>
      <c r="EA24" s="3" t="e">
        <f t="shared" ca="1" si="27"/>
        <v>#NUM!</v>
      </c>
      <c r="EB24" s="3" t="e">
        <f t="shared" ca="1" si="28"/>
        <v>#NUM!</v>
      </c>
      <c r="EC24" s="3" t="e">
        <f t="shared" ca="1" si="29"/>
        <v>#NUM!</v>
      </c>
      <c r="EE24" s="59">
        <f t="shared" si="166"/>
        <v>0.25</v>
      </c>
      <c r="EF24" s="59">
        <f t="shared" si="167"/>
        <v>0.3417</v>
      </c>
      <c r="EG24" s="59">
        <f t="shared" si="168"/>
        <v>0.25</v>
      </c>
      <c r="EH24" s="59">
        <f t="shared" si="169"/>
        <v>0.29049999999999998</v>
      </c>
      <c r="EI24" s="59">
        <f t="shared" si="170"/>
        <v>0.24010000000000001</v>
      </c>
      <c r="EJ24" s="59">
        <f t="shared" si="171"/>
        <v>0.25009999999999999</v>
      </c>
      <c r="EL24" s="3" t="str">
        <f>RTD("tos.rtd",,EL$2,"."&amp;$A$2&amp;$AS$1&amp;"C"&amp;$A24)</f>
        <v>--</v>
      </c>
      <c r="EM24" s="3" t="str">
        <f>RTD("tos.rtd",,EM$2,"."&amp;$A$2&amp;$AS$1&amp;"P"&amp;$A24)</f>
        <v>34.17%</v>
      </c>
      <c r="EN24" s="3" t="str">
        <f>RTD("tos.rtd",,EN$2,"."&amp;$A$2&amp;$AU$1&amp;"C"&amp;$A24)</f>
        <v>--</v>
      </c>
      <c r="EO24" s="3" t="str">
        <f>RTD("tos.rtd",,EO$2,"."&amp;$A$2&amp;$AU$1&amp;"P"&amp;$A24)</f>
        <v>29.05%</v>
      </c>
      <c r="EP24" s="3" t="str">
        <f>RTD("tos.rtd",,EP$2,"."&amp;$A$2&amp;$AW$1&amp;"C"&amp;$A24)</f>
        <v>24.01%</v>
      </c>
      <c r="EQ24" s="3" t="str">
        <f>RTD("tos.rtd",,EQ$2,"."&amp;$A$2&amp;$AW$1&amp;"P"&amp;$A24)</f>
        <v>25.01%</v>
      </c>
      <c r="ES24" s="63" t="str">
        <f t="shared" si="64"/>
        <v>562,-23276.00</v>
      </c>
      <c r="ET24" s="63" t="str">
        <f t="shared" ca="1" si="65"/>
        <v>562,00.00</v>
      </c>
      <c r="EU24" s="67">
        <v>563.15</v>
      </c>
      <c r="EV24" s="67" t="s">
        <v>211</v>
      </c>
      <c r="EW24" s="67">
        <v>485.48</v>
      </c>
      <c r="EX24" s="67" t="s">
        <v>212</v>
      </c>
      <c r="EY24" s="67">
        <v>5645.25</v>
      </c>
      <c r="EZ24" s="67" t="s">
        <v>213</v>
      </c>
      <c r="FA24" s="67">
        <v>19944.25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6"/>
        <v>561</v>
      </c>
      <c r="B25" s="3">
        <f t="shared" si="139"/>
        <v>7875</v>
      </c>
      <c r="C25" s="3">
        <f t="shared" si="140"/>
        <v>7629</v>
      </c>
      <c r="D25" s="3">
        <f t="shared" si="141"/>
        <v>4600</v>
      </c>
      <c r="E25" s="3">
        <f t="shared" si="142"/>
        <v>20104</v>
      </c>
      <c r="F25" s="4">
        <f t="shared" si="143"/>
        <v>5645.7577903682723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-2417</v>
      </c>
      <c r="AN25" s="1">
        <v>687</v>
      </c>
      <c r="AO25" s="1">
        <v>561</v>
      </c>
      <c r="AP25" s="1">
        <v>12058</v>
      </c>
      <c r="AQ25" s="1">
        <v>-133733</v>
      </c>
      <c r="AR25" s="1"/>
      <c r="AS25" s="6">
        <f>IF(RTD("tos.rtd",,AS$2,"."&amp;$A$2&amp;$AS$1&amp;"C"&amp;$A25)="N/A",0,RTD("tos.rtd",,AS$2,"."&amp;$A$2&amp;$AS$1&amp;"C"&amp;$A25))</f>
        <v>2372</v>
      </c>
      <c r="AT25" s="7">
        <f>-IF(RTD("tos.rtd",,AT$2,"."&amp;$A$2&amp;$AS$1&amp;"P"&amp;$A25)="N/A",0,RTD("tos.rtd",,AT$2,"."&amp;$A$2&amp;$AS$1&amp;"P"&amp;$A25))</f>
        <v>-5503</v>
      </c>
      <c r="AU25" s="6">
        <f>IF(RTD("tos.rtd",,AU$2,"."&amp;$A$2&amp;$AU$1&amp;"C"&amp;$A25)="N/A",0,RTD("tos.rtd",,AU$2,"."&amp;$A$2&amp;$AU$1&amp;"C"&amp;$A25))</f>
        <v>2797</v>
      </c>
      <c r="AV25" s="7">
        <f>-IF(RTD("tos.rtd",,AV$2,"."&amp;$A$2&amp;$AU$1&amp;"P"&amp;$A25)="N/A",0,RTD("tos.rtd",,AV$2,"."&amp;$A$2&amp;$AU$1&amp;"P"&amp;$A25))</f>
        <v>-4832</v>
      </c>
      <c r="AW25" s="6">
        <f>IF(RTD("tos.rtd",,AW$2,"."&amp;$A$2&amp;$AW$1&amp;"C"&amp;$A25)="N/A",0,RTD("tos.rtd",,AW$2,"."&amp;$A$2&amp;$AW$1&amp;"C"&amp;$A25))</f>
        <v>2999</v>
      </c>
      <c r="AX25" s="7">
        <f>-IF(RTD("tos.rtd",,AX$2,"."&amp;$A$2&amp;$AW$1&amp;"P"&amp;$A25)="N/A",0,RTD("tos.rtd",,AX$2,"."&amp;$A$2&amp;$AW$1&amp;"P"&amp;$A25))</f>
        <v>-1601</v>
      </c>
      <c r="AY25" s="1">
        <f t="shared" si="144"/>
        <v>-3768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0</v>
      </c>
      <c r="BB25" s="7">
        <f>-IF(RTD("tos.rtd",,BB$2,"."&amp;$A$2&amp;$AS$1&amp;"P"&amp;$A25)="N/A",0,RTD("tos.rtd",,BB$2,"."&amp;$A$2&amp;$AS$1&amp;"P"&amp;$A25))</f>
        <v>0</v>
      </c>
      <c r="BC25" s="6">
        <f>IF(RTD("tos.rtd",,BC$2,"."&amp;$A$2&amp;$AU$1&amp;"C"&amp;$A25)="N/A",0,RTD("tos.rtd",,BC$2,"."&amp;$A$2&amp;$AU$1&amp;"C"&amp;$A25))</f>
        <v>7937</v>
      </c>
      <c r="BD25" s="7">
        <f>-IF(RTD("tos.rtd",,BD$2,"."&amp;$A$2&amp;$AU$1&amp;"P"&amp;$A25)="N/A",0,RTD("tos.rtd",,BD$2,"."&amp;$A$2&amp;$AU$1&amp;"P"&amp;$A25))</f>
        <v>-127811</v>
      </c>
      <c r="BE25" s="6">
        <f>IF(RTD("tos.rtd",,BE$2,"."&amp;$A$2&amp;$AW$1&amp;"C"&amp;$A25)="N/A",0,RTD("tos.rtd",,BE$2,"."&amp;$A$2&amp;$AW$1&amp;"C"&amp;$A25))</f>
        <v>396</v>
      </c>
      <c r="BF25" s="83">
        <f>-IF(RTD("tos.rtd",,BF$2,"."&amp;$A$2&amp;$AW$1&amp;"P"&amp;$A25)="N/A",0,RTD("tos.rtd",,BF$2,"."&amp;$A$2&amp;$AW$1&amp;"P"&amp;$A25))</f>
        <v>-1807</v>
      </c>
      <c r="BG25" s="32">
        <f ca="1">+Hoja2!Y26</f>
        <v>-2264</v>
      </c>
      <c r="BH25" s="7">
        <f t="shared" ca="1" si="36"/>
        <v>-123549</v>
      </c>
      <c r="BI25" s="8" t="str">
        <f t="shared" ref="BI25" ca="1" si="174">IF(AND(BH25&lt;0,BH24&gt;0), "Cruce -", IF(AND(BH25&gt;0,BH24&lt;0),"Cruce +", ""))</f>
        <v/>
      </c>
      <c r="BJ25" s="3" t="e">
        <f ca="1">IF($BP$1=1,DX25,IF(RTD("tos.rtd",,BJ$2,"."&amp;$A$2&amp;$AS$1&amp;"C"&amp;$A25)="N/A",0,RTD("tos.rtd",,BJ$2,"."&amp;$A$2&amp;$AS$1&amp;"C"&amp;$A25)))</f>
        <v>#NUM!</v>
      </c>
      <c r="BK25" s="3" t="e">
        <f ca="1">IF($BP$1=1,DY25,-IF(RTD("tos.rtd",,BK$2,"."&amp;$A$2&amp;$AS$1&amp;"P"&amp;$A25)="N/A",0,RTD("tos.rtd",,BK$2,"."&amp;$A$2&amp;$AS$1&amp;"P"&amp;$A25)))</f>
        <v>#NUM!</v>
      </c>
      <c r="BL25" s="3" t="e">
        <f ca="1">IF($BP$1=1,DZ25,IF(RTD("tos.rtd",,BL$2,"."&amp;$A$2&amp;$AU$1&amp;"C"&amp;$A25)="N/A",0,RTD("tos.rtd",,BL$2,"."&amp;$A$2&amp;$AU$1&amp;"C"&amp;$A25)))</f>
        <v>#NUM!</v>
      </c>
      <c r="BM25" s="3" t="e">
        <f ca="1">IF($BP$1=1,EA25,-IF(RTD("tos.rtd",,BM$2,"."&amp;$A$2&amp;$AU$1&amp;"P"&amp;$A25)="N/A",0,RTD("tos.rtd",,BM$2,"."&amp;$A$2&amp;$AU$1&amp;"P"&amp;$A25)))</f>
        <v>#NUM!</v>
      </c>
      <c r="BN25" s="3" t="e">
        <f ca="1">IF($BP$1=1,EB25,IF(RTD("tos.rtd",,BN$2,"."&amp;$A$2&amp;$AW$1&amp;"C"&amp;$A25)="N/A",0,RTD("tos.rtd",,BN$2,"."&amp;$A$2&amp;$AW$1&amp;"C"&amp;$A25)))</f>
        <v>#NUM!</v>
      </c>
      <c r="BO25" s="3" t="e">
        <f ca="1">IF($BP$1=1,EC25,-IF(RTD("tos.rtd",,BO$2,"."&amp;$A$2&amp;$AW$1&amp;"P"&amp;$A25)="N/A",0,RTD("tos.rtd",,BO$2,"."&amp;$A$2&amp;$AW$1&amp;"P"&amp;$A25)))</f>
        <v>#NUM!</v>
      </c>
      <c r="BQ25" s="3" t="e">
        <f t="shared" ca="1" si="146"/>
        <v>#NUM!</v>
      </c>
      <c r="BR25" s="3" t="e">
        <f t="shared" ca="1" si="69"/>
        <v>#NUM!</v>
      </c>
      <c r="BS25" s="3" t="e">
        <f t="shared" ca="1" si="147"/>
        <v>#NUM!</v>
      </c>
      <c r="BT25" s="3" t="e">
        <f t="shared" ca="1" si="69"/>
        <v>#NUM!</v>
      </c>
      <c r="BU25" s="3" t="e">
        <f t="shared" ca="1" si="148"/>
        <v>#NUM!</v>
      </c>
      <c r="BV25" s="3" t="e">
        <f t="shared" ref="BV25" ca="1" si="175">IF(AND(BU25&lt;0,BU24&gt;0), "Cruce -", IF(AND(BU25&gt;0,BU24&lt;0),"Cruce +", ""))</f>
        <v>#NUM!</v>
      </c>
      <c r="BX25" s="3" t="e">
        <f t="shared" ca="1" si="150"/>
        <v>#NUM!</v>
      </c>
      <c r="BY25" s="3" t="e">
        <f t="shared" ca="1" si="71"/>
        <v>#NUM!</v>
      </c>
      <c r="BZ25" s="3" t="e">
        <f t="shared" ca="1" si="151"/>
        <v>#NUM!</v>
      </c>
      <c r="CA25" s="3" t="e">
        <f t="shared" ca="1" si="72"/>
        <v>#NUM!</v>
      </c>
      <c r="CB25" s="3" t="e">
        <f t="shared" ca="1" si="152"/>
        <v>#NUM!</v>
      </c>
      <c r="CC25" s="3" t="e">
        <f t="shared" ca="1" si="73"/>
        <v>#NUM!</v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0.01</v>
      </c>
      <c r="CF25" s="3">
        <f>IF(RTD("tos.rtd",,CF$2,"."&amp;$A$2&amp;$AU$1&amp;"C"&amp;$A25)="N/A",0,RTD("tos.rtd",,CF$2,"."&amp;$A$2&amp;$AU$1&amp;"C"&amp;$A25))</f>
        <v>1</v>
      </c>
      <c r="CG25" s="3">
        <f>-IF(RTD("tos.rtd",,CG$2,"."&amp;$A$2&amp;$AU$1&amp;"P"&amp;$A25)="N/A",0,RTD("tos.rtd",,CG$2,"."&amp;$A$2&amp;$AU$1&amp;"P"&amp;$A25))</f>
        <v>0.01</v>
      </c>
      <c r="CH25" s="3">
        <f>IF(RTD("tos.rtd",,CH$2,"."&amp;$A$2&amp;$AW$1&amp;"C"&amp;$A25)="N/A",0,RTD("tos.rtd",,CH$2,"."&amp;$A$2&amp;$AW$1&amp;"C"&amp;$A25))</f>
        <v>0.61</v>
      </c>
      <c r="CI25" s="3">
        <f>-IF(RTD("tos.rtd",,CI$2,"."&amp;$A$2&amp;$AW$1&amp;"P"&amp;$A25)="N/A",0,RTD("tos.rtd",,CI$2,"."&amp;$A$2&amp;$AW$1&amp;"P"&amp;$A25))</f>
        <v>0.4</v>
      </c>
      <c r="CK25" s="3">
        <f t="shared" si="153"/>
        <v>231697</v>
      </c>
      <c r="CL25" s="3"/>
      <c r="CM25" s="3">
        <f t="shared" si="154"/>
        <v>274868</v>
      </c>
      <c r="CN25" s="3"/>
      <c r="CO25" s="3">
        <f t="shared" si="155"/>
        <v>118899</v>
      </c>
      <c r="CP25" s="3">
        <f t="shared" si="156"/>
        <v>625464</v>
      </c>
      <c r="CQ25" s="3">
        <f t="shared" si="157"/>
        <v>0</v>
      </c>
      <c r="CR25" s="3"/>
      <c r="CS25" s="3">
        <f t="shared" si="158"/>
        <v>-119874</v>
      </c>
      <c r="CT25" s="3"/>
      <c r="CU25" s="3">
        <f t="shared" si="159"/>
        <v>-1411</v>
      </c>
      <c r="CV25" s="3">
        <f t="shared" si="160"/>
        <v>-121285</v>
      </c>
      <c r="CW25" s="3" t="e">
        <f t="shared" ca="1" si="161"/>
        <v>#NUM!</v>
      </c>
      <c r="CX25" s="85" t="e">
        <f t="shared" ca="1" si="74"/>
        <v>#NUM!</v>
      </c>
      <c r="CY25" s="3" t="e">
        <f t="shared" ca="1" si="162"/>
        <v>#NUM!</v>
      </c>
      <c r="CZ25" s="85" t="e">
        <f t="shared" ca="1" si="75"/>
        <v>#NUM!</v>
      </c>
      <c r="DA25" s="3">
        <f>IF(RTD("tos.rtd",,DA$2,"."&amp;$A$2&amp;$AS$1&amp;"C"&amp;$A25)="N/A",0,RTD("tos.rtd",,DA$2,"."&amp;$A$2&amp;$AS$1&amp;"C"&amp;$A25))</f>
        <v>1.82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2.08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1.94</v>
      </c>
      <c r="DF25" s="3">
        <f>IF(RTD("tos.rtd",,DF$2,"."&amp;$A$2&amp;$AS$1&amp;"P"&amp;$A25)="N/A",0,RTD("tos.rtd",,DF$2,"."&amp;$A$2&amp;$AS$1&amp;"P"&amp;$A25))</f>
        <v>0</v>
      </c>
      <c r="DG25" s="86">
        <f t="shared" si="48"/>
        <v>-3.7999999999999545</v>
      </c>
      <c r="DH25" s="3">
        <f t="shared" si="163"/>
        <v>10335.428571428552</v>
      </c>
      <c r="DI25" s="3">
        <f t="shared" si="164"/>
        <v>133733</v>
      </c>
      <c r="DJ25" s="3">
        <f t="shared" si="165"/>
        <v>12058</v>
      </c>
      <c r="DK25" s="3">
        <f t="shared" si="51"/>
        <v>133733</v>
      </c>
      <c r="DL25" s="3">
        <f t="shared" si="52"/>
        <v>144068.42857142855</v>
      </c>
      <c r="DM25" s="3">
        <f t="shared" si="53"/>
        <v>145791</v>
      </c>
      <c r="DN25" s="63" t="str">
        <f t="shared" si="54"/>
        <v>UNKNOWN</v>
      </c>
      <c r="DO25" s="63" t="str">
        <f t="shared" si="55"/>
        <v>UNKNOWN</v>
      </c>
      <c r="DP25" s="3">
        <f t="shared" si="56"/>
        <v>20147.809999999969</v>
      </c>
      <c r="DQ25" s="3">
        <f t="shared" si="57"/>
        <v>23282.89</v>
      </c>
      <c r="DR25" s="3" t="e">
        <f t="shared" ca="1" si="58"/>
        <v>#NUM!</v>
      </c>
      <c r="DS25" s="3">
        <f t="shared" si="59"/>
        <v>13395.33</v>
      </c>
      <c r="DT25" s="3">
        <f t="shared" si="60"/>
        <v>-12058</v>
      </c>
      <c r="DU25" s="3">
        <f t="shared" si="61"/>
        <v>133733</v>
      </c>
      <c r="DV25" s="3">
        <f t="shared" si="62"/>
        <v>-2417</v>
      </c>
      <c r="DW25" s="3">
        <f t="shared" si="23"/>
        <v>687</v>
      </c>
      <c r="DX25" s="3" t="e">
        <f t="shared" ca="1" si="24"/>
        <v>#NUM!</v>
      </c>
      <c r="DY25" s="3" t="e">
        <f t="shared" ca="1" si="25"/>
        <v>#NUM!</v>
      </c>
      <c r="DZ25" s="3" t="e">
        <f t="shared" ca="1" si="26"/>
        <v>#NUM!</v>
      </c>
      <c r="EA25" s="3" t="e">
        <f t="shared" ca="1" si="27"/>
        <v>#NUM!</v>
      </c>
      <c r="EB25" s="3" t="e">
        <f t="shared" ca="1" si="28"/>
        <v>#NUM!</v>
      </c>
      <c r="EC25" s="3" t="e">
        <f t="shared" ca="1" si="29"/>
        <v>#NUM!</v>
      </c>
      <c r="EE25" s="59">
        <f t="shared" si="166"/>
        <v>0.25</v>
      </c>
      <c r="EF25" s="59">
        <f t="shared" si="167"/>
        <v>0.37940000000000002</v>
      </c>
      <c r="EG25" s="59">
        <f t="shared" si="168"/>
        <v>0.25</v>
      </c>
      <c r="EH25" s="59">
        <f t="shared" si="169"/>
        <v>0.37940000000000002</v>
      </c>
      <c r="EI25" s="59">
        <f t="shared" si="170"/>
        <v>0.2414</v>
      </c>
      <c r="EJ25" s="59">
        <f t="shared" si="171"/>
        <v>0.2515</v>
      </c>
      <c r="EL25" s="3" t="str">
        <f>RTD("tos.rtd",,EL$2,"."&amp;$A$2&amp;$AS$1&amp;"C"&amp;$A25)</f>
        <v>--</v>
      </c>
      <c r="EM25" s="3" t="str">
        <f>RTD("tos.rtd",,EM$2,"."&amp;$A$2&amp;$AS$1&amp;"P"&amp;$A25)</f>
        <v>37.94%</v>
      </c>
      <c r="EN25" s="3" t="str">
        <f>RTD("tos.rtd",,EN$2,"."&amp;$A$2&amp;$AU$1&amp;"C"&amp;$A25)</f>
        <v>--</v>
      </c>
      <c r="EO25" s="3" t="str">
        <f>RTD("tos.rtd",,EO$2,"."&amp;$A$2&amp;$AU$1&amp;"P"&amp;$A25)</f>
        <v>37.94%</v>
      </c>
      <c r="EP25" s="3" t="str">
        <f>RTD("tos.rtd",,EP$2,"."&amp;$A$2&amp;$AW$1&amp;"C"&amp;$A25)</f>
        <v>24.14%</v>
      </c>
      <c r="EQ25" s="3" t="str">
        <f>RTD("tos.rtd",,EQ$2,"."&amp;$A$2&amp;$AW$1&amp;"P"&amp;$A25)</f>
        <v>25.15%</v>
      </c>
      <c r="ES25" s="63" t="str">
        <f t="shared" si="64"/>
        <v>561,-1730.00</v>
      </c>
      <c r="ET25" s="63" t="str">
        <f t="shared" ca="1" si="65"/>
        <v>561,00.00</v>
      </c>
      <c r="EU25" s="67">
        <v>563.12</v>
      </c>
      <c r="EV25" s="67" t="s">
        <v>219</v>
      </c>
      <c r="EW25" s="67">
        <v>485.44</v>
      </c>
      <c r="EX25" s="67" t="s">
        <v>220</v>
      </c>
      <c r="EY25" s="67">
        <v>5645.25</v>
      </c>
      <c r="EZ25" s="67" t="s">
        <v>221</v>
      </c>
      <c r="FA25" s="67">
        <v>19943.75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6"/>
        <v>560</v>
      </c>
      <c r="B26" s="3">
        <f t="shared" si="139"/>
        <v>25639</v>
      </c>
      <c r="C26" s="3">
        <f t="shared" si="140"/>
        <v>24376</v>
      </c>
      <c r="D26" s="3">
        <f t="shared" si="141"/>
        <v>44848</v>
      </c>
      <c r="E26" s="3">
        <f t="shared" si="142"/>
        <v>94863</v>
      </c>
      <c r="F26" s="4">
        <f t="shared" si="143"/>
        <v>5635.6940509915012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-2575</v>
      </c>
      <c r="AN26" s="1">
        <v>-6185</v>
      </c>
      <c r="AO26" s="1">
        <v>560</v>
      </c>
      <c r="AP26" s="1">
        <v>13217</v>
      </c>
      <c r="AQ26" s="1">
        <v>-225989</v>
      </c>
      <c r="AR26" s="1"/>
      <c r="AS26" s="6">
        <f>IF(RTD("tos.rtd",,AS$2,"."&amp;$A$2&amp;$AS$1&amp;"C"&amp;$A26)="N/A",0,RTD("tos.rtd",,AS$2,"."&amp;$A$2&amp;$AS$1&amp;"C"&amp;$A26))</f>
        <v>5725</v>
      </c>
      <c r="AT26" s="7">
        <f>-IF(RTD("tos.rtd",,AT$2,"."&amp;$A$2&amp;$AS$1&amp;"P"&amp;$A26)="N/A",0,RTD("tos.rtd",,AT$2,"."&amp;$A$2&amp;$AS$1&amp;"P"&amp;$A26))</f>
        <v>-19914</v>
      </c>
      <c r="AU26" s="6">
        <f>IF(RTD("tos.rtd",,AU$2,"."&amp;$A$2&amp;$AU$1&amp;"C"&amp;$A26)="N/A",0,RTD("tos.rtd",,AU$2,"."&amp;$A$2&amp;$AU$1&amp;"C"&amp;$A26))</f>
        <v>8543</v>
      </c>
      <c r="AV26" s="7">
        <f>-IF(RTD("tos.rtd",,AV$2,"."&amp;$A$2&amp;$AU$1&amp;"P"&amp;$A26)="N/A",0,RTD("tos.rtd",,AV$2,"."&amp;$A$2&amp;$AU$1&amp;"P"&amp;$A26))</f>
        <v>-15833</v>
      </c>
      <c r="AW26" s="6">
        <f>IF(RTD("tos.rtd",,AW$2,"."&amp;$A$2&amp;$AW$1&amp;"C"&amp;$A26)="N/A",0,RTD("tos.rtd",,AW$2,"."&amp;$A$2&amp;$AW$1&amp;"C"&amp;$A26))</f>
        <v>11371</v>
      </c>
      <c r="AX26" s="7">
        <f>-IF(RTD("tos.rtd",,AX$2,"."&amp;$A$2&amp;$AW$1&amp;"P"&amp;$A26)="N/A",0,RTD("tos.rtd",,AX$2,"."&amp;$A$2&amp;$AW$1&amp;"P"&amp;$A26))</f>
        <v>-33477</v>
      </c>
      <c r="AY26" s="1">
        <f t="shared" si="144"/>
        <v>-43585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0</v>
      </c>
      <c r="BB26" s="7">
        <f>-IF(RTD("tos.rtd",,BB$2,"."&amp;$A$2&amp;$AS$1&amp;"P"&amp;$A26)="N/A",0,RTD("tos.rtd",,BB$2,"."&amp;$A$2&amp;$AS$1&amp;"P"&amp;$A26))</f>
        <v>0</v>
      </c>
      <c r="BC26" s="6">
        <f>IF(RTD("tos.rtd",,BC$2,"."&amp;$A$2&amp;$AU$1&amp;"C"&amp;$A26)="N/A",0,RTD("tos.rtd",,BC$2,"."&amp;$A$2&amp;$AU$1&amp;"C"&amp;$A26))</f>
        <v>11376</v>
      </c>
      <c r="BD26" s="7">
        <f>-IF(RTD("tos.rtd",,BD$2,"."&amp;$A$2&amp;$AU$1&amp;"P"&amp;$A26)="N/A",0,RTD("tos.rtd",,BD$2,"."&amp;$A$2&amp;$AU$1&amp;"P"&amp;$A26))</f>
        <v>-240660</v>
      </c>
      <c r="BE26" s="6">
        <f>IF(RTD("tos.rtd",,BE$2,"."&amp;$A$2&amp;$AW$1&amp;"C"&amp;$A26)="N/A",0,RTD("tos.rtd",,BE$2,"."&amp;$A$2&amp;$AW$1&amp;"C"&amp;$A26))</f>
        <v>3596</v>
      </c>
      <c r="BF26" s="83">
        <f>-IF(RTD("tos.rtd",,BF$2,"."&amp;$A$2&amp;$AW$1&amp;"P"&amp;$A26)="N/A",0,RTD("tos.rtd",,BF$2,"."&amp;$A$2&amp;$AW$1&amp;"P"&amp;$A26))</f>
        <v>-20932</v>
      </c>
      <c r="BG26" s="32">
        <f ca="1">+Hoja2!Y27</f>
        <v>-12504</v>
      </c>
      <c r="BH26" s="7">
        <f t="shared" ca="1" si="36"/>
        <v>-259124</v>
      </c>
      <c r="BI26" s="8" t="str">
        <f t="shared" ref="BI26" ca="1" si="176">IF(AND(BH26&lt;0,BH25&gt;0), "Cruce -", IF(AND(BH26&gt;0,BH25&lt;0),"Cruce +", ""))</f>
        <v/>
      </c>
      <c r="BJ26" s="3" t="e">
        <f ca="1">IF($BP$1=1,DX26,IF(RTD("tos.rtd",,BJ$2,"."&amp;$A$2&amp;$AS$1&amp;"C"&amp;$A26)="N/A",0,RTD("tos.rtd",,BJ$2,"."&amp;$A$2&amp;$AS$1&amp;"C"&amp;$A26)))</f>
        <v>#NUM!</v>
      </c>
      <c r="BK26" s="3" t="e">
        <f ca="1">IF($BP$1=1,DY26,-IF(RTD("tos.rtd",,BK$2,"."&amp;$A$2&amp;$AS$1&amp;"P"&amp;$A26)="N/A",0,RTD("tos.rtd",,BK$2,"."&amp;$A$2&amp;$AS$1&amp;"P"&amp;$A26)))</f>
        <v>#NUM!</v>
      </c>
      <c r="BL26" s="3" t="e">
        <f ca="1">IF($BP$1=1,DZ26,IF(RTD("tos.rtd",,BL$2,"."&amp;$A$2&amp;$AU$1&amp;"C"&amp;$A26)="N/A",0,RTD("tos.rtd",,BL$2,"."&amp;$A$2&amp;$AU$1&amp;"C"&amp;$A26)))</f>
        <v>#NUM!</v>
      </c>
      <c r="BM26" s="3" t="e">
        <f ca="1">IF($BP$1=1,EA26,-IF(RTD("tos.rtd",,BM$2,"."&amp;$A$2&amp;$AU$1&amp;"P"&amp;$A26)="N/A",0,RTD("tos.rtd",,BM$2,"."&amp;$A$2&amp;$AU$1&amp;"P"&amp;$A26)))</f>
        <v>#NUM!</v>
      </c>
      <c r="BN26" s="3" t="e">
        <f ca="1">IF($BP$1=1,EB26,IF(RTD("tos.rtd",,BN$2,"."&amp;$A$2&amp;$AW$1&amp;"C"&amp;$A26)="N/A",0,RTD("tos.rtd",,BN$2,"."&amp;$A$2&amp;$AW$1&amp;"C"&amp;$A26)))</f>
        <v>#NUM!</v>
      </c>
      <c r="BO26" s="3" t="e">
        <f ca="1">IF($BP$1=1,EC26,-IF(RTD("tos.rtd",,BO$2,"."&amp;$A$2&amp;$AW$1&amp;"P"&amp;$A26)="N/A",0,RTD("tos.rtd",,BO$2,"."&amp;$A$2&amp;$AW$1&amp;"P"&amp;$A26)))</f>
        <v>#NUM!</v>
      </c>
      <c r="BQ26" s="3" t="e">
        <f t="shared" ca="1" si="146"/>
        <v>#NUM!</v>
      </c>
      <c r="BR26" s="3" t="e">
        <f t="shared" ca="1" si="69"/>
        <v>#NUM!</v>
      </c>
      <c r="BS26" s="3" t="e">
        <f t="shared" ca="1" si="147"/>
        <v>#NUM!</v>
      </c>
      <c r="BT26" s="3" t="e">
        <f t="shared" ca="1" si="69"/>
        <v>#NUM!</v>
      </c>
      <c r="BU26" s="3" t="e">
        <f t="shared" ca="1" si="148"/>
        <v>#NUM!</v>
      </c>
      <c r="BV26" s="3" t="e">
        <f t="shared" ref="BV26" ca="1" si="177">IF(AND(BU26&lt;0,BU25&gt;0), "Cruce -", IF(AND(BU26&gt;0,BU25&lt;0),"Cruce +", ""))</f>
        <v>#NUM!</v>
      </c>
      <c r="BX26" s="3" t="e">
        <f t="shared" ca="1" si="150"/>
        <v>#NUM!</v>
      </c>
      <c r="BY26" s="3" t="e">
        <f t="shared" ca="1" si="71"/>
        <v>#NUM!</v>
      </c>
      <c r="BZ26" s="3" t="e">
        <f t="shared" ca="1" si="151"/>
        <v>#NUM!</v>
      </c>
      <c r="CA26" s="3" t="e">
        <f t="shared" ca="1" si="72"/>
        <v>#NUM!</v>
      </c>
      <c r="CB26" s="3" t="e">
        <f t="shared" ca="1" si="152"/>
        <v>#NUM!</v>
      </c>
      <c r="CC26" s="3" t="e">
        <f t="shared" ca="1" si="73"/>
        <v>#NUM!</v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0.01</v>
      </c>
      <c r="CF26" s="3">
        <f>IF(RTD("tos.rtd",,CF$2,"."&amp;$A$2&amp;$AU$1&amp;"C"&amp;$A26)="N/A",0,RTD("tos.rtd",,CF$2,"."&amp;$A$2&amp;$AU$1&amp;"C"&amp;$A26))</f>
        <v>1</v>
      </c>
      <c r="CG26" s="3">
        <f>-IF(RTD("tos.rtd",,CG$2,"."&amp;$A$2&amp;$AU$1&amp;"P"&amp;$A26)="N/A",0,RTD("tos.rtd",,CG$2,"."&amp;$A$2&amp;$AU$1&amp;"P"&amp;$A26))</f>
        <v>0.01</v>
      </c>
      <c r="CH26" s="3">
        <f>IF(RTD("tos.rtd",,CH$2,"."&amp;$A$2&amp;$AW$1&amp;"C"&amp;$A26)="N/A",0,RTD("tos.rtd",,CH$2,"."&amp;$A$2&amp;$AW$1&amp;"C"&amp;$A26))</f>
        <v>0.63</v>
      </c>
      <c r="CI26" s="3">
        <f>-IF(RTD("tos.rtd",,CI$2,"."&amp;$A$2&amp;$AW$1&amp;"P"&amp;$A26)="N/A",0,RTD("tos.rtd",,CI$2,"."&amp;$A$2&amp;$AW$1&amp;"P"&amp;$A26))</f>
        <v>0.38</v>
      </c>
      <c r="CK26" s="3">
        <f t="shared" si="153"/>
        <v>552586</v>
      </c>
      <c r="CL26" s="3"/>
      <c r="CM26" s="3">
        <f t="shared" si="154"/>
        <v>838467</v>
      </c>
      <c r="CN26" s="3"/>
      <c r="CO26" s="3">
        <f t="shared" si="155"/>
        <v>-555753</v>
      </c>
      <c r="CP26" s="3">
        <f t="shared" si="156"/>
        <v>835300</v>
      </c>
      <c r="CQ26" s="3">
        <f t="shared" si="157"/>
        <v>0</v>
      </c>
      <c r="CR26" s="3"/>
      <c r="CS26" s="3">
        <f t="shared" si="158"/>
        <v>-229284</v>
      </c>
      <c r="CT26" s="3"/>
      <c r="CU26" s="3">
        <f t="shared" si="159"/>
        <v>-17336</v>
      </c>
      <c r="CV26" s="3">
        <f t="shared" si="160"/>
        <v>-246620</v>
      </c>
      <c r="CW26" s="3" t="e">
        <f t="shared" ca="1" si="161"/>
        <v>#NUM!</v>
      </c>
      <c r="CX26" s="85" t="e">
        <f t="shared" ca="1" si="74"/>
        <v>#NUM!</v>
      </c>
      <c r="CY26" s="3" t="e">
        <f t="shared" ca="1" si="162"/>
        <v>#NUM!</v>
      </c>
      <c r="CZ26" s="85" t="e">
        <f t="shared" ca="1" si="75"/>
        <v>#NUM!</v>
      </c>
      <c r="DA26" s="3">
        <f>IF(RTD("tos.rtd",,DA$2,"."&amp;$A$2&amp;$AS$1&amp;"C"&amp;$A26)="N/A",0,RTD("tos.rtd",,DA$2,"."&amp;$A$2&amp;$AS$1&amp;"C"&amp;$A26))</f>
        <v>2.98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4.0599999999999996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2.15</v>
      </c>
      <c r="DF26" s="3">
        <f>IF(RTD("tos.rtd",,DF$2,"."&amp;$A$2&amp;$AS$1&amp;"P"&amp;$A26)="N/A",0,RTD("tos.rtd",,DF$2,"."&amp;$A$2&amp;$AS$1&amp;"P"&amp;$A26))</f>
        <v>0</v>
      </c>
      <c r="DG26" s="86">
        <f t="shared" si="48"/>
        <v>-4.7999999999999545</v>
      </c>
      <c r="DH26" s="3">
        <f t="shared" si="163"/>
        <v>-5743.5130890052369</v>
      </c>
      <c r="DI26" s="3">
        <f t="shared" si="164"/>
        <v>225989</v>
      </c>
      <c r="DJ26" s="3">
        <f t="shared" si="165"/>
        <v>0</v>
      </c>
      <c r="DK26" s="3">
        <f t="shared" si="51"/>
        <v>225989</v>
      </c>
      <c r="DL26" s="3">
        <f t="shared" si="52"/>
        <v>220245.48691099478</v>
      </c>
      <c r="DM26" s="3">
        <f t="shared" si="53"/>
        <v>225989</v>
      </c>
      <c r="DN26" s="63" t="str">
        <f t="shared" si="54"/>
        <v>UNKNOWN</v>
      </c>
      <c r="DO26" s="63" t="str">
        <f t="shared" si="55"/>
        <v>UNKNOWN</v>
      </c>
      <c r="DP26" s="3">
        <f t="shared" si="56"/>
        <v>-14855.779005235607</v>
      </c>
      <c r="DQ26" s="3">
        <f t="shared" si="57"/>
        <v>2259.89</v>
      </c>
      <c r="DR26" s="3" t="e">
        <f t="shared" ca="1" si="58"/>
        <v>#NUM!</v>
      </c>
      <c r="DS26" s="3">
        <f t="shared" si="59"/>
        <v>2259.89</v>
      </c>
      <c r="DT26" s="3">
        <f t="shared" si="60"/>
        <v>-13217</v>
      </c>
      <c r="DU26" s="3">
        <f t="shared" si="61"/>
        <v>225989</v>
      </c>
      <c r="DV26" s="3">
        <f t="shared" si="62"/>
        <v>-2575</v>
      </c>
      <c r="DW26" s="3">
        <f t="shared" si="23"/>
        <v>-6185</v>
      </c>
      <c r="DX26" s="3" t="e">
        <f t="shared" ca="1" si="24"/>
        <v>#NUM!</v>
      </c>
      <c r="DY26" s="3" t="e">
        <f t="shared" ca="1" si="25"/>
        <v>#NUM!</v>
      </c>
      <c r="DZ26" s="3" t="e">
        <f t="shared" ca="1" si="26"/>
        <v>#NUM!</v>
      </c>
      <c r="EA26" s="3" t="e">
        <f t="shared" ca="1" si="27"/>
        <v>#NUM!</v>
      </c>
      <c r="EB26" s="3" t="e">
        <f t="shared" ca="1" si="28"/>
        <v>#NUM!</v>
      </c>
      <c r="EC26" s="3" t="e">
        <f t="shared" ca="1" si="29"/>
        <v>#NUM!</v>
      </c>
      <c r="EE26" s="59">
        <f t="shared" si="166"/>
        <v>0.25</v>
      </c>
      <c r="EF26" s="59">
        <f t="shared" si="167"/>
        <v>0.4662</v>
      </c>
      <c r="EG26" s="59">
        <f t="shared" si="168"/>
        <v>0.25</v>
      </c>
      <c r="EH26" s="59">
        <f t="shared" si="169"/>
        <v>0.4662</v>
      </c>
      <c r="EI26" s="59">
        <f t="shared" si="170"/>
        <v>0.2427</v>
      </c>
      <c r="EJ26" s="59">
        <f t="shared" si="171"/>
        <v>0.25280000000000002</v>
      </c>
      <c r="EL26" s="3" t="str">
        <f>RTD("tos.rtd",,EL$2,"."&amp;$A$2&amp;$AS$1&amp;"C"&amp;$A26)</f>
        <v>--</v>
      </c>
      <c r="EM26" s="3" t="str">
        <f>RTD("tos.rtd",,EM$2,"."&amp;$A$2&amp;$AS$1&amp;"P"&amp;$A26)</f>
        <v>46.62%</v>
      </c>
      <c r="EN26" s="3" t="str">
        <f>RTD("tos.rtd",,EN$2,"."&amp;$A$2&amp;$AU$1&amp;"C"&amp;$A26)</f>
        <v>--</v>
      </c>
      <c r="EO26" s="3" t="str">
        <f>RTD("tos.rtd",,EO$2,"."&amp;$A$2&amp;$AU$1&amp;"P"&amp;$A26)</f>
        <v>46.62%</v>
      </c>
      <c r="EP26" s="3" t="str">
        <f>RTD("tos.rtd",,EP$2,"."&amp;$A$2&amp;$AW$1&amp;"C"&amp;$A26)</f>
        <v>24.27%</v>
      </c>
      <c r="EQ26" s="3" t="str">
        <f>RTD("tos.rtd",,EQ$2,"."&amp;$A$2&amp;$AW$1&amp;"P"&amp;$A26)</f>
        <v>25.28%</v>
      </c>
      <c r="ES26" s="63" t="str">
        <f t="shared" si="64"/>
        <v>560,-8760.00</v>
      </c>
      <c r="ET26" s="63" t="str">
        <f t="shared" ca="1" si="65"/>
        <v>560,00.00</v>
      </c>
      <c r="EU26" s="67">
        <v>563.04</v>
      </c>
      <c r="EV26" s="67" t="s">
        <v>227</v>
      </c>
      <c r="EW26" s="67">
        <v>485.37</v>
      </c>
      <c r="EX26" s="67" t="s">
        <v>228</v>
      </c>
      <c r="EY26" s="67">
        <v>5644</v>
      </c>
      <c r="EZ26" s="67" t="s">
        <v>229</v>
      </c>
      <c r="FA26" s="67">
        <v>19939.25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6"/>
        <v>559</v>
      </c>
      <c r="B27" s="3">
        <f t="shared" si="139"/>
        <v>3536</v>
      </c>
      <c r="C27" s="3">
        <f t="shared" si="140"/>
        <v>8994</v>
      </c>
      <c r="D27" s="3">
        <f t="shared" si="141"/>
        <v>5444</v>
      </c>
      <c r="E27" s="3">
        <f t="shared" si="142"/>
        <v>17974</v>
      </c>
      <c r="F27" s="4">
        <f t="shared" si="143"/>
        <v>5625.630311614731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72</v>
      </c>
      <c r="AN27" s="1">
        <v>7722</v>
      </c>
      <c r="AO27" s="1">
        <v>559</v>
      </c>
      <c r="AP27" s="1">
        <v>1516</v>
      </c>
      <c r="AQ27" s="1">
        <v>-95596</v>
      </c>
      <c r="AR27" s="1"/>
      <c r="AS27" s="6">
        <f>IF(RTD("tos.rtd",,AS$2,"."&amp;$A$2&amp;$AS$1&amp;"C"&amp;$A27)="N/A",0,RTD("tos.rtd",,AS$2,"."&amp;$A$2&amp;$AS$1&amp;"C"&amp;$A27))</f>
        <v>753</v>
      </c>
      <c r="AT27" s="7">
        <f>-IF(RTD("tos.rtd",,AT$2,"."&amp;$A$2&amp;$AS$1&amp;"P"&amp;$A27)="N/A",0,RTD("tos.rtd",,AT$2,"."&amp;$A$2&amp;$AS$1&amp;"P"&amp;$A27))</f>
        <v>-2783</v>
      </c>
      <c r="AU27" s="6">
        <f>IF(RTD("tos.rtd",,AU$2,"."&amp;$A$2&amp;$AU$1&amp;"C"&amp;$A27)="N/A",0,RTD("tos.rtd",,AU$2,"."&amp;$A$2&amp;$AU$1&amp;"C"&amp;$A27))</f>
        <v>4022</v>
      </c>
      <c r="AV27" s="7">
        <f>-IF(RTD("tos.rtd",,AV$2,"."&amp;$A$2&amp;$AU$1&amp;"P"&amp;$A27)="N/A",0,RTD("tos.rtd",,AV$2,"."&amp;$A$2&amp;$AU$1&amp;"P"&amp;$A27))</f>
        <v>-4972</v>
      </c>
      <c r="AW27" s="6">
        <f>IF(RTD("tos.rtd",,AW$2,"."&amp;$A$2&amp;$AW$1&amp;"C"&amp;$A27)="N/A",0,RTD("tos.rtd",,AW$2,"."&amp;$A$2&amp;$AW$1&amp;"C"&amp;$A27))</f>
        <v>3305</v>
      </c>
      <c r="AX27" s="7">
        <f>-IF(RTD("tos.rtd",,AX$2,"."&amp;$A$2&amp;$AW$1&amp;"P"&amp;$A27)="N/A",0,RTD("tos.rtd",,AX$2,"."&amp;$A$2&amp;$AW$1&amp;"P"&amp;$A27))</f>
        <v>-2139</v>
      </c>
      <c r="AY27" s="1">
        <f t="shared" si="144"/>
        <v>-1814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0</v>
      </c>
      <c r="BB27" s="7">
        <f>-IF(RTD("tos.rtd",,BB$2,"."&amp;$A$2&amp;$AS$1&amp;"P"&amp;$A27)="N/A",0,RTD("tos.rtd",,BB$2,"."&amp;$A$2&amp;$AS$1&amp;"P"&amp;$A27))</f>
        <v>0</v>
      </c>
      <c r="BC27" s="6">
        <f>IF(RTD("tos.rtd",,BC$2,"."&amp;$A$2&amp;$AU$1&amp;"C"&amp;$A27)="N/A",0,RTD("tos.rtd",,BC$2,"."&amp;$A$2&amp;$AU$1&amp;"C"&amp;$A27))</f>
        <v>3494</v>
      </c>
      <c r="BD27" s="7">
        <f>-IF(RTD("tos.rtd",,BD$2,"."&amp;$A$2&amp;$AU$1&amp;"P"&amp;$A27)="N/A",0,RTD("tos.rtd",,BD$2,"."&amp;$A$2&amp;$AU$1&amp;"P"&amp;$A27))</f>
        <v>-74152</v>
      </c>
      <c r="BE27" s="6">
        <f>IF(RTD("tos.rtd",,BE$2,"."&amp;$A$2&amp;$AW$1&amp;"C"&amp;$A27)="N/A",0,RTD("tos.rtd",,BE$2,"."&amp;$A$2&amp;$AW$1&amp;"C"&amp;$A27))</f>
        <v>294</v>
      </c>
      <c r="BF27" s="83">
        <f>-IF(RTD("tos.rtd",,BF$2,"."&amp;$A$2&amp;$AW$1&amp;"P"&amp;$A27)="N/A",0,RTD("tos.rtd",,BF$2,"."&amp;$A$2&amp;$AW$1&amp;"P"&amp;$A27))</f>
        <v>-2605</v>
      </c>
      <c r="BG27" s="32">
        <f ca="1">+Hoja2!Y28</f>
        <v>-1242</v>
      </c>
      <c r="BH27" s="7">
        <f t="shared" ca="1" si="36"/>
        <v>-74211</v>
      </c>
      <c r="BI27" s="8" t="str">
        <f t="shared" ref="BI27" ca="1" si="178">IF(AND(BH27&lt;0,BH26&gt;0), "Cruce -", IF(AND(BH27&gt;0,BH26&lt;0),"Cruce +", ""))</f>
        <v/>
      </c>
      <c r="BJ27" s="3" t="e">
        <f ca="1">IF($BP$1=1,DX27,IF(RTD("tos.rtd",,BJ$2,"."&amp;$A$2&amp;$AS$1&amp;"C"&amp;$A27)="N/A",0,RTD("tos.rtd",,BJ$2,"."&amp;$A$2&amp;$AS$1&amp;"C"&amp;$A27)))</f>
        <v>#NUM!</v>
      </c>
      <c r="BK27" s="3" t="e">
        <f ca="1">IF($BP$1=1,DY27,-IF(RTD("tos.rtd",,BK$2,"."&amp;$A$2&amp;$AS$1&amp;"P"&amp;$A27)="N/A",0,RTD("tos.rtd",,BK$2,"."&amp;$A$2&amp;$AS$1&amp;"P"&amp;$A27)))</f>
        <v>#NUM!</v>
      </c>
      <c r="BL27" s="3" t="e">
        <f ca="1">IF($BP$1=1,DZ27,IF(RTD("tos.rtd",,BL$2,"."&amp;$A$2&amp;$AU$1&amp;"C"&amp;$A27)="N/A",0,RTD("tos.rtd",,BL$2,"."&amp;$A$2&amp;$AU$1&amp;"C"&amp;$A27)))</f>
        <v>#NUM!</v>
      </c>
      <c r="BM27" s="3" t="e">
        <f ca="1">IF($BP$1=1,EA27,-IF(RTD("tos.rtd",,BM$2,"."&amp;$A$2&amp;$AU$1&amp;"P"&amp;$A27)="N/A",0,RTD("tos.rtd",,BM$2,"."&amp;$A$2&amp;$AU$1&amp;"P"&amp;$A27)))</f>
        <v>#NUM!</v>
      </c>
      <c r="BN27" s="3" t="e">
        <f ca="1">IF($BP$1=1,EB27,IF(RTD("tos.rtd",,BN$2,"."&amp;$A$2&amp;$AW$1&amp;"C"&amp;$A27)="N/A",0,RTD("tos.rtd",,BN$2,"."&amp;$A$2&amp;$AW$1&amp;"C"&amp;$A27)))</f>
        <v>#NUM!</v>
      </c>
      <c r="BO27" s="3" t="e">
        <f ca="1">IF($BP$1=1,EC27,-IF(RTD("tos.rtd",,BO$2,"."&amp;$A$2&amp;$AW$1&amp;"P"&amp;$A27)="N/A",0,RTD("tos.rtd",,BO$2,"."&amp;$A$2&amp;$AW$1&amp;"P"&amp;$A27)))</f>
        <v>#NUM!</v>
      </c>
      <c r="BQ27" s="3" t="e">
        <f t="shared" ca="1" si="146"/>
        <v>#NUM!</v>
      </c>
      <c r="BR27" s="3" t="e">
        <f t="shared" ca="1" si="69"/>
        <v>#NUM!</v>
      </c>
      <c r="BS27" s="3" t="e">
        <f t="shared" ca="1" si="147"/>
        <v>#NUM!</v>
      </c>
      <c r="BT27" s="3" t="e">
        <f t="shared" ca="1" si="69"/>
        <v>#NUM!</v>
      </c>
      <c r="BU27" s="3" t="e">
        <f t="shared" ca="1" si="148"/>
        <v>#NUM!</v>
      </c>
      <c r="BV27" s="3" t="e">
        <f t="shared" ref="BV27" ca="1" si="179">IF(AND(BU27&lt;0,BU26&gt;0), "Cruce -", IF(AND(BU27&gt;0,BU26&lt;0),"Cruce +", ""))</f>
        <v>#NUM!</v>
      </c>
      <c r="BX27" s="3" t="e">
        <f t="shared" ca="1" si="150"/>
        <v>#NUM!</v>
      </c>
      <c r="BY27" s="3" t="e">
        <f t="shared" ca="1" si="71"/>
        <v>#NUM!</v>
      </c>
      <c r="BZ27" s="3" t="e">
        <f t="shared" ca="1" si="151"/>
        <v>#NUM!</v>
      </c>
      <c r="CA27" s="3" t="e">
        <f t="shared" ca="1" si="72"/>
        <v>#NUM!</v>
      </c>
      <c r="CB27" s="3" t="e">
        <f t="shared" ca="1" si="152"/>
        <v>#NUM!</v>
      </c>
      <c r="CC27" s="3" t="e">
        <f t="shared" ca="1" si="73"/>
        <v>#NUM!</v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0.01</v>
      </c>
      <c r="CF27" s="3">
        <f>IF(RTD("tos.rtd",,CF$2,"."&amp;$A$2&amp;$AU$1&amp;"C"&amp;$A27)="N/A",0,RTD("tos.rtd",,CF$2,"."&amp;$A$2&amp;$AU$1&amp;"C"&amp;$A27))</f>
        <v>1</v>
      </c>
      <c r="CG27" s="3">
        <f>-IF(RTD("tos.rtd",,CG$2,"."&amp;$A$2&amp;$AU$1&amp;"P"&amp;$A27)="N/A",0,RTD("tos.rtd",,CG$2,"."&amp;$A$2&amp;$AU$1&amp;"P"&amp;$A27))</f>
        <v>0.01</v>
      </c>
      <c r="CH27" s="3">
        <f>IF(RTD("tos.rtd",,CH$2,"."&amp;$A$2&amp;$AW$1&amp;"C"&amp;$A27)="N/A",0,RTD("tos.rtd",,CH$2,"."&amp;$A$2&amp;$AW$1&amp;"C"&amp;$A27))</f>
        <v>0.65</v>
      </c>
      <c r="CI27" s="3">
        <f>-IF(RTD("tos.rtd",,CI$2,"."&amp;$A$2&amp;$AW$1&amp;"P"&amp;$A27)="N/A",0,RTD("tos.rtd",,CI$2,"."&amp;$A$2&amp;$AW$1&amp;"P"&amp;$A27))</f>
        <v>0.35</v>
      </c>
      <c r="CK27" s="3">
        <f t="shared" si="153"/>
        <v>72517</v>
      </c>
      <c r="CL27" s="3"/>
      <c r="CM27" s="3">
        <f t="shared" si="154"/>
        <v>397228</v>
      </c>
      <c r="CN27" s="3"/>
      <c r="CO27" s="3">
        <f t="shared" si="155"/>
        <v>139960</v>
      </c>
      <c r="CP27" s="3">
        <f t="shared" si="156"/>
        <v>609705</v>
      </c>
      <c r="CQ27" s="3">
        <f t="shared" si="157"/>
        <v>0</v>
      </c>
      <c r="CR27" s="3"/>
      <c r="CS27" s="3">
        <f t="shared" si="158"/>
        <v>-70658</v>
      </c>
      <c r="CT27" s="3"/>
      <c r="CU27" s="3">
        <f t="shared" si="159"/>
        <v>-2311</v>
      </c>
      <c r="CV27" s="3">
        <f t="shared" si="160"/>
        <v>-72969</v>
      </c>
      <c r="CW27" s="3" t="e">
        <f t="shared" ca="1" si="161"/>
        <v>#NUM!</v>
      </c>
      <c r="CX27" s="85" t="e">
        <f t="shared" ca="1" si="74"/>
        <v>#NUM!</v>
      </c>
      <c r="CY27" s="3" t="e">
        <f t="shared" ca="1" si="162"/>
        <v>#NUM!</v>
      </c>
      <c r="CZ27" s="85" t="e">
        <f t="shared" ca="1" si="75"/>
        <v>#NUM!</v>
      </c>
      <c r="DA27" s="3">
        <f>IF(RTD("tos.rtd",,DA$2,"."&amp;$A$2&amp;$AS$1&amp;"C"&amp;$A27)="N/A",0,RTD("tos.rtd",,DA$2,"."&amp;$A$2&amp;$AS$1&amp;"C"&amp;$A27))</f>
        <v>4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5.05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3.19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-5.7999999999999545</v>
      </c>
      <c r="DH27" s="3">
        <f t="shared" si="163"/>
        <v>-660.19354838709683</v>
      </c>
      <c r="DI27" s="3">
        <f t="shared" si="164"/>
        <v>95596</v>
      </c>
      <c r="DJ27" s="3">
        <f t="shared" si="165"/>
        <v>0</v>
      </c>
      <c r="DK27" s="3">
        <f t="shared" si="51"/>
        <v>95596</v>
      </c>
      <c r="DL27" s="3">
        <f t="shared" si="52"/>
        <v>94935.806451612909</v>
      </c>
      <c r="DM27" s="3">
        <f t="shared" si="53"/>
        <v>95596</v>
      </c>
      <c r="DN27" s="63" t="str">
        <f t="shared" si="54"/>
        <v>UNKNOWN</v>
      </c>
      <c r="DO27" s="63" t="str">
        <f t="shared" si="55"/>
        <v>UNKNOWN</v>
      </c>
      <c r="DP27" s="3">
        <f t="shared" si="56"/>
        <v>-1684.8141935483873</v>
      </c>
      <c r="DQ27" s="3">
        <f t="shared" si="57"/>
        <v>955.96</v>
      </c>
      <c r="DR27" s="3" t="e">
        <f t="shared" ca="1" si="58"/>
        <v>#NUM!</v>
      </c>
      <c r="DS27" s="3">
        <f t="shared" si="59"/>
        <v>955.96</v>
      </c>
      <c r="DT27" s="3">
        <f t="shared" si="60"/>
        <v>-1516</v>
      </c>
      <c r="DU27" s="3">
        <f t="shared" si="61"/>
        <v>95596</v>
      </c>
      <c r="DV27" s="3">
        <f t="shared" si="62"/>
        <v>72</v>
      </c>
      <c r="DW27" s="3">
        <f t="shared" si="23"/>
        <v>7722</v>
      </c>
      <c r="DX27" s="3" t="e">
        <f t="shared" ca="1" si="24"/>
        <v>#NUM!</v>
      </c>
      <c r="DY27" s="3" t="e">
        <f t="shared" ca="1" si="25"/>
        <v>#NUM!</v>
      </c>
      <c r="DZ27" s="3" t="e">
        <f t="shared" ca="1" si="26"/>
        <v>#NUM!</v>
      </c>
      <c r="EA27" s="3" t="e">
        <f t="shared" ca="1" si="27"/>
        <v>#NUM!</v>
      </c>
      <c r="EB27" s="3" t="e">
        <f t="shared" ca="1" si="28"/>
        <v>#NUM!</v>
      </c>
      <c r="EC27" s="3" t="e">
        <f t="shared" ca="1" si="29"/>
        <v>#NUM!</v>
      </c>
      <c r="EE27" s="59">
        <f t="shared" si="166"/>
        <v>0.25</v>
      </c>
      <c r="EF27" s="59">
        <f t="shared" si="167"/>
        <v>0.5514</v>
      </c>
      <c r="EG27" s="59">
        <f t="shared" si="168"/>
        <v>0.25</v>
      </c>
      <c r="EH27" s="59">
        <f t="shared" si="169"/>
        <v>0.5514</v>
      </c>
      <c r="EI27" s="59">
        <f t="shared" si="170"/>
        <v>0.24379999999999999</v>
      </c>
      <c r="EJ27" s="59">
        <f t="shared" si="171"/>
        <v>0.254</v>
      </c>
      <c r="EL27" s="3" t="str">
        <f>RTD("tos.rtd",,EL$2,"."&amp;$A$2&amp;$AS$1&amp;"C"&amp;$A27)</f>
        <v>--</v>
      </c>
      <c r="EM27" s="3" t="str">
        <f>RTD("tos.rtd",,EM$2,"."&amp;$A$2&amp;$AS$1&amp;"P"&amp;$A27)</f>
        <v>55.14%</v>
      </c>
      <c r="EN27" s="3" t="str">
        <f>RTD("tos.rtd",,EN$2,"."&amp;$A$2&amp;$AU$1&amp;"C"&amp;$A27)</f>
        <v>--</v>
      </c>
      <c r="EO27" s="3" t="str">
        <f>RTD("tos.rtd",,EO$2,"."&amp;$A$2&amp;$AU$1&amp;"P"&amp;$A27)</f>
        <v>55.14%</v>
      </c>
      <c r="EP27" s="3" t="str">
        <f>RTD("tos.rtd",,EP$2,"."&amp;$A$2&amp;$AW$1&amp;"C"&amp;$A27)</f>
        <v>24.38%</v>
      </c>
      <c r="EQ27" s="3" t="str">
        <f>RTD("tos.rtd",,EQ$2,"."&amp;$A$2&amp;$AW$1&amp;"P"&amp;$A27)</f>
        <v>25.40%</v>
      </c>
      <c r="ES27" s="63" t="str">
        <f t="shared" si="64"/>
        <v>559,7794.00</v>
      </c>
      <c r="ET27" s="63" t="str">
        <f t="shared" ca="1" si="65"/>
        <v>559,00.00</v>
      </c>
      <c r="EU27" s="67">
        <v>563.02</v>
      </c>
      <c r="EV27" s="67" t="s">
        <v>235</v>
      </c>
      <c r="EW27" s="67">
        <v>485.37</v>
      </c>
      <c r="EX27" s="67" t="s">
        <v>236</v>
      </c>
      <c r="EY27" s="67">
        <v>5644</v>
      </c>
      <c r="EZ27" s="67" t="s">
        <v>237</v>
      </c>
      <c r="FA27" s="67">
        <v>19939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6"/>
        <v>558</v>
      </c>
      <c r="B28" s="3">
        <f t="shared" si="139"/>
        <v>4745</v>
      </c>
      <c r="C28" s="3">
        <f t="shared" si="140"/>
        <v>9593</v>
      </c>
      <c r="D28" s="3">
        <f t="shared" si="141"/>
        <v>15635</v>
      </c>
      <c r="E28" s="3">
        <f t="shared" si="142"/>
        <v>29973</v>
      </c>
      <c r="F28" s="4">
        <f t="shared" si="143"/>
        <v>5615.5665722379608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-19</v>
      </c>
      <c r="AN28" s="1">
        <v>-10299</v>
      </c>
      <c r="AO28" s="1">
        <v>558</v>
      </c>
      <c r="AP28" s="1">
        <v>1168</v>
      </c>
      <c r="AQ28" s="1">
        <v>-83039</v>
      </c>
      <c r="AR28" s="1"/>
      <c r="AS28" s="6">
        <f>IF(RTD("tos.rtd",,AS$2,"."&amp;$A$2&amp;$AS$1&amp;"C"&amp;$A28)="N/A",0,RTD("tos.rtd",,AS$2,"."&amp;$A$2&amp;$AS$1&amp;"C"&amp;$A28))</f>
        <v>1007</v>
      </c>
      <c r="AT28" s="7">
        <f>-IF(RTD("tos.rtd",,AT$2,"."&amp;$A$2&amp;$AS$1&amp;"P"&amp;$A28)="N/A",0,RTD("tos.rtd",,AT$2,"."&amp;$A$2&amp;$AS$1&amp;"P"&amp;$A28))</f>
        <v>-3738</v>
      </c>
      <c r="AU28" s="6">
        <f>IF(RTD("tos.rtd",,AU$2,"."&amp;$A$2&amp;$AU$1&amp;"C"&amp;$A28)="N/A",0,RTD("tos.rtd",,AU$2,"."&amp;$A$2&amp;$AU$1&amp;"C"&amp;$A28))</f>
        <v>1849</v>
      </c>
      <c r="AV28" s="7">
        <f>-IF(RTD("tos.rtd",,AV$2,"."&amp;$A$2&amp;$AU$1&amp;"P"&amp;$A28)="N/A",0,RTD("tos.rtd",,AV$2,"."&amp;$A$2&amp;$AU$1&amp;"P"&amp;$A28))</f>
        <v>-7744</v>
      </c>
      <c r="AW28" s="6">
        <f>IF(RTD("tos.rtd",,AW$2,"."&amp;$A$2&amp;$AW$1&amp;"C"&amp;$A28)="N/A",0,RTD("tos.rtd",,AW$2,"."&amp;$A$2&amp;$AW$1&amp;"C"&amp;$A28))</f>
        <v>11331</v>
      </c>
      <c r="AX28" s="7">
        <f>-IF(RTD("tos.rtd",,AX$2,"."&amp;$A$2&amp;$AW$1&amp;"P"&amp;$A28)="N/A",0,RTD("tos.rtd",,AX$2,"."&amp;$A$2&amp;$AW$1&amp;"P"&amp;$A28))</f>
        <v>-4304</v>
      </c>
      <c r="AY28" s="1">
        <f t="shared" si="144"/>
        <v>-1599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0</v>
      </c>
      <c r="BB28" s="7">
        <f>-IF(RTD("tos.rtd",,BB$2,"."&amp;$A$2&amp;$AS$1&amp;"P"&amp;$A28)="N/A",0,RTD("tos.rtd",,BB$2,"."&amp;$A$2&amp;$AS$1&amp;"P"&amp;$A28))</f>
        <v>0</v>
      </c>
      <c r="BC28" s="6">
        <f>IF(RTD("tos.rtd",,BC$2,"."&amp;$A$2&amp;$AU$1&amp;"C"&amp;$A28)="N/A",0,RTD("tos.rtd",,BC$2,"."&amp;$A$2&amp;$AU$1&amp;"C"&amp;$A28))</f>
        <v>1075</v>
      </c>
      <c r="BD28" s="7">
        <f>-IF(RTD("tos.rtd",,BD$2,"."&amp;$A$2&amp;$AU$1&amp;"P"&amp;$A28)="N/A",0,RTD("tos.rtd",,BD$2,"."&amp;$A$2&amp;$AU$1&amp;"P"&amp;$A28))</f>
        <v>-46685</v>
      </c>
      <c r="BE28" s="6">
        <f>IF(RTD("tos.rtd",,BE$2,"."&amp;$A$2&amp;$AW$1&amp;"C"&amp;$A28)="N/A",0,RTD("tos.rtd",,BE$2,"."&amp;$A$2&amp;$AW$1&amp;"C"&amp;$A28))</f>
        <v>295</v>
      </c>
      <c r="BF28" s="83">
        <f>-IF(RTD("tos.rtd",,BF$2,"."&amp;$A$2&amp;$AW$1&amp;"P"&amp;$A28)="N/A",0,RTD("tos.rtd",,BF$2,"."&amp;$A$2&amp;$AW$1&amp;"P"&amp;$A28))</f>
        <v>-2033</v>
      </c>
      <c r="BG28" s="32">
        <f ca="1">+Hoja2!Y29</f>
        <v>-1123</v>
      </c>
      <c r="BH28" s="7">
        <f t="shared" ca="1" si="36"/>
        <v>-48471</v>
      </c>
      <c r="BI28" s="8" t="str">
        <f t="shared" ref="BI28" ca="1" si="180">IF(AND(BH28&lt;0,BH27&gt;0), "Cruce -", IF(AND(BH28&gt;0,BH27&lt;0),"Cruce +", ""))</f>
        <v/>
      </c>
      <c r="BJ28" s="3" t="e">
        <f ca="1">IF($BP$1=1,DX28,IF(RTD("tos.rtd",,BJ$2,"."&amp;$A$2&amp;$AS$1&amp;"C"&amp;$A28)="N/A",0,RTD("tos.rtd",,BJ$2,"."&amp;$A$2&amp;$AS$1&amp;"C"&amp;$A28)))</f>
        <v>#NUM!</v>
      </c>
      <c r="BK28" s="3" t="e">
        <f ca="1">IF($BP$1=1,DY28,-IF(RTD("tos.rtd",,BK$2,"."&amp;$A$2&amp;$AS$1&amp;"P"&amp;$A28)="N/A",0,RTD("tos.rtd",,BK$2,"."&amp;$A$2&amp;$AS$1&amp;"P"&amp;$A28)))</f>
        <v>#NUM!</v>
      </c>
      <c r="BL28" s="3" t="e">
        <f ca="1">IF($BP$1=1,DZ28,IF(RTD("tos.rtd",,BL$2,"."&amp;$A$2&amp;$AU$1&amp;"C"&amp;$A28)="N/A",0,RTD("tos.rtd",,BL$2,"."&amp;$A$2&amp;$AU$1&amp;"C"&amp;$A28)))</f>
        <v>#NUM!</v>
      </c>
      <c r="BM28" s="3" t="e">
        <f ca="1">IF($BP$1=1,EA28,-IF(RTD("tos.rtd",,BM$2,"."&amp;$A$2&amp;$AU$1&amp;"P"&amp;$A28)="N/A",0,RTD("tos.rtd",,BM$2,"."&amp;$A$2&amp;$AU$1&amp;"P"&amp;$A28)))</f>
        <v>#NUM!</v>
      </c>
      <c r="BN28" s="3" t="e">
        <f ca="1">IF($BP$1=1,EB28,IF(RTD("tos.rtd",,BN$2,"."&amp;$A$2&amp;$AW$1&amp;"C"&amp;$A28)="N/A",0,RTD("tos.rtd",,BN$2,"."&amp;$A$2&amp;$AW$1&amp;"C"&amp;$A28)))</f>
        <v>#NUM!</v>
      </c>
      <c r="BO28" s="3" t="e">
        <f ca="1">IF($BP$1=1,EC28,-IF(RTD("tos.rtd",,BO$2,"."&amp;$A$2&amp;$AW$1&amp;"P"&amp;$A28)="N/A",0,RTD("tos.rtd",,BO$2,"."&amp;$A$2&amp;$AW$1&amp;"P"&amp;$A28)))</f>
        <v>#NUM!</v>
      </c>
      <c r="BQ28" s="3" t="e">
        <f t="shared" ca="1" si="146"/>
        <v>#NUM!</v>
      </c>
      <c r="BR28" s="3" t="e">
        <f t="shared" ca="1" si="69"/>
        <v>#NUM!</v>
      </c>
      <c r="BS28" s="3" t="e">
        <f t="shared" ca="1" si="147"/>
        <v>#NUM!</v>
      </c>
      <c r="BT28" s="3" t="e">
        <f t="shared" ca="1" si="69"/>
        <v>#NUM!</v>
      </c>
      <c r="BU28" s="3" t="e">
        <f t="shared" ca="1" si="148"/>
        <v>#NUM!</v>
      </c>
      <c r="BV28" s="3" t="e">
        <f t="shared" ref="BV28" ca="1" si="181">IF(AND(BU28&lt;0,BU27&gt;0), "Cruce -", IF(AND(BU28&gt;0,BU27&lt;0),"Cruce +", ""))</f>
        <v>#NUM!</v>
      </c>
      <c r="BX28" s="3" t="e">
        <f t="shared" ca="1" si="150"/>
        <v>#NUM!</v>
      </c>
      <c r="BY28" s="3" t="e">
        <f t="shared" ca="1" si="71"/>
        <v>#NUM!</v>
      </c>
      <c r="BZ28" s="3" t="e">
        <f t="shared" ca="1" si="151"/>
        <v>#NUM!</v>
      </c>
      <c r="CA28" s="3" t="e">
        <f t="shared" ca="1" si="72"/>
        <v>#NUM!</v>
      </c>
      <c r="CB28" s="3" t="e">
        <f t="shared" ca="1" si="152"/>
        <v>#NUM!</v>
      </c>
      <c r="CC28" s="3" t="e">
        <f t="shared" ca="1" si="73"/>
        <v>#NUM!</v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0.01</v>
      </c>
      <c r="CF28" s="3">
        <f>IF(RTD("tos.rtd",,CF$2,"."&amp;$A$2&amp;$AU$1&amp;"C"&amp;$A28)="N/A",0,RTD("tos.rtd",,CF$2,"."&amp;$A$2&amp;$AU$1&amp;"C"&amp;$A28))</f>
        <v>1</v>
      </c>
      <c r="CG28" s="3">
        <f>-IF(RTD("tos.rtd",,CG$2,"."&amp;$A$2&amp;$AU$1&amp;"P"&amp;$A28)="N/A",0,RTD("tos.rtd",,CG$2,"."&amp;$A$2&amp;$AU$1&amp;"P"&amp;$A28))</f>
        <v>0.01</v>
      </c>
      <c r="CH28" s="3">
        <f>IF(RTD("tos.rtd",,CH$2,"."&amp;$A$2&amp;$AW$1&amp;"C"&amp;$A28)="N/A",0,RTD("tos.rtd",,CH$2,"."&amp;$A$2&amp;$AW$1&amp;"C"&amp;$A28))</f>
        <v>0.67</v>
      </c>
      <c r="CI28" s="3">
        <f>-IF(RTD("tos.rtd",,CI$2,"."&amp;$A$2&amp;$AW$1&amp;"P"&amp;$A28)="N/A",0,RTD("tos.rtd",,CI$2,"."&amp;$A$2&amp;$AW$1&amp;"P"&amp;$A28))</f>
        <v>0.33</v>
      </c>
      <c r="CK28" s="3">
        <f t="shared" si="153"/>
        <v>96962</v>
      </c>
      <c r="CL28" s="3"/>
      <c r="CM28" s="3">
        <f t="shared" si="154"/>
        <v>177156</v>
      </c>
      <c r="CN28" s="3"/>
      <c r="CO28" s="3">
        <f t="shared" si="155"/>
        <v>617145</v>
      </c>
      <c r="CP28" s="3">
        <f t="shared" si="156"/>
        <v>891263</v>
      </c>
      <c r="CQ28" s="3">
        <f t="shared" si="157"/>
        <v>0</v>
      </c>
      <c r="CR28" s="3"/>
      <c r="CS28" s="3">
        <f t="shared" si="158"/>
        <v>-45610</v>
      </c>
      <c r="CT28" s="3"/>
      <c r="CU28" s="3">
        <f t="shared" si="159"/>
        <v>-1738</v>
      </c>
      <c r="CV28" s="3">
        <f t="shared" si="160"/>
        <v>-47348</v>
      </c>
      <c r="CW28" s="3" t="e">
        <f t="shared" ca="1" si="161"/>
        <v>#NUM!</v>
      </c>
      <c r="CX28" s="85" t="e">
        <f t="shared" ca="1" si="74"/>
        <v>#NUM!</v>
      </c>
      <c r="CY28" s="3" t="e">
        <f t="shared" ca="1" si="162"/>
        <v>#NUM!</v>
      </c>
      <c r="CZ28" s="85" t="e">
        <f t="shared" ca="1" si="75"/>
        <v>#NUM!</v>
      </c>
      <c r="DA28" s="3">
        <f>IF(RTD("tos.rtd",,DA$2,"."&amp;$A$2&amp;$AS$1&amp;"C"&amp;$A28)="N/A",0,RTD("tos.rtd",,DA$2,"."&amp;$A$2&amp;$AS$1&amp;"C"&amp;$A28))</f>
        <v>4.99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6.05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4.1399999999999997</v>
      </c>
      <c r="DF28" s="3">
        <f>IF(RTD("tos.rtd",,DF$2,"."&amp;$A$2&amp;$AS$1&amp;"P"&amp;$A28)="N/A",0,RTD("tos.rtd",,DF$2,"."&amp;$A$2&amp;$AS$1&amp;"P"&amp;$A28))</f>
        <v>0</v>
      </c>
      <c r="DG28" s="86">
        <f t="shared" si="48"/>
        <v>-6.7999999999999545</v>
      </c>
      <c r="DH28" s="3">
        <f t="shared" si="163"/>
        <v>-519.79057591623064</v>
      </c>
      <c r="DI28" s="3">
        <f t="shared" si="164"/>
        <v>83039</v>
      </c>
      <c r="DJ28" s="3">
        <f t="shared" si="165"/>
        <v>0</v>
      </c>
      <c r="DK28" s="3">
        <f t="shared" si="51"/>
        <v>83039</v>
      </c>
      <c r="DL28" s="3">
        <f t="shared" si="52"/>
        <v>82519.209424083776</v>
      </c>
      <c r="DM28" s="3">
        <f t="shared" si="53"/>
        <v>83039</v>
      </c>
      <c r="DN28" s="63" t="str">
        <f t="shared" si="54"/>
        <v>UNKNOWN</v>
      </c>
      <c r="DO28" s="63" t="str">
        <f t="shared" si="55"/>
        <v>UNKNOWN</v>
      </c>
      <c r="DP28" s="3">
        <f t="shared" si="56"/>
        <v>-1763.364973821991</v>
      </c>
      <c r="DQ28" s="3">
        <f t="shared" si="57"/>
        <v>830.39</v>
      </c>
      <c r="DR28" s="3" t="e">
        <f t="shared" ca="1" si="58"/>
        <v>#NUM!</v>
      </c>
      <c r="DS28" s="3">
        <f t="shared" si="59"/>
        <v>830.39</v>
      </c>
      <c r="DT28" s="3">
        <f t="shared" si="60"/>
        <v>-1168</v>
      </c>
      <c r="DU28" s="3">
        <f t="shared" si="61"/>
        <v>83039</v>
      </c>
      <c r="DV28" s="3">
        <f t="shared" si="62"/>
        <v>-19</v>
      </c>
      <c r="DW28" s="3">
        <f t="shared" si="23"/>
        <v>-10299</v>
      </c>
      <c r="DX28" s="3" t="e">
        <f t="shared" ca="1" si="24"/>
        <v>#NUM!</v>
      </c>
      <c r="DY28" s="3" t="e">
        <f t="shared" ca="1" si="25"/>
        <v>#NUM!</v>
      </c>
      <c r="DZ28" s="3" t="e">
        <f t="shared" ca="1" si="26"/>
        <v>#NUM!</v>
      </c>
      <c r="EA28" s="3" t="e">
        <f t="shared" ca="1" si="27"/>
        <v>#NUM!</v>
      </c>
      <c r="EB28" s="3" t="e">
        <f t="shared" ca="1" si="28"/>
        <v>#NUM!</v>
      </c>
      <c r="EC28" s="3" t="e">
        <f t="shared" ca="1" si="29"/>
        <v>#NUM!</v>
      </c>
      <c r="EE28" s="59">
        <f t="shared" si="166"/>
        <v>0.25</v>
      </c>
      <c r="EF28" s="59">
        <f t="shared" si="167"/>
        <v>0.63529999999999998</v>
      </c>
      <c r="EG28" s="59">
        <f t="shared" si="168"/>
        <v>0.25</v>
      </c>
      <c r="EH28" s="59">
        <f t="shared" si="169"/>
        <v>0.63529999999999998</v>
      </c>
      <c r="EI28" s="59">
        <f t="shared" si="170"/>
        <v>0.24510000000000001</v>
      </c>
      <c r="EJ28" s="59">
        <f t="shared" si="171"/>
        <v>0.25540000000000002</v>
      </c>
      <c r="EL28" s="3" t="str">
        <f>RTD("tos.rtd",,EL$2,"."&amp;$A$2&amp;$AS$1&amp;"C"&amp;$A28)</f>
        <v>--</v>
      </c>
      <c r="EM28" s="3" t="str">
        <f>RTD("tos.rtd",,EM$2,"."&amp;$A$2&amp;$AS$1&amp;"P"&amp;$A28)</f>
        <v>63.53%</v>
      </c>
      <c r="EN28" s="3" t="str">
        <f>RTD("tos.rtd",,EN$2,"."&amp;$A$2&amp;$AU$1&amp;"C"&amp;$A28)</f>
        <v>--</v>
      </c>
      <c r="EO28" s="3" t="str">
        <f>RTD("tos.rtd",,EO$2,"."&amp;$A$2&amp;$AU$1&amp;"P"&amp;$A28)</f>
        <v>63.53%</v>
      </c>
      <c r="EP28" s="3" t="str">
        <f>RTD("tos.rtd",,EP$2,"."&amp;$A$2&amp;$AW$1&amp;"C"&amp;$A28)</f>
        <v>24.51%</v>
      </c>
      <c r="EQ28" s="3" t="str">
        <f>RTD("tos.rtd",,EQ$2,"."&amp;$A$2&amp;$AW$1&amp;"P"&amp;$A28)</f>
        <v>25.54%</v>
      </c>
      <c r="ES28" s="63" t="str">
        <f t="shared" si="64"/>
        <v>558,-10318.00</v>
      </c>
      <c r="ET28" s="63" t="str">
        <f t="shared" ca="1" si="65"/>
        <v>558,00.00</v>
      </c>
      <c r="EU28" s="67">
        <v>563</v>
      </c>
      <c r="EV28" s="67" t="s">
        <v>243</v>
      </c>
      <c r="EW28" s="67">
        <v>485.33</v>
      </c>
      <c r="EX28" s="67" t="s">
        <v>244</v>
      </c>
      <c r="EY28" s="67">
        <v>5643.5</v>
      </c>
      <c r="EZ28" s="67" t="s">
        <v>245</v>
      </c>
      <c r="FA28" s="67">
        <v>19937.25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6"/>
        <v>557</v>
      </c>
      <c r="B29" s="3">
        <f t="shared" si="139"/>
        <v>6603</v>
      </c>
      <c r="C29" s="3">
        <f t="shared" si="140"/>
        <v>8575</v>
      </c>
      <c r="D29" s="3">
        <f t="shared" si="141"/>
        <v>11718</v>
      </c>
      <c r="E29" s="3">
        <f t="shared" si="142"/>
        <v>26896</v>
      </c>
      <c r="F29" s="4">
        <f t="shared" si="143"/>
        <v>5605.5028328611897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-110</v>
      </c>
      <c r="AN29" s="1">
        <v>-1445</v>
      </c>
      <c r="AO29" s="1">
        <v>557</v>
      </c>
      <c r="AP29" s="1">
        <v>782</v>
      </c>
      <c r="AQ29" s="1">
        <v>-45885</v>
      </c>
      <c r="AR29" s="1"/>
      <c r="AS29" s="6">
        <f>IF(RTD("tos.rtd",,AS$2,"."&amp;$A$2&amp;$AS$1&amp;"C"&amp;$A29)="N/A",0,RTD("tos.rtd",,AS$2,"."&amp;$A$2&amp;$AS$1&amp;"C"&amp;$A29))</f>
        <v>757</v>
      </c>
      <c r="AT29" s="7">
        <f>-IF(RTD("tos.rtd",,AT$2,"."&amp;$A$2&amp;$AS$1&amp;"P"&amp;$A29)="N/A",0,RTD("tos.rtd",,AT$2,"."&amp;$A$2&amp;$AS$1&amp;"P"&amp;$A29))</f>
        <v>-5846</v>
      </c>
      <c r="AU29" s="6">
        <f>IF(RTD("tos.rtd",,AU$2,"."&amp;$A$2&amp;$AU$1&amp;"C"&amp;$A29)="N/A",0,RTD("tos.rtd",,AU$2,"."&amp;$A$2&amp;$AU$1&amp;"C"&amp;$A29))</f>
        <v>1121</v>
      </c>
      <c r="AV29" s="7">
        <f>-IF(RTD("tos.rtd",,AV$2,"."&amp;$A$2&amp;$AU$1&amp;"P"&amp;$A29)="N/A",0,RTD("tos.rtd",,AV$2,"."&amp;$A$2&amp;$AU$1&amp;"P"&amp;$A29))</f>
        <v>-7454</v>
      </c>
      <c r="AW29" s="6">
        <f>IF(RTD("tos.rtd",,AW$2,"."&amp;$A$2&amp;$AW$1&amp;"C"&amp;$A29)="N/A",0,RTD("tos.rtd",,AW$2,"."&amp;$A$2&amp;$AW$1&amp;"C"&amp;$A29))</f>
        <v>2046</v>
      </c>
      <c r="AX29" s="7">
        <f>-IF(RTD("tos.rtd",,AX$2,"."&amp;$A$2&amp;$AW$1&amp;"P"&amp;$A29)="N/A",0,RTD("tos.rtd",,AX$2,"."&amp;$A$2&amp;$AW$1&amp;"P"&amp;$A29))</f>
        <v>-9672</v>
      </c>
      <c r="AY29" s="1">
        <f t="shared" si="144"/>
        <v>-19048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0</v>
      </c>
      <c r="BB29" s="7">
        <f>-IF(RTD("tos.rtd",,BB$2,"."&amp;$A$2&amp;$AS$1&amp;"P"&amp;$A29)="N/A",0,RTD("tos.rtd",,BB$2,"."&amp;$A$2&amp;$AS$1&amp;"P"&amp;$A29))</f>
        <v>0</v>
      </c>
      <c r="BC29" s="6">
        <f>IF(RTD("tos.rtd",,BC$2,"."&amp;$A$2&amp;$AU$1&amp;"C"&amp;$A29)="N/A",0,RTD("tos.rtd",,BC$2,"."&amp;$A$2&amp;$AU$1&amp;"C"&amp;$A29))</f>
        <v>731</v>
      </c>
      <c r="BD29" s="7">
        <f>-IF(RTD("tos.rtd",,BD$2,"."&amp;$A$2&amp;$AU$1&amp;"P"&amp;$A29)="N/A",0,RTD("tos.rtd",,BD$2,"."&amp;$A$2&amp;$AU$1&amp;"P"&amp;$A29))</f>
        <v>-35181</v>
      </c>
      <c r="BE29" s="6">
        <f>IF(RTD("tos.rtd",,BE$2,"."&amp;$A$2&amp;$AW$1&amp;"C"&amp;$A29)="N/A",0,RTD("tos.rtd",,BE$2,"."&amp;$A$2&amp;$AW$1&amp;"C"&amp;$A29))</f>
        <v>163</v>
      </c>
      <c r="BF29" s="83">
        <f>-IF(RTD("tos.rtd",,BF$2,"."&amp;$A$2&amp;$AW$1&amp;"P"&amp;$A29)="N/A",0,RTD("tos.rtd",,BF$2,"."&amp;$A$2&amp;$AW$1&amp;"P"&amp;$A29))</f>
        <v>-1552</v>
      </c>
      <c r="BG29" s="32">
        <f ca="1">+Hoja2!Y30</f>
        <v>-1115</v>
      </c>
      <c r="BH29" s="7">
        <f t="shared" ca="1" si="36"/>
        <v>-36954</v>
      </c>
      <c r="BI29" s="8" t="str">
        <f t="shared" ref="BI29" ca="1" si="182">IF(AND(BH29&lt;0,BH28&gt;0), "Cruce -", IF(AND(BH29&gt;0,BH28&lt;0),"Cruce +", ""))</f>
        <v/>
      </c>
      <c r="BJ29" s="3" t="e">
        <f ca="1">IF($BP$1=1,DX29,IF(RTD("tos.rtd",,BJ$2,"."&amp;$A$2&amp;$AS$1&amp;"C"&amp;$A29)="N/A",0,RTD("tos.rtd",,BJ$2,"."&amp;$A$2&amp;$AS$1&amp;"C"&amp;$A29)))</f>
        <v>#NUM!</v>
      </c>
      <c r="BK29" s="3" t="e">
        <f ca="1">IF($BP$1=1,DY29,-IF(RTD("tos.rtd",,BK$2,"."&amp;$A$2&amp;$AS$1&amp;"P"&amp;$A29)="N/A",0,RTD("tos.rtd",,BK$2,"."&amp;$A$2&amp;$AS$1&amp;"P"&amp;$A29)))</f>
        <v>#NUM!</v>
      </c>
      <c r="BL29" s="3" t="e">
        <f ca="1">IF($BP$1=1,DZ29,IF(RTD("tos.rtd",,BL$2,"."&amp;$A$2&amp;$AU$1&amp;"C"&amp;$A29)="N/A",0,RTD("tos.rtd",,BL$2,"."&amp;$A$2&amp;$AU$1&amp;"C"&amp;$A29)))</f>
        <v>#NUM!</v>
      </c>
      <c r="BM29" s="3" t="e">
        <f ca="1">IF($BP$1=1,EA29,-IF(RTD("tos.rtd",,BM$2,"."&amp;$A$2&amp;$AU$1&amp;"P"&amp;$A29)="N/A",0,RTD("tos.rtd",,BM$2,"."&amp;$A$2&amp;$AU$1&amp;"P"&amp;$A29)))</f>
        <v>#NUM!</v>
      </c>
      <c r="BN29" s="3" t="e">
        <f ca="1">IF($BP$1=1,EB29,IF(RTD("tos.rtd",,BN$2,"."&amp;$A$2&amp;$AW$1&amp;"C"&amp;$A29)="N/A",0,RTD("tos.rtd",,BN$2,"."&amp;$A$2&amp;$AW$1&amp;"C"&amp;$A29)))</f>
        <v>#NUM!</v>
      </c>
      <c r="BO29" s="3" t="e">
        <f ca="1">IF($BP$1=1,EC29,-IF(RTD("tos.rtd",,BO$2,"."&amp;$A$2&amp;$AW$1&amp;"P"&amp;$A29)="N/A",0,RTD("tos.rtd",,BO$2,"."&amp;$A$2&amp;$AW$1&amp;"P"&amp;$A29)))</f>
        <v>#NUM!</v>
      </c>
      <c r="BQ29" s="3" t="e">
        <f t="shared" ca="1" si="146"/>
        <v>#NUM!</v>
      </c>
      <c r="BR29" s="3" t="e">
        <f t="shared" ca="1" si="69"/>
        <v>#NUM!</v>
      </c>
      <c r="BS29" s="3" t="e">
        <f t="shared" ca="1" si="147"/>
        <v>#NUM!</v>
      </c>
      <c r="BT29" s="3" t="e">
        <f t="shared" ca="1" si="69"/>
        <v>#NUM!</v>
      </c>
      <c r="BU29" s="3" t="e">
        <f t="shared" ca="1" si="148"/>
        <v>#NUM!</v>
      </c>
      <c r="BV29" s="3" t="e">
        <f t="shared" ref="BV29" ca="1" si="183">IF(AND(BU29&lt;0,BU28&gt;0), "Cruce -", IF(AND(BU29&gt;0,BU28&lt;0),"Cruce +", ""))</f>
        <v>#NUM!</v>
      </c>
      <c r="BX29" s="3" t="e">
        <f t="shared" ca="1" si="150"/>
        <v>#NUM!</v>
      </c>
      <c r="BY29" s="3" t="e">
        <f t="shared" ca="1" si="71"/>
        <v>#NUM!</v>
      </c>
      <c r="BZ29" s="3" t="e">
        <f t="shared" ca="1" si="151"/>
        <v>#NUM!</v>
      </c>
      <c r="CA29" s="3" t="e">
        <f t="shared" ca="1" si="72"/>
        <v>#NUM!</v>
      </c>
      <c r="CB29" s="3" t="e">
        <f t="shared" ca="1" si="152"/>
        <v>#NUM!</v>
      </c>
      <c r="CC29" s="3" t="e">
        <f t="shared" ca="1" si="73"/>
        <v>#NUM!</v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0.01</v>
      </c>
      <c r="CF29" s="3">
        <f>IF(RTD("tos.rtd",,CF$2,"."&amp;$A$2&amp;$AU$1&amp;"C"&amp;$A29)="N/A",0,RTD("tos.rtd",,CF$2,"."&amp;$A$2&amp;$AU$1&amp;"C"&amp;$A29))</f>
        <v>1</v>
      </c>
      <c r="CG29" s="3">
        <f>-IF(RTD("tos.rtd",,CG$2,"."&amp;$A$2&amp;$AU$1&amp;"P"&amp;$A29)="N/A",0,RTD("tos.rtd",,CG$2,"."&amp;$A$2&amp;$AU$1&amp;"P"&amp;$A29))</f>
        <v>0.01</v>
      </c>
      <c r="CH29" s="3">
        <f>IF(RTD("tos.rtd",,CH$2,"."&amp;$A$2&amp;$AW$1&amp;"C"&amp;$A29)="N/A",0,RTD("tos.rtd",,CH$2,"."&amp;$A$2&amp;$AW$1&amp;"C"&amp;$A29))</f>
        <v>0.7</v>
      </c>
      <c r="CI29" s="3">
        <f>-IF(RTD("tos.rtd",,CI$2,"."&amp;$A$2&amp;$AW$1&amp;"P"&amp;$A29)="N/A",0,RTD("tos.rtd",,CI$2,"."&amp;$A$2&amp;$AW$1&amp;"P"&amp;$A29))</f>
        <v>0.31</v>
      </c>
      <c r="CK29" s="3">
        <f t="shared" si="153"/>
        <v>69854</v>
      </c>
      <c r="CL29" s="3"/>
      <c r="CM29" s="3">
        <f t="shared" si="154"/>
        <v>104646</v>
      </c>
      <c r="CN29" s="3"/>
      <c r="CO29" s="3">
        <f t="shared" si="155"/>
        <v>-156612.00000000003</v>
      </c>
      <c r="CP29" s="3">
        <f t="shared" si="156"/>
        <v>17887.999999999971</v>
      </c>
      <c r="CQ29" s="3">
        <f t="shared" si="157"/>
        <v>0</v>
      </c>
      <c r="CR29" s="3"/>
      <c r="CS29" s="3">
        <f t="shared" si="158"/>
        <v>-34450</v>
      </c>
      <c r="CT29" s="3"/>
      <c r="CU29" s="3">
        <f t="shared" si="159"/>
        <v>-1389</v>
      </c>
      <c r="CV29" s="3">
        <f t="shared" si="160"/>
        <v>-35839</v>
      </c>
      <c r="CW29" s="3" t="e">
        <f t="shared" ca="1" si="161"/>
        <v>#NUM!</v>
      </c>
      <c r="CX29" s="85" t="e">
        <f t="shared" ca="1" si="74"/>
        <v>#NUM!</v>
      </c>
      <c r="CY29" s="3" t="e">
        <f t="shared" ca="1" si="162"/>
        <v>#NUM!</v>
      </c>
      <c r="CZ29" s="85" t="e">
        <f t="shared" ca="1" si="75"/>
        <v>#NUM!</v>
      </c>
      <c r="DA29" s="3">
        <f>IF(RTD("tos.rtd",,DA$2,"."&amp;$A$2&amp;$AS$1&amp;"C"&amp;$A29)="N/A",0,RTD("tos.rtd",,DA$2,"."&amp;$A$2&amp;$AS$1&amp;"C"&amp;$A29))</f>
        <v>5.83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7.05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5.18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-7.7999999999999545</v>
      </c>
      <c r="DH29" s="3">
        <f t="shared" si="163"/>
        <v>-271.81818181818193</v>
      </c>
      <c r="DI29" s="3">
        <f t="shared" si="164"/>
        <v>45885</v>
      </c>
      <c r="DJ29" s="3">
        <f t="shared" si="165"/>
        <v>782</v>
      </c>
      <c r="DK29" s="3">
        <f t="shared" si="51"/>
        <v>45885</v>
      </c>
      <c r="DL29" s="3">
        <f t="shared" si="52"/>
        <v>45613.181818181816</v>
      </c>
      <c r="DM29" s="3">
        <f t="shared" si="53"/>
        <v>46667</v>
      </c>
      <c r="DN29" s="63" t="str">
        <f t="shared" si="54"/>
        <v>UNKNOWN</v>
      </c>
      <c r="DO29" s="63" t="str">
        <f t="shared" si="55"/>
        <v>UNKNOWN</v>
      </c>
      <c r="DP29" s="3">
        <f t="shared" si="56"/>
        <v>-1125.8500000000008</v>
      </c>
      <c r="DQ29" s="3">
        <f t="shared" si="57"/>
        <v>5017.9100000000008</v>
      </c>
      <c r="DR29" s="3" t="e">
        <f t="shared" ca="1" si="58"/>
        <v>#NUM!</v>
      </c>
      <c r="DS29" s="3">
        <f t="shared" si="59"/>
        <v>1240.8499999999999</v>
      </c>
      <c r="DT29" s="3">
        <f t="shared" si="60"/>
        <v>-782</v>
      </c>
      <c r="DU29" s="3">
        <f t="shared" si="61"/>
        <v>45885</v>
      </c>
      <c r="DV29" s="3">
        <f t="shared" si="62"/>
        <v>-110</v>
      </c>
      <c r="DW29" s="3">
        <f t="shared" si="23"/>
        <v>-1445</v>
      </c>
      <c r="DX29" s="3" t="e">
        <f t="shared" ca="1" si="24"/>
        <v>#NUM!</v>
      </c>
      <c r="DY29" s="3" t="e">
        <f t="shared" ca="1" si="25"/>
        <v>#NUM!</v>
      </c>
      <c r="DZ29" s="3" t="e">
        <f t="shared" ca="1" si="26"/>
        <v>#NUM!</v>
      </c>
      <c r="EA29" s="3" t="e">
        <f t="shared" ca="1" si="27"/>
        <v>#NUM!</v>
      </c>
      <c r="EB29" s="3" t="e">
        <f t="shared" ca="1" si="28"/>
        <v>#NUM!</v>
      </c>
      <c r="EC29" s="3" t="e">
        <f t="shared" ca="1" si="29"/>
        <v>#NUM!</v>
      </c>
      <c r="EE29" s="59">
        <f t="shared" si="166"/>
        <v>0.25</v>
      </c>
      <c r="EF29" s="59">
        <f t="shared" si="167"/>
        <v>0.71830000000000005</v>
      </c>
      <c r="EG29" s="59">
        <f t="shared" si="168"/>
        <v>0.25</v>
      </c>
      <c r="EH29" s="59">
        <f t="shared" si="169"/>
        <v>0.71830000000000005</v>
      </c>
      <c r="EI29" s="59">
        <f t="shared" si="170"/>
        <v>0.2462</v>
      </c>
      <c r="EJ29" s="59">
        <f t="shared" si="171"/>
        <v>0.25679999999999997</v>
      </c>
      <c r="EL29" s="3" t="str">
        <f>RTD("tos.rtd",,EL$2,"."&amp;$A$2&amp;$AS$1&amp;"C"&amp;$A29)</f>
        <v>--</v>
      </c>
      <c r="EM29" s="3" t="str">
        <f>RTD("tos.rtd",,EM$2,"."&amp;$A$2&amp;$AS$1&amp;"P"&amp;$A29)</f>
        <v>71.83%</v>
      </c>
      <c r="EN29" s="3" t="str">
        <f>RTD("tos.rtd",,EN$2,"."&amp;$A$2&amp;$AU$1&amp;"C"&amp;$A29)</f>
        <v>--</v>
      </c>
      <c r="EO29" s="3" t="str">
        <f>RTD("tos.rtd",,EO$2,"."&amp;$A$2&amp;$AU$1&amp;"P"&amp;$A29)</f>
        <v>71.83%</v>
      </c>
      <c r="EP29" s="3" t="str">
        <f>RTD("tos.rtd",,EP$2,"."&amp;$A$2&amp;$AW$1&amp;"C"&amp;$A29)</f>
        <v>24.62%</v>
      </c>
      <c r="EQ29" s="3" t="str">
        <f>RTD("tos.rtd",,EQ$2,"."&amp;$A$2&amp;$AW$1&amp;"P"&amp;$A29)</f>
        <v>25.68%</v>
      </c>
      <c r="ES29" s="63" t="str">
        <f t="shared" si="64"/>
        <v>557,-1555.00</v>
      </c>
      <c r="ET29" s="63" t="str">
        <f t="shared" ca="1" si="65"/>
        <v>557,00.00</v>
      </c>
      <c r="EU29" s="67">
        <v>562.97</v>
      </c>
      <c r="EV29" s="67" t="s">
        <v>251</v>
      </c>
      <c r="EW29" s="67">
        <v>485.38</v>
      </c>
      <c r="EX29" s="67" t="s">
        <v>252</v>
      </c>
      <c r="EY29" s="67">
        <v>5643.75</v>
      </c>
      <c r="EZ29" s="67" t="s">
        <v>253</v>
      </c>
      <c r="FA29" s="67">
        <v>19940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6"/>
        <v>556</v>
      </c>
      <c r="B30" s="3">
        <f t="shared" si="9"/>
        <v>3994</v>
      </c>
      <c r="C30" s="3">
        <f t="shared" si="10"/>
        <v>7338</v>
      </c>
      <c r="D30" s="3">
        <f t="shared" si="11"/>
        <v>3474</v>
      </c>
      <c r="E30" s="3">
        <f t="shared" si="12"/>
        <v>14806</v>
      </c>
      <c r="F30" s="4">
        <f t="shared" si="13"/>
        <v>5595.4390934844196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-169</v>
      </c>
      <c r="AN30" s="1">
        <v>-1821</v>
      </c>
      <c r="AO30" s="1">
        <v>556</v>
      </c>
      <c r="AP30" s="1">
        <v>572</v>
      </c>
      <c r="AQ30" s="1">
        <v>-80615</v>
      </c>
      <c r="AR30" s="1"/>
      <c r="AS30" s="6">
        <f>IF(RTD("tos.rtd",,AS$2,"."&amp;$A$2&amp;$AS$1&amp;"C"&amp;$A30)="N/A",0,RTD("tos.rtd",,AS$2,"."&amp;$A$2&amp;$AS$1&amp;"C"&amp;$A30))</f>
        <v>630</v>
      </c>
      <c r="AT30" s="7">
        <f>-IF(RTD("tos.rtd",,AT$2,"."&amp;$A$2&amp;$AS$1&amp;"P"&amp;$A30)="N/A",0,RTD("tos.rtd",,AT$2,"."&amp;$A$2&amp;$AS$1&amp;"P"&amp;$A30))</f>
        <v>-3364</v>
      </c>
      <c r="AU30" s="6">
        <f>IF(RTD("tos.rtd",,AU$2,"."&amp;$A$2&amp;$AU$1&amp;"C"&amp;$A30)="N/A",0,RTD("tos.rtd",,AU$2,"."&amp;$A$2&amp;$AU$1&amp;"C"&amp;$A30))</f>
        <v>1662</v>
      </c>
      <c r="AV30" s="7">
        <f>-IF(RTD("tos.rtd",,AV$2,"."&amp;$A$2&amp;$AU$1&amp;"P"&amp;$A30)="N/A",0,RTD("tos.rtd",,AV$2,"."&amp;$A$2&amp;$AU$1&amp;"P"&amp;$A30))</f>
        <v>-5676</v>
      </c>
      <c r="AW30" s="6">
        <f>IF(RTD("tos.rtd",,AW$2,"."&amp;$A$2&amp;$AW$1&amp;"C"&amp;$A30)="N/A",0,RTD("tos.rtd",,AW$2,"."&amp;$A$2&amp;$AW$1&amp;"C"&amp;$A30))</f>
        <v>1594</v>
      </c>
      <c r="AX30" s="7">
        <f>-IF(RTD("tos.rtd",,AX$2,"."&amp;$A$2&amp;$AW$1&amp;"P"&amp;$A30)="N/A",0,RTD("tos.rtd",,AX$2,"."&amp;$A$2&amp;$AW$1&amp;"P"&amp;$A30))</f>
        <v>-1880</v>
      </c>
      <c r="AY30" s="1">
        <f t="shared" si="67"/>
        <v>-7034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0</v>
      </c>
      <c r="BB30" s="7">
        <f>-IF(RTD("tos.rtd",,BB$2,"."&amp;$A$2&amp;$AS$1&amp;"P"&amp;$A30)="N/A",0,RTD("tos.rtd",,BB$2,"."&amp;$A$2&amp;$AS$1&amp;"P"&amp;$A30))</f>
        <v>0</v>
      </c>
      <c r="BC30" s="6">
        <f>IF(RTD("tos.rtd",,BC$2,"."&amp;$A$2&amp;$AU$1&amp;"C"&amp;$A30)="N/A",0,RTD("tos.rtd",,BC$2,"."&amp;$A$2&amp;$AU$1&amp;"C"&amp;$A30))</f>
        <v>628</v>
      </c>
      <c r="BD30" s="7">
        <f>-IF(RTD("tos.rtd",,BD$2,"."&amp;$A$2&amp;$AU$1&amp;"P"&amp;$A30)="N/A",0,RTD("tos.rtd",,BD$2,"."&amp;$A$2&amp;$AU$1&amp;"P"&amp;$A30))</f>
        <v>-34853</v>
      </c>
      <c r="BE30" s="6">
        <f>IF(RTD("tos.rtd",,BE$2,"."&amp;$A$2&amp;$AW$1&amp;"C"&amp;$A30)="N/A",0,RTD("tos.rtd",,BE$2,"."&amp;$A$2&amp;$AW$1&amp;"C"&amp;$A30))</f>
        <v>110</v>
      </c>
      <c r="BF30" s="83">
        <f>-IF(RTD("tos.rtd",,BF$2,"."&amp;$A$2&amp;$AW$1&amp;"P"&amp;$A30)="N/A",0,RTD("tos.rtd",,BF$2,"."&amp;$A$2&amp;$AW$1&amp;"P"&amp;$A30))</f>
        <v>-1634</v>
      </c>
      <c r="BG30" s="32">
        <f ca="1">+Hoja2!Y31</f>
        <v>-2771</v>
      </c>
      <c r="BH30" s="7">
        <f t="shared" ca="1" si="36"/>
        <v>-38520</v>
      </c>
      <c r="BI30" s="8" t="str">
        <f t="shared" ref="BI30" ca="1" si="184">IF(AND(BH30&lt;0,BH29&gt;0), "Cruce -", IF(AND(BH30&gt;0,BH29&lt;0),"Cruce +", ""))</f>
        <v/>
      </c>
      <c r="BJ30" s="3" t="e">
        <f ca="1">IF($BP$1=1,DX30,IF(RTD("tos.rtd",,BJ$2,"."&amp;$A$2&amp;$AS$1&amp;"C"&amp;$A30)="N/A",0,RTD("tos.rtd",,BJ$2,"."&amp;$A$2&amp;$AS$1&amp;"C"&amp;$A30)))</f>
        <v>#NUM!</v>
      </c>
      <c r="BK30" s="3" t="e">
        <f ca="1">IF($BP$1=1,DY30,-IF(RTD("tos.rtd",,BK$2,"."&amp;$A$2&amp;$AS$1&amp;"P"&amp;$A30)="N/A",0,RTD("tos.rtd",,BK$2,"."&amp;$A$2&amp;$AS$1&amp;"P"&amp;$A30)))</f>
        <v>#NUM!</v>
      </c>
      <c r="BL30" s="3" t="e">
        <f ca="1">IF($BP$1=1,DZ30,IF(RTD("tos.rtd",,BL$2,"."&amp;$A$2&amp;$AU$1&amp;"C"&amp;$A30)="N/A",0,RTD("tos.rtd",,BL$2,"."&amp;$A$2&amp;$AU$1&amp;"C"&amp;$A30)))</f>
        <v>#NUM!</v>
      </c>
      <c r="BM30" s="3" t="e">
        <f ca="1">IF($BP$1=1,EA30,-IF(RTD("tos.rtd",,BM$2,"."&amp;$A$2&amp;$AU$1&amp;"P"&amp;$A30)="N/A",0,RTD("tos.rtd",,BM$2,"."&amp;$A$2&amp;$AU$1&amp;"P"&amp;$A30)))</f>
        <v>#NUM!</v>
      </c>
      <c r="BN30" s="3" t="e">
        <f ca="1">IF($BP$1=1,EB30,IF(RTD("tos.rtd",,BN$2,"."&amp;$A$2&amp;$AW$1&amp;"C"&amp;$A30)="N/A",0,RTD("tos.rtd",,BN$2,"."&amp;$A$2&amp;$AW$1&amp;"C"&amp;$A30)))</f>
        <v>#NUM!</v>
      </c>
      <c r="BO30" s="3" t="e">
        <f ca="1">IF($BP$1=1,EC30,-IF(RTD("tos.rtd",,BO$2,"."&amp;$A$2&amp;$AW$1&amp;"P"&amp;$A30)="N/A",0,RTD("tos.rtd",,BO$2,"."&amp;$A$2&amp;$AW$1&amp;"P"&amp;$A30)))</f>
        <v>#NUM!</v>
      </c>
      <c r="BQ30" s="3" t="e">
        <f t="shared" ca="1" si="37"/>
        <v>#NUM!</v>
      </c>
      <c r="BR30" s="3" t="e">
        <f t="shared" ca="1" si="69"/>
        <v>#NUM!</v>
      </c>
      <c r="BS30" s="3" t="e">
        <f t="shared" ca="1" si="38"/>
        <v>#NUM!</v>
      </c>
      <c r="BT30" s="3" t="e">
        <f t="shared" ca="1" si="69"/>
        <v>#NUM!</v>
      </c>
      <c r="BU30" s="3" t="e">
        <f t="shared" ca="1" si="39"/>
        <v>#NUM!</v>
      </c>
      <c r="BV30" s="3" t="e">
        <f t="shared" ref="BV30" ca="1" si="185">IF(AND(BU30&lt;0,BU29&gt;0), "Cruce -", IF(AND(BU30&gt;0,BU29&lt;0),"Cruce +", ""))</f>
        <v>#NUM!</v>
      </c>
      <c r="BX30" s="3" t="e">
        <f t="shared" ca="1" si="40"/>
        <v>#NUM!</v>
      </c>
      <c r="BY30" s="3" t="e">
        <f t="shared" ca="1" si="71"/>
        <v>#NUM!</v>
      </c>
      <c r="BZ30" s="3" t="e">
        <f t="shared" ca="1" si="41"/>
        <v>#NUM!</v>
      </c>
      <c r="CA30" s="3" t="e">
        <f t="shared" ca="1" si="72"/>
        <v>#NUM!</v>
      </c>
      <c r="CB30" s="3" t="e">
        <f t="shared" ca="1" si="42"/>
        <v>#NUM!</v>
      </c>
      <c r="CC30" s="3" t="e">
        <f t="shared" ca="1" si="73"/>
        <v>#NUM!</v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1</v>
      </c>
      <c r="CG30" s="3">
        <f>-IF(RTD("tos.rtd",,CG$2,"."&amp;$A$2&amp;$AU$1&amp;"P"&amp;$A30)="N/A",0,RTD("tos.rtd",,CG$2,"."&amp;$A$2&amp;$AU$1&amp;"P"&amp;$A30))</f>
        <v>0</v>
      </c>
      <c r="CH30" s="3">
        <f>IF(RTD("tos.rtd",,CH$2,"."&amp;$A$2&amp;$AW$1&amp;"C"&amp;$A30)="N/A",0,RTD("tos.rtd",,CH$2,"."&amp;$A$2&amp;$AW$1&amp;"C"&amp;$A30))</f>
        <v>0.72</v>
      </c>
      <c r="CI30" s="3">
        <f>-IF(RTD("tos.rtd",,CI$2,"."&amp;$A$2&amp;$AW$1&amp;"P"&amp;$A30)="N/A",0,RTD("tos.rtd",,CI$2,"."&amp;$A$2&amp;$AW$1&amp;"P"&amp;$A30))</f>
        <v>0.28999999999999998</v>
      </c>
      <c r="CK30" s="3">
        <f t="shared" si="17"/>
        <v>63000</v>
      </c>
      <c r="CL30" s="3"/>
      <c r="CM30" s="3">
        <f t="shared" si="18"/>
        <v>166200</v>
      </c>
      <c r="CN30" s="3"/>
      <c r="CO30" s="3">
        <f t="shared" si="19"/>
        <v>60248.000000000007</v>
      </c>
      <c r="CP30" s="3">
        <f t="shared" si="43"/>
        <v>289448</v>
      </c>
      <c r="CQ30" s="3">
        <f t="shared" si="44"/>
        <v>0</v>
      </c>
      <c r="CR30" s="3"/>
      <c r="CS30" s="3">
        <f t="shared" si="20"/>
        <v>-34225</v>
      </c>
      <c r="CT30" s="3"/>
      <c r="CU30" s="3">
        <f t="shared" si="21"/>
        <v>-1524</v>
      </c>
      <c r="CV30" s="3">
        <f t="shared" si="45"/>
        <v>-35749</v>
      </c>
      <c r="CW30" s="3" t="e">
        <f t="shared" ca="1" si="46"/>
        <v>#NUM!</v>
      </c>
      <c r="CX30" s="85" t="e">
        <f t="shared" ca="1" si="74"/>
        <v>#NUM!</v>
      </c>
      <c r="CY30" s="3" t="e">
        <f t="shared" ca="1" si="47"/>
        <v>#NUM!</v>
      </c>
      <c r="CZ30" s="85" t="e">
        <f t="shared" ca="1" si="75"/>
        <v>#NUM!</v>
      </c>
      <c r="DA30" s="3">
        <f>IF(RTD("tos.rtd",,DA$2,"."&amp;$A$2&amp;$AS$1&amp;"C"&amp;$A30)="N/A",0,RTD("tos.rtd",,DA$2,"."&amp;$A$2&amp;$AS$1&amp;"C"&amp;$A30))</f>
        <v>6.98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8.07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6.19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-8.7999999999999545</v>
      </c>
      <c r="DH30" s="3">
        <f t="shared" si="22"/>
        <v>-240.36170212765958</v>
      </c>
      <c r="DI30" s="3">
        <f t="shared" si="49"/>
        <v>80615</v>
      </c>
      <c r="DJ30" s="3">
        <f t="shared" si="50"/>
        <v>0</v>
      </c>
      <c r="DK30" s="3">
        <f t="shared" si="51"/>
        <v>80615</v>
      </c>
      <c r="DL30" s="3">
        <f t="shared" si="52"/>
        <v>80374.638297872341</v>
      </c>
      <c r="DM30" s="3">
        <f t="shared" si="53"/>
        <v>80615</v>
      </c>
      <c r="DN30" s="63" t="str">
        <f t="shared" si="54"/>
        <v>UNKNOWN</v>
      </c>
      <c r="DO30" s="63" t="str">
        <f t="shared" si="55"/>
        <v>UNKNOWN</v>
      </c>
      <c r="DP30" s="3">
        <f t="shared" si="56"/>
        <v>-871.57468085106404</v>
      </c>
      <c r="DQ30" s="3">
        <f t="shared" si="57"/>
        <v>806.15</v>
      </c>
      <c r="DR30" s="3" t="e">
        <f t="shared" ca="1" si="58"/>
        <v>#NUM!</v>
      </c>
      <c r="DS30" s="3">
        <f t="shared" si="59"/>
        <v>0</v>
      </c>
      <c r="DT30" s="3">
        <f t="shared" si="60"/>
        <v>-572</v>
      </c>
      <c r="DU30" s="3">
        <f t="shared" si="61"/>
        <v>80615</v>
      </c>
      <c r="DV30" s="3">
        <f t="shared" si="62"/>
        <v>-169</v>
      </c>
      <c r="DW30" s="3">
        <f t="shared" si="23"/>
        <v>-1821</v>
      </c>
      <c r="DX30" s="3" t="e">
        <f t="shared" ca="1" si="24"/>
        <v>#NUM!</v>
      </c>
      <c r="DY30" s="3" t="e">
        <f t="shared" ca="1" si="25"/>
        <v>#NUM!</v>
      </c>
      <c r="DZ30" s="3" t="e">
        <f t="shared" ca="1" si="26"/>
        <v>#NUM!</v>
      </c>
      <c r="EA30" s="3" t="e">
        <f t="shared" ca="1" si="27"/>
        <v>#NUM!</v>
      </c>
      <c r="EB30" s="3" t="e">
        <f t="shared" ca="1" si="28"/>
        <v>#NUM!</v>
      </c>
      <c r="EC30" s="3" t="e">
        <f t="shared" ca="1" si="29"/>
        <v>#NUM!</v>
      </c>
      <c r="EE30" s="59">
        <f t="shared" si="63"/>
        <v>0.25</v>
      </c>
      <c r="EF30" s="59">
        <f t="shared" si="30"/>
        <v>0.80049999999999999</v>
      </c>
      <c r="EG30" s="59">
        <f t="shared" si="31"/>
        <v>0.25</v>
      </c>
      <c r="EH30" s="59">
        <f t="shared" si="32"/>
        <v>0.80049999999999999</v>
      </c>
      <c r="EI30" s="59">
        <f t="shared" si="33"/>
        <v>0.2475</v>
      </c>
      <c r="EJ30" s="59">
        <f t="shared" si="34"/>
        <v>0.25800000000000001</v>
      </c>
      <c r="EL30" s="3" t="str">
        <f>RTD("tos.rtd",,EL$2,"."&amp;$A$2&amp;$AS$1&amp;"C"&amp;$A30)</f>
        <v>--</v>
      </c>
      <c r="EM30" s="3" t="str">
        <f>RTD("tos.rtd",,EM$2,"."&amp;$A$2&amp;$AS$1&amp;"P"&amp;$A30)</f>
        <v>80.05%</v>
      </c>
      <c r="EN30" s="3" t="str">
        <f>RTD("tos.rtd",,EN$2,"."&amp;$A$2&amp;$AU$1&amp;"C"&amp;$A30)</f>
        <v>--</v>
      </c>
      <c r="EO30" s="3" t="str">
        <f>RTD("tos.rtd",,EO$2,"."&amp;$A$2&amp;$AU$1&amp;"P"&amp;$A30)</f>
        <v>80.05%</v>
      </c>
      <c r="EP30" s="3" t="str">
        <f>RTD("tos.rtd",,EP$2,"."&amp;$A$2&amp;$AW$1&amp;"C"&amp;$A30)</f>
        <v>24.75%</v>
      </c>
      <c r="EQ30" s="3" t="str">
        <f>RTD("tos.rtd",,EQ$2,"."&amp;$A$2&amp;$AW$1&amp;"P"&amp;$A30)</f>
        <v>25.80%</v>
      </c>
      <c r="ES30" s="63" t="str">
        <f t="shared" si="64"/>
        <v>556,-1990.00</v>
      </c>
      <c r="ET30" s="63" t="str">
        <f t="shared" ca="1" si="65"/>
        <v>556,00.00</v>
      </c>
      <c r="EU30" s="67">
        <v>562.99</v>
      </c>
      <c r="EV30" s="67" t="s">
        <v>259</v>
      </c>
      <c r="EW30" s="67">
        <v>485.37</v>
      </c>
      <c r="EX30" s="67" t="s">
        <v>260</v>
      </c>
      <c r="EY30" s="67">
        <v>5643.75</v>
      </c>
      <c r="EZ30" s="67" t="s">
        <v>261</v>
      </c>
      <c r="FA30" s="67">
        <v>19939.25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6"/>
        <v>555</v>
      </c>
      <c r="B31" s="3">
        <f t="shared" si="9"/>
        <v>11444</v>
      </c>
      <c r="C31" s="3">
        <f t="shared" si="10"/>
        <v>28958</v>
      </c>
      <c r="D31" s="3">
        <f t="shared" si="11"/>
        <v>75836</v>
      </c>
      <c r="E31" s="3">
        <f t="shared" si="12"/>
        <v>116238</v>
      </c>
      <c r="F31" s="4">
        <f t="shared" si="13"/>
        <v>5585.3753541076485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374</v>
      </c>
      <c r="AN31" s="1">
        <v>-6477</v>
      </c>
      <c r="AO31" s="1">
        <v>555</v>
      </c>
      <c r="AP31" s="1">
        <v>2049</v>
      </c>
      <c r="AQ31" s="1">
        <v>-43017</v>
      </c>
      <c r="AR31" s="1"/>
      <c r="AS31" s="6">
        <f>IF(RTD("tos.rtd",,AS$2,"."&amp;$A$2&amp;$AS$1&amp;"C"&amp;$A31)="N/A",0,RTD("tos.rtd",,AS$2,"."&amp;$A$2&amp;$AS$1&amp;"C"&amp;$A31))</f>
        <v>2036</v>
      </c>
      <c r="AT31" s="7">
        <f>-IF(RTD("tos.rtd",,AT$2,"."&amp;$A$2&amp;$AS$1&amp;"P"&amp;$A31)="N/A",0,RTD("tos.rtd",,AT$2,"."&amp;$A$2&amp;$AS$1&amp;"P"&amp;$A31))</f>
        <v>-9408</v>
      </c>
      <c r="AU31" s="6">
        <f>IF(RTD("tos.rtd",,AU$2,"."&amp;$A$2&amp;$AU$1&amp;"C"&amp;$A31)="N/A",0,RTD("tos.rtd",,AU$2,"."&amp;$A$2&amp;$AU$1&amp;"C"&amp;$A31))</f>
        <v>9529</v>
      </c>
      <c r="AV31" s="7">
        <f>-IF(RTD("tos.rtd",,AV$2,"."&amp;$A$2&amp;$AU$1&amp;"P"&amp;$A31)="N/A",0,RTD("tos.rtd",,AV$2,"."&amp;$A$2&amp;$AU$1&amp;"P"&amp;$A31))</f>
        <v>-19429</v>
      </c>
      <c r="AW31" s="6">
        <f>IF(RTD("tos.rtd",,AW$2,"."&amp;$A$2&amp;$AW$1&amp;"C"&amp;$A31)="N/A",0,RTD("tos.rtd",,AW$2,"."&amp;$A$2&amp;$AW$1&amp;"C"&amp;$A31))</f>
        <v>9058</v>
      </c>
      <c r="AX31" s="7">
        <f>-IF(RTD("tos.rtd",,AX$2,"."&amp;$A$2&amp;$AW$1&amp;"P"&amp;$A31)="N/A",0,RTD("tos.rtd",,AX$2,"."&amp;$A$2&amp;$AW$1&amp;"P"&amp;$A31))</f>
        <v>-66778</v>
      </c>
      <c r="AY31" s="1">
        <f t="shared" si="67"/>
        <v>-74992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0</v>
      </c>
      <c r="BB31" s="7">
        <f>-IF(RTD("tos.rtd",,BB$2,"."&amp;$A$2&amp;$AS$1&amp;"P"&amp;$A31)="N/A",0,RTD("tos.rtd",,BB$2,"."&amp;$A$2&amp;$AS$1&amp;"P"&amp;$A31))</f>
        <v>0</v>
      </c>
      <c r="BC31" s="6">
        <f>IF(RTD("tos.rtd",,BC$2,"."&amp;$A$2&amp;$AU$1&amp;"C"&amp;$A31)="N/A",0,RTD("tos.rtd",,BC$2,"."&amp;$A$2&amp;$AU$1&amp;"C"&amp;$A31))</f>
        <v>1732</v>
      </c>
      <c r="BD31" s="7">
        <f>-IF(RTD("tos.rtd",,BD$2,"."&amp;$A$2&amp;$AU$1&amp;"P"&amp;$A31)="N/A",0,RTD("tos.rtd",,BD$2,"."&amp;$A$2&amp;$AU$1&amp;"P"&amp;$A31))</f>
        <v>-50982</v>
      </c>
      <c r="BE31" s="6">
        <f>IF(RTD("tos.rtd",,BE$2,"."&amp;$A$2&amp;$AW$1&amp;"C"&amp;$A31)="N/A",0,RTD("tos.rtd",,BE$2,"."&amp;$A$2&amp;$AW$1&amp;"C"&amp;$A31))</f>
        <v>703</v>
      </c>
      <c r="BF31" s="83">
        <f>-IF(RTD("tos.rtd",,BF$2,"."&amp;$A$2&amp;$AW$1&amp;"P"&amp;$A31)="N/A",0,RTD("tos.rtd",,BF$2,"."&amp;$A$2&amp;$AW$1&amp;"P"&amp;$A31))</f>
        <v>-14321</v>
      </c>
      <c r="BG31" s="32">
        <f ca="1">+Hoja2!Y32</f>
        <v>-11152</v>
      </c>
      <c r="BH31" s="7">
        <f t="shared" ca="1" si="36"/>
        <v>-74020</v>
      </c>
      <c r="BI31" s="8" t="str">
        <f t="shared" ref="BI31" ca="1" si="186">IF(AND(BH31&lt;0,BH30&gt;0), "Cruce -", IF(AND(BH31&gt;0,BH30&lt;0),"Cruce +", ""))</f>
        <v/>
      </c>
      <c r="BJ31" s="3" t="e">
        <f ca="1">IF($BP$1=1,DX31,IF(RTD("tos.rtd",,BJ$2,"."&amp;$A$2&amp;$AS$1&amp;"C"&amp;$A31)="N/A",0,RTD("tos.rtd",,BJ$2,"."&amp;$A$2&amp;$AS$1&amp;"C"&amp;$A31)))</f>
        <v>#NUM!</v>
      </c>
      <c r="BK31" s="3" t="e">
        <f ca="1">IF($BP$1=1,DY31,-IF(RTD("tos.rtd",,BK$2,"."&amp;$A$2&amp;$AS$1&amp;"P"&amp;$A31)="N/A",0,RTD("tos.rtd",,BK$2,"."&amp;$A$2&amp;$AS$1&amp;"P"&amp;$A31)))</f>
        <v>#NUM!</v>
      </c>
      <c r="BL31" s="3" t="e">
        <f ca="1">IF($BP$1=1,DZ31,IF(RTD("tos.rtd",,BL$2,"."&amp;$A$2&amp;$AU$1&amp;"C"&amp;$A31)="N/A",0,RTD("tos.rtd",,BL$2,"."&amp;$A$2&amp;$AU$1&amp;"C"&amp;$A31)))</f>
        <v>#NUM!</v>
      </c>
      <c r="BM31" s="3" t="e">
        <f ca="1">IF($BP$1=1,EA31,-IF(RTD("tos.rtd",,BM$2,"."&amp;$A$2&amp;$AU$1&amp;"P"&amp;$A31)="N/A",0,RTD("tos.rtd",,BM$2,"."&amp;$A$2&amp;$AU$1&amp;"P"&amp;$A31)))</f>
        <v>#NUM!</v>
      </c>
      <c r="BN31" s="3" t="e">
        <f ca="1">IF($BP$1=1,EB31,IF(RTD("tos.rtd",,BN$2,"."&amp;$A$2&amp;$AW$1&amp;"C"&amp;$A31)="N/A",0,RTD("tos.rtd",,BN$2,"."&amp;$A$2&amp;$AW$1&amp;"C"&amp;$A31)))</f>
        <v>#NUM!</v>
      </c>
      <c r="BO31" s="3" t="e">
        <f ca="1">IF($BP$1=1,EC31,-IF(RTD("tos.rtd",,BO$2,"."&amp;$A$2&amp;$AW$1&amp;"P"&amp;$A31)="N/A",0,RTD("tos.rtd",,BO$2,"."&amp;$A$2&amp;$AW$1&amp;"P"&amp;$A31)))</f>
        <v>#NUM!</v>
      </c>
      <c r="BQ31" s="3" t="e">
        <f t="shared" ca="1" si="37"/>
        <v>#NUM!</v>
      </c>
      <c r="BR31" s="3" t="e">
        <f t="shared" ca="1" si="69"/>
        <v>#NUM!</v>
      </c>
      <c r="BS31" s="3" t="e">
        <f t="shared" ca="1" si="38"/>
        <v>#NUM!</v>
      </c>
      <c r="BT31" s="3" t="e">
        <f t="shared" ca="1" si="69"/>
        <v>#NUM!</v>
      </c>
      <c r="BU31" s="3" t="e">
        <f t="shared" ca="1" si="39"/>
        <v>#NUM!</v>
      </c>
      <c r="BV31" s="3" t="e">
        <f t="shared" ref="BV31" ca="1" si="187">IF(AND(BU31&lt;0,BU30&gt;0), "Cruce -", IF(AND(BU31&gt;0,BU30&lt;0),"Cruce +", ""))</f>
        <v>#NUM!</v>
      </c>
      <c r="BX31" s="3" t="e">
        <f t="shared" ca="1" si="40"/>
        <v>#NUM!</v>
      </c>
      <c r="BY31" s="3" t="e">
        <f t="shared" ca="1" si="71"/>
        <v>#NUM!</v>
      </c>
      <c r="BZ31" s="3" t="e">
        <f t="shared" ca="1" si="41"/>
        <v>#NUM!</v>
      </c>
      <c r="CA31" s="3" t="e">
        <f t="shared" ca="1" si="72"/>
        <v>#NUM!</v>
      </c>
      <c r="CB31" s="3" t="e">
        <f t="shared" ca="1" si="42"/>
        <v>#NUM!</v>
      </c>
      <c r="CC31" s="3" t="e">
        <f t="shared" ca="1" si="73"/>
        <v>#NUM!</v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1</v>
      </c>
      <c r="CG31" s="3">
        <f>-IF(RTD("tos.rtd",,CG$2,"."&amp;$A$2&amp;$AU$1&amp;"P"&amp;$A31)="N/A",0,RTD("tos.rtd",,CG$2,"."&amp;$A$2&amp;$AU$1&amp;"P"&amp;$A31))</f>
        <v>0</v>
      </c>
      <c r="CH31" s="3">
        <f>IF(RTD("tos.rtd",,CH$2,"."&amp;$A$2&amp;$AW$1&amp;"C"&amp;$A31)="N/A",0,RTD("tos.rtd",,CH$2,"."&amp;$A$2&amp;$AW$1&amp;"C"&amp;$A31))</f>
        <v>0.74</v>
      </c>
      <c r="CI31" s="3">
        <f>-IF(RTD("tos.rtd",,CI$2,"."&amp;$A$2&amp;$AW$1&amp;"P"&amp;$A31)="N/A",0,RTD("tos.rtd",,CI$2,"."&amp;$A$2&amp;$AW$1&amp;"P"&amp;$A31))</f>
        <v>0.27</v>
      </c>
      <c r="CK31" s="3">
        <f t="shared" si="17"/>
        <v>203600</v>
      </c>
      <c r="CL31" s="3"/>
      <c r="CM31" s="3">
        <f t="shared" si="18"/>
        <v>952900</v>
      </c>
      <c r="CN31" s="3"/>
      <c r="CO31" s="3">
        <f t="shared" si="19"/>
        <v>-1132714.0000000002</v>
      </c>
      <c r="CP31" s="3">
        <f t="shared" si="43"/>
        <v>23785.999999999767</v>
      </c>
      <c r="CQ31" s="3">
        <f t="shared" si="44"/>
        <v>0</v>
      </c>
      <c r="CR31" s="3"/>
      <c r="CS31" s="3">
        <f t="shared" si="20"/>
        <v>-49250</v>
      </c>
      <c r="CT31" s="3"/>
      <c r="CU31" s="3">
        <f t="shared" si="21"/>
        <v>-13618</v>
      </c>
      <c r="CV31" s="3">
        <f t="shared" si="45"/>
        <v>-62868</v>
      </c>
      <c r="CW31" s="3" t="e">
        <f t="shared" ca="1" si="46"/>
        <v>#NUM!</v>
      </c>
      <c r="CX31" s="85" t="e">
        <f t="shared" ca="1" si="74"/>
        <v>#NUM!</v>
      </c>
      <c r="CY31" s="3" t="e">
        <f t="shared" ca="1" si="47"/>
        <v>#NUM!</v>
      </c>
      <c r="CZ31" s="85" t="e">
        <f t="shared" ca="1" si="75"/>
        <v>#NUM!</v>
      </c>
      <c r="DA31" s="3">
        <f>IF(RTD("tos.rtd",,DA$2,"."&amp;$A$2&amp;$AS$1&amp;"C"&amp;$A31)="N/A",0,RTD("tos.rtd",,DA$2,"."&amp;$A$2&amp;$AS$1&amp;"C"&amp;$A31))</f>
        <v>8</v>
      </c>
      <c r="DB31" s="3">
        <f>IF(RTD("tos.rtd",,DB$2,"."&amp;$A$2&amp;$AS$1&amp;"P"&amp;$A31)="N/A",0,RTD("tos.rtd",,DB$2,"."&amp;$A$2&amp;$AS$1&amp;"P"&amp;$A31))</f>
        <v>0.05</v>
      </c>
      <c r="DC31" s="3">
        <f>IF(RTD("tos.rtd",,DC$2,"."&amp;$A$2&amp;$AS$1&amp;"C"&amp;$A31)="N/A",0,RTD("tos.rtd",,DC$2,"."&amp;$A$2&amp;$AS$1&amp;"C"&amp;$A31))</f>
        <v>9.07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7.19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-9.7999999999999545</v>
      </c>
      <c r="DH31" s="3">
        <f t="shared" si="22"/>
        <v>-882.81382978723366</v>
      </c>
      <c r="DI31" s="3">
        <f t="shared" si="49"/>
        <v>215085</v>
      </c>
      <c r="DJ31" s="3">
        <f t="shared" si="50"/>
        <v>0</v>
      </c>
      <c r="DK31" s="3">
        <f t="shared" si="51"/>
        <v>43017</v>
      </c>
      <c r="DL31" s="3">
        <f t="shared" si="52"/>
        <v>214202.18617021278</v>
      </c>
      <c r="DM31" s="3">
        <f t="shared" si="53"/>
        <v>43017</v>
      </c>
      <c r="DN31" s="63" t="str">
        <f t="shared" si="54"/>
        <v>UNKNOWN</v>
      </c>
      <c r="DO31" s="63" t="str">
        <f t="shared" si="55"/>
        <v>UNKNOWN</v>
      </c>
      <c r="DP31" s="3">
        <f t="shared" si="56"/>
        <v>3691.7393617021307</v>
      </c>
      <c r="DQ31" s="3">
        <f t="shared" si="57"/>
        <v>2150.85</v>
      </c>
      <c r="DR31" s="3" t="e">
        <f t="shared" ca="1" si="58"/>
        <v>#NUM!</v>
      </c>
      <c r="DS31" s="3">
        <f t="shared" si="59"/>
        <v>0</v>
      </c>
      <c r="DT31" s="3">
        <f t="shared" si="60"/>
        <v>-2049</v>
      </c>
      <c r="DU31" s="3">
        <f t="shared" si="61"/>
        <v>43017</v>
      </c>
      <c r="DV31" s="3">
        <f t="shared" si="62"/>
        <v>374</v>
      </c>
      <c r="DW31" s="3">
        <f t="shared" si="23"/>
        <v>-6477</v>
      </c>
      <c r="DX31" s="3" t="e">
        <f t="shared" ca="1" si="24"/>
        <v>#NUM!</v>
      </c>
      <c r="DY31" s="3" t="e">
        <f t="shared" ca="1" si="25"/>
        <v>#NUM!</v>
      </c>
      <c r="DZ31" s="3" t="e">
        <f t="shared" ca="1" si="26"/>
        <v>#NUM!</v>
      </c>
      <c r="EA31" s="3" t="e">
        <f t="shared" ca="1" si="27"/>
        <v>#NUM!</v>
      </c>
      <c r="EB31" s="3" t="e">
        <f t="shared" ca="1" si="28"/>
        <v>#NUM!</v>
      </c>
      <c r="EC31" s="3" t="e">
        <f t="shared" ca="1" si="29"/>
        <v>#NUM!</v>
      </c>
      <c r="EE31" s="59">
        <f t="shared" si="63"/>
        <v>0.25</v>
      </c>
      <c r="EF31" s="59">
        <f t="shared" si="30"/>
        <v>0.8821</v>
      </c>
      <c r="EG31" s="59">
        <f t="shared" si="31"/>
        <v>0.25</v>
      </c>
      <c r="EH31" s="59">
        <f t="shared" si="32"/>
        <v>0.8821</v>
      </c>
      <c r="EI31" s="59">
        <f t="shared" si="33"/>
        <v>0.2487</v>
      </c>
      <c r="EJ31" s="59">
        <f t="shared" si="34"/>
        <v>0.25940000000000002</v>
      </c>
      <c r="EL31" s="3" t="str">
        <f>RTD("tos.rtd",,EL$2,"."&amp;$A$2&amp;$AS$1&amp;"C"&amp;$A31)</f>
        <v>--</v>
      </c>
      <c r="EM31" s="3" t="str">
        <f>RTD("tos.rtd",,EM$2,"."&amp;$A$2&amp;$AS$1&amp;"P"&amp;$A31)</f>
        <v>88.21%</v>
      </c>
      <c r="EN31" s="3" t="str">
        <f>RTD("tos.rtd",,EN$2,"."&amp;$A$2&amp;$AU$1&amp;"C"&amp;$A31)</f>
        <v>--</v>
      </c>
      <c r="EO31" s="3" t="str">
        <f>RTD("tos.rtd",,EO$2,"."&amp;$A$2&amp;$AU$1&amp;"P"&amp;$A31)</f>
        <v>88.21%</v>
      </c>
      <c r="EP31" s="3" t="str">
        <f>RTD("tos.rtd",,EP$2,"."&amp;$A$2&amp;$AW$1&amp;"C"&amp;$A31)</f>
        <v>24.87%</v>
      </c>
      <c r="EQ31" s="3" t="str">
        <f>RTD("tos.rtd",,EQ$2,"."&amp;$A$2&amp;$AW$1&amp;"P"&amp;$A31)</f>
        <v>25.94%</v>
      </c>
      <c r="ES31" s="63" t="str">
        <f t="shared" si="64"/>
        <v>555,-6103.00</v>
      </c>
      <c r="ET31" s="63" t="str">
        <f t="shared" ca="1" si="65"/>
        <v>555,00.00</v>
      </c>
      <c r="EU31" s="67">
        <v>563.03</v>
      </c>
      <c r="EV31" s="67" t="s">
        <v>267</v>
      </c>
      <c r="EW31" s="67">
        <v>485.4</v>
      </c>
      <c r="EX31" s="67" t="s">
        <v>268</v>
      </c>
      <c r="EY31" s="67">
        <v>5644.25</v>
      </c>
      <c r="EZ31" s="67" t="s">
        <v>269</v>
      </c>
      <c r="FA31" s="67">
        <v>19941.25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6"/>
        <v>554</v>
      </c>
      <c r="B32" s="3">
        <f t="shared" si="9"/>
        <v>4928</v>
      </c>
      <c r="C32" s="3">
        <f t="shared" si="10"/>
        <v>8820</v>
      </c>
      <c r="D32" s="3">
        <f t="shared" si="11"/>
        <v>4652</v>
      </c>
      <c r="E32" s="3">
        <f t="shared" si="12"/>
        <v>18400</v>
      </c>
      <c r="F32" s="4">
        <f t="shared" si="13"/>
        <v>5575.3116147308783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94</v>
      </c>
      <c r="AN32" s="1">
        <v>2217</v>
      </c>
      <c r="AO32" s="1">
        <v>554</v>
      </c>
      <c r="AP32" s="1">
        <v>357</v>
      </c>
      <c r="AQ32" s="1">
        <v>-14323</v>
      </c>
      <c r="AR32" s="1"/>
      <c r="AS32" s="6">
        <f>IF(RTD("tos.rtd",,AS$2,"."&amp;$A$2&amp;$AS$1&amp;"C"&amp;$A32)="N/A",0,RTD("tos.rtd",,AS$2,"."&amp;$A$2&amp;$AS$1&amp;"C"&amp;$A32))</f>
        <v>652</v>
      </c>
      <c r="AT32" s="7">
        <f>-IF(RTD("tos.rtd",,AT$2,"."&amp;$A$2&amp;$AS$1&amp;"P"&amp;$A32)="N/A",0,RTD("tos.rtd",,AT$2,"."&amp;$A$2&amp;$AS$1&amp;"P"&amp;$A32))</f>
        <v>-4276</v>
      </c>
      <c r="AU32" s="6">
        <f>IF(RTD("tos.rtd",,AU$2,"."&amp;$A$2&amp;$AU$1&amp;"C"&amp;$A32)="N/A",0,RTD("tos.rtd",,AU$2,"."&amp;$A$2&amp;$AU$1&amp;"C"&amp;$A32))</f>
        <v>762</v>
      </c>
      <c r="AV32" s="7">
        <f>-IF(RTD("tos.rtd",,AV$2,"."&amp;$A$2&amp;$AU$1&amp;"P"&amp;$A32)="N/A",0,RTD("tos.rtd",,AV$2,"."&amp;$A$2&amp;$AU$1&amp;"P"&amp;$A32))</f>
        <v>-8058</v>
      </c>
      <c r="AW32" s="6">
        <f>IF(RTD("tos.rtd",,AW$2,"."&amp;$A$2&amp;$AW$1&amp;"C"&amp;$A32)="N/A",0,RTD("tos.rtd",,AW$2,"."&amp;$A$2&amp;$AW$1&amp;"C"&amp;$A32))</f>
        <v>2061</v>
      </c>
      <c r="AX32" s="7">
        <f>-IF(RTD("tos.rtd",,AX$2,"."&amp;$A$2&amp;$AW$1&amp;"P"&amp;$A32)="N/A",0,RTD("tos.rtd",,AX$2,"."&amp;$A$2&amp;$AW$1&amp;"P"&amp;$A32))</f>
        <v>-2591</v>
      </c>
      <c r="AY32" s="1">
        <f t="shared" si="67"/>
        <v>-11450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0</v>
      </c>
      <c r="BB32" s="7">
        <f>-IF(RTD("tos.rtd",,BB$2,"."&amp;$A$2&amp;$AS$1&amp;"P"&amp;$A32)="N/A",0,RTD("tos.rtd",,BB$2,"."&amp;$A$2&amp;$AS$1&amp;"P"&amp;$A32))</f>
        <v>0</v>
      </c>
      <c r="BC32" s="6">
        <f>IF(RTD("tos.rtd",,BC$2,"."&amp;$A$2&amp;$AU$1&amp;"C"&amp;$A32)="N/A",0,RTD("tos.rtd",,BC$2,"."&amp;$A$2&amp;$AU$1&amp;"C"&amp;$A32))</f>
        <v>853</v>
      </c>
      <c r="BD32" s="7">
        <f>-IF(RTD("tos.rtd",,BD$2,"."&amp;$A$2&amp;$AU$1&amp;"P"&amp;$A32)="N/A",0,RTD("tos.rtd",,BD$2,"."&amp;$A$2&amp;$AU$1&amp;"P"&amp;$A32))</f>
        <v>-21468</v>
      </c>
      <c r="BE32" s="6">
        <f>IF(RTD("tos.rtd",,BE$2,"."&amp;$A$2&amp;$AW$1&amp;"C"&amp;$A32)="N/A",0,RTD("tos.rtd",,BE$2,"."&amp;$A$2&amp;$AW$1&amp;"C"&amp;$A32))</f>
        <v>130</v>
      </c>
      <c r="BF32" s="83">
        <f>-IF(RTD("tos.rtd",,BF$2,"."&amp;$A$2&amp;$AW$1&amp;"P"&amp;$A32)="N/A",0,RTD("tos.rtd",,BF$2,"."&amp;$A$2&amp;$AW$1&amp;"P"&amp;$A32))</f>
        <v>-2238</v>
      </c>
      <c r="BG32" s="32">
        <f ca="1">+Hoja2!Y33</f>
        <v>-1501</v>
      </c>
      <c r="BH32" s="7">
        <f t="shared" ca="1" si="36"/>
        <v>-24224</v>
      </c>
      <c r="BI32" s="8" t="str">
        <f t="shared" ref="BI32" ca="1" si="188">IF(AND(BH32&lt;0,BH31&gt;0), "Cruce -", IF(AND(BH32&gt;0,BH31&lt;0),"Cruce +", ""))</f>
        <v/>
      </c>
      <c r="BJ32" s="3" t="e">
        <f ca="1">IF($BP$1=1,DX32,IF(RTD("tos.rtd",,BJ$2,"."&amp;$A$2&amp;$AS$1&amp;"C"&amp;$A32)="N/A",0,RTD("tos.rtd",,BJ$2,"."&amp;$A$2&amp;$AS$1&amp;"C"&amp;$A32)))</f>
        <v>#NUM!</v>
      </c>
      <c r="BK32" s="3" t="e">
        <f ca="1">IF($BP$1=1,DY32,-IF(RTD("tos.rtd",,BK$2,"."&amp;$A$2&amp;$AS$1&amp;"P"&amp;$A32)="N/A",0,RTD("tos.rtd",,BK$2,"."&amp;$A$2&amp;$AS$1&amp;"P"&amp;$A32)))</f>
        <v>#NUM!</v>
      </c>
      <c r="BL32" s="3" t="e">
        <f ca="1">IF($BP$1=1,DZ32,IF(RTD("tos.rtd",,BL$2,"."&amp;$A$2&amp;$AU$1&amp;"C"&amp;$A32)="N/A",0,RTD("tos.rtd",,BL$2,"."&amp;$A$2&amp;$AU$1&amp;"C"&amp;$A32)))</f>
        <v>#NUM!</v>
      </c>
      <c r="BM32" s="3" t="e">
        <f ca="1">IF($BP$1=1,EA32,-IF(RTD("tos.rtd",,BM$2,"."&amp;$A$2&amp;$AU$1&amp;"P"&amp;$A32)="N/A",0,RTD("tos.rtd",,BM$2,"."&amp;$A$2&amp;$AU$1&amp;"P"&amp;$A32)))</f>
        <v>#NUM!</v>
      </c>
      <c r="BN32" s="3" t="e">
        <f ca="1">IF($BP$1=1,EB32,IF(RTD("tos.rtd",,BN$2,"."&amp;$A$2&amp;$AW$1&amp;"C"&amp;$A32)="N/A",0,RTD("tos.rtd",,BN$2,"."&amp;$A$2&amp;$AW$1&amp;"C"&amp;$A32)))</f>
        <v>#NUM!</v>
      </c>
      <c r="BO32" s="3" t="e">
        <f ca="1">IF($BP$1=1,EC32,-IF(RTD("tos.rtd",,BO$2,"."&amp;$A$2&amp;$AW$1&amp;"P"&amp;$A32)="N/A",0,RTD("tos.rtd",,BO$2,"."&amp;$A$2&amp;$AW$1&amp;"P"&amp;$A32)))</f>
        <v>#NUM!</v>
      </c>
      <c r="BQ32" s="3" t="e">
        <f t="shared" ca="1" si="37"/>
        <v>#NUM!</v>
      </c>
      <c r="BR32" s="3" t="e">
        <f t="shared" ca="1" si="69"/>
        <v>#NUM!</v>
      </c>
      <c r="BS32" s="3" t="e">
        <f t="shared" ca="1" si="38"/>
        <v>#NUM!</v>
      </c>
      <c r="BT32" s="3" t="e">
        <f t="shared" ca="1" si="69"/>
        <v>#NUM!</v>
      </c>
      <c r="BU32" s="3" t="e">
        <f t="shared" ca="1" si="39"/>
        <v>#NUM!</v>
      </c>
      <c r="BV32" s="3" t="e">
        <f t="shared" ref="BV32" ca="1" si="189">IF(AND(BU32&lt;0,BU31&gt;0), "Cruce -", IF(AND(BU32&gt;0,BU31&lt;0),"Cruce +", ""))</f>
        <v>#NUM!</v>
      </c>
      <c r="BX32" s="3" t="e">
        <f t="shared" ca="1" si="40"/>
        <v>#NUM!</v>
      </c>
      <c r="BY32" s="3" t="e">
        <f t="shared" ca="1" si="71"/>
        <v>#NUM!</v>
      </c>
      <c r="BZ32" s="3" t="e">
        <f t="shared" ca="1" si="41"/>
        <v>#NUM!</v>
      </c>
      <c r="CA32" s="3" t="e">
        <f t="shared" ca="1" si="72"/>
        <v>#NUM!</v>
      </c>
      <c r="CB32" s="3" t="e">
        <f t="shared" ca="1" si="42"/>
        <v>#NUM!</v>
      </c>
      <c r="CC32" s="3" t="e">
        <f t="shared" ca="1" si="73"/>
        <v>#NUM!</v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1</v>
      </c>
      <c r="CG32" s="3">
        <f>-IF(RTD("tos.rtd",,CG$2,"."&amp;$A$2&amp;$AU$1&amp;"P"&amp;$A32)="N/A",0,RTD("tos.rtd",,CG$2,"."&amp;$A$2&amp;$AU$1&amp;"P"&amp;$A32))</f>
        <v>0</v>
      </c>
      <c r="CH32" s="3">
        <f>IF(RTD("tos.rtd",,CH$2,"."&amp;$A$2&amp;$AW$1&amp;"C"&amp;$A32)="N/A",0,RTD("tos.rtd",,CH$2,"."&amp;$A$2&amp;$AW$1&amp;"C"&amp;$A32))</f>
        <v>0.75</v>
      </c>
      <c r="CI32" s="3">
        <f>-IF(RTD("tos.rtd",,CI$2,"."&amp;$A$2&amp;$AW$1&amp;"P"&amp;$A32)="N/A",0,RTD("tos.rtd",,CI$2,"."&amp;$A$2&amp;$AW$1&amp;"P"&amp;$A32))</f>
        <v>0.25</v>
      </c>
      <c r="CK32" s="3">
        <f t="shared" si="17"/>
        <v>65200</v>
      </c>
      <c r="CL32" s="3"/>
      <c r="CM32" s="3">
        <f t="shared" si="18"/>
        <v>76200</v>
      </c>
      <c r="CN32" s="3"/>
      <c r="CO32" s="3">
        <f t="shared" si="19"/>
        <v>89800</v>
      </c>
      <c r="CP32" s="3">
        <f t="shared" si="43"/>
        <v>231200</v>
      </c>
      <c r="CQ32" s="3">
        <f t="shared" si="44"/>
        <v>0</v>
      </c>
      <c r="CR32" s="3"/>
      <c r="CS32" s="3">
        <f t="shared" si="20"/>
        <v>-20615</v>
      </c>
      <c r="CT32" s="3"/>
      <c r="CU32" s="3">
        <f t="shared" si="21"/>
        <v>-2108</v>
      </c>
      <c r="CV32" s="3">
        <f t="shared" si="45"/>
        <v>-22723</v>
      </c>
      <c r="CW32" s="3" t="e">
        <f t="shared" ca="1" si="46"/>
        <v>#NUM!</v>
      </c>
      <c r="CX32" s="85" t="e">
        <f t="shared" ca="1" si="74"/>
        <v>#NUM!</v>
      </c>
      <c r="CY32" s="3" t="e">
        <f t="shared" ca="1" si="47"/>
        <v>#NUM!</v>
      </c>
      <c r="CZ32" s="85" t="e">
        <f t="shared" ca="1" si="75"/>
        <v>#NUM!</v>
      </c>
      <c r="DA32" s="3">
        <f>IF(RTD("tos.rtd",,DA$2,"."&amp;$A$2&amp;$AS$1&amp;"C"&amp;$A32)="N/A",0,RTD("tos.rtd",,DA$2,"."&amp;$A$2&amp;$AS$1&amp;"C"&amp;$A32))</f>
        <v>8.92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10.07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8.19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-10.799999999999955</v>
      </c>
      <c r="DH32" s="3">
        <f t="shared" si="22"/>
        <v>-138.62234042553195</v>
      </c>
      <c r="DI32" s="3">
        <f t="shared" si="49"/>
        <v>14323</v>
      </c>
      <c r="DJ32" s="3">
        <f t="shared" si="50"/>
        <v>357</v>
      </c>
      <c r="DK32" s="3">
        <f t="shared" si="51"/>
        <v>14323</v>
      </c>
      <c r="DL32" s="3">
        <f t="shared" si="52"/>
        <v>14184.377659574468</v>
      </c>
      <c r="DM32" s="3">
        <f t="shared" si="53"/>
        <v>14680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-1093.2812765957449</v>
      </c>
      <c r="DQ32" s="3">
        <f t="shared" si="57"/>
        <v>3327.67</v>
      </c>
      <c r="DR32" s="3" t="e">
        <f t="shared" ca="1" si="58"/>
        <v>#NUM!</v>
      </c>
      <c r="DS32" s="3">
        <f t="shared" si="59"/>
        <v>357</v>
      </c>
      <c r="DT32" s="3">
        <f t="shared" si="60"/>
        <v>-357</v>
      </c>
      <c r="DU32" s="3">
        <f t="shared" si="61"/>
        <v>14323</v>
      </c>
      <c r="DV32" s="3">
        <f t="shared" si="62"/>
        <v>94</v>
      </c>
      <c r="DW32" s="3">
        <f t="shared" si="23"/>
        <v>2217</v>
      </c>
      <c r="DX32" s="3" t="e">
        <f t="shared" ca="1" si="24"/>
        <v>#NUM!</v>
      </c>
      <c r="DY32" s="3" t="e">
        <f t="shared" ca="1" si="25"/>
        <v>#NUM!</v>
      </c>
      <c r="DZ32" s="3" t="e">
        <f t="shared" ca="1" si="26"/>
        <v>#NUM!</v>
      </c>
      <c r="EA32" s="3" t="e">
        <f t="shared" ca="1" si="27"/>
        <v>#NUM!</v>
      </c>
      <c r="EB32" s="3" t="e">
        <f t="shared" ca="1" si="28"/>
        <v>#NUM!</v>
      </c>
      <c r="EC32" s="3" t="e">
        <f t="shared" ca="1" si="29"/>
        <v>#NUM!</v>
      </c>
      <c r="EE32" s="59">
        <f t="shared" si="63"/>
        <v>0.25</v>
      </c>
      <c r="EF32" s="59">
        <f t="shared" si="30"/>
        <v>0.96309999999999996</v>
      </c>
      <c r="EG32" s="59">
        <f t="shared" si="31"/>
        <v>0.25</v>
      </c>
      <c r="EH32" s="59">
        <f t="shared" si="32"/>
        <v>0.96309999999999996</v>
      </c>
      <c r="EI32" s="59">
        <f t="shared" si="33"/>
        <v>0.24940000000000001</v>
      </c>
      <c r="EJ32" s="59">
        <f t="shared" si="34"/>
        <v>0.26100000000000001</v>
      </c>
      <c r="EL32" s="3" t="str">
        <f>RTD("tos.rtd",,EL$2,"."&amp;$A$2&amp;$AS$1&amp;"C"&amp;$A32)</f>
        <v>--</v>
      </c>
      <c r="EM32" s="3" t="str">
        <f>RTD("tos.rtd",,EM$2,"."&amp;$A$2&amp;$AS$1&amp;"P"&amp;$A32)</f>
        <v>96.31%</v>
      </c>
      <c r="EN32" s="3" t="str">
        <f>RTD("tos.rtd",,EN$2,"."&amp;$A$2&amp;$AU$1&amp;"C"&amp;$A32)</f>
        <v>--</v>
      </c>
      <c r="EO32" s="3" t="str">
        <f>RTD("tos.rtd",,EO$2,"."&amp;$A$2&amp;$AU$1&amp;"P"&amp;$A32)</f>
        <v>96.31%</v>
      </c>
      <c r="EP32" s="3" t="str">
        <f>RTD("tos.rtd",,EP$2,"."&amp;$A$2&amp;$AW$1&amp;"C"&amp;$A32)</f>
        <v>24.94%</v>
      </c>
      <c r="EQ32" s="3" t="str">
        <f>RTD("tos.rtd",,EQ$2,"."&amp;$A$2&amp;$AW$1&amp;"P"&amp;$A32)</f>
        <v>26.10%</v>
      </c>
      <c r="ES32" s="63" t="str">
        <f t="shared" si="64"/>
        <v>554,2311.00</v>
      </c>
      <c r="ET32" s="63" t="str">
        <f t="shared" ca="1" si="65"/>
        <v>554,00.00</v>
      </c>
      <c r="EU32" s="67">
        <v>562.96</v>
      </c>
      <c r="EV32" s="67" t="s">
        <v>275</v>
      </c>
      <c r="EW32" s="67">
        <v>485.36</v>
      </c>
      <c r="EX32" s="67" t="s">
        <v>276</v>
      </c>
      <c r="EY32" s="67">
        <v>5643.5</v>
      </c>
      <c r="EZ32" s="67" t="s">
        <v>277</v>
      </c>
      <c r="FA32" s="67">
        <v>19938.5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6"/>
        <v>553</v>
      </c>
      <c r="B33" s="3">
        <f t="shared" si="9"/>
        <v>4342</v>
      </c>
      <c r="C33" s="3">
        <f t="shared" si="10"/>
        <v>5217</v>
      </c>
      <c r="D33" s="3">
        <f t="shared" si="11"/>
        <v>4254</v>
      </c>
      <c r="E33" s="3">
        <f t="shared" si="12"/>
        <v>13813</v>
      </c>
      <c r="F33" s="4">
        <f t="shared" si="13"/>
        <v>5565.2478753541072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25</v>
      </c>
      <c r="AN33" s="1">
        <v>530</v>
      </c>
      <c r="AO33" s="1">
        <v>553</v>
      </c>
      <c r="AP33" s="1">
        <v>219</v>
      </c>
      <c r="AQ33" s="1">
        <v>-23196</v>
      </c>
      <c r="AR33" s="1"/>
      <c r="AS33" s="6">
        <f>IF(RTD("tos.rtd",,AS$2,"."&amp;$A$2&amp;$AS$1&amp;"C"&amp;$A33)="N/A",0,RTD("tos.rtd",,AS$2,"."&amp;$A$2&amp;$AS$1&amp;"C"&amp;$A33))</f>
        <v>698</v>
      </c>
      <c r="AT33" s="7">
        <f>-IF(RTD("tos.rtd",,AT$2,"."&amp;$A$2&amp;$AS$1&amp;"P"&amp;$A33)="N/A",0,RTD("tos.rtd",,AT$2,"."&amp;$A$2&amp;$AS$1&amp;"P"&amp;$A33))</f>
        <v>-3644</v>
      </c>
      <c r="AU33" s="6">
        <f>IF(RTD("tos.rtd",,AU$2,"."&amp;$A$2&amp;$AU$1&amp;"C"&amp;$A33)="N/A",0,RTD("tos.rtd",,AU$2,"."&amp;$A$2&amp;$AU$1&amp;"C"&amp;$A33))</f>
        <v>844</v>
      </c>
      <c r="AV33" s="7">
        <f>-IF(RTD("tos.rtd",,AV$2,"."&amp;$A$2&amp;$AU$1&amp;"P"&amp;$A33)="N/A",0,RTD("tos.rtd",,AV$2,"."&amp;$A$2&amp;$AU$1&amp;"P"&amp;$A33))</f>
        <v>-4373</v>
      </c>
      <c r="AW33" s="6">
        <f>IF(RTD("tos.rtd",,AW$2,"."&amp;$A$2&amp;$AW$1&amp;"C"&amp;$A33)="N/A",0,RTD("tos.rtd",,AW$2,"."&amp;$A$2&amp;$AW$1&amp;"C"&amp;$A33))</f>
        <v>2517</v>
      </c>
      <c r="AX33" s="7">
        <f>-IF(RTD("tos.rtd",,AX$2,"."&amp;$A$2&amp;$AW$1&amp;"P"&amp;$A33)="N/A",0,RTD("tos.rtd",,AX$2,"."&amp;$A$2&amp;$AW$1&amp;"P"&amp;$A33))</f>
        <v>-1737</v>
      </c>
      <c r="AY33" s="1">
        <f t="shared" si="67"/>
        <v>-5695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0</v>
      </c>
      <c r="BB33" s="7">
        <f>-IF(RTD("tos.rtd",,BB$2,"."&amp;$A$2&amp;$AS$1&amp;"P"&amp;$A33)="N/A",0,RTD("tos.rtd",,BB$2,"."&amp;$A$2&amp;$AS$1&amp;"P"&amp;$A33))</f>
        <v>0</v>
      </c>
      <c r="BC33" s="6">
        <f>IF(RTD("tos.rtd",,BC$2,"."&amp;$A$2&amp;$AU$1&amp;"C"&amp;$A33)="N/A",0,RTD("tos.rtd",,BC$2,"."&amp;$A$2&amp;$AU$1&amp;"C"&amp;$A33))</f>
        <v>228</v>
      </c>
      <c r="BD33" s="7">
        <f>-IF(RTD("tos.rtd",,BD$2,"."&amp;$A$2&amp;$AU$1&amp;"P"&amp;$A33)="N/A",0,RTD("tos.rtd",,BD$2,"."&amp;$A$2&amp;$AU$1&amp;"P"&amp;$A33))</f>
        <v>-15411</v>
      </c>
      <c r="BE33" s="6">
        <f>IF(RTD("tos.rtd",,BE$2,"."&amp;$A$2&amp;$AW$1&amp;"C"&amp;$A33)="N/A",0,RTD("tos.rtd",,BE$2,"."&amp;$A$2&amp;$AW$1&amp;"C"&amp;$A33))</f>
        <v>235</v>
      </c>
      <c r="BF33" s="83">
        <f>-IF(RTD("tos.rtd",,BF$2,"."&amp;$A$2&amp;$AW$1&amp;"P"&amp;$A33)="N/A",0,RTD("tos.rtd",,BF$2,"."&amp;$A$2&amp;$AW$1&amp;"P"&amp;$A33))</f>
        <v>-1283</v>
      </c>
      <c r="BG33" s="32">
        <f ca="1">+Hoja2!Y34</f>
        <v>-1019</v>
      </c>
      <c r="BH33" s="7">
        <f t="shared" ca="1" si="36"/>
        <v>-17250</v>
      </c>
      <c r="BI33" s="8" t="str">
        <f t="shared" ref="BI33" ca="1" si="190">IF(AND(BH33&lt;0,BH32&gt;0), "Cruce -", IF(AND(BH33&gt;0,BH32&lt;0),"Cruce +", ""))</f>
        <v/>
      </c>
      <c r="BJ33" s="3" t="e">
        <f ca="1">IF($BP$1=1,DX33,IF(RTD("tos.rtd",,BJ$2,"."&amp;$A$2&amp;$AS$1&amp;"C"&amp;$A33)="N/A",0,RTD("tos.rtd",,BJ$2,"."&amp;$A$2&amp;$AS$1&amp;"C"&amp;$A33)))</f>
        <v>#NUM!</v>
      </c>
      <c r="BK33" s="3" t="e">
        <f ca="1">IF($BP$1=1,DY33,-IF(RTD("tos.rtd",,BK$2,"."&amp;$A$2&amp;$AS$1&amp;"P"&amp;$A33)="N/A",0,RTD("tos.rtd",,BK$2,"."&amp;$A$2&amp;$AS$1&amp;"P"&amp;$A33)))</f>
        <v>#NUM!</v>
      </c>
      <c r="BL33" s="3" t="e">
        <f ca="1">IF($BP$1=1,DZ33,IF(RTD("tos.rtd",,BL$2,"."&amp;$A$2&amp;$AU$1&amp;"C"&amp;$A33)="N/A",0,RTD("tos.rtd",,BL$2,"."&amp;$A$2&amp;$AU$1&amp;"C"&amp;$A33)))</f>
        <v>#NUM!</v>
      </c>
      <c r="BM33" s="3" t="e">
        <f ca="1">IF($BP$1=1,EA33,-IF(RTD("tos.rtd",,BM$2,"."&amp;$A$2&amp;$AU$1&amp;"P"&amp;$A33)="N/A",0,RTD("tos.rtd",,BM$2,"."&amp;$A$2&amp;$AU$1&amp;"P"&amp;$A33)))</f>
        <v>#NUM!</v>
      </c>
      <c r="BN33" s="3" t="e">
        <f ca="1">IF($BP$1=1,EB33,IF(RTD("tos.rtd",,BN$2,"."&amp;$A$2&amp;$AW$1&amp;"C"&amp;$A33)="N/A",0,RTD("tos.rtd",,BN$2,"."&amp;$A$2&amp;$AW$1&amp;"C"&amp;$A33)))</f>
        <v>#NUM!</v>
      </c>
      <c r="BO33" s="3" t="e">
        <f ca="1">IF($BP$1=1,EC33,-IF(RTD("tos.rtd",,BO$2,"."&amp;$A$2&amp;$AW$1&amp;"P"&amp;$A33)="N/A",0,RTD("tos.rtd",,BO$2,"."&amp;$A$2&amp;$AW$1&amp;"P"&amp;$A33)))</f>
        <v>#NUM!</v>
      </c>
      <c r="BQ33" s="3" t="e">
        <f t="shared" ca="1" si="37"/>
        <v>#NUM!</v>
      </c>
      <c r="BR33" s="3" t="e">
        <f t="shared" ca="1" si="69"/>
        <v>#NUM!</v>
      </c>
      <c r="BS33" s="3" t="e">
        <f t="shared" ca="1" si="38"/>
        <v>#NUM!</v>
      </c>
      <c r="BT33" s="3" t="e">
        <f t="shared" ca="1" si="69"/>
        <v>#NUM!</v>
      </c>
      <c r="BU33" s="3" t="e">
        <f t="shared" ca="1" si="39"/>
        <v>#NUM!</v>
      </c>
      <c r="BV33" s="3" t="e">
        <f t="shared" ref="BV33" ca="1" si="191">IF(AND(BU33&lt;0,BU32&gt;0), "Cruce -", IF(AND(BU33&gt;0,BU32&lt;0),"Cruce +", ""))</f>
        <v>#NUM!</v>
      </c>
      <c r="BX33" s="3" t="e">
        <f t="shared" ca="1" si="40"/>
        <v>#NUM!</v>
      </c>
      <c r="BY33" s="3" t="e">
        <f t="shared" ca="1" si="71"/>
        <v>#NUM!</v>
      </c>
      <c r="BZ33" s="3" t="e">
        <f t="shared" ca="1" si="41"/>
        <v>#NUM!</v>
      </c>
      <c r="CA33" s="3" t="e">
        <f t="shared" ca="1" si="72"/>
        <v>#NUM!</v>
      </c>
      <c r="CB33" s="3" t="e">
        <f t="shared" ca="1" si="42"/>
        <v>#NUM!</v>
      </c>
      <c r="CC33" s="3" t="e">
        <f t="shared" ca="1" si="73"/>
        <v>#NUM!</v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1</v>
      </c>
      <c r="CG33" s="3">
        <f>-IF(RTD("tos.rtd",,CG$2,"."&amp;$A$2&amp;$AU$1&amp;"P"&amp;$A33)="N/A",0,RTD("tos.rtd",,CG$2,"."&amp;$A$2&amp;$AU$1&amp;"P"&amp;$A33))</f>
        <v>0</v>
      </c>
      <c r="CH33" s="3">
        <f>IF(RTD("tos.rtd",,CH$2,"."&amp;$A$2&amp;$AW$1&amp;"C"&amp;$A33)="N/A",0,RTD("tos.rtd",,CH$2,"."&amp;$A$2&amp;$AW$1&amp;"C"&amp;$A33))</f>
        <v>0.77</v>
      </c>
      <c r="CI33" s="3">
        <f>-IF(RTD("tos.rtd",,CI$2,"."&amp;$A$2&amp;$AW$1&amp;"P"&amp;$A33)="N/A",0,RTD("tos.rtd",,CI$2,"."&amp;$A$2&amp;$AW$1&amp;"P"&amp;$A33))</f>
        <v>0.24</v>
      </c>
      <c r="CK33" s="3">
        <f t="shared" si="17"/>
        <v>69800</v>
      </c>
      <c r="CL33" s="3"/>
      <c r="CM33" s="3">
        <f t="shared" si="18"/>
        <v>84400</v>
      </c>
      <c r="CN33" s="3"/>
      <c r="CO33" s="3">
        <f t="shared" si="19"/>
        <v>152121</v>
      </c>
      <c r="CP33" s="3">
        <f t="shared" si="43"/>
        <v>306321</v>
      </c>
      <c r="CQ33" s="3">
        <f t="shared" si="44"/>
        <v>0</v>
      </c>
      <c r="CR33" s="3"/>
      <c r="CS33" s="3">
        <f t="shared" si="20"/>
        <v>-15183</v>
      </c>
      <c r="CT33" s="3"/>
      <c r="CU33" s="3">
        <f t="shared" si="21"/>
        <v>-1048</v>
      </c>
      <c r="CV33" s="3">
        <f t="shared" si="45"/>
        <v>-16231</v>
      </c>
      <c r="CW33" s="3" t="e">
        <f t="shared" ca="1" si="46"/>
        <v>#NUM!</v>
      </c>
      <c r="CX33" s="85" t="e">
        <f t="shared" ca="1" si="74"/>
        <v>#NUM!</v>
      </c>
      <c r="CY33" s="3" t="e">
        <f t="shared" ca="1" si="47"/>
        <v>#NUM!</v>
      </c>
      <c r="CZ33" s="85" t="e">
        <f t="shared" ca="1" si="75"/>
        <v>#NUM!</v>
      </c>
      <c r="DA33" s="3">
        <f>IF(RTD("tos.rtd",,DA$2,"."&amp;$A$2&amp;$AS$1&amp;"C"&amp;$A33)="N/A",0,RTD("tos.rtd",,DA$2,"."&amp;$A$2&amp;$AS$1&amp;"C"&amp;$A33))</f>
        <v>10.27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11.04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9.19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-11.799999999999955</v>
      </c>
      <c r="DH33" s="3">
        <f t="shared" si="22"/>
        <v>-127.84864864864868</v>
      </c>
      <c r="DI33" s="3">
        <f t="shared" si="49"/>
        <v>23196</v>
      </c>
      <c r="DJ33" s="3">
        <f t="shared" si="50"/>
        <v>0</v>
      </c>
      <c r="DK33" s="3">
        <f t="shared" si="51"/>
        <v>23196</v>
      </c>
      <c r="DL33" s="3">
        <f t="shared" si="52"/>
        <v>23068.151351351353</v>
      </c>
      <c r="DM33" s="3">
        <f t="shared" si="53"/>
        <v>23196</v>
      </c>
      <c r="DN33" s="63" t="str">
        <f t="shared" si="54"/>
        <v>UNKNOWN</v>
      </c>
      <c r="DO33" s="63" t="str">
        <f t="shared" si="55"/>
        <v>UNKNOWN</v>
      </c>
      <c r="DP33" s="3">
        <f t="shared" si="56"/>
        <v>-1081.0456216216219</v>
      </c>
      <c r="DQ33" s="3">
        <f t="shared" si="57"/>
        <v>231.96</v>
      </c>
      <c r="DR33" s="3" t="e">
        <f t="shared" ca="1" si="58"/>
        <v>#NUM!</v>
      </c>
      <c r="DS33" s="3">
        <f t="shared" si="59"/>
        <v>0</v>
      </c>
      <c r="DT33" s="3">
        <f t="shared" si="60"/>
        <v>-219</v>
      </c>
      <c r="DU33" s="3">
        <f t="shared" si="61"/>
        <v>23196</v>
      </c>
      <c r="DV33" s="3">
        <f t="shared" si="62"/>
        <v>25</v>
      </c>
      <c r="DW33" s="3">
        <f t="shared" si="23"/>
        <v>530</v>
      </c>
      <c r="DX33" s="3" t="e">
        <f t="shared" ca="1" si="24"/>
        <v>#NUM!</v>
      </c>
      <c r="DY33" s="3" t="e">
        <f t="shared" ca="1" si="25"/>
        <v>#NUM!</v>
      </c>
      <c r="DZ33" s="3" t="e">
        <f t="shared" ca="1" si="26"/>
        <v>#NUM!</v>
      </c>
      <c r="EA33" s="3" t="e">
        <f t="shared" ca="1" si="27"/>
        <v>#NUM!</v>
      </c>
      <c r="EB33" s="3" t="e">
        <f t="shared" ca="1" si="28"/>
        <v>#NUM!</v>
      </c>
      <c r="EC33" s="3" t="e">
        <f t="shared" ca="1" si="29"/>
        <v>#NUM!</v>
      </c>
      <c r="EE33" s="59">
        <f t="shared" si="63"/>
        <v>0.25</v>
      </c>
      <c r="EF33" s="59">
        <f t="shared" si="30"/>
        <v>1.0436000000000001</v>
      </c>
      <c r="EG33" s="59">
        <f t="shared" si="31"/>
        <v>0.25</v>
      </c>
      <c r="EH33" s="59">
        <f t="shared" si="32"/>
        <v>1.0436000000000001</v>
      </c>
      <c r="EI33" s="59">
        <f t="shared" si="33"/>
        <v>0.25059999999999999</v>
      </c>
      <c r="EJ33" s="59">
        <f t="shared" si="34"/>
        <v>0.26219999999999999</v>
      </c>
      <c r="EL33" s="3" t="str">
        <f>RTD("tos.rtd",,EL$2,"."&amp;$A$2&amp;$AS$1&amp;"C"&amp;$A33)</f>
        <v>--</v>
      </c>
      <c r="EM33" s="3" t="str">
        <f>RTD("tos.rtd",,EM$2,"."&amp;$A$2&amp;$AS$1&amp;"P"&amp;$A33)</f>
        <v>104.36%</v>
      </c>
      <c r="EN33" s="3" t="str">
        <f>RTD("tos.rtd",,EN$2,"."&amp;$A$2&amp;$AU$1&amp;"C"&amp;$A33)</f>
        <v>--</v>
      </c>
      <c r="EO33" s="3" t="str">
        <f>RTD("tos.rtd",,EO$2,"."&amp;$A$2&amp;$AU$1&amp;"P"&amp;$A33)</f>
        <v>104.36%</v>
      </c>
      <c r="EP33" s="3" t="str">
        <f>RTD("tos.rtd",,EP$2,"."&amp;$A$2&amp;$AW$1&amp;"C"&amp;$A33)</f>
        <v>25.06%</v>
      </c>
      <c r="EQ33" s="3" t="str">
        <f>RTD("tos.rtd",,EQ$2,"."&amp;$A$2&amp;$AW$1&amp;"P"&amp;$A33)</f>
        <v>26.22%</v>
      </c>
      <c r="ES33" s="63" t="str">
        <f t="shared" si="64"/>
        <v>553,555.00</v>
      </c>
      <c r="ET33" s="63" t="str">
        <f t="shared" ca="1" si="65"/>
        <v>553,00.00</v>
      </c>
      <c r="EU33" s="67">
        <v>562.97</v>
      </c>
      <c r="EV33" s="67" t="s">
        <v>283</v>
      </c>
      <c r="EW33" s="67">
        <v>485.37</v>
      </c>
      <c r="EX33" s="67" t="s">
        <v>284</v>
      </c>
      <c r="EY33" s="67">
        <v>5643.25</v>
      </c>
      <c r="EZ33" s="67" t="s">
        <v>285</v>
      </c>
      <c r="FA33" s="67">
        <v>19938.75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6"/>
        <v>552</v>
      </c>
      <c r="B34" s="3">
        <f t="shared" si="9"/>
        <v>2204</v>
      </c>
      <c r="C34" s="3">
        <f t="shared" si="10"/>
        <v>10913</v>
      </c>
      <c r="D34" s="3">
        <f t="shared" si="11"/>
        <v>5235</v>
      </c>
      <c r="E34" s="3">
        <f t="shared" si="12"/>
        <v>18352</v>
      </c>
      <c r="F34" s="4">
        <f t="shared" si="13"/>
        <v>5555.1841359773371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56</v>
      </c>
      <c r="AN34" s="1">
        <v>1154</v>
      </c>
      <c r="AO34" s="1">
        <v>552</v>
      </c>
      <c r="AP34" s="1">
        <v>204</v>
      </c>
      <c r="AQ34" s="1">
        <v>-7946</v>
      </c>
      <c r="AR34" s="1"/>
      <c r="AS34" s="6">
        <f>IF(RTD("tos.rtd",,AS$2,"."&amp;$A$2&amp;$AS$1&amp;"C"&amp;$A34)="N/A",0,RTD("tos.rtd",,AS$2,"."&amp;$A$2&amp;$AS$1&amp;"C"&amp;$A34))</f>
        <v>547</v>
      </c>
      <c r="AT34" s="7">
        <f>-IF(RTD("tos.rtd",,AT$2,"."&amp;$A$2&amp;$AS$1&amp;"P"&amp;$A34)="N/A",0,RTD("tos.rtd",,AT$2,"."&amp;$A$2&amp;$AS$1&amp;"P"&amp;$A34))</f>
        <v>-1657</v>
      </c>
      <c r="AU34" s="6">
        <f>IF(RTD("tos.rtd",,AU$2,"."&amp;$A$2&amp;$AU$1&amp;"C"&amp;$A34)="N/A",0,RTD("tos.rtd",,AU$2,"."&amp;$A$2&amp;$AU$1&amp;"C"&amp;$A34))</f>
        <v>544</v>
      </c>
      <c r="AV34" s="7">
        <f>-IF(RTD("tos.rtd",,AV$2,"."&amp;$A$2&amp;$AU$1&amp;"P"&amp;$A34)="N/A",0,RTD("tos.rtd",,AV$2,"."&amp;$A$2&amp;$AU$1&amp;"P"&amp;$A34))</f>
        <v>-10369</v>
      </c>
      <c r="AW34" s="6">
        <f>IF(RTD("tos.rtd",,AW$2,"."&amp;$A$2&amp;$AW$1&amp;"C"&amp;$A34)="N/A",0,RTD("tos.rtd",,AW$2,"."&amp;$A$2&amp;$AW$1&amp;"C"&amp;$A34))</f>
        <v>1985</v>
      </c>
      <c r="AX34" s="7">
        <f>-IF(RTD("tos.rtd",,AX$2,"."&amp;$A$2&amp;$AW$1&amp;"P"&amp;$A34)="N/A",0,RTD("tos.rtd",,AX$2,"."&amp;$A$2&amp;$AW$1&amp;"P"&amp;$A34))</f>
        <v>-3250</v>
      </c>
      <c r="AY34" s="1">
        <f t="shared" si="67"/>
        <v>-12200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0</v>
      </c>
      <c r="BB34" s="7">
        <f>-IF(RTD("tos.rtd",,BB$2,"."&amp;$A$2&amp;$AS$1&amp;"P"&amp;$A34)="N/A",0,RTD("tos.rtd",,BB$2,"."&amp;$A$2&amp;$AS$1&amp;"P"&amp;$A34))</f>
        <v>0</v>
      </c>
      <c r="BC34" s="6">
        <f>IF(RTD("tos.rtd",,BC$2,"."&amp;$A$2&amp;$AU$1&amp;"C"&amp;$A34)="N/A",0,RTD("tos.rtd",,BC$2,"."&amp;$A$2&amp;$AU$1&amp;"C"&amp;$A34))</f>
        <v>232</v>
      </c>
      <c r="BD34" s="7">
        <f>-IF(RTD("tos.rtd",,BD$2,"."&amp;$A$2&amp;$AU$1&amp;"P"&amp;$A34)="N/A",0,RTD("tos.rtd",,BD$2,"."&amp;$A$2&amp;$AU$1&amp;"P"&amp;$A34))</f>
        <v>-14323</v>
      </c>
      <c r="BE34" s="6">
        <f>IF(RTD("tos.rtd",,BE$2,"."&amp;$A$2&amp;$AW$1&amp;"C"&amp;$A34)="N/A",0,RTD("tos.rtd",,BE$2,"."&amp;$A$2&amp;$AW$1&amp;"C"&amp;$A34))</f>
        <v>122</v>
      </c>
      <c r="BF34" s="83">
        <f>-IF(RTD("tos.rtd",,BF$2,"."&amp;$A$2&amp;$AW$1&amp;"P"&amp;$A34)="N/A",0,RTD("tos.rtd",,BF$2,"."&amp;$A$2&amp;$AW$1&amp;"P"&amp;$A34))</f>
        <v>-3328</v>
      </c>
      <c r="BG34" s="32">
        <f ca="1">+Hoja2!Y35</f>
        <v>-664</v>
      </c>
      <c r="BH34" s="7">
        <f t="shared" ca="1" si="36"/>
        <v>-17961</v>
      </c>
      <c r="BI34" s="8" t="str">
        <f t="shared" ref="BI34" ca="1" si="192">IF(AND(BH34&lt;0,BH33&gt;0), "Cruce -", IF(AND(BH34&gt;0,BH33&lt;0),"Cruce +", ""))</f>
        <v/>
      </c>
      <c r="BJ34" s="3" t="e">
        <f ca="1">IF($BP$1=1,DX34,IF(RTD("tos.rtd",,BJ$2,"."&amp;$A$2&amp;$AS$1&amp;"C"&amp;$A34)="N/A",0,RTD("tos.rtd",,BJ$2,"."&amp;$A$2&amp;$AS$1&amp;"C"&amp;$A34)))</f>
        <v>#NUM!</v>
      </c>
      <c r="BK34" s="3" t="e">
        <f ca="1">IF($BP$1=1,DY34,-IF(RTD("tos.rtd",,BK$2,"."&amp;$A$2&amp;$AS$1&amp;"P"&amp;$A34)="N/A",0,RTD("tos.rtd",,BK$2,"."&amp;$A$2&amp;$AS$1&amp;"P"&amp;$A34)))</f>
        <v>#NUM!</v>
      </c>
      <c r="BL34" s="3" t="e">
        <f ca="1">IF($BP$1=1,DZ34,IF(RTD("tos.rtd",,BL$2,"."&amp;$A$2&amp;$AU$1&amp;"C"&amp;$A34)="N/A",0,RTD("tos.rtd",,BL$2,"."&amp;$A$2&amp;$AU$1&amp;"C"&amp;$A34)))</f>
        <v>#NUM!</v>
      </c>
      <c r="BM34" s="3" t="e">
        <f ca="1">IF($BP$1=1,EA34,-IF(RTD("tos.rtd",,BM$2,"."&amp;$A$2&amp;$AU$1&amp;"P"&amp;$A34)="N/A",0,RTD("tos.rtd",,BM$2,"."&amp;$A$2&amp;$AU$1&amp;"P"&amp;$A34)))</f>
        <v>#NUM!</v>
      </c>
      <c r="BN34" s="3" t="e">
        <f ca="1">IF($BP$1=1,EB34,IF(RTD("tos.rtd",,BN$2,"."&amp;$A$2&amp;$AW$1&amp;"C"&amp;$A34)="N/A",0,RTD("tos.rtd",,BN$2,"."&amp;$A$2&amp;$AW$1&amp;"C"&amp;$A34)))</f>
        <v>#NUM!</v>
      </c>
      <c r="BO34" s="3" t="e">
        <f ca="1">IF($BP$1=1,EC34,-IF(RTD("tos.rtd",,BO$2,"."&amp;$A$2&amp;$AW$1&amp;"P"&amp;$A34)="N/A",0,RTD("tos.rtd",,BO$2,"."&amp;$A$2&amp;$AW$1&amp;"P"&amp;$A34)))</f>
        <v>#NUM!</v>
      </c>
      <c r="BQ34" s="3" t="e">
        <f t="shared" ca="1" si="37"/>
        <v>#NUM!</v>
      </c>
      <c r="BR34" s="3" t="e">
        <f t="shared" ca="1" si="69"/>
        <v>#NUM!</v>
      </c>
      <c r="BS34" s="3" t="e">
        <f t="shared" ca="1" si="38"/>
        <v>#NUM!</v>
      </c>
      <c r="BT34" s="3" t="e">
        <f t="shared" ca="1" si="69"/>
        <v>#NUM!</v>
      </c>
      <c r="BU34" s="3" t="e">
        <f t="shared" ca="1" si="39"/>
        <v>#NUM!</v>
      </c>
      <c r="BV34" s="3" t="e">
        <f t="shared" ref="BV34" ca="1" si="193">IF(AND(BU34&lt;0,BU33&gt;0), "Cruce -", IF(AND(BU34&gt;0,BU33&lt;0),"Cruce +", ""))</f>
        <v>#NUM!</v>
      </c>
      <c r="BX34" s="3" t="e">
        <f t="shared" ca="1" si="40"/>
        <v>#NUM!</v>
      </c>
      <c r="BY34" s="3" t="e">
        <f t="shared" ca="1" si="71"/>
        <v>#NUM!</v>
      </c>
      <c r="BZ34" s="3" t="e">
        <f t="shared" ca="1" si="41"/>
        <v>#NUM!</v>
      </c>
      <c r="CA34" s="3" t="e">
        <f t="shared" ca="1" si="72"/>
        <v>#NUM!</v>
      </c>
      <c r="CB34" s="3" t="e">
        <f t="shared" ca="1" si="42"/>
        <v>#NUM!</v>
      </c>
      <c r="CC34" s="3" t="e">
        <f t="shared" ca="1" si="73"/>
        <v>#NUM!</v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1</v>
      </c>
      <c r="CG34" s="3">
        <f>-IF(RTD("tos.rtd",,CG$2,"."&amp;$A$2&amp;$AU$1&amp;"P"&amp;$A34)="N/A",0,RTD("tos.rtd",,CG$2,"."&amp;$A$2&amp;$AU$1&amp;"P"&amp;$A34))</f>
        <v>0</v>
      </c>
      <c r="CH34" s="3">
        <f>IF(RTD("tos.rtd",,CH$2,"."&amp;$A$2&amp;$AW$1&amp;"C"&amp;$A34)="N/A",0,RTD("tos.rtd",,CH$2,"."&amp;$A$2&amp;$AW$1&amp;"C"&amp;$A34))</f>
        <v>0.79</v>
      </c>
      <c r="CI34" s="3">
        <f>-IF(RTD("tos.rtd",,CI$2,"."&amp;$A$2&amp;$AW$1&amp;"P"&amp;$A34)="N/A",0,RTD("tos.rtd",,CI$2,"."&amp;$A$2&amp;$AW$1&amp;"P"&amp;$A34))</f>
        <v>0.22</v>
      </c>
      <c r="CK34" s="3">
        <f t="shared" si="17"/>
        <v>54700</v>
      </c>
      <c r="CL34" s="3"/>
      <c r="CM34" s="3">
        <f t="shared" si="18"/>
        <v>54400</v>
      </c>
      <c r="CN34" s="3"/>
      <c r="CO34" s="3">
        <f t="shared" si="19"/>
        <v>85315</v>
      </c>
      <c r="CP34" s="3">
        <f t="shared" si="43"/>
        <v>194415</v>
      </c>
      <c r="CQ34" s="3">
        <f t="shared" si="44"/>
        <v>0</v>
      </c>
      <c r="CR34" s="3"/>
      <c r="CS34" s="3">
        <f t="shared" si="20"/>
        <v>-14091</v>
      </c>
      <c r="CT34" s="3"/>
      <c r="CU34" s="3">
        <f t="shared" si="21"/>
        <v>-3206</v>
      </c>
      <c r="CV34" s="3">
        <f t="shared" si="45"/>
        <v>-17297</v>
      </c>
      <c r="CW34" s="3" t="e">
        <f t="shared" ca="1" si="46"/>
        <v>#NUM!</v>
      </c>
      <c r="CX34" s="85" t="e">
        <f t="shared" ca="1" si="74"/>
        <v>#NUM!</v>
      </c>
      <c r="CY34" s="3" t="e">
        <f t="shared" ca="1" si="47"/>
        <v>#NUM!</v>
      </c>
      <c r="CZ34" s="85" t="e">
        <f t="shared" ca="1" si="75"/>
        <v>#NUM!</v>
      </c>
      <c r="DA34" s="3">
        <f>IF(RTD("tos.rtd",,DA$2,"."&amp;$A$2&amp;$AS$1&amp;"C"&amp;$A34)="N/A",0,RTD("tos.rtd",,DA$2,"."&amp;$A$2&amp;$AS$1&amp;"C"&amp;$A34))</f>
        <v>11.18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12.07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10.19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-12.799999999999955</v>
      </c>
      <c r="DH34" s="3">
        <f t="shared" si="22"/>
        <v>-107.42553191489358</v>
      </c>
      <c r="DI34" s="3">
        <f t="shared" si="49"/>
        <v>7946</v>
      </c>
      <c r="DJ34" s="3">
        <f t="shared" si="50"/>
        <v>0</v>
      </c>
      <c r="DK34" s="3">
        <f t="shared" si="51"/>
        <v>7946</v>
      </c>
      <c r="DL34" s="3">
        <f t="shared" si="52"/>
        <v>7838.5744680851067</v>
      </c>
      <c r="DM34" s="3">
        <f t="shared" si="53"/>
        <v>7946</v>
      </c>
      <c r="DN34" s="63" t="str">
        <f t="shared" si="54"/>
        <v>UNKNOWN</v>
      </c>
      <c r="DO34" s="63" t="str">
        <f t="shared" si="55"/>
        <v>UNKNOWN</v>
      </c>
      <c r="DP34" s="3">
        <f t="shared" si="56"/>
        <v>-1121.5574468085101</v>
      </c>
      <c r="DQ34" s="3">
        <f t="shared" si="57"/>
        <v>79.460000000000008</v>
      </c>
      <c r="DR34" s="3" t="e">
        <f t="shared" ca="1" si="58"/>
        <v>#NUM!</v>
      </c>
      <c r="DS34" s="3">
        <f t="shared" si="59"/>
        <v>0</v>
      </c>
      <c r="DT34" s="3">
        <f t="shared" si="60"/>
        <v>-204</v>
      </c>
      <c r="DU34" s="3">
        <f t="shared" si="61"/>
        <v>7946</v>
      </c>
      <c r="DV34" s="3">
        <f t="shared" si="62"/>
        <v>56</v>
      </c>
      <c r="DW34" s="3">
        <f t="shared" si="23"/>
        <v>1154</v>
      </c>
      <c r="DX34" s="3" t="e">
        <f t="shared" ca="1" si="24"/>
        <v>#NUM!</v>
      </c>
      <c r="DY34" s="3" t="e">
        <f t="shared" ca="1" si="25"/>
        <v>#NUM!</v>
      </c>
      <c r="DZ34" s="3" t="e">
        <f t="shared" ca="1" si="26"/>
        <v>#NUM!</v>
      </c>
      <c r="EA34" s="3" t="e">
        <f t="shared" ca="1" si="27"/>
        <v>#NUM!</v>
      </c>
      <c r="EB34" s="3" t="e">
        <f t="shared" ca="1" si="28"/>
        <v>#NUM!</v>
      </c>
      <c r="EC34" s="3" t="e">
        <f t="shared" ca="1" si="29"/>
        <v>#NUM!</v>
      </c>
      <c r="EE34" s="59">
        <f t="shared" si="63"/>
        <v>0.25</v>
      </c>
      <c r="EF34" s="59">
        <f t="shared" si="30"/>
        <v>1.1235999999999999</v>
      </c>
      <c r="EG34" s="59">
        <f t="shared" si="31"/>
        <v>0.25</v>
      </c>
      <c r="EH34" s="59">
        <f t="shared" si="32"/>
        <v>1.1235999999999999</v>
      </c>
      <c r="EI34" s="59">
        <f t="shared" si="33"/>
        <v>0.25130000000000002</v>
      </c>
      <c r="EJ34" s="59">
        <f t="shared" si="34"/>
        <v>0.2636</v>
      </c>
      <c r="EL34" s="3" t="str">
        <f>RTD("tos.rtd",,EL$2,"."&amp;$A$2&amp;$AS$1&amp;"C"&amp;$A34)</f>
        <v>--</v>
      </c>
      <c r="EM34" s="3" t="str">
        <f>RTD("tos.rtd",,EM$2,"."&amp;$A$2&amp;$AS$1&amp;"P"&amp;$A34)</f>
        <v>112.36%</v>
      </c>
      <c r="EN34" s="3" t="str">
        <f>RTD("tos.rtd",,EN$2,"."&amp;$A$2&amp;$AU$1&amp;"C"&amp;$A34)</f>
        <v>--</v>
      </c>
      <c r="EO34" s="3" t="str">
        <f>RTD("tos.rtd",,EO$2,"."&amp;$A$2&amp;$AU$1&amp;"P"&amp;$A34)</f>
        <v>112.36%</v>
      </c>
      <c r="EP34" s="3" t="str">
        <f>RTD("tos.rtd",,EP$2,"."&amp;$A$2&amp;$AW$1&amp;"C"&amp;$A34)</f>
        <v>25.13%</v>
      </c>
      <c r="EQ34" s="3" t="str">
        <f>RTD("tos.rtd",,EQ$2,"."&amp;$A$2&amp;$AW$1&amp;"P"&amp;$A34)</f>
        <v>26.36%</v>
      </c>
      <c r="ES34" s="63" t="str">
        <f t="shared" si="64"/>
        <v>552,1210.00</v>
      </c>
      <c r="ET34" s="63" t="str">
        <f t="shared" ca="1" si="65"/>
        <v>552,00.00</v>
      </c>
      <c r="EU34" s="67">
        <v>562.94000000000005</v>
      </c>
      <c r="EV34" s="67" t="s">
        <v>291</v>
      </c>
      <c r="EW34" s="67">
        <v>485.35</v>
      </c>
      <c r="EX34" s="67" t="s">
        <v>292</v>
      </c>
      <c r="EY34" s="67">
        <v>5643.25</v>
      </c>
      <c r="EZ34" s="67" t="s">
        <v>293</v>
      </c>
      <c r="FA34" s="67">
        <v>19938.5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6"/>
        <v>551</v>
      </c>
      <c r="B35" s="3">
        <f t="shared" si="9"/>
        <v>2195</v>
      </c>
      <c r="C35" s="3">
        <f t="shared" si="10"/>
        <v>6313</v>
      </c>
      <c r="D35" s="3">
        <f t="shared" si="11"/>
        <v>9942</v>
      </c>
      <c r="E35" s="3">
        <f t="shared" si="12"/>
        <v>18450</v>
      </c>
      <c r="F35" s="4">
        <f t="shared" si="13"/>
        <v>5545.1203966005669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-81</v>
      </c>
      <c r="AN35" s="1">
        <v>497</v>
      </c>
      <c r="AO35" s="1">
        <v>551</v>
      </c>
      <c r="AP35" s="1">
        <v>362</v>
      </c>
      <c r="AQ35" s="1">
        <v>-7523</v>
      </c>
      <c r="AR35" s="1"/>
      <c r="AS35" s="6">
        <f>IF(RTD("tos.rtd",,AS$2,"."&amp;$A$2&amp;$AS$1&amp;"C"&amp;$A35)="N/A",0,RTD("tos.rtd",,AS$2,"."&amp;$A$2&amp;$AS$1&amp;"C"&amp;$A35))</f>
        <v>440</v>
      </c>
      <c r="AT35" s="7">
        <f>-IF(RTD("tos.rtd",,AT$2,"."&amp;$A$2&amp;$AS$1&amp;"P"&amp;$A35)="N/A",0,RTD("tos.rtd",,AT$2,"."&amp;$A$2&amp;$AS$1&amp;"P"&amp;$A35))</f>
        <v>-1755</v>
      </c>
      <c r="AU35" s="6">
        <f>IF(RTD("tos.rtd",,AU$2,"."&amp;$A$2&amp;$AU$1&amp;"C"&amp;$A35)="N/A",0,RTD("tos.rtd",,AU$2,"."&amp;$A$2&amp;$AU$1&amp;"C"&amp;$A35))</f>
        <v>1137</v>
      </c>
      <c r="AV35" s="7">
        <f>-IF(RTD("tos.rtd",,AV$2,"."&amp;$A$2&amp;$AU$1&amp;"P"&amp;$A35)="N/A",0,RTD("tos.rtd",,AV$2,"."&amp;$A$2&amp;$AU$1&amp;"P"&amp;$A35))</f>
        <v>-5176</v>
      </c>
      <c r="AW35" s="6">
        <f>IF(RTD("tos.rtd",,AW$2,"."&amp;$A$2&amp;$AW$1&amp;"C"&amp;$A35)="N/A",0,RTD("tos.rtd",,AW$2,"."&amp;$A$2&amp;$AW$1&amp;"C"&amp;$A35))</f>
        <v>7295</v>
      </c>
      <c r="AX35" s="7">
        <f>-IF(RTD("tos.rtd",,AX$2,"."&amp;$A$2&amp;$AW$1&amp;"P"&amp;$A35)="N/A",0,RTD("tos.rtd",,AX$2,"."&amp;$A$2&amp;$AW$1&amp;"P"&amp;$A35))</f>
        <v>-2647</v>
      </c>
      <c r="AY35" s="1">
        <f t="shared" si="67"/>
        <v>-706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0</v>
      </c>
      <c r="BB35" s="7">
        <f>-IF(RTD("tos.rtd",,BB$2,"."&amp;$A$2&amp;$AS$1&amp;"P"&amp;$A35)="N/A",0,RTD("tos.rtd",,BB$2,"."&amp;$A$2&amp;$AS$1&amp;"P"&amp;$A35))</f>
        <v>0</v>
      </c>
      <c r="BC35" s="6">
        <f>IF(RTD("tos.rtd",,BC$2,"."&amp;$A$2&amp;$AU$1&amp;"C"&amp;$A35)="N/A",0,RTD("tos.rtd",,BC$2,"."&amp;$A$2&amp;$AU$1&amp;"C"&amp;$A35))</f>
        <v>210</v>
      </c>
      <c r="BD35" s="7">
        <f>-IF(RTD("tos.rtd",,BD$2,"."&amp;$A$2&amp;$AU$1&amp;"P"&amp;$A35)="N/A",0,RTD("tos.rtd",,BD$2,"."&amp;$A$2&amp;$AU$1&amp;"P"&amp;$A35))</f>
        <v>-8178</v>
      </c>
      <c r="BE35" s="6">
        <f>IF(RTD("tos.rtd",,BE$2,"."&amp;$A$2&amp;$AW$1&amp;"C"&amp;$A35)="N/A",0,RTD("tos.rtd",,BE$2,"."&amp;$A$2&amp;$AW$1&amp;"C"&amp;$A35))</f>
        <v>35</v>
      </c>
      <c r="BF35" s="83">
        <f>-IF(RTD("tos.rtd",,BF$2,"."&amp;$A$2&amp;$AW$1&amp;"P"&amp;$A35)="N/A",0,RTD("tos.rtd",,BF$2,"."&amp;$A$2&amp;$AW$1&amp;"P"&amp;$A35))</f>
        <v>-2487</v>
      </c>
      <c r="BG35" s="32">
        <f ca="1">+Hoja2!Y36</f>
        <v>-410</v>
      </c>
      <c r="BH35" s="7">
        <f t="shared" ca="1" si="36"/>
        <v>-10830</v>
      </c>
      <c r="BI35" s="8" t="str">
        <f t="shared" ref="BI35" ca="1" si="194">IF(AND(BH35&lt;0,BH34&gt;0), "Cruce -", IF(AND(BH35&gt;0,BH34&lt;0),"Cruce +", ""))</f>
        <v/>
      </c>
      <c r="BJ35" s="3" t="e">
        <f ca="1">IF($BP$1=1,DX35,IF(RTD("tos.rtd",,BJ$2,"."&amp;$A$2&amp;$AS$1&amp;"C"&amp;$A35)="N/A",0,RTD("tos.rtd",,BJ$2,"."&amp;$A$2&amp;$AS$1&amp;"C"&amp;$A35)))</f>
        <v>#NUM!</v>
      </c>
      <c r="BK35" s="3" t="e">
        <f ca="1">IF($BP$1=1,DY35,-IF(RTD("tos.rtd",,BK$2,"."&amp;$A$2&amp;$AS$1&amp;"P"&amp;$A35)="N/A",0,RTD("tos.rtd",,BK$2,"."&amp;$A$2&amp;$AS$1&amp;"P"&amp;$A35)))</f>
        <v>#NUM!</v>
      </c>
      <c r="BL35" s="3" t="e">
        <f ca="1">IF($BP$1=1,DZ35,IF(RTD("tos.rtd",,BL$2,"."&amp;$A$2&amp;$AU$1&amp;"C"&amp;$A35)="N/A",0,RTD("tos.rtd",,BL$2,"."&amp;$A$2&amp;$AU$1&amp;"C"&amp;$A35)))</f>
        <v>#NUM!</v>
      </c>
      <c r="BM35" s="3" t="e">
        <f ca="1">IF($BP$1=1,EA35,-IF(RTD("tos.rtd",,BM$2,"."&amp;$A$2&amp;$AU$1&amp;"P"&amp;$A35)="N/A",0,RTD("tos.rtd",,BM$2,"."&amp;$A$2&amp;$AU$1&amp;"P"&amp;$A35)))</f>
        <v>#NUM!</v>
      </c>
      <c r="BN35" s="3" t="e">
        <f ca="1">IF($BP$1=1,EB35,IF(RTD("tos.rtd",,BN$2,"."&amp;$A$2&amp;$AW$1&amp;"C"&amp;$A35)="N/A",0,RTD("tos.rtd",,BN$2,"."&amp;$A$2&amp;$AW$1&amp;"C"&amp;$A35)))</f>
        <v>#NUM!</v>
      </c>
      <c r="BO35" s="3" t="e">
        <f ca="1">IF($BP$1=1,EC35,-IF(RTD("tos.rtd",,BO$2,"."&amp;$A$2&amp;$AW$1&amp;"P"&amp;$A35)="N/A",0,RTD("tos.rtd",,BO$2,"."&amp;$A$2&amp;$AW$1&amp;"P"&amp;$A35)))</f>
        <v>#NUM!</v>
      </c>
      <c r="BQ35" s="3" t="e">
        <f t="shared" ca="1" si="37"/>
        <v>#NUM!</v>
      </c>
      <c r="BR35" s="3" t="e">
        <f t="shared" ca="1" si="69"/>
        <v>#NUM!</v>
      </c>
      <c r="BS35" s="3" t="e">
        <f t="shared" ca="1" si="38"/>
        <v>#NUM!</v>
      </c>
      <c r="BT35" s="3" t="e">
        <f t="shared" ca="1" si="69"/>
        <v>#NUM!</v>
      </c>
      <c r="BU35" s="3" t="e">
        <f t="shared" ca="1" si="39"/>
        <v>#NUM!</v>
      </c>
      <c r="BV35" s="3" t="e">
        <f t="shared" ref="BV35" ca="1" si="195">IF(AND(BU35&lt;0,BU34&gt;0), "Cruce -", IF(AND(BU35&gt;0,BU34&lt;0),"Cruce +", ""))</f>
        <v>#NUM!</v>
      </c>
      <c r="BX35" s="3" t="e">
        <f t="shared" ca="1" si="40"/>
        <v>#NUM!</v>
      </c>
      <c r="BY35" s="3" t="e">
        <f t="shared" ca="1" si="71"/>
        <v>#NUM!</v>
      </c>
      <c r="BZ35" s="3" t="e">
        <f t="shared" ca="1" si="41"/>
        <v>#NUM!</v>
      </c>
      <c r="CA35" s="3" t="e">
        <f t="shared" ca="1" si="72"/>
        <v>#NUM!</v>
      </c>
      <c r="CB35" s="3" t="e">
        <f t="shared" ca="1" si="42"/>
        <v>#NUM!</v>
      </c>
      <c r="CC35" s="3" t="e">
        <f t="shared" ca="1" si="73"/>
        <v>#NUM!</v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1</v>
      </c>
      <c r="CG35" s="3">
        <f>-IF(RTD("tos.rtd",,CG$2,"."&amp;$A$2&amp;$AU$1&amp;"P"&amp;$A35)="N/A",0,RTD("tos.rtd",,CG$2,"."&amp;$A$2&amp;$AU$1&amp;"P"&amp;$A35))</f>
        <v>0</v>
      </c>
      <c r="CH35" s="3">
        <f>IF(RTD("tos.rtd",,CH$2,"."&amp;$A$2&amp;$AW$1&amp;"C"&amp;$A35)="N/A",0,RTD("tos.rtd",,CH$2,"."&amp;$A$2&amp;$AW$1&amp;"C"&amp;$A35))</f>
        <v>0.81</v>
      </c>
      <c r="CI35" s="3">
        <f>-IF(RTD("tos.rtd",,CI$2,"."&amp;$A$2&amp;$AW$1&amp;"P"&amp;$A35)="N/A",0,RTD("tos.rtd",,CI$2,"."&amp;$A$2&amp;$AW$1&amp;"P"&amp;$A35))</f>
        <v>0.21</v>
      </c>
      <c r="CK35" s="3">
        <f t="shared" si="17"/>
        <v>44000</v>
      </c>
      <c r="CL35" s="3"/>
      <c r="CM35" s="3">
        <f t="shared" si="18"/>
        <v>113700</v>
      </c>
      <c r="CN35" s="3"/>
      <c r="CO35" s="3">
        <f t="shared" si="19"/>
        <v>535308.00000000012</v>
      </c>
      <c r="CP35" s="3">
        <f t="shared" si="43"/>
        <v>693008.00000000012</v>
      </c>
      <c r="CQ35" s="3">
        <f t="shared" si="44"/>
        <v>0</v>
      </c>
      <c r="CR35" s="3"/>
      <c r="CS35" s="3">
        <f t="shared" si="20"/>
        <v>-7968</v>
      </c>
      <c r="CT35" s="3"/>
      <c r="CU35" s="3">
        <f t="shared" si="21"/>
        <v>-2452</v>
      </c>
      <c r="CV35" s="3">
        <f t="shared" si="45"/>
        <v>-10420</v>
      </c>
      <c r="CW35" s="3" t="e">
        <f t="shared" ca="1" si="46"/>
        <v>#NUM!</v>
      </c>
      <c r="CX35" s="85" t="e">
        <f t="shared" ca="1" si="74"/>
        <v>#NUM!</v>
      </c>
      <c r="CY35" s="3" t="e">
        <f t="shared" ca="1" si="47"/>
        <v>#NUM!</v>
      </c>
      <c r="CZ35" s="85" t="e">
        <f t="shared" ca="1" si="75"/>
        <v>#NUM!</v>
      </c>
      <c r="DA35" s="3">
        <f>IF(RTD("tos.rtd",,DA$2,"."&amp;$A$2&amp;$AS$1&amp;"C"&amp;$A35)="N/A",0,RTD("tos.rtd",,DA$2,"."&amp;$A$2&amp;$AS$1&amp;"C"&amp;$A35))</f>
        <v>11.64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13.04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10.97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-13.799999999999955</v>
      </c>
      <c r="DH35" s="3">
        <f t="shared" si="22"/>
        <v>-117.16908212560395</v>
      </c>
      <c r="DI35" s="3">
        <f t="shared" si="49"/>
        <v>7523</v>
      </c>
      <c r="DJ35" s="3">
        <f t="shared" si="50"/>
        <v>362</v>
      </c>
      <c r="DK35" s="3">
        <f t="shared" si="51"/>
        <v>7523</v>
      </c>
      <c r="DL35" s="3">
        <f t="shared" si="52"/>
        <v>7405.8309178743957</v>
      </c>
      <c r="DM35" s="3">
        <f t="shared" si="53"/>
        <v>7885</v>
      </c>
      <c r="DN35" s="63" t="str">
        <f t="shared" si="54"/>
        <v>UNKNOWN</v>
      </c>
      <c r="DO35" s="63" t="str">
        <f t="shared" si="55"/>
        <v>UNKNOWN</v>
      </c>
      <c r="DP35" s="3">
        <f t="shared" si="56"/>
        <v>-1288.61811594203</v>
      </c>
      <c r="DQ35" s="3">
        <f t="shared" si="57"/>
        <v>4288.91</v>
      </c>
      <c r="DR35" s="3" t="e">
        <f t="shared" ca="1" si="58"/>
        <v>#NUM!</v>
      </c>
      <c r="DS35" s="3">
        <f t="shared" si="59"/>
        <v>362</v>
      </c>
      <c r="DT35" s="3">
        <f t="shared" si="60"/>
        <v>-362</v>
      </c>
      <c r="DU35" s="3">
        <f t="shared" si="61"/>
        <v>7523</v>
      </c>
      <c r="DV35" s="3">
        <f t="shared" si="62"/>
        <v>-81</v>
      </c>
      <c r="DW35" s="3">
        <f t="shared" si="23"/>
        <v>497</v>
      </c>
      <c r="DX35" s="3" t="e">
        <f t="shared" ca="1" si="24"/>
        <v>#NUM!</v>
      </c>
      <c r="DY35" s="3" t="e">
        <f t="shared" ca="1" si="25"/>
        <v>#NUM!</v>
      </c>
      <c r="DZ35" s="3" t="e">
        <f t="shared" ca="1" si="26"/>
        <v>#NUM!</v>
      </c>
      <c r="EA35" s="3" t="e">
        <f t="shared" ca="1" si="27"/>
        <v>#NUM!</v>
      </c>
      <c r="EB35" s="3" t="e">
        <f t="shared" ca="1" si="28"/>
        <v>#NUM!</v>
      </c>
      <c r="EC35" s="3" t="e">
        <f t="shared" ca="1" si="29"/>
        <v>#NUM!</v>
      </c>
      <c r="EE35" s="59">
        <f t="shared" si="63"/>
        <v>0.25</v>
      </c>
      <c r="EF35" s="59">
        <f t="shared" si="30"/>
        <v>1.2033</v>
      </c>
      <c r="EG35" s="59">
        <f t="shared" si="31"/>
        <v>0.25</v>
      </c>
      <c r="EH35" s="59">
        <f t="shared" si="32"/>
        <v>1.2033</v>
      </c>
      <c r="EI35" s="59">
        <f t="shared" si="33"/>
        <v>0.25190000000000001</v>
      </c>
      <c r="EJ35" s="59">
        <f t="shared" si="34"/>
        <v>0.26529999999999998</v>
      </c>
      <c r="EL35" s="3" t="str">
        <f>RTD("tos.rtd",,EL$2,"."&amp;$A$2&amp;$AS$1&amp;"C"&amp;$A35)</f>
        <v>--</v>
      </c>
      <c r="EM35" s="3" t="str">
        <f>RTD("tos.rtd",,EM$2,"."&amp;$A$2&amp;$AS$1&amp;"P"&amp;$A35)</f>
        <v>120.33%</v>
      </c>
      <c r="EN35" s="3" t="str">
        <f>RTD("tos.rtd",,EN$2,"."&amp;$A$2&amp;$AU$1&amp;"C"&amp;$A35)</f>
        <v>--</v>
      </c>
      <c r="EO35" s="3" t="str">
        <f>RTD("tos.rtd",,EO$2,"."&amp;$A$2&amp;$AU$1&amp;"P"&amp;$A35)</f>
        <v>120.33%</v>
      </c>
      <c r="EP35" s="3" t="str">
        <f>RTD("tos.rtd",,EP$2,"."&amp;$A$2&amp;$AW$1&amp;"C"&amp;$A35)</f>
        <v>25.19%</v>
      </c>
      <c r="EQ35" s="3" t="str">
        <f>RTD("tos.rtd",,EQ$2,"."&amp;$A$2&amp;$AW$1&amp;"P"&amp;$A35)</f>
        <v>26.53%</v>
      </c>
      <c r="ES35" s="63" t="str">
        <f t="shared" si="64"/>
        <v>551,416.00</v>
      </c>
      <c r="ET35" s="63" t="str">
        <f t="shared" ca="1" si="65"/>
        <v>551,00.00</v>
      </c>
      <c r="EU35" s="67">
        <v>562.97</v>
      </c>
      <c r="EV35" s="67" t="s">
        <v>299</v>
      </c>
      <c r="EW35" s="67">
        <v>485.32</v>
      </c>
      <c r="EX35" s="67" t="s">
        <v>300</v>
      </c>
      <c r="EY35" s="67">
        <v>5643.5</v>
      </c>
      <c r="EZ35" s="67" t="s">
        <v>301</v>
      </c>
      <c r="FA35" s="67">
        <v>19937.25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6"/>
        <v>550</v>
      </c>
      <c r="B36" s="3">
        <f t="shared" si="9"/>
        <v>9873</v>
      </c>
      <c r="C36" s="3">
        <f t="shared" si="10"/>
        <v>39019</v>
      </c>
      <c r="D36" s="3">
        <f t="shared" si="11"/>
        <v>93045</v>
      </c>
      <c r="E36" s="3">
        <f t="shared" si="12"/>
        <v>141937</v>
      </c>
      <c r="F36" s="4">
        <f t="shared" si="13"/>
        <v>5535.0566572237958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87</v>
      </c>
      <c r="AN36" s="1">
        <v>-6026</v>
      </c>
      <c r="AO36" s="1">
        <v>550</v>
      </c>
      <c r="AP36" s="1">
        <v>754</v>
      </c>
      <c r="AQ36" s="1">
        <v>-15398</v>
      </c>
      <c r="AR36" s="1"/>
      <c r="AS36" s="6">
        <f>IF(RTD("tos.rtd",,AS$2,"."&amp;$A$2&amp;$AS$1&amp;"C"&amp;$A36)="N/A",0,RTD("tos.rtd",,AS$2,"."&amp;$A$2&amp;$AS$1&amp;"C"&amp;$A36))</f>
        <v>2356</v>
      </c>
      <c r="AT36" s="7">
        <f>-IF(RTD("tos.rtd",,AT$2,"."&amp;$A$2&amp;$AS$1&amp;"P"&amp;$A36)="N/A",0,RTD("tos.rtd",,AT$2,"."&amp;$A$2&amp;$AS$1&amp;"P"&amp;$A36))</f>
        <v>-7517</v>
      </c>
      <c r="AU36" s="6">
        <f>IF(RTD("tos.rtd",,AU$2,"."&amp;$A$2&amp;$AU$1&amp;"C"&amp;$A36)="N/A",0,RTD("tos.rtd",,AU$2,"."&amp;$A$2&amp;$AU$1&amp;"C"&amp;$A36))</f>
        <v>8580</v>
      </c>
      <c r="AV36" s="7">
        <f>-IF(RTD("tos.rtd",,AV$2,"."&amp;$A$2&amp;$AU$1&amp;"P"&amp;$A36)="N/A",0,RTD("tos.rtd",,AV$2,"."&amp;$A$2&amp;$AU$1&amp;"P"&amp;$A36))</f>
        <v>-30439</v>
      </c>
      <c r="AW36" s="6">
        <f>IF(RTD("tos.rtd",,AW$2,"."&amp;$A$2&amp;$AW$1&amp;"C"&amp;$A36)="N/A",0,RTD("tos.rtd",,AW$2,"."&amp;$A$2&amp;$AW$1&amp;"C"&amp;$A36))</f>
        <v>25029</v>
      </c>
      <c r="AX36" s="7">
        <f>-IF(RTD("tos.rtd",,AX$2,"."&amp;$A$2&amp;$AW$1&amp;"P"&amp;$A36)="N/A",0,RTD("tos.rtd",,AX$2,"."&amp;$A$2&amp;$AW$1&amp;"P"&amp;$A36))</f>
        <v>-68016</v>
      </c>
      <c r="AY36" s="1">
        <f t="shared" si="67"/>
        <v>-70007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0</v>
      </c>
      <c r="BB36" s="7">
        <f>-IF(RTD("tos.rtd",,BB$2,"."&amp;$A$2&amp;$AS$1&amp;"P"&amp;$A36)="N/A",0,RTD("tos.rtd",,BB$2,"."&amp;$A$2&amp;$AS$1&amp;"P"&amp;$A36))</f>
        <v>0</v>
      </c>
      <c r="BC36" s="6">
        <f>IF(RTD("tos.rtd",,BC$2,"."&amp;$A$2&amp;$AU$1&amp;"C"&amp;$A36)="N/A",0,RTD("tos.rtd",,BC$2,"."&amp;$A$2&amp;$AU$1&amp;"C"&amp;$A36))</f>
        <v>821</v>
      </c>
      <c r="BD36" s="7">
        <f>-IF(RTD("tos.rtd",,BD$2,"."&amp;$A$2&amp;$AU$1&amp;"P"&amp;$A36)="N/A",0,RTD("tos.rtd",,BD$2,"."&amp;$A$2&amp;$AU$1&amp;"P"&amp;$A36))</f>
        <v>-19768</v>
      </c>
      <c r="BE36" s="6">
        <f>IF(RTD("tos.rtd",,BE$2,"."&amp;$A$2&amp;$AW$1&amp;"C"&amp;$A36)="N/A",0,RTD("tos.rtd",,BE$2,"."&amp;$A$2&amp;$AW$1&amp;"C"&amp;$A36))</f>
        <v>754</v>
      </c>
      <c r="BF36" s="83">
        <f>-IF(RTD("tos.rtd",,BF$2,"."&amp;$A$2&amp;$AW$1&amp;"P"&amp;$A36)="N/A",0,RTD("tos.rtd",,BF$2,"."&amp;$A$2&amp;$AW$1&amp;"P"&amp;$A36))</f>
        <v>-58889</v>
      </c>
      <c r="BG36" s="32">
        <f ca="1">+Hoja2!Y37</f>
        <v>-21245</v>
      </c>
      <c r="BH36" s="7">
        <f t="shared" ca="1" si="36"/>
        <v>-98327</v>
      </c>
      <c r="BI36" s="8" t="str">
        <f t="shared" ref="BI36" ca="1" si="196">IF(AND(BH36&lt;0,BH35&gt;0), "Cruce -", IF(AND(BH36&gt;0,BH35&lt;0),"Cruce +", ""))</f>
        <v/>
      </c>
      <c r="BJ36" s="3" t="e">
        <f ca="1">IF($BP$1=1,DX36,IF(RTD("tos.rtd",,BJ$2,"."&amp;$A$2&amp;$AS$1&amp;"C"&amp;$A36)="N/A",0,RTD("tos.rtd",,BJ$2,"."&amp;$A$2&amp;$AS$1&amp;"C"&amp;$A36)))</f>
        <v>#NUM!</v>
      </c>
      <c r="BK36" s="3" t="e">
        <f ca="1">IF($BP$1=1,DY36,-IF(RTD("tos.rtd",,BK$2,"."&amp;$A$2&amp;$AS$1&amp;"P"&amp;$A36)="N/A",0,RTD("tos.rtd",,BK$2,"."&amp;$A$2&amp;$AS$1&amp;"P"&amp;$A36)))</f>
        <v>#NUM!</v>
      </c>
      <c r="BL36" s="3" t="e">
        <f ca="1">IF($BP$1=1,DZ36,IF(RTD("tos.rtd",,BL$2,"."&amp;$A$2&amp;$AU$1&amp;"C"&amp;$A36)="N/A",0,RTD("tos.rtd",,BL$2,"."&amp;$A$2&amp;$AU$1&amp;"C"&amp;$A36)))</f>
        <v>#NUM!</v>
      </c>
      <c r="BM36" s="3" t="e">
        <f ca="1">IF($BP$1=1,EA36,-IF(RTD("tos.rtd",,BM$2,"."&amp;$A$2&amp;$AU$1&amp;"P"&amp;$A36)="N/A",0,RTD("tos.rtd",,BM$2,"."&amp;$A$2&amp;$AU$1&amp;"P"&amp;$A36)))</f>
        <v>#NUM!</v>
      </c>
      <c r="BN36" s="3" t="e">
        <f ca="1">IF($BP$1=1,EB36,IF(RTD("tos.rtd",,BN$2,"."&amp;$A$2&amp;$AW$1&amp;"C"&amp;$A36)="N/A",0,RTD("tos.rtd",,BN$2,"."&amp;$A$2&amp;$AW$1&amp;"C"&amp;$A36)))</f>
        <v>#NUM!</v>
      </c>
      <c r="BO36" s="3" t="e">
        <f ca="1">IF($BP$1=1,EC36,-IF(RTD("tos.rtd",,BO$2,"."&amp;$A$2&amp;$AW$1&amp;"P"&amp;$A36)="N/A",0,RTD("tos.rtd",,BO$2,"."&amp;$A$2&amp;$AW$1&amp;"P"&amp;$A36)))</f>
        <v>#NUM!</v>
      </c>
      <c r="BQ36" s="3" t="e">
        <f t="shared" ca="1" si="37"/>
        <v>#NUM!</v>
      </c>
      <c r="BR36" s="3" t="e">
        <f t="shared" ca="1" si="69"/>
        <v>#NUM!</v>
      </c>
      <c r="BS36" s="3" t="e">
        <f t="shared" ca="1" si="38"/>
        <v>#NUM!</v>
      </c>
      <c r="BT36" s="3" t="e">
        <f t="shared" ca="1" si="69"/>
        <v>#NUM!</v>
      </c>
      <c r="BU36" s="3" t="e">
        <f t="shared" ca="1" si="39"/>
        <v>#NUM!</v>
      </c>
      <c r="BV36" s="3" t="e">
        <f t="shared" ref="BV36" ca="1" si="197">IF(AND(BU36&lt;0,BU35&gt;0), "Cruce -", IF(AND(BU36&gt;0,BU35&lt;0),"Cruce +", ""))</f>
        <v>#NUM!</v>
      </c>
      <c r="BX36" s="3" t="e">
        <f t="shared" ca="1" si="40"/>
        <v>#NUM!</v>
      </c>
      <c r="BY36" s="3" t="e">
        <f t="shared" ca="1" si="71"/>
        <v>#NUM!</v>
      </c>
      <c r="BZ36" s="3" t="e">
        <f t="shared" ca="1" si="41"/>
        <v>#NUM!</v>
      </c>
      <c r="CA36" s="3" t="e">
        <f t="shared" ca="1" si="72"/>
        <v>#NUM!</v>
      </c>
      <c r="CB36" s="3" t="e">
        <f t="shared" ca="1" si="42"/>
        <v>#NUM!</v>
      </c>
      <c r="CC36" s="3" t="e">
        <f t="shared" ca="1" si="73"/>
        <v>#NUM!</v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1</v>
      </c>
      <c r="CG36" s="3">
        <f>-IF(RTD("tos.rtd",,CG$2,"."&amp;$A$2&amp;$AU$1&amp;"P"&amp;$A36)="N/A",0,RTD("tos.rtd",,CG$2,"."&amp;$A$2&amp;$AU$1&amp;"P"&amp;$A36))</f>
        <v>0</v>
      </c>
      <c r="CH36" s="3">
        <f>IF(RTD("tos.rtd",,CH$2,"."&amp;$A$2&amp;$AW$1&amp;"C"&amp;$A36)="N/A",0,RTD("tos.rtd",,CH$2,"."&amp;$A$2&amp;$AW$1&amp;"C"&amp;$A36))</f>
        <v>0.82</v>
      </c>
      <c r="CI36" s="3">
        <f>-IF(RTD("tos.rtd",,CI$2,"."&amp;$A$2&amp;$AW$1&amp;"P"&amp;$A36)="N/A",0,RTD("tos.rtd",,CI$2,"."&amp;$A$2&amp;$AW$1&amp;"P"&amp;$A36))</f>
        <v>0.19</v>
      </c>
      <c r="CK36" s="3">
        <f t="shared" si="17"/>
        <v>235600</v>
      </c>
      <c r="CL36" s="3"/>
      <c r="CM36" s="3">
        <f t="shared" si="18"/>
        <v>858000</v>
      </c>
      <c r="CN36" s="3"/>
      <c r="CO36" s="3">
        <f t="shared" si="19"/>
        <v>760074</v>
      </c>
      <c r="CP36" s="3">
        <f t="shared" si="43"/>
        <v>1853674</v>
      </c>
      <c r="CQ36" s="3">
        <f t="shared" si="44"/>
        <v>0</v>
      </c>
      <c r="CR36" s="3"/>
      <c r="CS36" s="3">
        <f t="shared" si="20"/>
        <v>-18947</v>
      </c>
      <c r="CT36" s="3"/>
      <c r="CU36" s="3">
        <f t="shared" si="21"/>
        <v>-58135</v>
      </c>
      <c r="CV36" s="3">
        <f t="shared" si="45"/>
        <v>-77082</v>
      </c>
      <c r="CW36" s="3" t="e">
        <f t="shared" ca="1" si="46"/>
        <v>#NUM!</v>
      </c>
      <c r="CX36" s="85" t="e">
        <f t="shared" ca="1" si="74"/>
        <v>#NUM!</v>
      </c>
      <c r="CY36" s="3" t="e">
        <f t="shared" ca="1" si="47"/>
        <v>#NUM!</v>
      </c>
      <c r="CZ36" s="85" t="e">
        <f t="shared" ca="1" si="75"/>
        <v>#NUM!</v>
      </c>
      <c r="DA36" s="3">
        <f>IF(RTD("tos.rtd",,DA$2,"."&amp;$A$2&amp;$AS$1&amp;"C"&amp;$A36)="N/A",0,RTD("tos.rtd",,DA$2,"."&amp;$A$2&amp;$AS$1&amp;"C"&amp;$A36))</f>
        <v>12.9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13.1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12.19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-14.799999999999955</v>
      </c>
      <c r="DH36" s="3">
        <f t="shared" si="22"/>
        <v>-588.2857142857149</v>
      </c>
      <c r="DI36" s="3">
        <f t="shared" si="49"/>
        <v>15398</v>
      </c>
      <c r="DJ36" s="3">
        <f t="shared" si="50"/>
        <v>-754</v>
      </c>
      <c r="DK36" s="3">
        <f t="shared" si="51"/>
        <v>15398</v>
      </c>
      <c r="DL36" s="3">
        <f t="shared" si="52"/>
        <v>14809.714285714284</v>
      </c>
      <c r="DM36" s="3">
        <f t="shared" si="53"/>
        <v>14644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-7434.9057142857228</v>
      </c>
      <c r="DQ36" s="3">
        <f t="shared" si="57"/>
        <v>-9572.6200000000008</v>
      </c>
      <c r="DR36" s="3" t="e">
        <f t="shared" ca="1" si="58"/>
        <v>#NUM!</v>
      </c>
      <c r="DS36" s="3">
        <f t="shared" si="59"/>
        <v>-754</v>
      </c>
      <c r="DT36" s="3">
        <f t="shared" si="60"/>
        <v>-754</v>
      </c>
      <c r="DU36" s="3">
        <f t="shared" si="61"/>
        <v>15398</v>
      </c>
      <c r="DV36" s="3">
        <f t="shared" si="62"/>
        <v>87</v>
      </c>
      <c r="DW36" s="3">
        <f t="shared" si="23"/>
        <v>-6026</v>
      </c>
      <c r="DX36" s="3" t="e">
        <f t="shared" ca="1" si="24"/>
        <v>#NUM!</v>
      </c>
      <c r="DY36" s="3" t="e">
        <f t="shared" ca="1" si="25"/>
        <v>#NUM!</v>
      </c>
      <c r="DZ36" s="3" t="e">
        <f t="shared" ca="1" si="26"/>
        <v>#NUM!</v>
      </c>
      <c r="EA36" s="3" t="e">
        <f t="shared" ca="1" si="27"/>
        <v>#NUM!</v>
      </c>
      <c r="EB36" s="3" t="e">
        <f t="shared" ca="1" si="28"/>
        <v>#NUM!</v>
      </c>
      <c r="EC36" s="3" t="e">
        <f t="shared" ca="1" si="29"/>
        <v>#NUM!</v>
      </c>
      <c r="EE36" s="59">
        <f t="shared" si="63"/>
        <v>0.25</v>
      </c>
      <c r="EF36" s="59">
        <f t="shared" si="30"/>
        <v>1.2827</v>
      </c>
      <c r="EG36" s="59">
        <f t="shared" si="31"/>
        <v>0.25</v>
      </c>
      <c r="EH36" s="59">
        <f t="shared" si="32"/>
        <v>1.2827</v>
      </c>
      <c r="EI36" s="59">
        <f t="shared" si="33"/>
        <v>0.25290000000000001</v>
      </c>
      <c r="EJ36" s="59">
        <f t="shared" si="34"/>
        <v>0.26700000000000002</v>
      </c>
      <c r="EL36" s="3" t="str">
        <f>RTD("tos.rtd",,EL$2,"."&amp;$A$2&amp;$AS$1&amp;"C"&amp;$A36)</f>
        <v>--</v>
      </c>
      <c r="EM36" s="3" t="str">
        <f>RTD("tos.rtd",,EM$2,"."&amp;$A$2&amp;$AS$1&amp;"P"&amp;$A36)</f>
        <v>128.27%</v>
      </c>
      <c r="EN36" s="3" t="str">
        <f>RTD("tos.rtd",,EN$2,"."&amp;$A$2&amp;$AU$1&amp;"C"&amp;$A36)</f>
        <v>--</v>
      </c>
      <c r="EO36" s="3" t="str">
        <f>RTD("tos.rtd",,EO$2,"."&amp;$A$2&amp;$AU$1&amp;"P"&amp;$A36)</f>
        <v>128.27%</v>
      </c>
      <c r="EP36" s="3" t="str">
        <f>RTD("tos.rtd",,EP$2,"."&amp;$A$2&amp;$AW$1&amp;"C"&amp;$A36)</f>
        <v>25.29%</v>
      </c>
      <c r="EQ36" s="3" t="str">
        <f>RTD("tos.rtd",,EQ$2,"."&amp;$A$2&amp;$AW$1&amp;"P"&amp;$A36)</f>
        <v>26.70%</v>
      </c>
      <c r="ES36" s="63" t="str">
        <f t="shared" si="64"/>
        <v>550,-5939.00</v>
      </c>
      <c r="ET36" s="63" t="str">
        <f t="shared" ca="1" si="65"/>
        <v>550,00.00</v>
      </c>
      <c r="EU36" s="67">
        <v>562.92999999999995</v>
      </c>
      <c r="EV36" s="67" t="s">
        <v>307</v>
      </c>
      <c r="EW36" s="67">
        <v>485.27</v>
      </c>
      <c r="EX36" s="67" t="s">
        <v>308</v>
      </c>
      <c r="EY36" s="67">
        <v>5643.25</v>
      </c>
      <c r="EZ36" s="67" t="s">
        <v>309</v>
      </c>
      <c r="FA36" s="67">
        <v>19935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6"/>
        <v>549</v>
      </c>
      <c r="B37" s="3">
        <f t="shared" si="9"/>
        <v>2496</v>
      </c>
      <c r="C37" s="3">
        <f t="shared" si="10"/>
        <v>6288</v>
      </c>
      <c r="D37" s="3">
        <f t="shared" si="11"/>
        <v>9312</v>
      </c>
      <c r="E37" s="3">
        <f t="shared" si="12"/>
        <v>18096</v>
      </c>
      <c r="F37" s="4">
        <f t="shared" si="13"/>
        <v>5524.9929178470256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-4</v>
      </c>
      <c r="AN37" s="1">
        <v>-217</v>
      </c>
      <c r="AO37" s="1">
        <v>549</v>
      </c>
      <c r="AP37" s="1">
        <v>68</v>
      </c>
      <c r="AQ37" s="1">
        <v>-3667</v>
      </c>
      <c r="AR37" s="1"/>
      <c r="AS37" s="6">
        <f>IF(RTD("tos.rtd",,AS$2,"."&amp;$A$2&amp;$AS$1&amp;"C"&amp;$A37)="N/A",0,RTD("tos.rtd",,AS$2,"."&amp;$A$2&amp;$AS$1&amp;"C"&amp;$A37))</f>
        <v>537</v>
      </c>
      <c r="AT37" s="7">
        <f>-IF(RTD("tos.rtd",,AT$2,"."&amp;$A$2&amp;$AS$1&amp;"P"&amp;$A37)="N/A",0,RTD("tos.rtd",,AT$2,"."&amp;$A$2&amp;$AS$1&amp;"P"&amp;$A37))</f>
        <v>-1959</v>
      </c>
      <c r="AU37" s="6">
        <f>IF(RTD("tos.rtd",,AU$2,"."&amp;$A$2&amp;$AU$1&amp;"C"&amp;$A37)="N/A",0,RTD("tos.rtd",,AU$2,"."&amp;$A$2&amp;$AU$1&amp;"C"&amp;$A37))</f>
        <v>763</v>
      </c>
      <c r="AV37" s="7">
        <f>-IF(RTD("tos.rtd",,AV$2,"."&amp;$A$2&amp;$AU$1&amp;"P"&amp;$A37)="N/A",0,RTD("tos.rtd",,AV$2,"."&amp;$A$2&amp;$AU$1&amp;"P"&amp;$A37))</f>
        <v>-5525</v>
      </c>
      <c r="AW37" s="6">
        <f>IF(RTD("tos.rtd",,AW$2,"."&amp;$A$2&amp;$AW$1&amp;"C"&amp;$A37)="N/A",0,RTD("tos.rtd",,AW$2,"."&amp;$A$2&amp;$AW$1&amp;"C"&amp;$A37))</f>
        <v>4403</v>
      </c>
      <c r="AX37" s="7">
        <f>-IF(RTD("tos.rtd",,AX$2,"."&amp;$A$2&amp;$AW$1&amp;"P"&amp;$A37)="N/A",0,RTD("tos.rtd",,AX$2,"."&amp;$A$2&amp;$AW$1&amp;"P"&amp;$A37))</f>
        <v>-4909</v>
      </c>
      <c r="AY37" s="1">
        <f t="shared" si="67"/>
        <v>-6690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0</v>
      </c>
      <c r="BB37" s="7">
        <f>-IF(RTD("tos.rtd",,BB$2,"."&amp;$A$2&amp;$AS$1&amp;"P"&amp;$A37)="N/A",0,RTD("tos.rtd",,BB$2,"."&amp;$A$2&amp;$AS$1&amp;"P"&amp;$A37))</f>
        <v>0</v>
      </c>
      <c r="BC37" s="6">
        <f>IF(RTD("tos.rtd",,BC$2,"."&amp;$A$2&amp;$AU$1&amp;"C"&amp;$A37)="N/A",0,RTD("tos.rtd",,BC$2,"."&amp;$A$2&amp;$AU$1&amp;"C"&amp;$A37))</f>
        <v>74</v>
      </c>
      <c r="BD37" s="7">
        <f>-IF(RTD("tos.rtd",,BD$2,"."&amp;$A$2&amp;$AU$1&amp;"P"&amp;$A37)="N/A",0,RTD("tos.rtd",,BD$2,"."&amp;$A$2&amp;$AU$1&amp;"P"&amp;$A37))</f>
        <v>-8425</v>
      </c>
      <c r="BE37" s="6">
        <f>IF(RTD("tos.rtd",,BE$2,"."&amp;$A$2&amp;$AW$1&amp;"C"&amp;$A37)="N/A",0,RTD("tos.rtd",,BE$2,"."&amp;$A$2&amp;$AW$1&amp;"C"&amp;$A37))</f>
        <v>57</v>
      </c>
      <c r="BF37" s="83">
        <f>-IF(RTD("tos.rtd",,BF$2,"."&amp;$A$2&amp;$AW$1&amp;"P"&amp;$A37)="N/A",0,RTD("tos.rtd",,BF$2,"."&amp;$A$2&amp;$AW$1&amp;"P"&amp;$A37))</f>
        <v>-2265</v>
      </c>
      <c r="BG37" s="32">
        <f ca="1">+Hoja2!Y38</f>
        <v>-980</v>
      </c>
      <c r="BH37" s="7">
        <f t="shared" ca="1" si="36"/>
        <v>-11539</v>
      </c>
      <c r="BI37" s="8" t="str">
        <f t="shared" ref="BI37" ca="1" si="198">IF(AND(BH37&lt;0,BH36&gt;0), "Cruce -", IF(AND(BH37&gt;0,BH36&lt;0),"Cruce +", ""))</f>
        <v/>
      </c>
      <c r="BJ37" s="3" t="e">
        <f ca="1">IF($BP$1=1,DX37,IF(RTD("tos.rtd",,BJ$2,"."&amp;$A$2&amp;$AS$1&amp;"C"&amp;$A37)="N/A",0,RTD("tos.rtd",,BJ$2,"."&amp;$A$2&amp;$AS$1&amp;"C"&amp;$A37)))</f>
        <v>#NUM!</v>
      </c>
      <c r="BK37" s="3" t="e">
        <f ca="1">IF($BP$1=1,DY37,-IF(RTD("tos.rtd",,BK$2,"."&amp;$A$2&amp;$AS$1&amp;"P"&amp;$A37)="N/A",0,RTD("tos.rtd",,BK$2,"."&amp;$A$2&amp;$AS$1&amp;"P"&amp;$A37)))</f>
        <v>#NUM!</v>
      </c>
      <c r="BL37" s="3" t="e">
        <f ca="1">IF($BP$1=1,DZ37,IF(RTD("tos.rtd",,BL$2,"."&amp;$A$2&amp;$AU$1&amp;"C"&amp;$A37)="N/A",0,RTD("tos.rtd",,BL$2,"."&amp;$A$2&amp;$AU$1&amp;"C"&amp;$A37)))</f>
        <v>#NUM!</v>
      </c>
      <c r="BM37" s="3" t="e">
        <f ca="1">IF($BP$1=1,EA37,-IF(RTD("tos.rtd",,BM$2,"."&amp;$A$2&amp;$AU$1&amp;"P"&amp;$A37)="N/A",0,RTD("tos.rtd",,BM$2,"."&amp;$A$2&amp;$AU$1&amp;"P"&amp;$A37)))</f>
        <v>#NUM!</v>
      </c>
      <c r="BN37" s="3" t="e">
        <f ca="1">IF($BP$1=1,EB37,IF(RTD("tos.rtd",,BN$2,"."&amp;$A$2&amp;$AW$1&amp;"C"&amp;$A37)="N/A",0,RTD("tos.rtd",,BN$2,"."&amp;$A$2&amp;$AW$1&amp;"C"&amp;$A37)))</f>
        <v>#NUM!</v>
      </c>
      <c r="BO37" s="3" t="e">
        <f ca="1">IF($BP$1=1,EC37,-IF(RTD("tos.rtd",,BO$2,"."&amp;$A$2&amp;$AW$1&amp;"P"&amp;$A37)="N/A",0,RTD("tos.rtd",,BO$2,"."&amp;$A$2&amp;$AW$1&amp;"P"&amp;$A37)))</f>
        <v>#NUM!</v>
      </c>
      <c r="BQ37" s="3" t="e">
        <f t="shared" ca="1" si="37"/>
        <v>#NUM!</v>
      </c>
      <c r="BR37" s="3" t="e">
        <f t="shared" ca="1" si="69"/>
        <v>#NUM!</v>
      </c>
      <c r="BS37" s="3" t="e">
        <f t="shared" ca="1" si="38"/>
        <v>#NUM!</v>
      </c>
      <c r="BT37" s="3" t="e">
        <f t="shared" ca="1" si="69"/>
        <v>#NUM!</v>
      </c>
      <c r="BU37" s="3" t="e">
        <f t="shared" ca="1" si="39"/>
        <v>#NUM!</v>
      </c>
      <c r="BV37" s="3" t="e">
        <f t="shared" ref="BV37" ca="1" si="199">IF(AND(BU37&lt;0,BU36&gt;0), "Cruce -", IF(AND(BU37&gt;0,BU36&lt;0),"Cruce +", ""))</f>
        <v>#NUM!</v>
      </c>
      <c r="BX37" s="3" t="e">
        <f t="shared" ca="1" si="40"/>
        <v>#NUM!</v>
      </c>
      <c r="BY37" s="3" t="e">
        <f t="shared" ca="1" si="71"/>
        <v>#NUM!</v>
      </c>
      <c r="BZ37" s="3" t="e">
        <f t="shared" ca="1" si="41"/>
        <v>#NUM!</v>
      </c>
      <c r="CA37" s="3" t="e">
        <f t="shared" ca="1" si="72"/>
        <v>#NUM!</v>
      </c>
      <c r="CB37" s="3" t="e">
        <f t="shared" ca="1" si="42"/>
        <v>#NUM!</v>
      </c>
      <c r="CC37" s="3" t="e">
        <f t="shared" ca="1" si="73"/>
        <v>#NUM!</v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1</v>
      </c>
      <c r="CG37" s="3">
        <f>-IF(RTD("tos.rtd",,CG$2,"."&amp;$A$2&amp;$AU$1&amp;"P"&amp;$A37)="N/A",0,RTD("tos.rtd",,CG$2,"."&amp;$A$2&amp;$AU$1&amp;"P"&amp;$A37))</f>
        <v>0</v>
      </c>
      <c r="CH37" s="3">
        <f>IF(RTD("tos.rtd",,CH$2,"."&amp;$A$2&amp;$AW$1&amp;"C"&amp;$A37)="N/A",0,RTD("tos.rtd",,CH$2,"."&amp;$A$2&amp;$AW$1&amp;"C"&amp;$A37))</f>
        <v>0.84</v>
      </c>
      <c r="CI37" s="3">
        <f>-IF(RTD("tos.rtd",,CI$2,"."&amp;$A$2&amp;$AW$1&amp;"P"&amp;$A37)="N/A",0,RTD("tos.rtd",,CI$2,"."&amp;$A$2&amp;$AW$1&amp;"P"&amp;$A37))</f>
        <v>0.18</v>
      </c>
      <c r="CK37" s="3">
        <f t="shared" si="17"/>
        <v>53700</v>
      </c>
      <c r="CL37" s="3"/>
      <c r="CM37" s="3">
        <f t="shared" si="18"/>
        <v>76300</v>
      </c>
      <c r="CN37" s="3"/>
      <c r="CO37" s="3">
        <f t="shared" si="19"/>
        <v>281490</v>
      </c>
      <c r="CP37" s="3">
        <f t="shared" si="43"/>
        <v>411490</v>
      </c>
      <c r="CQ37" s="3">
        <f t="shared" si="44"/>
        <v>0</v>
      </c>
      <c r="CR37" s="3"/>
      <c r="CS37" s="3">
        <f t="shared" si="20"/>
        <v>-8351</v>
      </c>
      <c r="CT37" s="3"/>
      <c r="CU37" s="3">
        <f t="shared" si="21"/>
        <v>-2208</v>
      </c>
      <c r="CV37" s="3">
        <f t="shared" si="45"/>
        <v>-10559</v>
      </c>
      <c r="CW37" s="3" t="e">
        <f t="shared" ca="1" si="46"/>
        <v>#NUM!</v>
      </c>
      <c r="CX37" s="85" t="e">
        <f t="shared" ca="1" si="74"/>
        <v>#NUM!</v>
      </c>
      <c r="CY37" s="3" t="e">
        <f t="shared" ca="1" si="47"/>
        <v>#NUM!</v>
      </c>
      <c r="CZ37" s="85" t="e">
        <f t="shared" ca="1" si="75"/>
        <v>#NUM!</v>
      </c>
      <c r="DA37" s="3">
        <f>IF(RTD("tos.rtd",,DA$2,"."&amp;$A$2&amp;$AS$1&amp;"C"&amp;$A37)="N/A",0,RTD("tos.rtd",,DA$2,"."&amp;$A$2&amp;$AS$1&amp;"C"&amp;$A37))</f>
        <v>14.28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15.24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13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-15.799999999999955</v>
      </c>
      <c r="DH37" s="3">
        <f t="shared" si="22"/>
        <v>-38.857142857142833</v>
      </c>
      <c r="DI37" s="3">
        <f t="shared" si="49"/>
        <v>3667</v>
      </c>
      <c r="DJ37" s="3">
        <f t="shared" si="50"/>
        <v>0</v>
      </c>
      <c r="DK37" s="3">
        <f t="shared" si="51"/>
        <v>3667</v>
      </c>
      <c r="DL37" s="3">
        <f t="shared" si="52"/>
        <v>3628.1428571428573</v>
      </c>
      <c r="DM37" s="3">
        <f t="shared" si="53"/>
        <v>3667</v>
      </c>
      <c r="DN37" s="63" t="str">
        <f t="shared" si="54"/>
        <v>UNKNOWN</v>
      </c>
      <c r="DO37" s="63" t="str">
        <f t="shared" si="55"/>
        <v>UNKNOWN</v>
      </c>
      <c r="DP37" s="3">
        <f t="shared" si="56"/>
        <v>-518.2099999999997</v>
      </c>
      <c r="DQ37" s="3">
        <f t="shared" si="57"/>
        <v>36.67</v>
      </c>
      <c r="DR37" s="3" t="e">
        <f t="shared" ca="1" si="58"/>
        <v>#NUM!</v>
      </c>
      <c r="DS37" s="3">
        <f t="shared" si="59"/>
        <v>0</v>
      </c>
      <c r="DT37" s="3">
        <f t="shared" si="60"/>
        <v>-68</v>
      </c>
      <c r="DU37" s="3">
        <f t="shared" si="61"/>
        <v>3667</v>
      </c>
      <c r="DV37" s="3">
        <f t="shared" si="62"/>
        <v>-4</v>
      </c>
      <c r="DW37" s="3">
        <f t="shared" si="23"/>
        <v>-217</v>
      </c>
      <c r="DX37" s="3" t="e">
        <f t="shared" ca="1" si="24"/>
        <v>#NUM!</v>
      </c>
      <c r="DY37" s="3" t="e">
        <f t="shared" ca="1" si="25"/>
        <v>#NUM!</v>
      </c>
      <c r="DZ37" s="3" t="e">
        <f t="shared" ca="1" si="26"/>
        <v>#NUM!</v>
      </c>
      <c r="EA37" s="3" t="e">
        <f t="shared" ca="1" si="27"/>
        <v>#NUM!</v>
      </c>
      <c r="EB37" s="3" t="e">
        <f t="shared" ca="1" si="28"/>
        <v>#NUM!</v>
      </c>
      <c r="EC37" s="3" t="e">
        <f t="shared" ca="1" si="29"/>
        <v>#NUM!</v>
      </c>
      <c r="EE37" s="59">
        <f t="shared" si="63"/>
        <v>0.25</v>
      </c>
      <c r="EF37" s="59">
        <f t="shared" si="30"/>
        <v>1.3616999999999999</v>
      </c>
      <c r="EG37" s="59">
        <f t="shared" si="31"/>
        <v>0.25</v>
      </c>
      <c r="EH37" s="59">
        <f t="shared" si="32"/>
        <v>1.3616999999999999</v>
      </c>
      <c r="EI37" s="59">
        <f t="shared" si="33"/>
        <v>0.25340000000000001</v>
      </c>
      <c r="EJ37" s="59">
        <f t="shared" si="34"/>
        <v>0.2676</v>
      </c>
      <c r="EL37" s="3" t="str">
        <f>RTD("tos.rtd",,EL$2,"."&amp;$A$2&amp;$AS$1&amp;"C"&amp;$A37)</f>
        <v>--</v>
      </c>
      <c r="EM37" s="3" t="str">
        <f>RTD("tos.rtd",,EM$2,"."&amp;$A$2&amp;$AS$1&amp;"P"&amp;$A37)</f>
        <v>136.17%</v>
      </c>
      <c r="EN37" s="3" t="str">
        <f>RTD("tos.rtd",,EN$2,"."&amp;$A$2&amp;$AU$1&amp;"C"&amp;$A37)</f>
        <v>--</v>
      </c>
      <c r="EO37" s="3" t="str">
        <f>RTD("tos.rtd",,EO$2,"."&amp;$A$2&amp;$AU$1&amp;"P"&amp;$A37)</f>
        <v>136.17%</v>
      </c>
      <c r="EP37" s="3" t="str">
        <f>RTD("tos.rtd",,EP$2,"."&amp;$A$2&amp;$AW$1&amp;"C"&amp;$A37)</f>
        <v>25.34%</v>
      </c>
      <c r="EQ37" s="3" t="str">
        <f>RTD("tos.rtd",,EQ$2,"."&amp;$A$2&amp;$AW$1&amp;"P"&amp;$A37)</f>
        <v>26.76%</v>
      </c>
      <c r="ES37" s="63" t="str">
        <f t="shared" si="64"/>
        <v>549,-221.00</v>
      </c>
      <c r="ET37" s="63" t="str">
        <f t="shared" ca="1" si="65"/>
        <v>549,00.00</v>
      </c>
      <c r="EU37" s="67">
        <v>562.99</v>
      </c>
      <c r="EV37" s="67" t="s">
        <v>315</v>
      </c>
      <c r="EW37" s="67">
        <v>485.32</v>
      </c>
      <c r="EX37" s="67" t="s">
        <v>316</v>
      </c>
      <c r="EY37" s="67">
        <v>5643.5</v>
      </c>
      <c r="EZ37" s="67" t="s">
        <v>317</v>
      </c>
      <c r="FA37" s="67">
        <v>19938.5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6"/>
        <v>548</v>
      </c>
      <c r="B38" s="35">
        <f t="shared" si="9"/>
        <v>2869</v>
      </c>
      <c r="C38" s="35">
        <f t="shared" si="10"/>
        <v>7462</v>
      </c>
      <c r="D38" s="35">
        <f t="shared" si="11"/>
        <v>11558</v>
      </c>
      <c r="E38" s="35">
        <f t="shared" si="12"/>
        <v>21889</v>
      </c>
      <c r="F38" s="11">
        <f t="shared" si="13"/>
        <v>5514.9291784702546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4</v>
      </c>
      <c r="AN38" s="1">
        <v>-213</v>
      </c>
      <c r="AO38" s="1">
        <v>548</v>
      </c>
      <c r="AP38" s="1">
        <v>36</v>
      </c>
      <c r="AQ38" s="1">
        <v>-5779</v>
      </c>
      <c r="AR38" s="1"/>
      <c r="AS38" s="15">
        <f>IF(RTD("tos.rtd",,AS$2,"."&amp;$A$2&amp;$AS$1&amp;"C"&amp;$A38)="N/A",0,RTD("tos.rtd",,AS$2,"."&amp;$A$2&amp;$AS$1&amp;"C"&amp;$A38))</f>
        <v>669</v>
      </c>
      <c r="AT38" s="36">
        <f>-IF(RTD("tos.rtd",,AT$2,"."&amp;$A$2&amp;$AS$1&amp;"P"&amp;$A38)="N/A",0,RTD("tos.rtd",,AT$2,"."&amp;$A$2&amp;$AS$1&amp;"P"&amp;$A38))</f>
        <v>-2200</v>
      </c>
      <c r="AU38" s="15">
        <f>IF(RTD("tos.rtd",,AU$2,"."&amp;$A$2&amp;$AU$1&amp;"C"&amp;$A38)="N/A",0,RTD("tos.rtd",,AU$2,"."&amp;$A$2&amp;$AU$1&amp;"C"&amp;$A38))</f>
        <v>993</v>
      </c>
      <c r="AV38" s="36">
        <f>-IF(RTD("tos.rtd",,AV$2,"."&amp;$A$2&amp;$AU$1&amp;"P"&amp;$A38)="N/A",0,RTD("tos.rtd",,AV$2,"."&amp;$A$2&amp;$AU$1&amp;"P"&amp;$A38))</f>
        <v>-6469</v>
      </c>
      <c r="AW38" s="15">
        <f>IF(RTD("tos.rtd",,AW$2,"."&amp;$A$2&amp;$AW$1&amp;"C"&amp;$A38)="N/A",0,RTD("tos.rtd",,AW$2,"."&amp;$A$2&amp;$AW$1&amp;"C"&amp;$A38))</f>
        <v>5696</v>
      </c>
      <c r="AX38" s="36">
        <f>-IF(RTD("tos.rtd",,AX$2,"."&amp;$A$2&amp;$AW$1&amp;"P"&amp;$A38)="N/A",0,RTD("tos.rtd",,AX$2,"."&amp;$A$2&amp;$AW$1&amp;"P"&amp;$A38))</f>
        <v>-5862</v>
      </c>
      <c r="AY38" s="1">
        <f t="shared" si="67"/>
        <v>-7173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0</v>
      </c>
      <c r="BB38" s="36">
        <f>-IF(RTD("tos.rtd",,BB$2,"."&amp;$A$2&amp;$AS$1&amp;"P"&amp;$A38)="N/A",0,RTD("tos.rtd",,BB$2,"."&amp;$A$2&amp;$AS$1&amp;"P"&amp;$A38))</f>
        <v>0</v>
      </c>
      <c r="BC38" s="15">
        <f>IF(RTD("tos.rtd",,BC$2,"."&amp;$A$2&amp;$AU$1&amp;"C"&amp;$A38)="N/A",0,RTD("tos.rtd",,BC$2,"."&amp;$A$2&amp;$AU$1&amp;"C"&amp;$A38))</f>
        <v>96</v>
      </c>
      <c r="BD38" s="36">
        <f>-IF(RTD("tos.rtd",,BD$2,"."&amp;$A$2&amp;$AU$1&amp;"P"&amp;$A38)="N/A",0,RTD("tos.rtd",,BD$2,"."&amp;$A$2&amp;$AU$1&amp;"P"&amp;$A38))</f>
        <v>-3992</v>
      </c>
      <c r="BE38" s="15">
        <f>IF(RTD("tos.rtd",,BE$2,"."&amp;$A$2&amp;$AW$1&amp;"C"&amp;$A38)="N/A",0,RTD("tos.rtd",,BE$2,"."&amp;$A$2&amp;$AW$1&amp;"C"&amp;$A38))</f>
        <v>102</v>
      </c>
      <c r="BF38" s="16">
        <f>-IF(RTD("tos.rtd",,BF$2,"."&amp;$A$2&amp;$AW$1&amp;"P"&amp;$A38)="N/A",0,RTD("tos.rtd",,BF$2,"."&amp;$A$2&amp;$AW$1&amp;"P"&amp;$A38))</f>
        <v>-3395</v>
      </c>
      <c r="BG38" s="32">
        <f ca="1">+Hoja2!Y39</f>
        <v>-332</v>
      </c>
      <c r="BH38" s="36">
        <f t="shared" ca="1" si="36"/>
        <v>-7521</v>
      </c>
      <c r="BI38" s="8" t="str">
        <f t="shared" ref="BI38" ca="1" si="200">IF(AND(BH38&lt;0,BH37&gt;0), "Cruce -", IF(AND(BH38&gt;0,BH37&lt;0),"Cruce +", ""))</f>
        <v/>
      </c>
      <c r="BJ38" s="3" t="e">
        <f ca="1">IF($BP$1=1,DX38,IF(RTD("tos.rtd",,BJ$2,"."&amp;$A$2&amp;$AS$1&amp;"C"&amp;$A38)="N/A",0,RTD("tos.rtd",,BJ$2,"."&amp;$A$2&amp;$AS$1&amp;"C"&amp;$A38)))</f>
        <v>#NUM!</v>
      </c>
      <c r="BK38" s="3" t="e">
        <f ca="1">IF($BP$1=1,DY38,-IF(RTD("tos.rtd",,BK$2,"."&amp;$A$2&amp;$AS$1&amp;"P"&amp;$A38)="N/A",0,RTD("tos.rtd",,BK$2,"."&amp;$A$2&amp;$AS$1&amp;"P"&amp;$A38)))</f>
        <v>#NUM!</v>
      </c>
      <c r="BL38" s="3" t="e">
        <f ca="1">IF($BP$1=1,DZ38,IF(RTD("tos.rtd",,BL$2,"."&amp;$A$2&amp;$AU$1&amp;"C"&amp;$A38)="N/A",0,RTD("tos.rtd",,BL$2,"."&amp;$A$2&amp;$AU$1&amp;"C"&amp;$A38)))</f>
        <v>#NUM!</v>
      </c>
      <c r="BM38" s="3" t="e">
        <f ca="1">IF($BP$1=1,EA38,-IF(RTD("tos.rtd",,BM$2,"."&amp;$A$2&amp;$AU$1&amp;"P"&amp;$A38)="N/A",0,RTD("tos.rtd",,BM$2,"."&amp;$A$2&amp;$AU$1&amp;"P"&amp;$A38)))</f>
        <v>#NUM!</v>
      </c>
      <c r="BN38" s="3" t="e">
        <f ca="1">IF($BP$1=1,EB38,IF(RTD("tos.rtd",,BN$2,"."&amp;$A$2&amp;$AW$1&amp;"C"&amp;$A38)="N/A",0,RTD("tos.rtd",,BN$2,"."&amp;$A$2&amp;$AW$1&amp;"C"&amp;$A38)))</f>
        <v>#NUM!</v>
      </c>
      <c r="BO38" s="3" t="e">
        <f ca="1">IF($BP$1=1,EC38,-IF(RTD("tos.rtd",,BO$2,"."&amp;$A$2&amp;$AW$1&amp;"P"&amp;$A38)="N/A",0,RTD("tos.rtd",,BO$2,"."&amp;$A$2&amp;$AW$1&amp;"P"&amp;$A38)))</f>
        <v>#NUM!</v>
      </c>
      <c r="BQ38" s="3" t="e">
        <f t="shared" ca="1" si="37"/>
        <v>#NUM!</v>
      </c>
      <c r="BR38" s="3" t="e">
        <f t="shared" ca="1" si="69"/>
        <v>#NUM!</v>
      </c>
      <c r="BS38" s="3" t="e">
        <f t="shared" ca="1" si="38"/>
        <v>#NUM!</v>
      </c>
      <c r="BT38" s="3" t="e">
        <f t="shared" ca="1" si="69"/>
        <v>#NUM!</v>
      </c>
      <c r="BU38" s="3" t="e">
        <f t="shared" ca="1" si="39"/>
        <v>#NUM!</v>
      </c>
      <c r="BV38" s="3" t="e">
        <f t="shared" ref="BV38" ca="1" si="201">IF(AND(BU38&lt;0,BU37&gt;0), "Cruce -", IF(AND(BU38&gt;0,BU37&lt;0),"Cruce +", ""))</f>
        <v>#NUM!</v>
      </c>
      <c r="BX38" s="3" t="e">
        <f t="shared" ca="1" si="40"/>
        <v>#NUM!</v>
      </c>
      <c r="BY38" s="3" t="e">
        <f t="shared" ca="1" si="71"/>
        <v>#NUM!</v>
      </c>
      <c r="BZ38" s="3" t="e">
        <f t="shared" ca="1" si="41"/>
        <v>#NUM!</v>
      </c>
      <c r="CA38" s="3" t="e">
        <f t="shared" ca="1" si="72"/>
        <v>#NUM!</v>
      </c>
      <c r="CB38" s="3" t="e">
        <f t="shared" ca="1" si="42"/>
        <v>#NUM!</v>
      </c>
      <c r="CC38" s="3" t="e">
        <f t="shared" ca="1" si="73"/>
        <v>#NUM!</v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1</v>
      </c>
      <c r="CG38" s="3">
        <f>-IF(RTD("tos.rtd",,CG$2,"."&amp;$A$2&amp;$AU$1&amp;"P"&amp;$A38)="N/A",0,RTD("tos.rtd",,CG$2,"."&amp;$A$2&amp;$AU$1&amp;"P"&amp;$A38))</f>
        <v>0</v>
      </c>
      <c r="CH38" s="3">
        <f>IF(RTD("tos.rtd",,CH$2,"."&amp;$A$2&amp;$AW$1&amp;"C"&amp;$A38)="N/A",0,RTD("tos.rtd",,CH$2,"."&amp;$A$2&amp;$AW$1&amp;"C"&amp;$A38))</f>
        <v>0.85</v>
      </c>
      <c r="CI38" s="3">
        <f>-IF(RTD("tos.rtd",,CI$2,"."&amp;$A$2&amp;$AW$1&amp;"P"&amp;$A38)="N/A",0,RTD("tos.rtd",,CI$2,"."&amp;$A$2&amp;$AW$1&amp;"P"&amp;$A38))</f>
        <v>0.16</v>
      </c>
      <c r="CK38" s="3">
        <f t="shared" si="17"/>
        <v>66900</v>
      </c>
      <c r="CL38" s="3"/>
      <c r="CM38" s="3">
        <f t="shared" si="18"/>
        <v>99300</v>
      </c>
      <c r="CN38" s="3"/>
      <c r="CO38" s="3">
        <f t="shared" si="19"/>
        <v>390367.99999999994</v>
      </c>
      <c r="CP38" s="3">
        <f t="shared" si="43"/>
        <v>556568</v>
      </c>
      <c r="CQ38" s="3">
        <f t="shared" si="44"/>
        <v>0</v>
      </c>
      <c r="CR38" s="3"/>
      <c r="CS38" s="3">
        <f t="shared" si="20"/>
        <v>-3896</v>
      </c>
      <c r="CT38" s="3"/>
      <c r="CU38" s="3">
        <f t="shared" si="21"/>
        <v>-3293</v>
      </c>
      <c r="CV38" s="3">
        <f t="shared" si="45"/>
        <v>-7189</v>
      </c>
      <c r="CW38" s="3" t="e">
        <f t="shared" ca="1" si="46"/>
        <v>#NUM!</v>
      </c>
      <c r="CX38" s="85" t="e">
        <f t="shared" ca="1" si="74"/>
        <v>#NUM!</v>
      </c>
      <c r="CY38" s="3" t="e">
        <f t="shared" ca="1" si="47"/>
        <v>#NUM!</v>
      </c>
      <c r="CZ38" s="85" t="e">
        <f t="shared" ca="1" si="75"/>
        <v>#NUM!</v>
      </c>
      <c r="DA38" s="3">
        <f>IF(RTD("tos.rtd",,DA$2,"."&amp;$A$2&amp;$AS$1&amp;"C"&amp;$A38)="N/A",0,RTD("tos.rtd",,DA$2,"."&amp;$A$2&amp;$AS$1&amp;"C"&amp;$A38))</f>
        <v>14.95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16.239999999999998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14.01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-16.799999999999955</v>
      </c>
      <c r="DH38" s="3">
        <f t="shared" si="22"/>
        <v>-15.174887892376683</v>
      </c>
      <c r="DI38" s="3">
        <f t="shared" si="49"/>
        <v>5779</v>
      </c>
      <c r="DJ38" s="3">
        <f t="shared" si="50"/>
        <v>0</v>
      </c>
      <c r="DK38" s="3">
        <f t="shared" si="51"/>
        <v>5779</v>
      </c>
      <c r="DL38" s="3">
        <f t="shared" si="52"/>
        <v>5763.8251121076237</v>
      </c>
      <c r="DM38" s="3">
        <f t="shared" si="53"/>
        <v>5779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-169.0745739910314</v>
      </c>
      <c r="DQ38" s="3">
        <f t="shared" si="57"/>
        <v>57.79</v>
      </c>
      <c r="DR38" s="3" t="e">
        <f t="shared" ca="1" si="58"/>
        <v>#NUM!</v>
      </c>
      <c r="DS38" s="3">
        <f t="shared" si="59"/>
        <v>0</v>
      </c>
      <c r="DT38" s="3">
        <f t="shared" si="60"/>
        <v>-36</v>
      </c>
      <c r="DU38" s="3">
        <f t="shared" si="61"/>
        <v>5779</v>
      </c>
      <c r="DV38" s="3">
        <f t="shared" si="62"/>
        <v>4</v>
      </c>
      <c r="DW38" s="3">
        <f t="shared" si="23"/>
        <v>-213</v>
      </c>
      <c r="DX38" s="3" t="e">
        <f t="shared" ca="1" si="24"/>
        <v>#NUM!</v>
      </c>
      <c r="DY38" s="3" t="e">
        <f t="shared" ca="1" si="25"/>
        <v>#NUM!</v>
      </c>
      <c r="DZ38" s="3" t="e">
        <f t="shared" ca="1" si="26"/>
        <v>#NUM!</v>
      </c>
      <c r="EA38" s="3" t="e">
        <f t="shared" ca="1" si="27"/>
        <v>#NUM!</v>
      </c>
      <c r="EB38" s="3" t="e">
        <f t="shared" ca="1" si="28"/>
        <v>#NUM!</v>
      </c>
      <c r="EC38" s="3" t="e">
        <f t="shared" ca="1" si="29"/>
        <v>#NUM!</v>
      </c>
      <c r="EE38" s="59">
        <f t="shared" si="63"/>
        <v>0.25</v>
      </c>
      <c r="EF38" s="59">
        <f t="shared" si="30"/>
        <v>1.4406000000000001</v>
      </c>
      <c r="EG38" s="59">
        <f t="shared" si="31"/>
        <v>0.25</v>
      </c>
      <c r="EH38" s="59">
        <f t="shared" si="32"/>
        <v>1.4406000000000001</v>
      </c>
      <c r="EI38" s="59">
        <f t="shared" si="33"/>
        <v>0.25459999999999999</v>
      </c>
      <c r="EJ38" s="59">
        <f t="shared" si="34"/>
        <v>0.26919999999999999</v>
      </c>
      <c r="EL38" s="3" t="str">
        <f>RTD("tos.rtd",,EL$2,"."&amp;$A$2&amp;$AS$1&amp;"C"&amp;$A38)</f>
        <v>--</v>
      </c>
      <c r="EM38" s="3" t="str">
        <f>RTD("tos.rtd",,EM$2,"."&amp;$A$2&amp;$AS$1&amp;"P"&amp;$A38)</f>
        <v>144.06%</v>
      </c>
      <c r="EN38" s="3" t="str">
        <f>RTD("tos.rtd",,EN$2,"."&amp;$A$2&amp;$AU$1&amp;"C"&amp;$A38)</f>
        <v>--</v>
      </c>
      <c r="EO38" s="3" t="str">
        <f>RTD("tos.rtd",,EO$2,"."&amp;$A$2&amp;$AU$1&amp;"P"&amp;$A38)</f>
        <v>144.06%</v>
      </c>
      <c r="EP38" s="3" t="str">
        <f>RTD("tos.rtd",,EP$2,"."&amp;$A$2&amp;$AW$1&amp;"C"&amp;$A38)</f>
        <v>25.46%</v>
      </c>
      <c r="EQ38" s="3" t="str">
        <f>RTD("tos.rtd",,EQ$2,"."&amp;$A$2&amp;$AW$1&amp;"P"&amp;$A38)</f>
        <v>26.92%</v>
      </c>
      <c r="ES38" s="63" t="str">
        <f t="shared" si="64"/>
        <v>548,-209.00</v>
      </c>
      <c r="ET38" s="63" t="str">
        <f t="shared" ca="1" si="65"/>
        <v>548,00.00</v>
      </c>
      <c r="EU38" s="67">
        <v>562.91</v>
      </c>
      <c r="EV38" s="67" t="s">
        <v>323</v>
      </c>
      <c r="EW38" s="67">
        <v>485.31</v>
      </c>
      <c r="EX38" s="67" t="s">
        <v>324</v>
      </c>
      <c r="EY38" s="67">
        <v>5642.75</v>
      </c>
      <c r="EZ38" s="67" t="s">
        <v>325</v>
      </c>
      <c r="FA38" s="67">
        <v>19936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-259356</v>
      </c>
      <c r="BI39" s="1">
        <f ca="1">IFERROR(IF(MIN(BH4:BH38)&lt;&gt;0,INDEX(A4:A38,MATCH(MIN(BH4:BH38),BH4:BH38,0)),""),"")</f>
        <v>563</v>
      </c>
      <c r="BJ39" s="23"/>
      <c r="BK39" s="23"/>
      <c r="BL39" s="23"/>
      <c r="BM39" s="23"/>
      <c r="BN39" s="23"/>
      <c r="BO39" s="23"/>
      <c r="BP39" s="64" t="e">
        <f ca="1">INDEX(BQ39:BU39,MATCH(MAX(BQ3:BU3),BQ3:BU3,0))</f>
        <v>#NUM!</v>
      </c>
      <c r="BQ39" s="23" t="e">
        <f ca="1">IF(AND(BQ3&gt;0,ABS(MAX(BQ4:BQ38))&gt;ABS(MIN(BQ4:BQ38))),IF(MAX(BQ4:BQ38)&lt;&gt;0,INDEX($A4:$A38,MATCH(MAX(BQ4:BQ38),BQ4:BQ38,0)),""),"")</f>
        <v>#NUM!</v>
      </c>
      <c r="BR39" s="23"/>
      <c r="BS39" s="23" t="e">
        <f ca="1">IF(AND(BS3&gt;0,ABS(MAX(BS4:BS38))&gt;ABS(MIN(BS4:BS38))),IF(MAX(BS4:BS38)&lt;&gt;0,INDEX($A4:$A38,MATCH(MAX(BS4:BS38),BS4:BS38,0)),""),"")</f>
        <v>#NUM!</v>
      </c>
      <c r="BT39" s="23"/>
      <c r="BU39" s="23" t="e">
        <f ca="1">IF(AND(BU3&gt;0,ABS(MAX(BU4:BU38))&gt;ABS(MIN(BU4:BU38))),IF(MAX(BU4:BU38)&lt;&gt;0,INDEX($A4:$A38,MATCH(MAX(BU4:BU38),BU4:BU38,0)),""),"")</f>
        <v>#NUM!</v>
      </c>
      <c r="BV39" s="23"/>
      <c r="BW39" s="64" t="e">
        <f ca="1">INDEX(BX39:CB39,MATCH(MAX(BX3:CB3),BX3:CB3,0))</f>
        <v>#NUM!</v>
      </c>
      <c r="BX39" s="23" t="e">
        <f ca="1">IF(AND(BX3&gt;0,ABS(MAX(BX4:BX38))&gt;ABS(MIN(BX4:BX38))),IF(MAX(BX4:BX38)&lt;&gt;0,INDEX($A4:$A38,MATCH(MAX(BX4:BX38),BX4:BX38,0)),""),"")</f>
        <v>#NUM!</v>
      </c>
      <c r="BY39" s="23" t="e">
        <f ca="1">INDEX($A$4:$A$38,1+MATCH("Cruce -",BY4:BY38,))</f>
        <v>#N/A</v>
      </c>
      <c r="BZ39" s="23" t="e">
        <f ca="1">IF(AND(BZ3&gt;0,ABS(MAX(BZ4:BZ38))&gt;ABS(MIN(BZ4:BZ38))),IF(MAX(BZ4:BZ38)&lt;&gt;0,INDEX($A4:$A38,MATCH(MAX(BZ4:BZ38),BZ4:BZ38,0)),""),"")</f>
        <v>#NUM!</v>
      </c>
      <c r="CA39" s="23"/>
      <c r="CB39" s="23" t="e">
        <f ca="1">IF(AND(CB3&gt;0,ABS(MAX(CB4:CB38))&gt;ABS(MIN(CB4:CB38))),IF(MAX(CB4:CB38)&lt;&gt;0,INDEX($A4:$A38,MATCH(MAX(CB4:CB38),CB4:CB38,0)),""),"")</f>
        <v>#NUM!</v>
      </c>
      <c r="CC39" s="23"/>
      <c r="CD39" s="23"/>
      <c r="CE39" s="23"/>
      <c r="CF39" s="23"/>
      <c r="CG39" s="23"/>
      <c r="CH39" s="23"/>
      <c r="CI39" s="23"/>
      <c r="CJ39" s="64" t="str">
        <f>IFERROR(INDEX(CK39:CO39,MATCH(MAX(CK3:CO3),CK3:CO3,0)),"")</f>
        <v/>
      </c>
      <c r="CK39" s="23">
        <f>IF(AND(CK3&gt;0,ABS(MAX(CK4:CK38))&gt;ABS(MIN(CK4:CK38))),IF(MAX(CK4:CK38)&lt;&gt;0,INDEX($A4:$A38,MATCH(MAX(CK4:CK38),CK4:CK38,0)),""),"")</f>
        <v>560</v>
      </c>
      <c r="CL39" s="23"/>
      <c r="CM39" s="23">
        <f>IF(AND(CM3&gt;0,ABS(MAX(CM4:CM38))&gt;ABS(MIN(CM4:CM38))),IF(MAX(CM4:CM38)&lt;&gt;0,INDEX($A4:$A38,MATCH(MAX(CM4:CM38),CM4:CM38,0)),""),"")</f>
        <v>555</v>
      </c>
      <c r="CN39" s="23"/>
      <c r="CO39" s="23" t="str">
        <f>IF(AND(CO3&gt;0,ABS(MAX(CO4:CO38))&gt;ABS(MIN(CO4:CO38))),IF(MAX(CO4:CO38)&lt;&gt;0,INDEX($A4:$A38,MATCH(MAX(CO4:CO38),CO4:CO38,0)),""),"")</f>
        <v/>
      </c>
      <c r="CP39" s="23">
        <f>IF(ABS(MAX(CP4:CP38))&gt;ABS(MIN(CP4:CP38)),IF(MAX(CP4:CP38)&lt;&gt;0,INDEX($A4:$A38,MATCH(MAX(CP4:CP38),CP4:CP38,0)),""),"")</f>
        <v>550</v>
      </c>
      <c r="CQ39" s="23"/>
      <c r="CR39" s="23"/>
      <c r="CS39" s="23"/>
      <c r="CT39" s="23"/>
      <c r="CU39" s="23"/>
      <c r="CV39" s="23"/>
      <c r="CW39" s="23" t="e">
        <f ca="1">IF(AND(CW3&gt;0,ABS(MAX(CW4:CW38))&gt;ABS(MIN(CW4:CW38))),IF(MAX(CW4:CW38)&lt;&gt;0,INDEX($A4:$A38,MATCH(MAX(CW4:CW38),CW4:CW38,0)),""),"")</f>
        <v>#NUM!</v>
      </c>
      <c r="CY39" s="23" t="e">
        <f ca="1">IF(AND(CY3&gt;0,ABS(MAX(CY4:CY38))&gt;ABS(MIN(CY4:CY38))),IF(MAX(CY4:CY38)&lt;&gt;0,INDEX($A4:$A38,MATCH(MAX(CY4:CY38),CY4:CY38,0)),""),"")</f>
        <v>#NUM!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 t="str">
        <f t="shared" ref="DH39:DM39" si="202">IF(AND(DH3&gt;0,ABS(MAX(DH4:DH38))&gt;ABS(MIN(DH4:DH38))),IF(MAX(DH4:DH38)&lt;&gt;0,INDEX($A4:$A38,MATCH(MAX(DH4:DH38),DH4:DH38,0)),""),"")</f>
        <v/>
      </c>
      <c r="DI39" s="23">
        <f t="shared" si="202"/>
        <v>565</v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>
        <f>IFERROR(IF(AND(ABS(MAX(DK4:DK38))&gt;$DG$2,ABS(INDEX($DG$4:$DG$38,MATCH(MAX(DK4:DK38),DK4:DK38,0)))&lt;0.5,1),IF(MAX(DK4:DK38)&lt;&gt;0,INDEX($A4:$A38,MATCH(MAX(DK4:DK38),DK4:DK38,0)),""),""),"")</f>
        <v>565</v>
      </c>
      <c r="DL39" s="23" t="str">
        <f t="shared" si="202"/>
        <v/>
      </c>
      <c r="DM39" s="23" t="str">
        <f t="shared" si="202"/>
        <v/>
      </c>
      <c r="DN39" s="64" t="str">
        <f>DJ39&amp;","&amp;DJ40&amp;","&amp;DK39&amp;","&amp;DK40</f>
        <v>,565,565,</v>
      </c>
      <c r="DP39" s="23">
        <f t="shared" ref="DP39:DS39" si="203">IF(AND(DP3&gt;0,ABS(MAX(DP4:DP38))&gt;ABS(MIN(DP4:DP38))),IF(MAX(DP4:DP38)&lt;&gt;0,INDEX($A4:$A38,MATCH(MAX(DP4:DP38),DP4:DP38,0)),""),"")</f>
        <v>565</v>
      </c>
      <c r="DQ39" s="23">
        <f t="shared" si="203"/>
        <v>565</v>
      </c>
      <c r="DR39" s="23" t="e">
        <f t="shared" ca="1" si="203"/>
        <v>#NUM!</v>
      </c>
      <c r="DS39" s="23">
        <f t="shared" si="203"/>
        <v>564</v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562.88</v>
      </c>
      <c r="EV39" s="67" t="s">
        <v>331</v>
      </c>
      <c r="EW39" s="67">
        <v>485.28</v>
      </c>
      <c r="EX39" s="67" t="s">
        <v>332</v>
      </c>
      <c r="EY39" s="67">
        <v>5642.75</v>
      </c>
      <c r="EZ39" s="67" t="s">
        <v>333</v>
      </c>
      <c r="FA39" s="67">
        <v>19935.5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e">
        <f ca="1">INDEX(BQ40:BU40,MATCH(MIN(BQ3:BU3),BQ3:BU3,0))</f>
        <v>#NUM!</v>
      </c>
      <c r="BQ40" s="1" t="e">
        <f ca="1">IF(AND(BQ3&lt;0,ABS(MIN(BQ4:BQ38))&gt;ABS(MAX(BQ4:BQ38))),IF(MIN(BQ4:BQ38)&lt;&gt;0,INDEX($A4:$A38,MATCH(MIN(BQ4:BQ38),BQ4:BQ38,0)),""),"")</f>
        <v>#NUM!</v>
      </c>
      <c r="BS40" s="1" t="e">
        <f ca="1">IF(AND(BS3&lt;0,ABS(MIN(BS4:BS38))&gt;ABS(MAX(BS4:BS38))),IF(MIN(BS4:BS38)&lt;&gt;0,INDEX($A4:$A38,MATCH(MIN(BS4:BS38),BS4:BS38,0)),""),"")</f>
        <v>#NUM!</v>
      </c>
      <c r="BU40" s="1" t="e">
        <f ca="1">IF(AND(BU3&lt;0,ABS(MIN(BU4:BU38))&gt;ABS(MAX(BU4:BU38))),IF(MIN(BU4:BU38)&lt;&gt;0,INDEX($A4:$A38,MATCH(MIN(BU4:BU38),BU4:BU38,0)),""),"")</f>
        <v>#NUM!</v>
      </c>
      <c r="BW40" s="64" t="e">
        <f ca="1">INDEX(BX40:CB40,MATCH(MIN(BX3:CB3),BX3:CB3,0))</f>
        <v>#NUM!</v>
      </c>
      <c r="BX40" s="1" t="e">
        <f ca="1">IF(AND(BX3&lt;0,ABS(MIN(BX4:BX38))&gt;ABS(MAX(BX4:BX38))),IF(MIN(BX4:BX38)&lt;&gt;0,INDEX($A4:$A38,MATCH(MIN(BX4:BX38),BX4:BX38,0)),""),"")</f>
        <v>#NUM!</v>
      </c>
      <c r="BY40" s="1" t="e">
        <f ca="1">INDEX($A$4:$A$38,1+MATCH("Cruce -",BY4:BY38,)-1)</f>
        <v>#N/A</v>
      </c>
      <c r="BZ40" s="1" t="e">
        <f ca="1">IF(AND(BZ3&lt;0,ABS(MIN(BZ4:BZ38))&gt;ABS(MAX(BZ4:BZ38))),IF(MIN(BZ4:BZ38)&lt;&gt;0,INDEX($A4:$A38,MATCH(MIN(BZ4:BZ38),BZ4:BZ38,0)),""),"")</f>
        <v>#NUM!</v>
      </c>
      <c r="CB40" s="1" t="e">
        <f ca="1">IF(AND(CB3&lt;0,ABS(MIN(CB4:CB38))&gt;ABS(MAX(CB4:CB38))),IF(MIN(CB4:CB38)&lt;&gt;0,INDEX($A4:$A38,MATCH(MIN(CB4:CB38),CB4:CB38,0)),""),"")</f>
        <v>#NUM!</v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e">
        <f ca="1">IF(AND(CW3&lt;0,ABS(MIN(CW4:CW38))&gt;ABS(MAX(CW4:CW38))),IF(MIN(CW4:CW38)&lt;&gt;0,INDEX($A4:$A38,MATCH(MIN(CW4:CW38),CW4:CW38,0)),""),"")</f>
        <v>#NUM!</v>
      </c>
      <c r="CY40" s="1" t="e">
        <f ca="1">IF(AND(CY3&lt;0,ABS(MIN(CY4:CY38))&gt;ABS(MAX(CY4:CY38))),IF(MIN(CY4:CY38)&lt;&gt;0,INDEX($A4:$A38,MATCH(MIN(CY4:CY38),CY4:CY38,0)),""),"")</f>
        <v>#NUM!</v>
      </c>
      <c r="DG40" s="72" t="s">
        <v>23</v>
      </c>
      <c r="DH40" s="23">
        <f t="shared" ref="DH40:DM40" si="204">IF(AND(DH3&lt;0,ABS(MIN(DH4:DH38))&gt;ABS(MAX(DH4:DH38))),IF(MIN(DH4:DH38)&lt;&gt;0,INDEX($A4:$A38,MATCH(MIN(DH4:DH38),DH4:DH38,0)),""),"")</f>
        <v>565</v>
      </c>
      <c r="DI40" s="23" t="str">
        <f t="shared" si="204"/>
        <v/>
      </c>
      <c r="DJ40" s="89">
        <f>IFERROR(IF(AND(ABS(MIN(DJ4:DJ38))&gt;$DG$2,ABS(INDEX($DG$4:$DG$38,MATCH(MIN(DJ4:DJ38),DJ4:DJ38,0)))&lt;0.5,1),IF(MIN(DJ4:DJ38)&lt;&gt;0,INDEX($A4:$A38,MATCH(MIN(DJ4:DJ38),DJ4:DJ38,0)),""),""),"")</f>
        <v>565</v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>
        <f t="shared" si="204"/>
        <v>566</v>
      </c>
      <c r="DM40" s="23" t="str">
        <f t="shared" si="204"/>
        <v/>
      </c>
      <c r="DN40" s="64" t="str">
        <f ca="1">BI1&amp;","&amp;BI39</f>
        <v>567,563</v>
      </c>
      <c r="DP40" s="23" t="str">
        <f t="shared" ref="DP40:DS40" si="205">IF(AND(DP3&lt;0,ABS(MIN(DP4:DP38))&gt;ABS(MAX(DP4:DP38))),IF(MIN(DP4:DP38)&lt;&gt;0,INDEX($A4:$A38,MATCH(MIN(DP4:DP38),DP4:DP38,0)),""),"")</f>
        <v/>
      </c>
      <c r="DQ40" s="23" t="str">
        <f t="shared" si="205"/>
        <v/>
      </c>
      <c r="DR40" s="23" t="e">
        <f t="shared" ca="1" si="205"/>
        <v>#NUM!</v>
      </c>
      <c r="DS40" s="23" t="str">
        <f t="shared" si="205"/>
        <v/>
      </c>
      <c r="EU40" s="67">
        <v>562.98</v>
      </c>
      <c r="EV40" s="67" t="s">
        <v>339</v>
      </c>
      <c r="EW40" s="67">
        <v>485.4</v>
      </c>
      <c r="EX40" s="67" t="s">
        <v>340</v>
      </c>
      <c r="EY40" s="67">
        <v>5643.75</v>
      </c>
      <c r="EZ40" s="67" t="s">
        <v>341</v>
      </c>
      <c r="FA40" s="67">
        <v>19939.75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562.92999999999995</v>
      </c>
      <c r="EV41" s="67" t="s">
        <v>347</v>
      </c>
      <c r="EW41" s="67">
        <v>485.28</v>
      </c>
      <c r="EX41" s="67" t="s">
        <v>348</v>
      </c>
      <c r="EY41" s="67">
        <v>5643</v>
      </c>
      <c r="EZ41" s="67" t="s">
        <v>349</v>
      </c>
      <c r="FA41" s="67">
        <v>19935.75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45782</v>
      </c>
      <c r="C42" s="44">
        <v>45786</v>
      </c>
      <c r="D42" s="44">
        <v>45793</v>
      </c>
      <c r="E42" s="40"/>
      <c r="F42" s="40">
        <f>+[2]Sheet1!$AD$2</f>
        <v>469.81373794456613</v>
      </c>
      <c r="G42" s="41"/>
      <c r="AP42" s="1">
        <v>250505</v>
      </c>
      <c r="AQ42" s="1">
        <v>0</v>
      </c>
      <c r="AS42" s="22" t="str">
        <f>+B43</f>
        <v>250505</v>
      </c>
      <c r="AT42" s="22"/>
      <c r="AU42" s="22" t="str">
        <f>+C43</f>
        <v>250509</v>
      </c>
      <c r="AV42" s="22"/>
      <c r="AW42" s="22" t="str">
        <f>+D43</f>
        <v>250516</v>
      </c>
      <c r="AX42" s="22"/>
      <c r="BA42" s="22" t="str">
        <f>+AS42</f>
        <v>250505</v>
      </c>
      <c r="BB42" s="22">
        <f t="shared" ref="BB42" si="206">+AT42</f>
        <v>0</v>
      </c>
      <c r="BC42" s="22" t="str">
        <f t="shared" ref="BC42" si="207">+AU42</f>
        <v>250509</v>
      </c>
      <c r="BD42" s="22">
        <f t="shared" ref="BD42" si="208">+AV42</f>
        <v>0</v>
      </c>
      <c r="BE42" s="22" t="str">
        <f t="shared" ref="BE42" si="209">+AW42</f>
        <v>250516</v>
      </c>
      <c r="BF42" s="22">
        <f t="shared" ref="BF42" si="210">+AX42</f>
        <v>0</v>
      </c>
      <c r="BG42" s="96"/>
      <c r="BH42" s="1">
        <f ca="1">MAX(BH45:BH79)</f>
        <v>99369</v>
      </c>
      <c r="BI42" s="1">
        <f ca="1">IFERROR(IF(MAX(BH45:BH79)&lt;&gt;0,INDEX(A45:A79,MATCH(MAX(BH45:BH79),BH45:BH79,0)),""),"")</f>
        <v>491</v>
      </c>
      <c r="BJ42" s="22" t="str">
        <f>+AS42</f>
        <v>250505</v>
      </c>
      <c r="BK42" s="22">
        <f t="shared" ref="BK42" si="211">+AT42</f>
        <v>0</v>
      </c>
      <c r="BL42" s="22" t="str">
        <f t="shared" ref="BL42" si="212">+AU42</f>
        <v>250509</v>
      </c>
      <c r="BM42" s="22">
        <f t="shared" ref="BM42" si="213">+AV42</f>
        <v>0</v>
      </c>
      <c r="BN42" s="22" t="str">
        <f t="shared" ref="BN42" si="214">+AW42</f>
        <v>250516</v>
      </c>
      <c r="BO42" s="22">
        <f t="shared" ref="BO42" si="215">+AX42</f>
        <v>0</v>
      </c>
      <c r="BQ42" s="22" t="e">
        <f ca="1">IF(BR42&gt;BR43,IF(MAX(BQ45:BQ79)&lt;&gt;0,INDEX(A45:A79,MATCH(MAX(BQ45:BQ79),BQ45:BQ79,0)),A44),IF(MIN(BQ45:BQ79)&lt;&gt;0,INDEX(A45:A79,MATCH(MIN(BQ45:BQ79),BQ45:BQ79,0))))</f>
        <v>#NUM!</v>
      </c>
      <c r="BR42" s="22" t="e">
        <f ca="1">+MAX(BQ45:BQ79)</f>
        <v>#NUM!</v>
      </c>
      <c r="BS42" s="22" t="e">
        <f ca="1">IF(BT42&gt;BT43,IF(MAX(BS45:BS79)&lt;&gt;0,INDEX(A45:A79,MATCH(MAX(BS45:BS79),BS45:BS79,0)),A44),IF(MIN(BS45:BS79)&lt;&gt;0,INDEX(A45:A79,MATCH(MIN(BS45:BS79),BS45:BS79,0))))</f>
        <v>#NUM!</v>
      </c>
      <c r="BT42" s="22" t="e">
        <f ca="1">+MAX(BS45:BS79)</f>
        <v>#NUM!</v>
      </c>
      <c r="BU42" s="22" t="e">
        <f ca="1">IF(BV42&gt;BV43,IF(MAX(BU45:BU79)&lt;&gt;0,INDEX(A45:A79,MATCH(MAX(BU45:BU79),BU45:BU79,0)),A44),IF(MIN(BU45:BU79)&lt;&gt;0,INDEX(A45:A79,MATCH(MIN(BU45:BU79),BU45:BU79,0))))</f>
        <v>#NUM!</v>
      </c>
      <c r="BV42" s="22" t="e">
        <f ca="1">+MAX(BU45:BU79)</f>
        <v>#NUM!</v>
      </c>
      <c r="BX42" s="22" t="e">
        <f ca="1">IF(BY42&gt;BZ42,IF(MAX(BX45:BX79)&lt;&gt;0,INDEX(G45:G79,MATCH(MAX(BX45:BX79),BX45:BX79,0)),G44),IF(MIN(BX45:BX79)&lt;&gt;0,INDEX(G45:G79,MATCH(MIN(BX45:BX79),BX45:BX79,0))))</f>
        <v>#NUM!</v>
      </c>
      <c r="BY42" s="22" t="e">
        <f ca="1">+MAX(BX45:BX79)</f>
        <v>#NUM!</v>
      </c>
      <c r="BZ42" s="22" t="e">
        <f ca="1">ABS(+MIN(BX45:BX79))</f>
        <v>#NUM!</v>
      </c>
      <c r="CA42" s="22"/>
      <c r="CB42" s="22"/>
      <c r="CC42" s="22" t="e">
        <f ca="1">+AVERAGE(BY80:BY81,CA80:CA81,CC80:CC81)</f>
        <v>#N/A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1750943</v>
      </c>
      <c r="CM42" s="22">
        <f>ABS(+MIN(CK45:CK79))</f>
        <v>326180.99999999994</v>
      </c>
      <c r="CN42" s="22"/>
      <c r="CO42" s="22"/>
      <c r="CP42" s="22"/>
      <c r="CQ42" s="22" t="b">
        <f>IF(CR42&gt;CS42,IF(MAX(CQ45:CQ79)&lt;&gt;0,INDEX(A45:A79,MATCH(MAX(CQ45:CQ79),CQ45:CQ79,0)),A44),IF(MIN(CQ45:CQ79)&lt;&gt;0,INDEX(A45:A79,MATCH(MIN(CQ45:CQ79),CQ45:CQ79,0))))</f>
        <v>0</v>
      </c>
      <c r="CR42" s="22">
        <f>+MAX(CQ45:CQ79)</f>
        <v>0</v>
      </c>
      <c r="CS42" s="22">
        <f>ABS(+MIN(CQ45:CQ79))</f>
        <v>0</v>
      </c>
      <c r="CT42" s="22"/>
      <c r="CU42" s="22"/>
      <c r="CV42" s="22"/>
      <c r="CW42" s="22" t="e">
        <f ca="1">IF(CX42&gt;CY42,IF(MAX(CW45:CW79)&lt;&gt;0,INDEX(A45:A79,MATCH(MAX(CW45:CW79),CW45:CW79,0)),M44),IF(MIN(CW45:CW79)&lt;&gt;0,INDEX(A45:A79,MATCH(MIN(CW45:CW79),CW45:CW79,0))))</f>
        <v>#NUM!</v>
      </c>
      <c r="CX42" s="61" t="e">
        <f ca="1">+MAX(CW45:CW79)</f>
        <v>#NUM!</v>
      </c>
      <c r="CY42" s="22" t="e">
        <f ca="1">ABS(+MIN(CW45:CW79))</f>
        <v>#NUM!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6">+DB42</f>
        <v>0</v>
      </c>
      <c r="EG42" s="22">
        <f t="shared" ref="EG42" si="217">+DC42</f>
        <v>0</v>
      </c>
      <c r="EH42" s="22">
        <f t="shared" ref="EH42" si="218">+DD42</f>
        <v>0</v>
      </c>
      <c r="EI42" s="22">
        <f t="shared" ref="EI42" si="219">+DE42</f>
        <v>0</v>
      </c>
      <c r="EJ42" s="22">
        <f t="shared" ref="EJ42" si="220">+DF42</f>
        <v>0</v>
      </c>
      <c r="EL42" s="22">
        <f>+DH42</f>
        <v>0</v>
      </c>
      <c r="EM42" s="22">
        <f t="shared" ref="EM42" si="221">+DI42</f>
        <v>0</v>
      </c>
      <c r="EN42" s="22">
        <f>+DJ42</f>
        <v>0</v>
      </c>
      <c r="EO42" s="22">
        <f t="shared" ref="EO42" si="222">+DK42</f>
        <v>0</v>
      </c>
      <c r="EP42" s="22">
        <f t="shared" ref="EP42" si="223">+DL42</f>
        <v>0</v>
      </c>
      <c r="EQ42" s="22">
        <f t="shared" ref="EQ42" si="224">+DM42</f>
        <v>0</v>
      </c>
      <c r="EU42" s="67">
        <v>562.91999999999996</v>
      </c>
      <c r="EV42" s="67" t="s">
        <v>355</v>
      </c>
      <c r="EW42" s="67">
        <v>485.27</v>
      </c>
      <c r="EX42" s="67" t="s">
        <v>356</v>
      </c>
      <c r="EY42" s="67">
        <v>5643</v>
      </c>
      <c r="EZ42" s="67" t="s">
        <v>357</v>
      </c>
      <c r="FA42" s="67">
        <v>19935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250505</v>
      </c>
      <c r="C43" s="45" t="str">
        <f>+C2</f>
        <v>250509</v>
      </c>
      <c r="D43" s="45" t="str">
        <f>+D2</f>
        <v>250516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5">+BJ2</f>
        <v>GAMMA</v>
      </c>
      <c r="BK43" s="22" t="str">
        <f t="shared" si="225"/>
        <v>GAMMA</v>
      </c>
      <c r="BL43" s="22" t="str">
        <f t="shared" si="225"/>
        <v>GAMMA</v>
      </c>
      <c r="BM43" s="22" t="str">
        <f t="shared" si="225"/>
        <v>GAMMA</v>
      </c>
      <c r="BN43" s="22" t="str">
        <f t="shared" si="225"/>
        <v>GAMMA</v>
      </c>
      <c r="BO43" s="25" t="str">
        <f t="shared" si="225"/>
        <v>GAMMA</v>
      </c>
      <c r="BQ43" s="22" t="s">
        <v>11</v>
      </c>
      <c r="BR43" s="22" t="e">
        <f ca="1">ABS(+MIN(BQ45:BQ79))</f>
        <v>#NUM!</v>
      </c>
      <c r="BS43" s="22" t="s">
        <v>11</v>
      </c>
      <c r="BT43" s="22" t="e">
        <f ca="1">ABS(+MIN(BS45:BS79))</f>
        <v>#NUM!</v>
      </c>
      <c r="BU43" s="22" t="s">
        <v>11</v>
      </c>
      <c r="BV43" s="25" t="e">
        <f ca="1">ABS(+MIN(BU45:BU79))</f>
        <v>#NUM!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6">+CD2</f>
        <v>DELTA</v>
      </c>
      <c r="CE43" s="22" t="str">
        <f t="shared" si="226"/>
        <v>DELTA</v>
      </c>
      <c r="CF43" s="22" t="str">
        <f t="shared" si="226"/>
        <v>DELTA</v>
      </c>
      <c r="CG43" s="22" t="str">
        <f t="shared" si="226"/>
        <v>DELTA</v>
      </c>
      <c r="CH43" s="22" t="str">
        <f t="shared" si="226"/>
        <v>DELTA</v>
      </c>
      <c r="CI43" s="25" t="str">
        <f t="shared" si="226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7">+EE2</f>
        <v>IMPL_VOL</v>
      </c>
      <c r="EF43" s="22" t="str">
        <f t="shared" si="227"/>
        <v>IMPL_VOL</v>
      </c>
      <c r="EG43" s="22" t="str">
        <f t="shared" si="227"/>
        <v>IMPL_VOL</v>
      </c>
      <c r="EH43" s="22" t="str">
        <f t="shared" si="227"/>
        <v>IMPL_VOL</v>
      </c>
      <c r="EI43" s="22" t="str">
        <f t="shared" si="227"/>
        <v>IMPL_VOL</v>
      </c>
      <c r="EJ43" s="22" t="str">
        <f t="shared" si="227"/>
        <v>IMPL_VOL</v>
      </c>
      <c r="EL43" s="22" t="str">
        <f t="shared" ref="EL43:EQ43" si="228">+EL2</f>
        <v>IMPL_VOL</v>
      </c>
      <c r="EM43" s="22" t="str">
        <f t="shared" si="228"/>
        <v>IMPL_VOL</v>
      </c>
      <c r="EN43" s="22" t="str">
        <f t="shared" si="228"/>
        <v>IMPL_VOL</v>
      </c>
      <c r="EO43" s="22" t="str">
        <f t="shared" si="228"/>
        <v>IMPL_VOL</v>
      </c>
      <c r="EP43" s="22" t="str">
        <f t="shared" si="228"/>
        <v>IMPL_VOL</v>
      </c>
      <c r="EQ43" s="22" t="str">
        <f t="shared" si="228"/>
        <v>IMPL_VOL</v>
      </c>
      <c r="EU43" s="67">
        <v>562.94000000000005</v>
      </c>
      <c r="EV43" s="67" t="s">
        <v>363</v>
      </c>
      <c r="EW43" s="67">
        <v>485.32</v>
      </c>
      <c r="EX43" s="67" t="s">
        <v>364</v>
      </c>
      <c r="EY43" s="67">
        <v>5643.25</v>
      </c>
      <c r="EZ43" s="67" t="s">
        <v>365</v>
      </c>
      <c r="FA43" s="67">
        <v>19936.75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487.92</v>
      </c>
      <c r="B44" s="27">
        <f>+AS44/AT44</f>
        <v>-0.95815394206230153</v>
      </c>
      <c r="C44" s="27">
        <f>+AU44/AV44</f>
        <v>-0.98537087730725559</v>
      </c>
      <c r="D44" s="27">
        <f>+AW44/AX44</f>
        <v>-2.2904141098492015</v>
      </c>
      <c r="E44" s="28">
        <v>0</v>
      </c>
      <c r="F44" s="47">
        <f>RTD("tos.rtd", ,"MARK", F43)</f>
        <v>20146.5</v>
      </c>
      <c r="G44" s="48" t="e">
        <f>RTD("tos.rtd", ,"MARK", G43)</f>
        <v>#N/A</v>
      </c>
      <c r="AO44" s="1">
        <v>0</v>
      </c>
      <c r="AP44" s="1">
        <v>925610</v>
      </c>
      <c r="AQ44" s="1">
        <v>-1070244</v>
      </c>
      <c r="AS44" s="13">
        <f t="shared" ref="AS44:AY44" si="229">SUM(AS45:AS79)</f>
        <v>98366</v>
      </c>
      <c r="AT44" s="29">
        <f t="shared" si="229"/>
        <v>-102662</v>
      </c>
      <c r="AU44" s="13">
        <f t="shared" si="229"/>
        <v>111947</v>
      </c>
      <c r="AV44" s="29">
        <f t="shared" si="229"/>
        <v>-113609</v>
      </c>
      <c r="AW44" s="13">
        <f t="shared" si="229"/>
        <v>302708</v>
      </c>
      <c r="AX44" s="29">
        <f t="shared" si="229"/>
        <v>-132163</v>
      </c>
      <c r="AY44" s="29">
        <f t="shared" si="229"/>
        <v>164587</v>
      </c>
      <c r="AZ44" s="1">
        <v>0</v>
      </c>
      <c r="BA44" s="13">
        <f t="shared" ref="BA44:BH44" si="230">SUM(BA45:BA79)</f>
        <v>0</v>
      </c>
      <c r="BB44" s="29">
        <f t="shared" si="230"/>
        <v>0</v>
      </c>
      <c r="BC44" s="13">
        <f t="shared" si="230"/>
        <v>1025864</v>
      </c>
      <c r="BD44" s="29">
        <f t="shared" si="230"/>
        <v>-872337</v>
      </c>
      <c r="BE44" s="13">
        <f t="shared" si="230"/>
        <v>65238</v>
      </c>
      <c r="BF44" s="29">
        <f t="shared" si="230"/>
        <v>-91493</v>
      </c>
      <c r="BG44" s="29"/>
      <c r="BH44" s="29">
        <f t="shared" ca="1" si="230"/>
        <v>99240</v>
      </c>
      <c r="BJ44" s="30" t="e">
        <f t="shared" ref="BJ44:BO44" ca="1" si="231">SUM(BJ45:BJ79)</f>
        <v>#NUM!</v>
      </c>
      <c r="BK44" s="31" t="e">
        <f t="shared" ca="1" si="231"/>
        <v>#NUM!</v>
      </c>
      <c r="BL44" s="30" t="e">
        <f t="shared" ca="1" si="231"/>
        <v>#NUM!</v>
      </c>
      <c r="BM44" s="31" t="e">
        <f t="shared" ca="1" si="231"/>
        <v>#NUM!</v>
      </c>
      <c r="BN44" s="30" t="e">
        <f t="shared" ca="1" si="231"/>
        <v>#NUM!</v>
      </c>
      <c r="BO44" s="31" t="e">
        <f t="shared" ca="1" si="231"/>
        <v>#NUM!</v>
      </c>
      <c r="BQ44" s="30" t="e">
        <f ca="1">SUM(BQ45:BQ79)</f>
        <v>#NUM!</v>
      </c>
      <c r="BR44" s="31"/>
      <c r="BS44" s="30" t="e">
        <f ca="1">SUM(BS45:BS79)</f>
        <v>#NUM!</v>
      </c>
      <c r="BT44" s="31"/>
      <c r="BU44" s="30" t="e">
        <f ca="1">SUM(BU45:BU79)</f>
        <v>#NUM!</v>
      </c>
      <c r="BV44" s="31"/>
      <c r="BW44" s="69"/>
      <c r="BX44" s="30" t="e">
        <f ca="1">SUM(BX45:BX79)</f>
        <v>#NUM!</v>
      </c>
      <c r="BY44" s="31"/>
      <c r="BZ44" s="30" t="e">
        <f ca="1">SUM(BZ45:BZ79)</f>
        <v>#NUM!</v>
      </c>
      <c r="CA44" s="31"/>
      <c r="CB44" s="30" t="e">
        <f ca="1">SUM(CB45:CB79)</f>
        <v>#NUM!</v>
      </c>
      <c r="CC44" s="31"/>
      <c r="CD44" s="30">
        <f t="shared" ref="CD44:CI44" si="232">SUM(CD45:CD79)</f>
        <v>20.23</v>
      </c>
      <c r="CE44" s="31">
        <f t="shared" si="232"/>
        <v>10.81</v>
      </c>
      <c r="CF44" s="30">
        <f t="shared" si="232"/>
        <v>20.179999999999996</v>
      </c>
      <c r="CG44" s="31">
        <f t="shared" si="232"/>
        <v>14.409999999999998</v>
      </c>
      <c r="CH44" s="30">
        <f t="shared" si="232"/>
        <v>19.650000000000006</v>
      </c>
      <c r="CI44" s="31">
        <f t="shared" si="232"/>
        <v>15.31</v>
      </c>
      <c r="CK44" s="30">
        <f>SUM(CK45:CK79)</f>
        <v>3239245</v>
      </c>
      <c r="CL44" s="31"/>
      <c r="CM44" s="30">
        <f>SUM(CM45:CM79)</f>
        <v>2335729</v>
      </c>
      <c r="CN44" s="31"/>
      <c r="CO44" s="30">
        <f>SUM(CO45:CO79)</f>
        <v>11261361</v>
      </c>
      <c r="CP44" s="31">
        <f t="shared" ref="CP44:CP79" si="233">+CK44+CM44+CO44</f>
        <v>16836335</v>
      </c>
      <c r="CQ44" s="30">
        <f>SUM(CQ45:CQ79)</f>
        <v>0</v>
      </c>
      <c r="CR44" s="31"/>
      <c r="CS44" s="30">
        <f>SUM(CS45:CS79)</f>
        <v>153527</v>
      </c>
      <c r="CT44" s="31"/>
      <c r="CU44" s="30">
        <f>SUM(CU45:CU79)</f>
        <v>-26255</v>
      </c>
      <c r="CV44" s="31"/>
      <c r="CW44" s="31" t="e">
        <f ca="1">SUM(CW45:CW79)</f>
        <v>#NUM!</v>
      </c>
      <c r="CY44" s="31" t="e">
        <f ca="1">SUM(CY45:CY79)</f>
        <v>#NUM!</v>
      </c>
      <c r="DA44" s="30">
        <f t="shared" ref="DA44:DB44" si="234">SUM(DA45:DA79)</f>
        <v>163.88</v>
      </c>
      <c r="DB44" s="31">
        <f t="shared" si="234"/>
        <v>136.38999999999984</v>
      </c>
      <c r="DC44" s="30">
        <f t="shared" ref="DC44:DF44" si="235">SUM(DC45:DC79)</f>
        <v>183.25</v>
      </c>
      <c r="DD44" s="31">
        <f t="shared" si="235"/>
        <v>163.16999999999982</v>
      </c>
      <c r="DE44" s="30">
        <f t="shared" si="235"/>
        <v>155.40999999999997</v>
      </c>
      <c r="DF44" s="30">
        <f t="shared" si="235"/>
        <v>145.07000000000002</v>
      </c>
      <c r="DG44" s="64">
        <v>750</v>
      </c>
      <c r="DH44" s="30">
        <f t="shared" ref="DH44:DM44" si="236">SUM(DH45:DH79)</f>
        <v>-764883.75905293529</v>
      </c>
      <c r="DI44" s="31">
        <f t="shared" si="236"/>
        <v>415518.23818577838</v>
      </c>
      <c r="DJ44" s="30">
        <f t="shared" si="236"/>
        <v>-658258</v>
      </c>
      <c r="DK44" s="31">
        <f t="shared" si="236"/>
        <v>258429</v>
      </c>
      <c r="DL44" s="30">
        <f t="shared" si="236"/>
        <v>-349365.52086715685</v>
      </c>
      <c r="DM44" s="30">
        <f t="shared" si="236"/>
        <v>-399829</v>
      </c>
      <c r="DP44" s="30">
        <f>SUM(DP45:DP79)</f>
        <v>507132.17397160479</v>
      </c>
      <c r="DQ44" s="31">
        <f>SUM(DQ45:DQ79)</f>
        <v>420991.31000000017</v>
      </c>
      <c r="DR44" s="30" t="e">
        <f ca="1">SUM(DR45:DR79)</f>
        <v>#NUM!</v>
      </c>
      <c r="DS44" s="31">
        <f>SUM(DS45:DS79)</f>
        <v>-70147.76999999999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7">SUM(EE45:EE79)</f>
        <v>16.0306</v>
      </c>
      <c r="EF44" s="31">
        <f t="shared" si="237"/>
        <v>82.718400000000003</v>
      </c>
      <c r="EG44" s="30">
        <f t="shared" si="237"/>
        <v>37.030299999999997</v>
      </c>
      <c r="EH44" s="31">
        <f t="shared" si="237"/>
        <v>25.596500000000002</v>
      </c>
      <c r="EI44" s="30">
        <f t="shared" si="237"/>
        <v>10.370999999999999</v>
      </c>
      <c r="EJ44" s="30">
        <f t="shared" si="237"/>
        <v>10.163999999999998</v>
      </c>
      <c r="EL44" s="30">
        <f t="shared" ref="EL44:EQ44" si="238">SUM(EL45:EL79)</f>
        <v>0</v>
      </c>
      <c r="EM44" s="31">
        <f t="shared" si="238"/>
        <v>0</v>
      </c>
      <c r="EN44" s="30">
        <f t="shared" si="238"/>
        <v>0</v>
      </c>
      <c r="EO44" s="31">
        <f t="shared" si="238"/>
        <v>0</v>
      </c>
      <c r="EP44" s="30">
        <f t="shared" si="238"/>
        <v>0</v>
      </c>
      <c r="EQ44" s="30">
        <f t="shared" si="238"/>
        <v>0</v>
      </c>
      <c r="EU44" s="67">
        <v>562.87</v>
      </c>
      <c r="EV44" s="67" t="s">
        <v>371</v>
      </c>
      <c r="EW44" s="67">
        <v>485.24</v>
      </c>
      <c r="EX44" s="67" t="s">
        <v>372</v>
      </c>
      <c r="EY44" s="67">
        <v>5642.25</v>
      </c>
      <c r="EZ44" s="67" t="s">
        <v>373</v>
      </c>
      <c r="FA44" s="67">
        <v>19933.5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ROUND(485/$A$39,0)*$A$39+17*$A$39</f>
        <v>502</v>
      </c>
      <c r="B45" s="3">
        <f t="shared" ref="B45:B79" si="239">+IF($A$1="ABS",AS45-AT45,AS45+AT45)</f>
        <v>977</v>
      </c>
      <c r="C45" s="3">
        <f t="shared" ref="C45:C71" si="240">+IF($A$1="ABS",AU45-AV45,AU45+AV45)</f>
        <v>1809</v>
      </c>
      <c r="D45" s="3">
        <f t="shared" ref="D45:D79" si="241">+IF($A$1="ABS",AW45-AX45,AW45+AX45)</f>
        <v>3474</v>
      </c>
      <c r="E45" s="3">
        <f t="shared" ref="E45:E79" si="242">SUM(B45:D45)</f>
        <v>6260</v>
      </c>
      <c r="F45" s="4">
        <f>+$F$44/$A$44*A45</f>
        <v>20727.871372356123</v>
      </c>
      <c r="AM45" s="1">
        <v>-178</v>
      </c>
      <c r="AN45" s="1">
        <v>2</v>
      </c>
      <c r="AO45" s="1">
        <v>502</v>
      </c>
      <c r="AP45" s="1">
        <v>1328</v>
      </c>
      <c r="AQ45" s="1">
        <v>-2</v>
      </c>
      <c r="AS45" s="30">
        <f>IF(RTD("tos.rtd",,AS$43,"."&amp;$A$43&amp;$AS$42&amp;"C"&amp;$A45)="N/A",0,RTD("tos.rtd",,AS$43,"."&amp;$A$43&amp;$AS$42&amp;"C"&amp;$A45))</f>
        <v>965</v>
      </c>
      <c r="AT45" s="31">
        <f>-IF(RTD("tos.rtd",,AT$43,"."&amp;$A$43&amp;$AS$42&amp;"P"&amp;$A45)="N/A",0,RTD("tos.rtd",,AT$43,"."&amp;$A$43&amp;$AS$42&amp;"P"&amp;$A45))</f>
        <v>-12</v>
      </c>
      <c r="AU45" s="30">
        <f>IF(RTD("tos.rtd",,AU$2,"."&amp;$A$43&amp;$AU$1&amp;"C"&amp;$A45)="N/A",0,RTD("tos.rtd",,AU$2,"."&amp;$A$43&amp;$AU$1&amp;"C"&amp;$A45))</f>
        <v>1808</v>
      </c>
      <c r="AV45" s="31">
        <f>-IF(RTD("tos.rtd",,AV$2,"."&amp;$A$43&amp;$AU$1&amp;"P"&amp;$A45)="N/A",0,RTD("tos.rtd",,AV$2,"."&amp;$A$43&amp;$AU$1&amp;"P"&amp;$A45))</f>
        <v>-1</v>
      </c>
      <c r="AW45" s="30">
        <f>IF(RTD("tos.rtd",,AW$2,"."&amp;$A$43&amp;$AW$1&amp;"C"&amp;$A45)="N/A",0,RTD("tos.rtd",,AW$2,"."&amp;$A$43&amp;$AW$1&amp;"C"&amp;$A45))</f>
        <v>3358</v>
      </c>
      <c r="AX45" s="31">
        <f>-IF(RTD("tos.rtd",,AX$2,"."&amp;$A$43&amp;$AW$1&amp;"P"&amp;$A45)="N/A",0,RTD("tos.rtd",,AX$2,"."&amp;$A$43&amp;$AW$1&amp;"P"&amp;$A45))</f>
        <v>-116</v>
      </c>
      <c r="AY45" s="31">
        <f>SUM(AS45:AX45)</f>
        <v>6002</v>
      </c>
      <c r="AZ45" s="8">
        <f t="shared" ref="AZ45:AZ79" si="243">+A45</f>
        <v>502</v>
      </c>
      <c r="BA45" s="30">
        <f>IF(RTD("tos.rtd",,BA$43,"."&amp;$A$43&amp;$AS$42&amp;"C"&amp;$A45)="N/A",0,RTD("tos.rtd",,BA$43,"."&amp;$A$43&amp;$AS$42&amp;"C"&amp;$A45))</f>
        <v>0</v>
      </c>
      <c r="BB45" s="31">
        <f>-IF(RTD("tos.rtd",,BB$43,"."&amp;$A$43&amp;$AS$42&amp;"P"&amp;$A45)="N/A",0,RTD("tos.rtd",,BB$43,"."&amp;$A$43&amp;$AS$42&amp;"P"&amp;$A45))</f>
        <v>0</v>
      </c>
      <c r="BC45" s="30">
        <f>IF(RTD("tos.rtd",,BC$2,"."&amp;$A$43&amp;$AU$1&amp;"C"&amp;$A45)="N/A",0,RTD("tos.rtd",,BC$2,"."&amp;$A$43&amp;$AU$1&amp;"C"&amp;$A45))</f>
        <v>2333</v>
      </c>
      <c r="BD45" s="31">
        <f>-IF(RTD("tos.rtd",,BD$2,"."&amp;$A$43&amp;$AU$1&amp;"P"&amp;$A45)="N/A",0,RTD("tos.rtd",,BD$2,"."&amp;$A$43&amp;$AU$1&amp;"P"&amp;$A45))</f>
        <v>-1</v>
      </c>
      <c r="BE45" s="30">
        <f>IF(RTD("tos.rtd",,BE$2,"."&amp;$A$43&amp;$AW$1&amp;"C"&amp;$A45)="N/A",0,RTD("tos.rtd",,BE$2,"."&amp;$A$43&amp;$AW$1&amp;"C"&amp;$A45))</f>
        <v>967</v>
      </c>
      <c r="BF45" s="31">
        <f>-IF(RTD("tos.rtd",,BF$2,"."&amp;$A$43&amp;$AW$1&amp;"P"&amp;$A45)="N/A",0,RTD("tos.rtd",,BF$2,"."&amp;$A$43&amp;$AW$1&amp;"P"&amp;$A45))</f>
        <v>-54</v>
      </c>
      <c r="BG45" s="32">
        <f ca="1">+Hoja2!Y46</f>
        <v>-125</v>
      </c>
      <c r="BH45" s="31">
        <f ca="1">SUM(BA45:BG45)</f>
        <v>3120</v>
      </c>
      <c r="BI45" s="8"/>
      <c r="BJ45" s="83" t="e">
        <f ca="1">IF($BP$1=1,DX45,IF(RTD("tos.rtd",,BJ$43,"."&amp;$A$43&amp;$AS$42&amp;"C"&amp;$A45)="N/A",0,RTD("tos.rtd",,BJ$43,"."&amp;$A$43&amp;$AS$42&amp;"C"&amp;$A45)))</f>
        <v>#NUM!</v>
      </c>
      <c r="BK45" s="83" t="e">
        <f ca="1">IF($BP$1=1,DY45,-IF(RTD("tos.rtd",,BK$43,"."&amp;$A$43&amp;$AS$42&amp;"P"&amp;$A45)="N/A",0,RTD("tos.rtd",,BK$43,"."&amp;$A$43&amp;$AS$42&amp;"P"&amp;$A45)))</f>
        <v>#NUM!</v>
      </c>
      <c r="BL45" s="83" t="e">
        <f ca="1">IF($BP$1=1,DZ45,IF(RTD("tos.rtd",,BL$2,"."&amp;$A$43&amp;$AU$1&amp;"C"&amp;$A45)="N/A",0,RTD("tos.rtd",,BL$2,"."&amp;$A$43&amp;$AU$1&amp;"C"&amp;$A45)))</f>
        <v>#NUM!</v>
      </c>
      <c r="BM45" s="83" t="e">
        <f ca="1">IF($BP$1=1,EA45,-IF(RTD("tos.rtd",,BM$2,"."&amp;$A$43&amp;$AU$1&amp;"P"&amp;$A45)="N/A",0,RTD("tos.rtd",,BM$2,"."&amp;$A$43&amp;$AU$1&amp;"P"&amp;$A45)))</f>
        <v>#NUM!</v>
      </c>
      <c r="BN45" s="83" t="e">
        <f ca="1">IF($BP$1=1,EB45,IF(RTD("tos.rtd",,BN$2,"."&amp;$A$43&amp;$AW$1&amp;"C"&amp;$A45)="N/A",0,RTD("tos.rtd",,BN$2,"."&amp;$A$43&amp;$AW$1&amp;"C"&amp;$A45)))</f>
        <v>#NUM!</v>
      </c>
      <c r="BO45" s="83" t="e">
        <f ca="1">IF($BP$1=1,EC45,-IF(RTD("tos.rtd",,BO$2,"."&amp;$A$43&amp;$AW$1&amp;"P"&amp;$A45)="N/A",0,RTD("tos.rtd",,BO$2,"."&amp;$A$43&amp;$AW$1&amp;"P"&amp;$A45)))</f>
        <v>#NUM!</v>
      </c>
      <c r="BQ45" s="83" t="e">
        <f ca="1">+$A$44*$A$44*AS45*BJ45-$A$44*$A$44*AT45*BK45</f>
        <v>#NUM!</v>
      </c>
      <c r="BR45" s="83"/>
      <c r="BS45" s="83" t="e">
        <f ca="1">+$A$44*$A$44*AU45*BL45-$A$44*$A$44*AV45*BM45</f>
        <v>#NUM!</v>
      </c>
      <c r="BT45" s="83"/>
      <c r="BU45" s="83" t="e">
        <f ca="1">+$A$44*$A$44*AW45*BN45-$A$44*$A$44*AX45*BO45</f>
        <v>#NUM!</v>
      </c>
      <c r="BV45" s="83"/>
      <c r="BX45" s="83" t="e">
        <f t="shared" ref="BX45" ca="1" si="244">+$A$44*$A$44*BA45*BJ45-$A$44*$A$44*BB45*BK45</f>
        <v>#NUM!</v>
      </c>
      <c r="BY45" s="83"/>
      <c r="BZ45" s="83" t="e">
        <f t="shared" ref="BZ45" ca="1" si="245">+$A$44*$A$44*BC45*BL45-$A$44*$A$44*BD45*BM45</f>
        <v>#NUM!</v>
      </c>
      <c r="CA45" s="83"/>
      <c r="CB45" s="83" t="e">
        <f t="shared" ref="CB45" ca="1" si="246">+$A$44*$A$44*BE45*BN45-$A$44*$A$44*BF45*BO45</f>
        <v>#NUM!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0.74</v>
      </c>
      <c r="CF45" s="83">
        <f>IF(RTD("tos.rtd",,CF$2,"."&amp;$A$43&amp;$AU$1&amp;"C"&amp;$A45)="N/A",0,RTD("tos.rtd",,CF$2,"."&amp;$A$43&amp;$AU$1&amp;"C"&amp;$A45))</f>
        <v>0</v>
      </c>
      <c r="CG45" s="83">
        <f>-IF(RTD("tos.rtd",,CG$2,"."&amp;$A$43&amp;$AU$1&amp;"P"&amp;$A45)="N/A",0,RTD("tos.rtd",,CG$2,"."&amp;$A$43&amp;$AU$1&amp;"P"&amp;$A45))</f>
        <v>1</v>
      </c>
      <c r="CH45" s="83">
        <f>IF(RTD("tos.rtd",,CH$2,"."&amp;$A$43&amp;$AW$1&amp;"C"&amp;$A45)="N/A",0,RTD("tos.rtd",,CH$2,"."&amp;$A$43&amp;$AW$1&amp;"C"&amp;$A45))</f>
        <v>0.19</v>
      </c>
      <c r="CI45" s="83">
        <f>-IF(RTD("tos.rtd",,CI$2,"."&amp;$A$43&amp;$AW$1&amp;"P"&amp;$A45)="N/A",0,RTD("tos.rtd",,CI$2,"."&amp;$A$43&amp;$AW$1&amp;"P"&amp;$A45))</f>
        <v>0.82</v>
      </c>
      <c r="CK45" s="83">
        <f>+AS45*CD45*100+AT45*CE45*100</f>
        <v>-887.99999999999989</v>
      </c>
      <c r="CL45" s="83"/>
      <c r="CM45" s="83">
        <f>+AU45*CF45*100+AV45*CG45*100</f>
        <v>-100</v>
      </c>
      <c r="CN45" s="83"/>
      <c r="CO45" s="83">
        <f>+AW45*CH45*100+AX45*CI45*100</f>
        <v>54290</v>
      </c>
      <c r="CP45" s="83">
        <f t="shared" si="233"/>
        <v>53302</v>
      </c>
      <c r="CQ45" s="83">
        <f t="shared" ref="CQ45:CQ79" si="247">+BA45+BB45</f>
        <v>0</v>
      </c>
      <c r="CR45" s="83"/>
      <c r="CS45" s="83">
        <f t="shared" ref="CS45:CS79" si="248">+BC45+BD45</f>
        <v>2332</v>
      </c>
      <c r="CT45" s="83"/>
      <c r="CU45" s="83">
        <f t="shared" ref="CU45:CU79" si="249">+BE45+BF45</f>
        <v>913</v>
      </c>
      <c r="CV45" s="83"/>
      <c r="CW45" s="83" t="e">
        <f t="shared" ref="CW45:CW79" ca="1" si="250">+BQ45+BS45+BU45</f>
        <v>#NUM!</v>
      </c>
      <c r="CY45" s="83" t="e">
        <f t="shared" ref="CY45:CY79" ca="1" si="251">+BX45+BZ45+CB45</f>
        <v>#NUM!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16.43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17.98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16.5</v>
      </c>
      <c r="DG45" s="86">
        <f>+$A45-$A$44</f>
        <v>14.079999999999984</v>
      </c>
      <c r="DH45" s="83">
        <f t="shared" ref="DH45:DH79" si="252">((DA45-DE45)/(DC45-DE45))*(BA45-AP45)</f>
        <v>-1328</v>
      </c>
      <c r="DI45" s="83">
        <f t="shared" ref="DI45:DI79" si="253">((DB45-DF45)/(DD45-DF45))*(BB45-AQ45)</f>
        <v>-9.4594594594594947E-2</v>
      </c>
      <c r="DJ45" s="83">
        <f t="shared" ref="DJ45:DJ79" si="254">IF(DA45&gt;=(DE45+(DC45-DE45)*0.6),(BA45-AP45),IF(DA45&lt;=(DE45+(DC45-DE45)*0.4),-(BA45-AP45),0))</f>
        <v>-1328</v>
      </c>
      <c r="DK45" s="83">
        <f t="shared" ref="DK45:DK79" si="255">IF(DB45&lt;=(DF45+(DD45-DF45)*0.4),-(BB45-AQ45),IF(DB45&gt;=(DF45+(DD45-DF45)*0.6),(BB45-AQ45),0))</f>
        <v>-2</v>
      </c>
      <c r="DL45" s="83">
        <f t="shared" ref="DL45:DL79" si="256">+DH45+DI45</f>
        <v>-1328.0945945945946</v>
      </c>
      <c r="DM45" s="83">
        <f t="shared" ref="DM45:DM79" si="257">+DJ45+DK45</f>
        <v>-1330</v>
      </c>
      <c r="DN45" s="64" t="str">
        <f t="shared" ref="DN45:DN79" si="258">IF(AND(DA45&gt;=(DE45+(DC45-DE45)*0.6),BA45&gt;AP45),"BUY",IF(AND(DA45&lt;=(DE45+(DC45-DE45)*0.4),BA45&gt;AP45),"SELL","UNKNOWN"))</f>
        <v>UNKNOWN</v>
      </c>
      <c r="DO45" s="64" t="str">
        <f t="shared" ref="DO45:DO79" si="259">IF(AND(DB45&gt;=(DF45+(DD45-DF45)*0.6),ABS(BB45)&gt;ABS(AQ45)),"BUY",IF(AND(DB45&lt;=(DF45+(DD45-DF45)*0.4),ABS(BB45)&gt;ABS(AQ45)),"SELL","UNKNOWN"))</f>
        <v>UNKNOWN</v>
      </c>
      <c r="DP45" s="83">
        <f t="shared" ref="DP45:DP79" si="260">+DH45*DA45+DI45*DB45</f>
        <v>-14.834189189189196</v>
      </c>
      <c r="DQ45" s="83">
        <f t="shared" ref="DQ45:DQ79" si="261">+DA45*DJ45+DB45*DK45</f>
        <v>-46.14</v>
      </c>
      <c r="DR45" s="83" t="e">
        <f t="shared" ref="DR45:DR79" ca="1" si="262">+BJ45*DJ45+BK45*DK45</f>
        <v>#NUM!</v>
      </c>
      <c r="DS45" s="83">
        <f t="shared" ref="DS45:DS79" si="263">+CD45*DJ45+CE45*DK45</f>
        <v>-1.48</v>
      </c>
      <c r="DT45" s="83">
        <f>BA45-VLOOKUP(AZ45,$AO$45:$AQ$79,2,FALSE)</f>
        <v>-1328</v>
      </c>
      <c r="DU45" s="83">
        <f>BB45-VLOOKUP(AZ45,$AO$45:$AQ$79,3,FALSE)</f>
        <v>2</v>
      </c>
      <c r="DV45" s="83">
        <f t="shared" ref="DV45:DV79" si="264">AM45+IF(DN45="BUY",DT45,IF(DN45="SELL",-DT45,0))</f>
        <v>-178</v>
      </c>
      <c r="DW45" s="83">
        <f t="shared" ref="DW45:DW79" si="265">AN45+IF(DO45="BUY",DU45,IF(DO45="SELL",-DU45,0))</f>
        <v>2</v>
      </c>
      <c r="DX45" s="83" t="e">
        <f ca="1">(EXP(-POWER((LN($A$44/$A45)+($EC$1+POWER($EE45,2)/2)*($EM$1/$DY$1))/($EE45*SQRT($EM$1/$DY$1)),2)/2)/SQRT(2*PI())/($A$44*$EE45*SQRT($EM$1/$DY$1)))</f>
        <v>#NUM!</v>
      </c>
      <c r="DY45" s="83" t="e">
        <f ca="1">-(EXP(-POWER((LN($A$44/$A45)+($EC$1+POWER($EF45,2)/2)*($EM$1/$DY$1))/($EF45*SQRT($EM$1/$DY$1)),2)/2)/SQRT(2*PI())/($A$44*$EF45*SQRT($EM$1/$DY$1)))</f>
        <v>#NUM!</v>
      </c>
      <c r="DZ45" s="83" t="e">
        <f ca="1">(EXP(-POWER((LN($A$44/$A45)+($EC$1+POWER($EG45,2)/2)*($EO$1/$DY$1))/($EG45*SQRT($EO$1/$DY$1)),2)/2)/SQRT(2*PI())/($A$44*$EG45*SQRT($EO$1/$DY$1)))</f>
        <v>#NUM!</v>
      </c>
      <c r="EA45" s="83" t="e">
        <f ca="1">-(EXP(-POWER((LN($A$44/$A45)+($EC$1+POWER($EH45,2)/2)*($EO$1/$DY$1))/($EH45*SQRT($EO$1/$DY$1)),2)/2)/SQRT(2*PI())/($A$44*$EH45*SQRT($EO$1/$DY$1)))</f>
        <v>#NUM!</v>
      </c>
      <c r="EB45" s="83" t="e">
        <f ca="1">(EXP(-POWER((LN($A$44/$A45)+($EC$1+POWER($EI45,2)/2)*($EO$1/$DY$1))/($EI45*SQRT($EO$1/$DY$1)),2)/2)/SQRT(2*PI())/($A$44*$EI45*SQRT($EO$1/$DY$1)))</f>
        <v>#NUM!</v>
      </c>
      <c r="EC45" s="83" t="e">
        <f ca="1">-(EXP(-POWER((LN($A$44/$A45)+($EC$1+POWER($EJ45,2)/2)*($EO$1/$DY$1))/($EJ45*SQRT($EO$1/$DY$1)),2)/2)/SQRT(2*PI())/($A$44*$EJ45*SQRT($EO$1/$DY$1)))</f>
        <v>#NUM!</v>
      </c>
      <c r="EE45" s="84">
        <f t="shared" ref="EE45:EE79" si="266">IFERROR(VALUE(IF(OR(EL45="--",EL45="0.00%"),$EE$1,EL45)),$EE$1)</f>
        <v>1.3809</v>
      </c>
      <c r="EF45" s="84">
        <f t="shared" ref="EF45:EF79" si="267">IFERROR(VALUE(IF(OR(EM45="--",EM45="0.00%"),$EE$1,EM45)),$EE$1)</f>
        <v>5.6284999999999998</v>
      </c>
      <c r="EG45" s="84">
        <f t="shared" ref="EG45:EG79" si="268">IFERROR(VALUE(IF(OR(EN45="--",EN45="0.00%"),$EE$1,EN45)),$EE$1)</f>
        <v>1.3809</v>
      </c>
      <c r="EH45" s="84">
        <f t="shared" ref="EH45:EH79" si="269">IFERROR(VALUE(IF(OR(EO45="--",EO45="0.00%"),$EE$1,EO45)),$EE$1)</f>
        <v>0.25</v>
      </c>
      <c r="EI45" s="84">
        <f t="shared" ref="EI45:EI79" si="270">IFERROR(VALUE(IF(OR(EP45="--",EP45="0.00%"),$EE$1,EP45)),$EE$1)</f>
        <v>0.26960000000000001</v>
      </c>
      <c r="EJ45" s="84">
        <f t="shared" ref="EJ45:EJ79" si="271">IFERROR(VALUE(IF(OR(EQ45="--",EQ45="0.00%"),$EE$1,EQ45)),$EE$1)</f>
        <v>0.2646</v>
      </c>
      <c r="EL45" s="83" t="str">
        <f>RTD("tos.rtd",,EL$43,"."&amp;$A$43&amp;$AS$42&amp;"C"&amp;$A45)</f>
        <v>138.09%</v>
      </c>
      <c r="EM45" s="83" t="str">
        <f>RTD("tos.rtd",,EM$43,"."&amp;$A$43&amp;$AS$42&amp;"P"&amp;$A45)</f>
        <v>562.85%</v>
      </c>
      <c r="EN45" s="83" t="str">
        <f>RTD("tos.rtd",,EN$2,"."&amp;$A$43&amp;$AU$1&amp;"C"&amp;$A45)</f>
        <v>138.09%</v>
      </c>
      <c r="EO45" s="83" t="str">
        <f>RTD("tos.rtd",,EO$2,"."&amp;$A$43&amp;$AU$1&amp;"P"&amp;$A45)</f>
        <v>--</v>
      </c>
      <c r="EP45" s="83" t="str">
        <f>RTD("tos.rtd",,EP$2,"."&amp;$A$43&amp;$AW$1&amp;"C"&amp;$A45)</f>
        <v>26.96%</v>
      </c>
      <c r="EQ45" s="83" t="str">
        <f>RTD("tos.rtd",,EQ$2,"."&amp;$A$43&amp;$AW$1&amp;"P"&amp;$A45)</f>
        <v>26.46%</v>
      </c>
      <c r="ES45" s="63" t="str">
        <f t="shared" ref="ES45:ES79" si="272">IFERROR(
    A45 &amp; "," &amp; TEXT(IF(ISNUMBER(DV45+DW45), DV45+DW45, 0), "00.00"),    "Error"
)</f>
        <v>502,-176.00</v>
      </c>
      <c r="ET45" s="64" t="str">
        <f t="shared" ref="ET45:ET79" ca="1" si="273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IF(ISNUMBER(DV45+DW45), (DV45+DW45),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IF(ISNUMBER(DV45+DW45), (DV45+DW45), 0)
        )))),
    "00.00")
)</f>
        <v>502,00.00</v>
      </c>
      <c r="EU45" s="67">
        <v>562.80999999999995</v>
      </c>
      <c r="EV45" s="67" t="s">
        <v>379</v>
      </c>
      <c r="EW45" s="67">
        <v>485.14</v>
      </c>
      <c r="EX45" s="67" t="s">
        <v>380</v>
      </c>
      <c r="EY45" s="67">
        <v>5641.75</v>
      </c>
      <c r="EZ45" s="67" t="s">
        <v>381</v>
      </c>
      <c r="FA45" s="67">
        <v>19930.25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501</v>
      </c>
      <c r="B46" s="3">
        <f t="shared" si="239"/>
        <v>1342</v>
      </c>
      <c r="C46" s="3">
        <f t="shared" si="240"/>
        <v>2376</v>
      </c>
      <c r="D46" s="3">
        <f t="shared" si="241"/>
        <v>2628</v>
      </c>
      <c r="E46" s="3">
        <f>SUM(B46:D46)</f>
        <v>6346</v>
      </c>
      <c r="F46" s="4">
        <f>+$F$44/$A$44*A46</f>
        <v>20686.580791933102</v>
      </c>
      <c r="AM46" s="1">
        <v>189</v>
      </c>
      <c r="AN46" s="1">
        <v>-12</v>
      </c>
      <c r="AO46" s="1">
        <v>501</v>
      </c>
      <c r="AP46" s="1">
        <v>1753</v>
      </c>
      <c r="AQ46" s="1">
        <v>-24</v>
      </c>
      <c r="AS46" s="6">
        <f>IF(RTD("tos.rtd",,AS$43,"."&amp;$A$43&amp;$AS$42&amp;"C"&amp;$A46)="N/A",0,RTD("tos.rtd",,AS$43,"."&amp;$A$43&amp;$AS$42&amp;"C"&amp;$A46))</f>
        <v>1342</v>
      </c>
      <c r="AT46" s="7">
        <f>-IF(RTD("tos.rtd",,AT$43,"."&amp;$A$43&amp;$AS$42&amp;"P"&amp;$A46)="N/A",0,RTD("tos.rtd",,AT$43,"."&amp;$A$43&amp;$AS$42&amp;"P"&amp;$A46))</f>
        <v>0</v>
      </c>
      <c r="AU46" s="6">
        <f>IF(RTD("tos.rtd",,AU$2,"."&amp;$A$43&amp;$AU$1&amp;"C"&amp;$A46)="N/A",0,RTD("tos.rtd",,AU$2,"."&amp;$A$43&amp;$AU$1&amp;"C"&amp;$A46))</f>
        <v>2358</v>
      </c>
      <c r="AV46" s="7">
        <f>-IF(RTD("tos.rtd",,AV$2,"."&amp;$A$43&amp;$AU$1&amp;"P"&amp;$A46)="N/A",0,RTD("tos.rtd",,AV$2,"."&amp;$A$43&amp;$AU$1&amp;"P"&amp;$A46))</f>
        <v>-18</v>
      </c>
      <c r="AW46" s="6">
        <f>IF(RTD("tos.rtd",,AW$2,"."&amp;$A$43&amp;$AW$1&amp;"C"&amp;$A46)="N/A",0,RTD("tos.rtd",,AW$2,"."&amp;$A$43&amp;$AW$1&amp;"C"&amp;$A46))</f>
        <v>2599</v>
      </c>
      <c r="AX46" s="7">
        <f>-IF(RTD("tos.rtd",,AX$2,"."&amp;$A$43&amp;$AW$1&amp;"P"&amp;$A46)="N/A",0,RTD("tos.rtd",,AX$2,"."&amp;$A$43&amp;$AW$1&amp;"P"&amp;$A46))</f>
        <v>-29</v>
      </c>
      <c r="AY46" s="7">
        <f t="shared" ref="AY46:AY79" si="274">SUM(AS46:AX46)</f>
        <v>6252</v>
      </c>
      <c r="AZ46" s="8">
        <f t="shared" si="243"/>
        <v>501</v>
      </c>
      <c r="BA46" s="6">
        <f>IF(RTD("tos.rtd",,BA$43,"."&amp;$A$43&amp;$AS$42&amp;"C"&amp;$A46)="N/A",0,RTD("tos.rtd",,BA$43,"."&amp;$A$43&amp;$AS$42&amp;"C"&amp;$A46))</f>
        <v>0</v>
      </c>
      <c r="BB46" s="7">
        <f>-IF(RTD("tos.rtd",,BB$43,"."&amp;$A$43&amp;$AS$42&amp;"P"&amp;$A46)="N/A",0,RTD("tos.rtd",,BB$43,"."&amp;$A$43&amp;$AS$42&amp;"P"&amp;$A46))</f>
        <v>0</v>
      </c>
      <c r="BC46" s="6">
        <f>IF(RTD("tos.rtd",,BC$2,"."&amp;$A$43&amp;$AU$1&amp;"C"&amp;$A46)="N/A",0,RTD("tos.rtd",,BC$2,"."&amp;$A$43&amp;$AU$1&amp;"C"&amp;$A46))</f>
        <v>3367</v>
      </c>
      <c r="BD46" s="7">
        <f>-IF(RTD("tos.rtd",,BD$2,"."&amp;$A$43&amp;$AU$1&amp;"P"&amp;$A46)="N/A",0,RTD("tos.rtd",,BD$2,"."&amp;$A$43&amp;$AU$1&amp;"P"&amp;$A46))</f>
        <v>-19</v>
      </c>
      <c r="BE46" s="6">
        <f>IF(RTD("tos.rtd",,BE$2,"."&amp;$A$43&amp;$AW$1&amp;"C"&amp;$A46)="N/A",0,RTD("tos.rtd",,BE$2,"."&amp;$A$43&amp;$AW$1&amp;"C"&amp;$A46))</f>
        <v>1256</v>
      </c>
      <c r="BF46" s="7">
        <f>-IF(RTD("tos.rtd",,BF$2,"."&amp;$A$43&amp;$AW$1&amp;"P"&amp;$A46)="N/A",0,RTD("tos.rtd",,BF$2,"."&amp;$A$43&amp;$AW$1&amp;"P"&amp;$A46))</f>
        <v>-50</v>
      </c>
      <c r="BG46" s="32">
        <f ca="1">+Hoja2!Y47</f>
        <v>244</v>
      </c>
      <c r="BH46" s="7">
        <f t="shared" ref="BH46:BH79" ca="1" si="275">SUM(BA46:BG46)</f>
        <v>4798</v>
      </c>
      <c r="BI46" s="8" t="str">
        <f ca="1">IF(AND(BH46&lt;0,BH45&gt;0), "Cruce -", IF(AND(BH46&gt;0,BH45&lt;0),"Cruce +", ""))</f>
        <v/>
      </c>
      <c r="BJ46" s="83" t="e">
        <f ca="1">IF($BP$1=1,DX46,IF(RTD("tos.rtd",,BJ$43,"."&amp;$A$43&amp;$AS$42&amp;"C"&amp;$A46)="N/A",0,RTD("tos.rtd",,BJ$43,"."&amp;$A$43&amp;$AS$42&amp;"C"&amp;$A46)))</f>
        <v>#NUM!</v>
      </c>
      <c r="BK46" s="83" t="e">
        <f ca="1">IF($BP$1=1,DY46,-IF(RTD("tos.rtd",,BK$43,"."&amp;$A$43&amp;$AS$42&amp;"P"&amp;$A46)="N/A",0,RTD("tos.rtd",,BK$43,"."&amp;$A$43&amp;$AS$42&amp;"P"&amp;$A46)))</f>
        <v>#NUM!</v>
      </c>
      <c r="BL46" s="83" t="e">
        <f ca="1">IF($BP$1=1,DZ46,IF(RTD("tos.rtd",,BL$2,"."&amp;$A$43&amp;$AU$1&amp;"C"&amp;$A46)="N/A",0,RTD("tos.rtd",,BL$2,"."&amp;$A$43&amp;$AU$1&amp;"C"&amp;$A46)))</f>
        <v>#NUM!</v>
      </c>
      <c r="BM46" s="83" t="e">
        <f ca="1">IF($BP$1=1,EA46,-IF(RTD("tos.rtd",,BM$2,"."&amp;$A$43&amp;$AU$1&amp;"P"&amp;$A46)="N/A",0,RTD("tos.rtd",,BM$2,"."&amp;$A$43&amp;$AU$1&amp;"P"&amp;$A46)))</f>
        <v>#NUM!</v>
      </c>
      <c r="BN46" s="83" t="e">
        <f ca="1">IF($BP$1=1,EB46,IF(RTD("tos.rtd",,BN$2,"."&amp;$A$43&amp;$AW$1&amp;"C"&amp;$A46)="N/A",0,RTD("tos.rtd",,BN$2,"."&amp;$A$43&amp;$AW$1&amp;"C"&amp;$A46)))</f>
        <v>#NUM!</v>
      </c>
      <c r="BO46" s="83" t="e">
        <f ca="1">IF($BP$1=1,EC46,-IF(RTD("tos.rtd",,BO$2,"."&amp;$A$43&amp;$AW$1&amp;"P"&amp;$A46)="N/A",0,RTD("tos.rtd",,BO$2,"."&amp;$A$43&amp;$AW$1&amp;"P"&amp;$A46)))</f>
        <v>#NUM!</v>
      </c>
      <c r="BQ46" s="83" t="e">
        <f t="shared" ref="BQ46:BQ79" ca="1" si="276">+$A$44*$A$44*AS46*BJ46-$A$44*$A$44*AT46*BK46</f>
        <v>#NUM!</v>
      </c>
      <c r="BR46" s="3" t="e">
        <f t="shared" ref="BR46:BR79" ca="1" si="277">IF(AND(BQ46&lt;0,BQ45&gt;0), "Cruce -", IF(AND(BQ46&gt;0,BQ45&lt;0),"Cruce +", ""))</f>
        <v>#NUM!</v>
      </c>
      <c r="BS46" s="83" t="e">
        <f t="shared" ref="BS46:BS79" ca="1" si="278">+$A$44*$A$44*AU46*BL46-$A$44*$A$44*AV46*BM46</f>
        <v>#NUM!</v>
      </c>
      <c r="BT46" s="3" t="e">
        <f t="shared" ref="BT46:BT79" ca="1" si="279">IF(AND(BS46&lt;0,BS45&gt;0), "Cruce -", IF(AND(BS46&gt;0,BS45&lt;0),"Cruce +", ""))</f>
        <v>#NUM!</v>
      </c>
      <c r="BU46" s="83" t="e">
        <f t="shared" ref="BU46:BU79" ca="1" si="280">+$A$44*$A$44*AW46*BN46-$A$44*$A$44*AX46*BO46</f>
        <v>#NUM!</v>
      </c>
      <c r="BV46" s="83"/>
      <c r="BX46" s="83" t="e">
        <f t="shared" ref="BX46:BX79" ca="1" si="281">+$A$44*$A$44*BA46*BJ46-$A$44*$A$44*BB46*BK46</f>
        <v>#NUM!</v>
      </c>
      <c r="BY46" s="83" t="e">
        <f ca="1">IF(AND(BX46&lt;0,BX45&gt;0), "Cruce -", IF(AND(BX46&gt;0,BX45&lt;0),"Cruce +", ""))</f>
        <v>#NUM!</v>
      </c>
      <c r="BZ46" s="83" t="e">
        <f t="shared" ref="BZ46:BZ79" ca="1" si="282">+$A$44*$A$44*BC46*BL46-$A$44*$A$44*BD46*BM46</f>
        <v>#NUM!</v>
      </c>
      <c r="CA46" s="83" t="e">
        <f ca="1">IF(AND(BZ46&lt;0,BZ45&gt;0), "Cruce -", IF(AND(BZ46&gt;0,BZ45&lt;0),"Cruce +", ""))</f>
        <v>#NUM!</v>
      </c>
      <c r="CB46" s="83" t="e">
        <f t="shared" ref="CB46:CB79" ca="1" si="283">+$A$44*$A$44*BE46*BN46-$A$44*$A$44*BF46*BO46</f>
        <v>#NUM!</v>
      </c>
      <c r="CC46" s="83" t="e">
        <f ca="1">IF(AND(CB46&lt;0,CB45&gt;0), "Cruce -", IF(AND(CB46&gt;0,CB45&lt;0),"Cruce +", ""))</f>
        <v>#NUM!</v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0.73</v>
      </c>
      <c r="CF46" s="83">
        <f>IF(RTD("tos.rtd",,CF$2,"."&amp;$A$43&amp;$AU$1&amp;"C"&amp;$A46)="N/A",0,RTD("tos.rtd",,CF$2,"."&amp;$A$43&amp;$AU$1&amp;"C"&amp;$A46))</f>
        <v>0</v>
      </c>
      <c r="CG46" s="83">
        <f>-IF(RTD("tos.rtd",,CG$2,"."&amp;$A$43&amp;$AU$1&amp;"P"&amp;$A46)="N/A",0,RTD("tos.rtd",,CG$2,"."&amp;$A$43&amp;$AU$1&amp;"P"&amp;$A46))</f>
        <v>1</v>
      </c>
      <c r="CH46" s="83">
        <f>IF(RTD("tos.rtd",,CH$2,"."&amp;$A$43&amp;$AW$1&amp;"C"&amp;$A46)="N/A",0,RTD("tos.rtd",,CH$2,"."&amp;$A$43&amp;$AW$1&amp;"C"&amp;$A46))</f>
        <v>0.21</v>
      </c>
      <c r="CI46" s="83">
        <f>-IF(RTD("tos.rtd",,CI$2,"."&amp;$A$43&amp;$AW$1&amp;"P"&amp;$A46)="N/A",0,RTD("tos.rtd",,CI$2,"."&amp;$A$43&amp;$AW$1&amp;"P"&amp;$A46))</f>
        <v>0.8</v>
      </c>
      <c r="CK46" s="83">
        <f t="shared" ref="CK46:CK79" si="284">+AS46*CD46*100+AT46*CE46*100</f>
        <v>0</v>
      </c>
      <c r="CL46" s="83"/>
      <c r="CM46" s="83">
        <f t="shared" ref="CM46:CM79" si="285">+AU46*CF46*100+AV46*CG46*100</f>
        <v>-1800</v>
      </c>
      <c r="CN46" s="83"/>
      <c r="CO46" s="83">
        <f t="shared" ref="CO46:CO79" si="286">+AW46*CH46*100+AX46*CI46*100</f>
        <v>52259</v>
      </c>
      <c r="CP46" s="83">
        <f t="shared" si="233"/>
        <v>50459</v>
      </c>
      <c r="CQ46" s="83">
        <f t="shared" si="247"/>
        <v>0</v>
      </c>
      <c r="CR46" s="83"/>
      <c r="CS46" s="83">
        <f t="shared" si="248"/>
        <v>3348</v>
      </c>
      <c r="CT46" s="83"/>
      <c r="CU46" s="83">
        <f t="shared" si="249"/>
        <v>1206</v>
      </c>
      <c r="CV46" s="83"/>
      <c r="CW46" s="83" t="e">
        <f t="shared" ca="1" si="250"/>
        <v>#NUM!</v>
      </c>
      <c r="CY46" s="83" t="e">
        <f t="shared" ca="1" si="251"/>
        <v>#NUM!</v>
      </c>
      <c r="CZ46" s="70" t="e">
        <f ca="1">IF(AND(CY46&lt;0,CY45&gt;0), "Cruce -", IF(AND(CY46&gt;0,CY45&lt;0),"Cruce +", ""))</f>
        <v>#NUM!</v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16.22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16.98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15.5</v>
      </c>
      <c r="DG46" s="86">
        <f t="shared" ref="DG46:DG79" si="287">+$A46-$A$44</f>
        <v>13.079999999999984</v>
      </c>
      <c r="DH46" s="83">
        <f t="shared" si="252"/>
        <v>-1753</v>
      </c>
      <c r="DI46" s="83">
        <f t="shared" si="253"/>
        <v>11.675675675675654</v>
      </c>
      <c r="DJ46" s="83">
        <f t="shared" si="254"/>
        <v>-1753</v>
      </c>
      <c r="DK46" s="83">
        <f t="shared" si="255"/>
        <v>0</v>
      </c>
      <c r="DL46" s="83">
        <f t="shared" si="256"/>
        <v>-1741.3243243243244</v>
      </c>
      <c r="DM46" s="83">
        <f t="shared" si="257"/>
        <v>-1753</v>
      </c>
      <c r="DN46" s="64" t="str">
        <f t="shared" si="258"/>
        <v>UNKNOWN</v>
      </c>
      <c r="DO46" s="64" t="str">
        <f t="shared" si="259"/>
        <v>UNKNOWN</v>
      </c>
      <c r="DP46" s="83">
        <f t="shared" si="260"/>
        <v>171.8494594594591</v>
      </c>
      <c r="DQ46" s="83">
        <f t="shared" si="261"/>
        <v>-17.53</v>
      </c>
      <c r="DR46" s="83" t="e">
        <f t="shared" ca="1" si="262"/>
        <v>#NUM!</v>
      </c>
      <c r="DS46" s="83">
        <f t="shared" si="263"/>
        <v>0</v>
      </c>
      <c r="DT46" s="83">
        <f t="shared" ref="DT46:DT79" si="288">BA46-VLOOKUP(AZ46,$AO$45:$AQ$79,2,FALSE)</f>
        <v>-1753</v>
      </c>
      <c r="DU46" s="83">
        <f t="shared" ref="DU46:DU79" si="289">BB46-VLOOKUP(AZ46,$AO$45:$AQ$79,3,FALSE)</f>
        <v>24</v>
      </c>
      <c r="DV46" s="83">
        <f t="shared" si="264"/>
        <v>189</v>
      </c>
      <c r="DW46" s="83">
        <f t="shared" si="265"/>
        <v>-12</v>
      </c>
      <c r="DX46" s="83" t="e">
        <f ca="1">(EXP(-POWER((LN($A$44/$A46)+($EC$1+POWER($EE46,2)/2)*($EM$1/$DY$1))/($EE46*SQRT($EM$1/$DY$1)),2)/2)/SQRT(2*PI())/($A$44*$EE46*SQRT($EM$1/$DY$1)))</f>
        <v>#NUM!</v>
      </c>
      <c r="DY46" s="83" t="e">
        <f ca="1">-(EXP(-POWER((LN($A$44/$A46)+($EC$1+POWER($EF46,2)/2)*($EM$1/$DY$1))/($EF46*SQRT($EM$1/$DY$1)),2)/2)/SQRT(2*PI())/($A$44*$EF46*SQRT($EM$1/$DY$1)))</f>
        <v>#NUM!</v>
      </c>
      <c r="DZ46" s="83" t="e">
        <f ca="1">(EXP(-POWER((LN($A$44/$A46)+($EC$1+POWER($EG46,2)/2)*($EO$1/$DY$1))/($EG46*SQRT($EO$1/$DY$1)),2)/2)/SQRT(2*PI())/($A$44*$EG46*SQRT($EO$1/$DY$1)))</f>
        <v>#NUM!</v>
      </c>
      <c r="EA46" s="83" t="e">
        <f ca="1">-(EXP(-POWER((LN($A$44/$A46)+($EC$1+POWER($EH46,2)/2)*($EO$1/$DY$1))/($EH46*SQRT($EO$1/$DY$1)),2)/2)/SQRT(2*PI())/($A$44*$EH46*SQRT($EO$1/$DY$1)))</f>
        <v>#NUM!</v>
      </c>
      <c r="EB46" s="83" t="e">
        <f ca="1">(EXP(-POWER((LN($A$44/$A46)+($EC$1+POWER($EI46,2)/2)*($EO$1/$DY$1))/($EI46*SQRT($EO$1/$DY$1)),2)/2)/SQRT(2*PI())/($A$44*$EI46*SQRT($EO$1/$DY$1)))</f>
        <v>#NUM!</v>
      </c>
      <c r="EC46" s="83" t="e">
        <f ca="1">-(EXP(-POWER((LN($A$44/$A46)+($EC$1+POWER($EJ46,2)/2)*($EO$1/$DY$1))/($EJ46*SQRT($EO$1/$DY$1)),2)/2)/SQRT(2*PI())/($A$44*$EJ46*SQRT($EO$1/$DY$1)))</f>
        <v>#NUM!</v>
      </c>
      <c r="EE46" s="84">
        <f t="shared" si="266"/>
        <v>1.2937000000000001</v>
      </c>
      <c r="EF46" s="84">
        <f t="shared" si="267"/>
        <v>5.4207999999999998</v>
      </c>
      <c r="EG46" s="84">
        <f t="shared" si="268"/>
        <v>1.2937000000000001</v>
      </c>
      <c r="EH46" s="84">
        <f t="shared" si="269"/>
        <v>0.25</v>
      </c>
      <c r="EI46" s="84">
        <f t="shared" si="270"/>
        <v>0.27029999999999998</v>
      </c>
      <c r="EJ46" s="84">
        <f t="shared" si="271"/>
        <v>0.2661</v>
      </c>
      <c r="EL46" s="83" t="str">
        <f>RTD("tos.rtd",,EL$43,"."&amp;$A$43&amp;$AS$42&amp;"C"&amp;$A46)</f>
        <v>129.37%</v>
      </c>
      <c r="EM46" s="83" t="str">
        <f>RTD("tos.rtd",,EM$43,"."&amp;$A$43&amp;$AS$42&amp;"P"&amp;$A46)</f>
        <v>542.08%</v>
      </c>
      <c r="EN46" s="83" t="str">
        <f>RTD("tos.rtd",,EN$2,"."&amp;$A$43&amp;$AU$1&amp;"C"&amp;$A46)</f>
        <v>129.37%</v>
      </c>
      <c r="EO46" s="83" t="str">
        <f>RTD("tos.rtd",,EO$2,"."&amp;$A$43&amp;$AU$1&amp;"P"&amp;$A46)</f>
        <v>--</v>
      </c>
      <c r="EP46" s="83" t="str">
        <f>RTD("tos.rtd",,EP$2,"."&amp;$A$43&amp;$AW$1&amp;"C"&amp;$A46)</f>
        <v>27.03%</v>
      </c>
      <c r="EQ46" s="83" t="str">
        <f>RTD("tos.rtd",,EQ$2,"."&amp;$A$43&amp;$AW$1&amp;"P"&amp;$A46)</f>
        <v>26.61%</v>
      </c>
      <c r="ES46" s="63" t="str">
        <f t="shared" si="272"/>
        <v>501,177.00</v>
      </c>
      <c r="ET46" s="64" t="str">
        <f t="shared" ca="1" si="273"/>
        <v>501,00.00</v>
      </c>
      <c r="EU46" s="67">
        <v>562.87</v>
      </c>
      <c r="EV46" s="67" t="s">
        <v>387</v>
      </c>
      <c r="EW46" s="67">
        <v>485.19</v>
      </c>
      <c r="EX46" s="67" t="s">
        <v>388</v>
      </c>
      <c r="EY46" s="67">
        <v>5642.25</v>
      </c>
      <c r="EZ46" s="67" t="s">
        <v>389</v>
      </c>
      <c r="FA46" s="67">
        <v>19931.75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90">+A46-$A$39</f>
        <v>500</v>
      </c>
      <c r="B47" s="3">
        <f t="shared" si="239"/>
        <v>9558</v>
      </c>
      <c r="C47" s="3">
        <f t="shared" si="240"/>
        <v>13115</v>
      </c>
      <c r="D47" s="3">
        <f t="shared" si="241"/>
        <v>58135</v>
      </c>
      <c r="E47" s="3">
        <f>SUM(B47:D47)</f>
        <v>80808</v>
      </c>
      <c r="F47" s="4">
        <f>+$F$44/$A$44*A47</f>
        <v>20645.290211510084</v>
      </c>
      <c r="AM47" s="1">
        <v>-800</v>
      </c>
      <c r="AN47" s="1">
        <v>8</v>
      </c>
      <c r="AO47" s="1">
        <v>500</v>
      </c>
      <c r="AP47" s="1">
        <v>5404</v>
      </c>
      <c r="AQ47" s="1">
        <v>-27</v>
      </c>
      <c r="AS47" s="6">
        <f>IF(RTD("tos.rtd",,AS$43,"."&amp;$A$43&amp;$AS$42&amp;"C"&amp;$A47)="N/A",0,RTD("tos.rtd",,AS$43,"."&amp;$A$43&amp;$AS$42&amp;"C"&amp;$A47))</f>
        <v>9506</v>
      </c>
      <c r="AT47" s="7">
        <f>-IF(RTD("tos.rtd",,AT$43,"."&amp;$A$43&amp;$AS$42&amp;"P"&amp;$A47)="N/A",0,RTD("tos.rtd",,AT$43,"."&amp;$A$43&amp;$AS$42&amp;"P"&amp;$A47))</f>
        <v>-52</v>
      </c>
      <c r="AU47" s="6">
        <f>IF(RTD("tos.rtd",,AU$2,"."&amp;$A$43&amp;$AU$1&amp;"C"&amp;$A47)="N/A",0,RTD("tos.rtd",,AU$2,"."&amp;$A$43&amp;$AU$1&amp;"C"&amp;$A47))</f>
        <v>13017</v>
      </c>
      <c r="AV47" s="7">
        <f>-IF(RTD("tos.rtd",,AV$2,"."&amp;$A$43&amp;$AU$1&amp;"P"&amp;$A47)="N/A",0,RTD("tos.rtd",,AV$2,"."&amp;$A$43&amp;$AU$1&amp;"P"&amp;$A47))</f>
        <v>-98</v>
      </c>
      <c r="AW47" s="6">
        <f>IF(RTD("tos.rtd",,AW$2,"."&amp;$A$43&amp;$AW$1&amp;"C"&amp;$A47)="N/A",0,RTD("tos.rtd",,AW$2,"."&amp;$A$43&amp;$AW$1&amp;"C"&amp;$A47))</f>
        <v>55098</v>
      </c>
      <c r="AX47" s="7">
        <f>-IF(RTD("tos.rtd",,AX$2,"."&amp;$A$43&amp;$AW$1&amp;"P"&amp;$A47)="N/A",0,RTD("tos.rtd",,AX$2,"."&amp;$A$43&amp;$AW$1&amp;"P"&amp;$A47))</f>
        <v>-3037</v>
      </c>
      <c r="AY47" s="7">
        <f t="shared" si="274"/>
        <v>74434</v>
      </c>
      <c r="AZ47" s="8">
        <f t="shared" si="243"/>
        <v>500</v>
      </c>
      <c r="BA47" s="6">
        <f>IF(RTD("tos.rtd",,BA$43,"."&amp;$A$43&amp;$AS$42&amp;"C"&amp;$A47)="N/A",0,RTD("tos.rtd",,BA$43,"."&amp;$A$43&amp;$AS$42&amp;"C"&amp;$A47))</f>
        <v>0</v>
      </c>
      <c r="BB47" s="7">
        <f>-IF(RTD("tos.rtd",,BB$43,"."&amp;$A$43&amp;$AS$42&amp;"P"&amp;$A47)="N/A",0,RTD("tos.rtd",,BB$43,"."&amp;$A$43&amp;$AS$42&amp;"P"&amp;$A47))</f>
        <v>0</v>
      </c>
      <c r="BC47" s="6">
        <f>IF(RTD("tos.rtd",,BC$2,"."&amp;$A$43&amp;$AU$1&amp;"C"&amp;$A47)="N/A",0,RTD("tos.rtd",,BC$2,"."&amp;$A$43&amp;$AU$1&amp;"C"&amp;$A47))</f>
        <v>10725</v>
      </c>
      <c r="BD47" s="7">
        <f>-IF(RTD("tos.rtd",,BD$2,"."&amp;$A$43&amp;$AU$1&amp;"P"&amp;$A47)="N/A",0,RTD("tos.rtd",,BD$2,"."&amp;$A$43&amp;$AU$1&amp;"P"&amp;$A47))</f>
        <v>-464</v>
      </c>
      <c r="BE47" s="6">
        <f>IF(RTD("tos.rtd",,BE$2,"."&amp;$A$43&amp;$AW$1&amp;"C"&amp;$A47)="N/A",0,RTD("tos.rtd",,BE$2,"."&amp;$A$43&amp;$AW$1&amp;"C"&amp;$A47))</f>
        <v>14625</v>
      </c>
      <c r="BF47" s="7">
        <f>-IF(RTD("tos.rtd",,BF$2,"."&amp;$A$43&amp;$AW$1&amp;"P"&amp;$A47)="N/A",0,RTD("tos.rtd",,BF$2,"."&amp;$A$43&amp;$AW$1&amp;"P"&amp;$A47))</f>
        <v>-444</v>
      </c>
      <c r="BG47" s="32">
        <f ca="1">+Hoja2!Y48</f>
        <v>20393</v>
      </c>
      <c r="BH47" s="7">
        <f t="shared" ca="1" si="275"/>
        <v>44835</v>
      </c>
      <c r="BI47" s="8" t="str">
        <f t="shared" ref="BI47:BI79" ca="1" si="291">IF(AND(BH47&lt;0,BH46&gt;0), "Cruce -", IF(AND(BH47&gt;0,BH46&lt;0),"Cruce +", ""))</f>
        <v/>
      </c>
      <c r="BJ47" s="83" t="e">
        <f ca="1">IF($BP$1=1,DX47,IF(RTD("tos.rtd",,BJ$43,"."&amp;$A$43&amp;$AS$42&amp;"C"&amp;$A47)="N/A",0,RTD("tos.rtd",,BJ$43,"."&amp;$A$43&amp;$AS$42&amp;"C"&amp;$A47)))</f>
        <v>#NUM!</v>
      </c>
      <c r="BK47" s="83" t="e">
        <f ca="1">IF($BP$1=1,DY47,-IF(RTD("tos.rtd",,BK$43,"."&amp;$A$43&amp;$AS$42&amp;"P"&amp;$A47)="N/A",0,RTD("tos.rtd",,BK$43,"."&amp;$A$43&amp;$AS$42&amp;"P"&amp;$A47)))</f>
        <v>#NUM!</v>
      </c>
      <c r="BL47" s="83" t="e">
        <f ca="1">IF($BP$1=1,DZ47,IF(RTD("tos.rtd",,BL$2,"."&amp;$A$43&amp;$AU$1&amp;"C"&amp;$A47)="N/A",0,RTD("tos.rtd",,BL$2,"."&amp;$A$43&amp;$AU$1&amp;"C"&amp;$A47)))</f>
        <v>#NUM!</v>
      </c>
      <c r="BM47" s="83" t="e">
        <f ca="1">IF($BP$1=1,EA47,-IF(RTD("tos.rtd",,BM$2,"."&amp;$A$43&amp;$AU$1&amp;"P"&amp;$A47)="N/A",0,RTD("tos.rtd",,BM$2,"."&amp;$A$43&amp;$AU$1&amp;"P"&amp;$A47)))</f>
        <v>#NUM!</v>
      </c>
      <c r="BN47" s="83" t="e">
        <f ca="1">IF($BP$1=1,EB47,IF(RTD("tos.rtd",,BN$2,"."&amp;$A$43&amp;$AW$1&amp;"C"&amp;$A47)="N/A",0,RTD("tos.rtd",,BN$2,"."&amp;$A$43&amp;$AW$1&amp;"C"&amp;$A47)))</f>
        <v>#NUM!</v>
      </c>
      <c r="BO47" s="83" t="e">
        <f ca="1">IF($BP$1=1,EC47,-IF(RTD("tos.rtd",,BO$2,"."&amp;$A$43&amp;$AW$1&amp;"P"&amp;$A47)="N/A",0,RTD("tos.rtd",,BO$2,"."&amp;$A$43&amp;$AW$1&amp;"P"&amp;$A47)))</f>
        <v>#NUM!</v>
      </c>
      <c r="BQ47" s="83" t="e">
        <f t="shared" ca="1" si="276"/>
        <v>#NUM!</v>
      </c>
      <c r="BR47" s="3" t="e">
        <f t="shared" ca="1" si="277"/>
        <v>#NUM!</v>
      </c>
      <c r="BS47" s="83" t="e">
        <f t="shared" ca="1" si="278"/>
        <v>#NUM!</v>
      </c>
      <c r="BT47" s="3" t="e">
        <f t="shared" ca="1" si="279"/>
        <v>#NUM!</v>
      </c>
      <c r="BU47" s="83" t="e">
        <f t="shared" ca="1" si="280"/>
        <v>#NUM!</v>
      </c>
      <c r="BV47" s="83"/>
      <c r="BX47" s="83" t="e">
        <f t="shared" ca="1" si="281"/>
        <v>#NUM!</v>
      </c>
      <c r="BY47" s="83" t="e">
        <f t="shared" ref="BY47:CC79" ca="1" si="292">IF(AND(BX47&lt;0,BX46&gt;0), "Cruce -", IF(AND(BX47&gt;0,BX46&lt;0),"Cruce +", ""))</f>
        <v>#NUM!</v>
      </c>
      <c r="BZ47" s="83" t="e">
        <f t="shared" ca="1" si="282"/>
        <v>#NUM!</v>
      </c>
      <c r="CA47" s="83" t="e">
        <f t="shared" ca="1" si="292"/>
        <v>#NUM!</v>
      </c>
      <c r="CB47" s="83" t="e">
        <f t="shared" ca="1" si="283"/>
        <v>#NUM!</v>
      </c>
      <c r="CC47" s="83" t="e">
        <f t="shared" ca="1" si="292"/>
        <v>#NUM!</v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0.72</v>
      </c>
      <c r="CF47" s="83">
        <f>IF(RTD("tos.rtd",,CF$2,"."&amp;$A$43&amp;$AU$1&amp;"C"&amp;$A47)="N/A",0,RTD("tos.rtd",,CF$2,"."&amp;$A$43&amp;$AU$1&amp;"C"&amp;$A47))</f>
        <v>0</v>
      </c>
      <c r="CG47" s="83">
        <f>-IF(RTD("tos.rtd",,CG$2,"."&amp;$A$43&amp;$AU$1&amp;"P"&amp;$A47)="N/A",0,RTD("tos.rtd",,CG$2,"."&amp;$A$43&amp;$AU$1&amp;"P"&amp;$A47))</f>
        <v>1</v>
      </c>
      <c r="CH47" s="83">
        <f>IF(RTD("tos.rtd",,CH$2,"."&amp;$A$43&amp;$AW$1&amp;"C"&amp;$A47)="N/A",0,RTD("tos.rtd",,CH$2,"."&amp;$A$43&amp;$AW$1&amp;"C"&amp;$A47))</f>
        <v>0.23</v>
      </c>
      <c r="CI47" s="83">
        <f>-IF(RTD("tos.rtd",,CI$2,"."&amp;$A$43&amp;$AW$1&amp;"P"&amp;$A47)="N/A",0,RTD("tos.rtd",,CI$2,"."&amp;$A$43&amp;$AW$1&amp;"P"&amp;$A47))</f>
        <v>0.76</v>
      </c>
      <c r="CK47" s="83">
        <f t="shared" si="284"/>
        <v>-3744</v>
      </c>
      <c r="CL47" s="83"/>
      <c r="CM47" s="83">
        <f t="shared" si="285"/>
        <v>-9800</v>
      </c>
      <c r="CN47" s="83"/>
      <c r="CO47" s="83">
        <f t="shared" si="286"/>
        <v>1036442</v>
      </c>
      <c r="CP47" s="83">
        <f t="shared" si="233"/>
        <v>1022898</v>
      </c>
      <c r="CQ47" s="83">
        <f t="shared" si="247"/>
        <v>0</v>
      </c>
      <c r="CR47" s="83"/>
      <c r="CS47" s="83">
        <f t="shared" si="248"/>
        <v>10261</v>
      </c>
      <c r="CT47" s="83"/>
      <c r="CU47" s="83">
        <f t="shared" si="249"/>
        <v>14181</v>
      </c>
      <c r="CV47" s="83"/>
      <c r="CW47" s="83" t="e">
        <f t="shared" ca="1" si="250"/>
        <v>#NUM!</v>
      </c>
      <c r="CY47" s="83" t="e">
        <f t="shared" ca="1" si="251"/>
        <v>#NUM!</v>
      </c>
      <c r="CZ47" s="70" t="e">
        <f t="shared" ref="CZ47:CZ79" ca="1" si="293">IF(AND(CY47&lt;0,CY46&gt;0), "Cruce -", IF(AND(CY47&gt;0,CY46&lt;0),"Cruce +", ""))</f>
        <v>#NUM!</v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12.95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16.55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14.5</v>
      </c>
      <c r="DG47" s="86">
        <f t="shared" si="287"/>
        <v>12.079999999999984</v>
      </c>
      <c r="DH47" s="83">
        <f t="shared" si="252"/>
        <v>-5404</v>
      </c>
      <c r="DI47" s="83">
        <f t="shared" si="253"/>
        <v>-20.414634146341466</v>
      </c>
      <c r="DJ47" s="83">
        <f t="shared" si="254"/>
        <v>-5404</v>
      </c>
      <c r="DK47" s="83">
        <f t="shared" si="255"/>
        <v>-27</v>
      </c>
      <c r="DL47" s="83">
        <f t="shared" si="256"/>
        <v>-5424.4146341463411</v>
      </c>
      <c r="DM47" s="83">
        <f t="shared" si="257"/>
        <v>-5431</v>
      </c>
      <c r="DN47" s="64" t="str">
        <f t="shared" si="258"/>
        <v>UNKNOWN</v>
      </c>
      <c r="DO47" s="64" t="str">
        <f t="shared" si="259"/>
        <v>UNKNOWN</v>
      </c>
      <c r="DP47" s="83">
        <f t="shared" si="260"/>
        <v>-318.40951219512198</v>
      </c>
      <c r="DQ47" s="83">
        <f t="shared" si="261"/>
        <v>-403.69</v>
      </c>
      <c r="DR47" s="83" t="e">
        <f t="shared" ca="1" si="262"/>
        <v>#NUM!</v>
      </c>
      <c r="DS47" s="83">
        <f t="shared" si="263"/>
        <v>-19.439999999999998</v>
      </c>
      <c r="DT47" s="83">
        <f t="shared" si="288"/>
        <v>-5404</v>
      </c>
      <c r="DU47" s="83">
        <f t="shared" si="289"/>
        <v>27</v>
      </c>
      <c r="DV47" s="83">
        <f t="shared" si="264"/>
        <v>-800</v>
      </c>
      <c r="DW47" s="83">
        <f t="shared" si="265"/>
        <v>8</v>
      </c>
      <c r="DX47" s="83" t="e">
        <f ca="1">(EXP(-POWER((LN($A$44/$A47)+($EC$1+POWER($EE47,2)/2)*($EM$1/$DY$1))/($EE47*SQRT($EM$1/$DY$1)),2)/2)/SQRT(2*PI())/($A$44*$EE47*SQRT($EM$1/$DY$1)))</f>
        <v>#NUM!</v>
      </c>
      <c r="DY47" s="83" t="e">
        <f ca="1">-(EXP(-POWER((LN($A$44/$A47)+($EC$1+POWER($EF47,2)/2)*($EM$1/$DY$1))/($EF47*SQRT($EM$1/$DY$1)),2)/2)/SQRT(2*PI())/($A$44*$EF47*SQRT($EM$1/$DY$1)))</f>
        <v>#NUM!</v>
      </c>
      <c r="DZ47" s="83" t="e">
        <f ca="1">(EXP(-POWER((LN($A$44/$A47)+($EC$1+POWER($EG47,2)/2)*($EO$1/$DY$1))/($EG47*SQRT($EO$1/$DY$1)),2)/2)/SQRT(2*PI())/($A$44*$EG47*SQRT($EO$1/$DY$1)))</f>
        <v>#NUM!</v>
      </c>
      <c r="EA47" s="83" t="e">
        <f ca="1">-(EXP(-POWER((LN($A$44/$A47)+($EC$1+POWER($EH47,2)/2)*($EO$1/$DY$1))/($EH47*SQRT($EO$1/$DY$1)),2)/2)/SQRT(2*PI())/($A$44*$EH47*SQRT($EO$1/$DY$1)))</f>
        <v>#NUM!</v>
      </c>
      <c r="EB47" s="83" t="e">
        <f ca="1">(EXP(-POWER((LN($A$44/$A47)+($EC$1+POWER($EI47,2)/2)*($EO$1/$DY$1))/($EI47*SQRT($EO$1/$DY$1)),2)/2)/SQRT(2*PI())/($A$44*$EI47*SQRT($EO$1/$DY$1)))</f>
        <v>#NUM!</v>
      </c>
      <c r="EC47" s="83" t="e">
        <f ca="1">-(EXP(-POWER((LN($A$44/$A47)+($EC$1+POWER($EJ47,2)/2)*($EO$1/$DY$1))/($EJ47*SQRT($EO$1/$DY$1)),2)/2)/SQRT(2*PI())/($A$44*$EJ47*SQRT($EO$1/$DY$1)))</f>
        <v>#NUM!</v>
      </c>
      <c r="EE47" s="84">
        <f t="shared" si="266"/>
        <v>1.2057</v>
      </c>
      <c r="EF47" s="84">
        <f t="shared" si="267"/>
        <v>5.44</v>
      </c>
      <c r="EG47" s="84">
        <f t="shared" si="268"/>
        <v>1.2057</v>
      </c>
      <c r="EH47" s="84">
        <f t="shared" si="269"/>
        <v>0.25</v>
      </c>
      <c r="EI47" s="84">
        <f t="shared" si="270"/>
        <v>0.27160000000000001</v>
      </c>
      <c r="EJ47" s="84">
        <f t="shared" si="271"/>
        <v>0.2833</v>
      </c>
      <c r="EL47" s="83" t="str">
        <f>RTD("tos.rtd",,EL$43,"."&amp;$A$43&amp;$AS$42&amp;"C"&amp;$A47)</f>
        <v>120.57%</v>
      </c>
      <c r="EM47" s="83" t="str">
        <f>RTD("tos.rtd",,EM$43,"."&amp;$A$43&amp;$AS$42&amp;"P"&amp;$A47)</f>
        <v>544.00%</v>
      </c>
      <c r="EN47" s="83" t="str">
        <f>RTD("tos.rtd",,EN$2,"."&amp;$A$43&amp;$AU$1&amp;"C"&amp;$A47)</f>
        <v>120.57%</v>
      </c>
      <c r="EO47" s="83" t="str">
        <f>RTD("tos.rtd",,EO$2,"."&amp;$A$43&amp;$AU$1&amp;"P"&amp;$A47)</f>
        <v>--</v>
      </c>
      <c r="EP47" s="83" t="str">
        <f>RTD("tos.rtd",,EP$2,"."&amp;$A$43&amp;$AW$1&amp;"C"&amp;$A47)</f>
        <v>27.16%</v>
      </c>
      <c r="EQ47" s="83" t="str">
        <f>RTD("tos.rtd",,EQ$2,"."&amp;$A$43&amp;$AW$1&amp;"P"&amp;$A47)</f>
        <v>28.33%</v>
      </c>
      <c r="ES47" s="63" t="str">
        <f t="shared" si="272"/>
        <v>500,-792.00</v>
      </c>
      <c r="ET47" s="64" t="str">
        <f t="shared" ca="1" si="273"/>
        <v>500,00.00</v>
      </c>
      <c r="EU47" s="67">
        <v>562.97</v>
      </c>
      <c r="EV47" s="67" t="s">
        <v>395</v>
      </c>
      <c r="EW47" s="67">
        <v>485.22</v>
      </c>
      <c r="EX47" s="67" t="s">
        <v>396</v>
      </c>
      <c r="EY47" s="67">
        <v>5643.25</v>
      </c>
      <c r="EZ47" s="67" t="s">
        <v>397</v>
      </c>
      <c r="FA47" s="67">
        <v>19935.25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90"/>
        <v>499</v>
      </c>
      <c r="B48" s="3">
        <f t="shared" si="239"/>
        <v>2967</v>
      </c>
      <c r="C48" s="3">
        <f t="shared" si="240"/>
        <v>2539</v>
      </c>
      <c r="D48" s="3">
        <f t="shared" si="241"/>
        <v>787</v>
      </c>
      <c r="E48" s="3">
        <f t="shared" si="242"/>
        <v>6293</v>
      </c>
      <c r="F48" s="4">
        <f t="shared" ref="F48:F79" si="294">+$F$44/$A$44*A48</f>
        <v>20603.999631087063</v>
      </c>
      <c r="AM48" s="1">
        <v>-1193</v>
      </c>
      <c r="AN48" s="1">
        <v>18</v>
      </c>
      <c r="AO48" s="1">
        <v>499</v>
      </c>
      <c r="AP48" s="1">
        <v>3375</v>
      </c>
      <c r="AQ48" s="1">
        <v>-26</v>
      </c>
      <c r="AS48" s="6">
        <f>IF(RTD("tos.rtd",,AS$43,"."&amp;$A$43&amp;$AS$42&amp;"C"&amp;$A48)="N/A",0,RTD("tos.rtd",,AS$43,"."&amp;$A$43&amp;$AS$42&amp;"C"&amp;$A48))</f>
        <v>2936</v>
      </c>
      <c r="AT48" s="7">
        <f>-IF(RTD("tos.rtd",,AT$43,"."&amp;$A$43&amp;$AS$42&amp;"P"&amp;$A48)="N/A",0,RTD("tos.rtd",,AT$43,"."&amp;$A$43&amp;$AS$42&amp;"P"&amp;$A48))</f>
        <v>-31</v>
      </c>
      <c r="AU48" s="6">
        <f>IF(RTD("tos.rtd",,AU$2,"."&amp;$A$43&amp;$AU$1&amp;"C"&amp;$A48)="N/A",0,RTD("tos.rtd",,AU$2,"."&amp;$A$43&amp;$AU$1&amp;"C"&amp;$A48))</f>
        <v>2492</v>
      </c>
      <c r="AV48" s="7">
        <f>-IF(RTD("tos.rtd",,AV$2,"."&amp;$A$43&amp;$AU$1&amp;"P"&amp;$A48)="N/A",0,RTD("tos.rtd",,AV$2,"."&amp;$A$43&amp;$AU$1&amp;"P"&amp;$A48))</f>
        <v>-47</v>
      </c>
      <c r="AW48" s="6">
        <f>IF(RTD("tos.rtd",,AW$2,"."&amp;$A$43&amp;$AW$1&amp;"C"&amp;$A48)="N/A",0,RTD("tos.rtd",,AW$2,"."&amp;$A$43&amp;$AW$1&amp;"C"&amp;$A48))</f>
        <v>784</v>
      </c>
      <c r="AX48" s="7">
        <f>-IF(RTD("tos.rtd",,AX$2,"."&amp;$A$43&amp;$AW$1&amp;"P"&amp;$A48)="N/A",0,RTD("tos.rtd",,AX$2,"."&amp;$A$43&amp;$AW$1&amp;"P"&amp;$A48))</f>
        <v>-3</v>
      </c>
      <c r="AY48" s="7">
        <f t="shared" si="274"/>
        <v>6131</v>
      </c>
      <c r="AZ48" s="8">
        <f t="shared" si="243"/>
        <v>499</v>
      </c>
      <c r="BA48" s="6">
        <f>IF(RTD("tos.rtd",,BA$43,"."&amp;$A$43&amp;$AS$42&amp;"C"&amp;$A48)="N/A",0,RTD("tos.rtd",,BA$43,"."&amp;$A$43&amp;$AS$42&amp;"C"&amp;$A48))</f>
        <v>0</v>
      </c>
      <c r="BB48" s="7">
        <f>-IF(RTD("tos.rtd",,BB$43,"."&amp;$A$43&amp;$AS$42&amp;"P"&amp;$A48)="N/A",0,RTD("tos.rtd",,BB$43,"."&amp;$A$43&amp;$AS$42&amp;"P"&amp;$A48))</f>
        <v>0</v>
      </c>
      <c r="BC48" s="6">
        <f>IF(RTD("tos.rtd",,BC$2,"."&amp;$A$43&amp;$AU$1&amp;"C"&amp;$A48)="N/A",0,RTD("tos.rtd",,BC$2,"."&amp;$A$43&amp;$AU$1&amp;"C"&amp;$A48))</f>
        <v>3314</v>
      </c>
      <c r="BD48" s="7">
        <f>-IF(RTD("tos.rtd",,BD$2,"."&amp;$A$43&amp;$AU$1&amp;"P"&amp;$A48)="N/A",0,RTD("tos.rtd",,BD$2,"."&amp;$A$43&amp;$AU$1&amp;"P"&amp;$A48))</f>
        <v>-50</v>
      </c>
      <c r="BE48" s="6">
        <f>IF(RTD("tos.rtd",,BE$2,"."&amp;$A$43&amp;$AW$1&amp;"C"&amp;$A48)="N/A",0,RTD("tos.rtd",,BE$2,"."&amp;$A$43&amp;$AW$1&amp;"C"&amp;$A48))</f>
        <v>666</v>
      </c>
      <c r="BF48" s="7">
        <f>-IF(RTD("tos.rtd",,BF$2,"."&amp;$A$43&amp;$AW$1&amp;"P"&amp;$A48)="N/A",0,RTD("tos.rtd",,BF$2,"."&amp;$A$43&amp;$AW$1&amp;"P"&amp;$A48))</f>
        <v>-50</v>
      </c>
      <c r="BG48" s="32">
        <f ca="1">+Hoja2!Y49</f>
        <v>-226</v>
      </c>
      <c r="BH48" s="7">
        <f t="shared" ca="1" si="275"/>
        <v>3654</v>
      </c>
      <c r="BI48" s="8" t="str">
        <f t="shared" ca="1" si="291"/>
        <v/>
      </c>
      <c r="BJ48" s="83" t="e">
        <f ca="1">IF($BP$1=1,DX48,IF(RTD("tos.rtd",,BJ$43,"."&amp;$A$43&amp;$AS$42&amp;"C"&amp;$A48)="N/A",0,RTD("tos.rtd",,BJ$43,"."&amp;$A$43&amp;$AS$42&amp;"C"&amp;$A48)))</f>
        <v>#NUM!</v>
      </c>
      <c r="BK48" s="83" t="e">
        <f ca="1">IF($BP$1=1,DY48,-IF(RTD("tos.rtd",,BK$43,"."&amp;$A$43&amp;$AS$42&amp;"P"&amp;$A48)="N/A",0,RTD("tos.rtd",,BK$43,"."&amp;$A$43&amp;$AS$42&amp;"P"&amp;$A48)))</f>
        <v>#NUM!</v>
      </c>
      <c r="BL48" s="83" t="e">
        <f ca="1">IF($BP$1=1,DZ48,IF(RTD("tos.rtd",,BL$2,"."&amp;$A$43&amp;$AU$1&amp;"C"&amp;$A48)="N/A",0,RTD("tos.rtd",,BL$2,"."&amp;$A$43&amp;$AU$1&amp;"C"&amp;$A48)))</f>
        <v>#NUM!</v>
      </c>
      <c r="BM48" s="83" t="e">
        <f ca="1">IF($BP$1=1,EA48,-IF(RTD("tos.rtd",,BM$2,"."&amp;$A$43&amp;$AU$1&amp;"P"&amp;$A48)="N/A",0,RTD("tos.rtd",,BM$2,"."&amp;$A$43&amp;$AU$1&amp;"P"&amp;$A48)))</f>
        <v>#NUM!</v>
      </c>
      <c r="BN48" s="83" t="e">
        <f ca="1">IF($BP$1=1,EB48,IF(RTD("tos.rtd",,BN$2,"."&amp;$A$43&amp;$AW$1&amp;"C"&amp;$A48)="N/A",0,RTD("tos.rtd",,BN$2,"."&amp;$A$43&amp;$AW$1&amp;"C"&amp;$A48)))</f>
        <v>#NUM!</v>
      </c>
      <c r="BO48" s="83" t="e">
        <f ca="1">IF($BP$1=1,EC48,-IF(RTD("tos.rtd",,BO$2,"."&amp;$A$43&amp;$AW$1&amp;"P"&amp;$A48)="N/A",0,RTD("tos.rtd",,BO$2,"."&amp;$A$43&amp;$AW$1&amp;"P"&amp;$A48)))</f>
        <v>#NUM!</v>
      </c>
      <c r="BQ48" s="83" t="e">
        <f t="shared" ca="1" si="276"/>
        <v>#NUM!</v>
      </c>
      <c r="BR48" s="3" t="e">
        <f t="shared" ca="1" si="277"/>
        <v>#NUM!</v>
      </c>
      <c r="BS48" s="83" t="e">
        <f t="shared" ca="1" si="278"/>
        <v>#NUM!</v>
      </c>
      <c r="BT48" s="3" t="e">
        <f t="shared" ca="1" si="279"/>
        <v>#NUM!</v>
      </c>
      <c r="BU48" s="83" t="e">
        <f t="shared" ca="1" si="280"/>
        <v>#NUM!</v>
      </c>
      <c r="BV48" s="83"/>
      <c r="BX48" s="83" t="e">
        <f t="shared" ca="1" si="281"/>
        <v>#NUM!</v>
      </c>
      <c r="BY48" s="83" t="e">
        <f t="shared" ca="1" si="292"/>
        <v>#NUM!</v>
      </c>
      <c r="BZ48" s="83" t="e">
        <f t="shared" ca="1" si="282"/>
        <v>#NUM!</v>
      </c>
      <c r="CA48" s="83" t="e">
        <f t="shared" ca="1" si="292"/>
        <v>#NUM!</v>
      </c>
      <c r="CB48" s="83" t="e">
        <f t="shared" ca="1" si="283"/>
        <v>#NUM!</v>
      </c>
      <c r="CC48" s="83" t="e">
        <f t="shared" ca="1" si="292"/>
        <v>#NUM!</v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0.72</v>
      </c>
      <c r="CF48" s="83">
        <f>IF(RTD("tos.rtd",,CF$2,"."&amp;$A$43&amp;$AU$1&amp;"C"&amp;$A48)="N/A",0,RTD("tos.rtd",,CF$2,"."&amp;$A$43&amp;$AU$1&amp;"C"&amp;$A48))</f>
        <v>0</v>
      </c>
      <c r="CG48" s="83">
        <f>-IF(RTD("tos.rtd",,CG$2,"."&amp;$A$43&amp;$AU$1&amp;"P"&amp;$A48)="N/A",0,RTD("tos.rtd",,CG$2,"."&amp;$A$43&amp;$AU$1&amp;"P"&amp;$A48))</f>
        <v>1</v>
      </c>
      <c r="CH48" s="83">
        <f>IF(RTD("tos.rtd",,CH$2,"."&amp;$A$43&amp;$AW$1&amp;"C"&amp;$A48)="N/A",0,RTD("tos.rtd",,CH$2,"."&amp;$A$43&amp;$AW$1&amp;"C"&amp;$A48))</f>
        <v>0.25</v>
      </c>
      <c r="CI48" s="83">
        <f>-IF(RTD("tos.rtd",,CI$2,"."&amp;$A$43&amp;$AW$1&amp;"P"&amp;$A48)="N/A",0,RTD("tos.rtd",,CI$2,"."&amp;$A$43&amp;$AW$1&amp;"P"&amp;$A48))</f>
        <v>0.75</v>
      </c>
      <c r="CK48" s="83">
        <f t="shared" si="284"/>
        <v>-2232</v>
      </c>
      <c r="CL48" s="83"/>
      <c r="CM48" s="83">
        <f t="shared" si="285"/>
        <v>-4700</v>
      </c>
      <c r="CN48" s="83"/>
      <c r="CO48" s="83">
        <f t="shared" si="286"/>
        <v>19375</v>
      </c>
      <c r="CP48" s="83">
        <f t="shared" si="233"/>
        <v>12443</v>
      </c>
      <c r="CQ48" s="83">
        <f t="shared" si="247"/>
        <v>0</v>
      </c>
      <c r="CR48" s="83"/>
      <c r="CS48" s="83">
        <f t="shared" si="248"/>
        <v>3264</v>
      </c>
      <c r="CT48" s="83"/>
      <c r="CU48" s="83">
        <f t="shared" si="249"/>
        <v>616</v>
      </c>
      <c r="CV48" s="83"/>
      <c r="CW48" s="83" t="e">
        <f t="shared" ca="1" si="250"/>
        <v>#NUM!</v>
      </c>
      <c r="CY48" s="83" t="e">
        <f t="shared" ca="1" si="251"/>
        <v>#NUM!</v>
      </c>
      <c r="CZ48" s="70" t="e">
        <f t="shared" ca="1" si="293"/>
        <v>#NUM!</v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11.82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14.98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13.5</v>
      </c>
      <c r="DG48" s="86">
        <f t="shared" si="287"/>
        <v>11.079999999999984</v>
      </c>
      <c r="DH48" s="83">
        <f t="shared" si="252"/>
        <v>-3375</v>
      </c>
      <c r="DI48" s="83">
        <f t="shared" si="253"/>
        <v>-29.513513513513502</v>
      </c>
      <c r="DJ48" s="83">
        <f t="shared" si="254"/>
        <v>-3375</v>
      </c>
      <c r="DK48" s="83">
        <f t="shared" si="255"/>
        <v>-26</v>
      </c>
      <c r="DL48" s="83">
        <f t="shared" si="256"/>
        <v>-3404.5135135135133</v>
      </c>
      <c r="DM48" s="83">
        <f t="shared" si="257"/>
        <v>-3401</v>
      </c>
      <c r="DN48" s="64" t="str">
        <f t="shared" si="258"/>
        <v>UNKNOWN</v>
      </c>
      <c r="DO48" s="64" t="str">
        <f t="shared" si="259"/>
        <v>UNKNOWN</v>
      </c>
      <c r="DP48" s="83">
        <f t="shared" si="260"/>
        <v>-382.59972972972957</v>
      </c>
      <c r="DQ48" s="83">
        <f t="shared" si="261"/>
        <v>-341.07</v>
      </c>
      <c r="DR48" s="83" t="e">
        <f t="shared" ca="1" si="262"/>
        <v>#NUM!</v>
      </c>
      <c r="DS48" s="83">
        <f t="shared" si="263"/>
        <v>-18.72</v>
      </c>
      <c r="DT48" s="83">
        <f t="shared" si="288"/>
        <v>-3375</v>
      </c>
      <c r="DU48" s="83">
        <f t="shared" si="289"/>
        <v>26</v>
      </c>
      <c r="DV48" s="83">
        <f t="shared" si="264"/>
        <v>-1193</v>
      </c>
      <c r="DW48" s="83">
        <f t="shared" si="265"/>
        <v>18</v>
      </c>
      <c r="DX48" s="83" t="e">
        <f ca="1">(EXP(-POWER((LN($A$44/$A48)+($EC$1+POWER($EE48,2)/2)*($EM$1/$DY$1))/($EE48*SQRT($EM$1/$DY$1)),2)/2)/SQRT(2*PI())/($A$44*$EE48*SQRT($EM$1/$DY$1)))</f>
        <v>#NUM!</v>
      </c>
      <c r="DY48" s="83" t="e">
        <f ca="1">-(EXP(-POWER((LN($A$44/$A48)+($EC$1+POWER($EF48,2)/2)*($EM$1/$DY$1))/($EF48*SQRT($EM$1/$DY$1)),2)/2)/SQRT(2*PI())/($A$44*$EF48*SQRT($EM$1/$DY$1)))</f>
        <v>#NUM!</v>
      </c>
      <c r="DZ48" s="83" t="e">
        <f ca="1">(EXP(-POWER((LN($A$44/$A48)+($EC$1+POWER($EG48,2)/2)*($EO$1/$DY$1))/($EG48*SQRT($EO$1/$DY$1)),2)/2)/SQRT(2*PI())/($A$44*$EG48*SQRT($EO$1/$DY$1)))</f>
        <v>#NUM!</v>
      </c>
      <c r="EA48" s="83" t="e">
        <f ca="1">-(EXP(-POWER((LN($A$44/$A48)+($EC$1+POWER($EH48,2)/2)*($EO$1/$DY$1))/($EH48*SQRT($EO$1/$DY$1)),2)/2)/SQRT(2*PI())/($A$44*$EH48*SQRT($EO$1/$DY$1)))</f>
        <v>#NUM!</v>
      </c>
      <c r="EB48" s="83" t="e">
        <f ca="1">(EXP(-POWER((LN($A$44/$A48)+($EC$1+POWER($EI48,2)/2)*($EO$1/$DY$1))/($EI48*SQRT($EO$1/$DY$1)),2)/2)/SQRT(2*PI())/($A$44*$EI48*SQRT($EO$1/$DY$1)))</f>
        <v>#NUM!</v>
      </c>
      <c r="EC48" s="83" t="e">
        <f ca="1">-(EXP(-POWER((LN($A$44/$A48)+($EC$1+POWER($EJ48,2)/2)*($EO$1/$DY$1))/($EJ48*SQRT($EO$1/$DY$1)),2)/2)/SQRT(2*PI())/($A$44*$EJ48*SQRT($EO$1/$DY$1)))</f>
        <v>#NUM!</v>
      </c>
      <c r="EE48" s="84">
        <f t="shared" si="266"/>
        <v>1.1169</v>
      </c>
      <c r="EF48" s="84">
        <f t="shared" si="267"/>
        <v>4.9946999999999999</v>
      </c>
      <c r="EG48" s="84">
        <f t="shared" si="268"/>
        <v>1.1169</v>
      </c>
      <c r="EH48" s="84">
        <f t="shared" si="269"/>
        <v>0.25</v>
      </c>
      <c r="EI48" s="84">
        <f t="shared" si="270"/>
        <v>0.27339999999999998</v>
      </c>
      <c r="EJ48" s="84">
        <f t="shared" si="271"/>
        <v>0.2722</v>
      </c>
      <c r="EL48" s="83" t="str">
        <f>RTD("tos.rtd",,EL$43,"."&amp;$A$43&amp;$AS$42&amp;"C"&amp;$A48)</f>
        <v>111.69%</v>
      </c>
      <c r="EM48" s="83" t="str">
        <f>RTD("tos.rtd",,EM$43,"."&amp;$A$43&amp;$AS$42&amp;"P"&amp;$A48)</f>
        <v>499.47%</v>
      </c>
      <c r="EN48" s="83" t="str">
        <f>RTD("tos.rtd",,EN$2,"."&amp;$A$43&amp;$AU$1&amp;"C"&amp;$A48)</f>
        <v>111.69%</v>
      </c>
      <c r="EO48" s="83" t="str">
        <f>RTD("tos.rtd",,EO$2,"."&amp;$A$43&amp;$AU$1&amp;"P"&amp;$A48)</f>
        <v>--</v>
      </c>
      <c r="EP48" s="83" t="str">
        <f>RTD("tos.rtd",,EP$2,"."&amp;$A$43&amp;$AW$1&amp;"C"&amp;$A48)</f>
        <v>27.34%</v>
      </c>
      <c r="EQ48" s="83" t="str">
        <f>RTD("tos.rtd",,EQ$2,"."&amp;$A$43&amp;$AW$1&amp;"P"&amp;$A48)</f>
        <v>27.22%</v>
      </c>
      <c r="ES48" s="63" t="str">
        <f t="shared" si="272"/>
        <v>499,-1175.00</v>
      </c>
      <c r="ET48" s="64" t="str">
        <f t="shared" ca="1" si="273"/>
        <v>499,00.00</v>
      </c>
      <c r="EU48" s="67">
        <v>563.04</v>
      </c>
      <c r="EV48" s="67" t="s">
        <v>403</v>
      </c>
      <c r="EW48" s="67">
        <v>485.47</v>
      </c>
      <c r="EX48" s="67" t="s">
        <v>404</v>
      </c>
      <c r="EY48" s="67">
        <v>5644.25</v>
      </c>
      <c r="EZ48" s="67" t="s">
        <v>405</v>
      </c>
      <c r="FA48" s="67">
        <v>19942.25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90"/>
        <v>498</v>
      </c>
      <c r="B49" s="3">
        <f t="shared" ref="B49:B56" si="295">+IF($A$1="ABS",AS49-AT49,AS49+AT49)</f>
        <v>1743</v>
      </c>
      <c r="C49" s="3">
        <f t="shared" ref="C49:C56" si="296">+IF($A$1="ABS",AU49-AV49,AU49+AV49)</f>
        <v>2626</v>
      </c>
      <c r="D49" s="3">
        <f t="shared" ref="D49:D56" si="297">+IF($A$1="ABS",AW49-AX49,AW49+AX49)</f>
        <v>1570</v>
      </c>
      <c r="E49" s="3">
        <f t="shared" ref="E49:E56" si="298">SUM(B49:D49)</f>
        <v>5939</v>
      </c>
      <c r="F49" s="4">
        <f t="shared" ref="F49:F56" si="299">+$F$44/$A$44*A49</f>
        <v>20562.709050664042</v>
      </c>
      <c r="AM49" s="1">
        <v>-774</v>
      </c>
      <c r="AN49" s="1">
        <v>-4</v>
      </c>
      <c r="AO49" s="1">
        <v>498</v>
      </c>
      <c r="AP49" s="1">
        <v>2698</v>
      </c>
      <c r="AQ49" s="1">
        <v>-55</v>
      </c>
      <c r="AS49" s="6">
        <f>IF(RTD("tos.rtd",,AS$43,"."&amp;$A$43&amp;$AS$42&amp;"C"&amp;$A49)="N/A",0,RTD("tos.rtd",,AS$43,"."&amp;$A$43&amp;$AS$42&amp;"C"&amp;$A49))</f>
        <v>1611</v>
      </c>
      <c r="AT49" s="7">
        <f>-IF(RTD("tos.rtd",,AT$43,"."&amp;$A$43&amp;$AS$42&amp;"P"&amp;$A49)="N/A",0,RTD("tos.rtd",,AT$43,"."&amp;$A$43&amp;$AS$42&amp;"P"&amp;$A49))</f>
        <v>-132</v>
      </c>
      <c r="AU49" s="6">
        <f>IF(RTD("tos.rtd",,AU$2,"."&amp;$A$43&amp;$AU$1&amp;"C"&amp;$A49)="N/A",0,RTD("tos.rtd",,AU$2,"."&amp;$A$43&amp;$AU$1&amp;"C"&amp;$A49))</f>
        <v>2562</v>
      </c>
      <c r="AV49" s="7">
        <f>-IF(RTD("tos.rtd",,AV$2,"."&amp;$A$43&amp;$AU$1&amp;"P"&amp;$A49)="N/A",0,RTD("tos.rtd",,AV$2,"."&amp;$A$43&amp;$AU$1&amp;"P"&amp;$A49))</f>
        <v>-64</v>
      </c>
      <c r="AW49" s="6">
        <f>IF(RTD("tos.rtd",,AW$2,"."&amp;$A$43&amp;$AW$1&amp;"C"&amp;$A49)="N/A",0,RTD("tos.rtd",,AW$2,"."&amp;$A$43&amp;$AW$1&amp;"C"&amp;$A49))</f>
        <v>1535</v>
      </c>
      <c r="AX49" s="7">
        <f>-IF(RTD("tos.rtd",,AX$2,"."&amp;$A$43&amp;$AW$1&amp;"P"&amp;$A49)="N/A",0,RTD("tos.rtd",,AX$2,"."&amp;$A$43&amp;$AW$1&amp;"P"&amp;$A49))</f>
        <v>-35</v>
      </c>
      <c r="AY49" s="7">
        <f t="shared" ref="AY49:AY56" si="300">SUM(AS49:AX49)</f>
        <v>5477</v>
      </c>
      <c r="AZ49" s="8">
        <f t="shared" si="243"/>
        <v>498</v>
      </c>
      <c r="BA49" s="6">
        <f>IF(RTD("tos.rtd",,BA$43,"."&amp;$A$43&amp;$AS$42&amp;"C"&amp;$A49)="N/A",0,RTD("tos.rtd",,BA$43,"."&amp;$A$43&amp;$AS$42&amp;"C"&amp;$A49))</f>
        <v>0</v>
      </c>
      <c r="BB49" s="7">
        <f>-IF(RTD("tos.rtd",,BB$43,"."&amp;$A$43&amp;$AS$42&amp;"P"&amp;$A49)="N/A",0,RTD("tos.rtd",,BB$43,"."&amp;$A$43&amp;$AS$42&amp;"P"&amp;$A49))</f>
        <v>0</v>
      </c>
      <c r="BC49" s="6">
        <f>IF(RTD("tos.rtd",,BC$2,"."&amp;$A$43&amp;$AU$1&amp;"C"&amp;$A49)="N/A",0,RTD("tos.rtd",,BC$2,"."&amp;$A$43&amp;$AU$1&amp;"C"&amp;$A49))</f>
        <v>10702</v>
      </c>
      <c r="BD49" s="7">
        <f>-IF(RTD("tos.rtd",,BD$2,"."&amp;$A$43&amp;$AU$1&amp;"P"&amp;$A49)="N/A",0,RTD("tos.rtd",,BD$2,"."&amp;$A$43&amp;$AU$1&amp;"P"&amp;$A49))</f>
        <v>-209</v>
      </c>
      <c r="BE49" s="6">
        <f>IF(RTD("tos.rtd",,BE$2,"."&amp;$A$43&amp;$AW$1&amp;"C"&amp;$A49)="N/A",0,RTD("tos.rtd",,BE$2,"."&amp;$A$43&amp;$AW$1&amp;"C"&amp;$A49))</f>
        <v>948</v>
      </c>
      <c r="BF49" s="7">
        <f>-IF(RTD("tos.rtd",,BF$2,"."&amp;$A$43&amp;$AW$1&amp;"P"&amp;$A49)="N/A",0,RTD("tos.rtd",,BF$2,"."&amp;$A$43&amp;$AW$1&amp;"P"&amp;$A49))</f>
        <v>-17</v>
      </c>
      <c r="BG49" s="32">
        <f ca="1">+Hoja2!Y50</f>
        <v>103</v>
      </c>
      <c r="BH49" s="7">
        <f t="shared" ca="1" si="275"/>
        <v>11527</v>
      </c>
      <c r="BI49" s="8" t="str">
        <f t="shared" ca="1" si="291"/>
        <v/>
      </c>
      <c r="BJ49" s="83" t="e">
        <f ca="1">IF($BP$1=1,DX49,IF(RTD("tos.rtd",,BJ$43,"."&amp;$A$43&amp;$AS$42&amp;"C"&amp;$A49)="N/A",0,RTD("tos.rtd",,BJ$43,"."&amp;$A$43&amp;$AS$42&amp;"C"&amp;$A49)))</f>
        <v>#NUM!</v>
      </c>
      <c r="BK49" s="83" t="e">
        <f ca="1">IF($BP$1=1,DY49,-IF(RTD("tos.rtd",,BK$43,"."&amp;$A$43&amp;$AS$42&amp;"P"&amp;$A49)="N/A",0,RTD("tos.rtd",,BK$43,"."&amp;$A$43&amp;$AS$42&amp;"P"&amp;$A49)))</f>
        <v>#NUM!</v>
      </c>
      <c r="BL49" s="83" t="e">
        <f ca="1">IF($BP$1=1,DZ49,IF(RTD("tos.rtd",,BL$2,"."&amp;$A$43&amp;$AU$1&amp;"C"&amp;$A49)="N/A",0,RTD("tos.rtd",,BL$2,"."&amp;$A$43&amp;$AU$1&amp;"C"&amp;$A49)))</f>
        <v>#NUM!</v>
      </c>
      <c r="BM49" s="83" t="e">
        <f ca="1">IF($BP$1=1,EA49,-IF(RTD("tos.rtd",,BM$2,"."&amp;$A$43&amp;$AU$1&amp;"P"&amp;$A49)="N/A",0,RTD("tos.rtd",,BM$2,"."&amp;$A$43&amp;$AU$1&amp;"P"&amp;$A49)))</f>
        <v>#NUM!</v>
      </c>
      <c r="BN49" s="83" t="e">
        <f ca="1">IF($BP$1=1,EB49,IF(RTD("tos.rtd",,BN$2,"."&amp;$A$43&amp;$AW$1&amp;"C"&amp;$A49)="N/A",0,RTD("tos.rtd",,BN$2,"."&amp;$A$43&amp;$AW$1&amp;"C"&amp;$A49)))</f>
        <v>#NUM!</v>
      </c>
      <c r="BO49" s="83" t="e">
        <f ca="1">IF($BP$1=1,EC49,-IF(RTD("tos.rtd",,BO$2,"."&amp;$A$43&amp;$AW$1&amp;"P"&amp;$A49)="N/A",0,RTD("tos.rtd",,BO$2,"."&amp;$A$43&amp;$AW$1&amp;"P"&amp;$A49)))</f>
        <v>#NUM!</v>
      </c>
      <c r="BQ49" s="83" t="e">
        <f t="shared" ref="BQ49:BQ56" ca="1" si="301">+$A$44*$A$44*AS49*BJ49-$A$44*$A$44*AT49*BK49</f>
        <v>#NUM!</v>
      </c>
      <c r="BR49" s="3" t="e">
        <f t="shared" ca="1" si="277"/>
        <v>#NUM!</v>
      </c>
      <c r="BS49" s="83" t="e">
        <f t="shared" ref="BS49:BS56" ca="1" si="302">+$A$44*$A$44*AU49*BL49-$A$44*$A$44*AV49*BM49</f>
        <v>#NUM!</v>
      </c>
      <c r="BT49" s="3" t="e">
        <f t="shared" ca="1" si="279"/>
        <v>#NUM!</v>
      </c>
      <c r="BU49" s="83" t="e">
        <f t="shared" ref="BU49:BU56" ca="1" si="303">+$A$44*$A$44*AW49*BN49-$A$44*$A$44*AX49*BO49</f>
        <v>#NUM!</v>
      </c>
      <c r="BV49" s="83"/>
      <c r="BX49" s="83" t="e">
        <f t="shared" ref="BX49:BX56" ca="1" si="304">+$A$44*$A$44*BA49*BJ49-$A$44*$A$44*BB49*BK49</f>
        <v>#NUM!</v>
      </c>
      <c r="BY49" s="83" t="e">
        <f t="shared" ca="1" si="292"/>
        <v>#NUM!</v>
      </c>
      <c r="BZ49" s="83" t="e">
        <f t="shared" ref="BZ49:BZ56" ca="1" si="305">+$A$44*$A$44*BC49*BL49-$A$44*$A$44*BD49*BM49</f>
        <v>#NUM!</v>
      </c>
      <c r="CA49" s="83" t="e">
        <f t="shared" ca="1" si="292"/>
        <v>#NUM!</v>
      </c>
      <c r="CB49" s="83" t="e">
        <f t="shared" ref="CB49:CB56" ca="1" si="306">+$A$44*$A$44*BE49*BN49-$A$44*$A$44*BF49*BO49</f>
        <v>#NUM!</v>
      </c>
      <c r="CC49" s="83" t="e">
        <f t="shared" ca="1" si="292"/>
        <v>#NUM!</v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0.73</v>
      </c>
      <c r="CF49" s="83">
        <f>IF(RTD("tos.rtd",,CF$2,"."&amp;$A$43&amp;$AU$1&amp;"C"&amp;$A49)="N/A",0,RTD("tos.rtd",,CF$2,"."&amp;$A$43&amp;$AU$1&amp;"C"&amp;$A49))</f>
        <v>0</v>
      </c>
      <c r="CG49" s="83">
        <f>-IF(RTD("tos.rtd",,CG$2,"."&amp;$A$43&amp;$AU$1&amp;"P"&amp;$A49)="N/A",0,RTD("tos.rtd",,CG$2,"."&amp;$A$43&amp;$AU$1&amp;"P"&amp;$A49))</f>
        <v>1</v>
      </c>
      <c r="CH49" s="83">
        <f>IF(RTD("tos.rtd",,CH$2,"."&amp;$A$43&amp;$AW$1&amp;"C"&amp;$A49)="N/A",0,RTD("tos.rtd",,CH$2,"."&amp;$A$43&amp;$AW$1&amp;"C"&amp;$A49))</f>
        <v>0.27</v>
      </c>
      <c r="CI49" s="83">
        <f>-IF(RTD("tos.rtd",,CI$2,"."&amp;$A$43&amp;$AW$1&amp;"P"&amp;$A49)="N/A",0,RTD("tos.rtd",,CI$2,"."&amp;$A$43&amp;$AW$1&amp;"P"&amp;$A49))</f>
        <v>0.73</v>
      </c>
      <c r="CK49" s="83">
        <f t="shared" ref="CK49:CK56" si="307">+AS49*CD49*100+AT49*CE49*100</f>
        <v>-9636</v>
      </c>
      <c r="CL49" s="83"/>
      <c r="CM49" s="83">
        <f t="shared" ref="CM49:CM56" si="308">+AU49*CF49*100+AV49*CG49*100</f>
        <v>-6400</v>
      </c>
      <c r="CN49" s="83"/>
      <c r="CO49" s="83">
        <f t="shared" ref="CO49:CO56" si="309">+AW49*CH49*100+AX49*CI49*100</f>
        <v>38890.000000000007</v>
      </c>
      <c r="CP49" s="83">
        <f t="shared" ref="CP49:CP56" si="310">+CK49+CM49+CO49</f>
        <v>22854.000000000007</v>
      </c>
      <c r="CQ49" s="83">
        <f t="shared" ref="CQ49:CQ56" si="311">+BA49+BB49</f>
        <v>0</v>
      </c>
      <c r="CR49" s="83"/>
      <c r="CS49" s="83">
        <f t="shared" ref="CS49:CS56" si="312">+BC49+BD49</f>
        <v>10493</v>
      </c>
      <c r="CT49" s="83"/>
      <c r="CU49" s="83">
        <f t="shared" ref="CU49:CU56" si="313">+BE49+BF49</f>
        <v>931</v>
      </c>
      <c r="CV49" s="83"/>
      <c r="CW49" s="83" t="e">
        <f t="shared" ref="CW49:CW56" ca="1" si="314">+BQ49+BS49+BU49</f>
        <v>#NUM!</v>
      </c>
      <c r="CY49" s="83" t="e">
        <f t="shared" ref="CY49:CY56" ca="1" si="315">+BX49+BZ49+CB49</f>
        <v>#NUM!</v>
      </c>
      <c r="CZ49" s="70" t="e">
        <f t="shared" ca="1" si="293"/>
        <v>#NUM!</v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12.1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12.95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12.5</v>
      </c>
      <c r="DG49" s="86">
        <f t="shared" si="287"/>
        <v>10.079999999999984</v>
      </c>
      <c r="DH49" s="83">
        <f t="shared" ref="DH49:DH56" si="316">((DA49-DE49)/(DC49-DE49))*(BA49-AP49)</f>
        <v>-2698</v>
      </c>
      <c r="DI49" s="83">
        <f t="shared" ref="DI49:DI56" si="317">((DB49-DF49)/(DD49-DF49))*(BB49-AQ49)</f>
        <v>-48.888888888889007</v>
      </c>
      <c r="DJ49" s="83">
        <f t="shared" ref="DJ49:DJ56" si="318">IF(DA49&gt;=(DE49+(DC49-DE49)*0.6),(BA49-AP49),IF(DA49&lt;=(DE49+(DC49-DE49)*0.4),-(BA49-AP49),0))</f>
        <v>-2698</v>
      </c>
      <c r="DK49" s="83">
        <f t="shared" si="255"/>
        <v>-55</v>
      </c>
      <c r="DL49" s="83">
        <f t="shared" si="256"/>
        <v>-2746.8888888888891</v>
      </c>
      <c r="DM49" s="83">
        <f t="shared" si="257"/>
        <v>-2753</v>
      </c>
      <c r="DN49" s="64" t="str">
        <f t="shared" si="258"/>
        <v>UNKNOWN</v>
      </c>
      <c r="DO49" s="64" t="str">
        <f t="shared" si="259"/>
        <v>UNKNOWN</v>
      </c>
      <c r="DP49" s="83">
        <f t="shared" si="260"/>
        <v>-618.53555555555693</v>
      </c>
      <c r="DQ49" s="83">
        <f t="shared" si="261"/>
        <v>-692.48</v>
      </c>
      <c r="DR49" s="83" t="e">
        <f t="shared" ca="1" si="262"/>
        <v>#NUM!</v>
      </c>
      <c r="DS49" s="83">
        <f t="shared" si="263"/>
        <v>-40.15</v>
      </c>
      <c r="DT49" s="83">
        <f t="shared" si="288"/>
        <v>-2698</v>
      </c>
      <c r="DU49" s="83">
        <f t="shared" si="289"/>
        <v>55</v>
      </c>
      <c r="DV49" s="83">
        <f t="shared" si="264"/>
        <v>-774</v>
      </c>
      <c r="DW49" s="83">
        <f t="shared" si="265"/>
        <v>-4</v>
      </c>
      <c r="DX49" s="83" t="e">
        <f t="shared" ref="DX49:DX56" ca="1" si="319">(EXP(-POWER((LN($A$44/$A49)+($EC$1+POWER($EE49,2)/2)*($EM$1/$DY$1))/($EE49*SQRT($EM$1/$DY$1)),2)/2)/SQRT(2*PI())/($A$44*$EE49*SQRT($EM$1/$DY$1)))</f>
        <v>#NUM!</v>
      </c>
      <c r="DY49" s="83" t="e">
        <f t="shared" ref="DY49:DY56" ca="1" si="320">-(EXP(-POWER((LN($A$44/$A49)+($EC$1+POWER($EF49,2)/2)*($EM$1/$DY$1))/($EF49*SQRT($EM$1/$DY$1)),2)/2)/SQRT(2*PI())/($A$44*$EF49*SQRT($EM$1/$DY$1)))</f>
        <v>#NUM!</v>
      </c>
      <c r="DZ49" s="83" t="e">
        <f t="shared" ref="DZ49:DZ56" ca="1" si="321">(EXP(-POWER((LN($A$44/$A49)+($EC$1+POWER($EG49,2)/2)*($EO$1/$DY$1))/($EG49*SQRT($EO$1/$DY$1)),2)/2)/SQRT(2*PI())/($A$44*$EG49*SQRT($EO$1/$DY$1)))</f>
        <v>#NUM!</v>
      </c>
      <c r="EA49" s="83" t="e">
        <f t="shared" ref="EA49:EA56" ca="1" si="322">-(EXP(-POWER((LN($A$44/$A49)+($EC$1+POWER($EH49,2)/2)*($EO$1/$DY$1))/($EH49*SQRT($EO$1/$DY$1)),2)/2)/SQRT(2*PI())/($A$44*$EH49*SQRT($EO$1/$DY$1)))</f>
        <v>#NUM!</v>
      </c>
      <c r="EB49" s="83" t="e">
        <f t="shared" ref="EB49:EB56" ca="1" si="323">(EXP(-POWER((LN($A$44/$A49)+($EC$1+POWER($EI49,2)/2)*($EO$1/$DY$1))/($EI49*SQRT($EO$1/$DY$1)),2)/2)/SQRT(2*PI())/($A$44*$EI49*SQRT($EO$1/$DY$1)))</f>
        <v>#NUM!</v>
      </c>
      <c r="EC49" s="83" t="e">
        <f t="shared" ref="EC49:EC56" ca="1" si="324">-(EXP(-POWER((LN($A$44/$A49)+($EC$1+POWER($EJ49,2)/2)*($EO$1/$DY$1))/($EJ49*SQRT($EO$1/$DY$1)),2)/2)/SQRT(2*PI())/($A$44*$EJ49*SQRT($EO$1/$DY$1)))</f>
        <v>#NUM!</v>
      </c>
      <c r="EE49" s="84">
        <f t="shared" ref="EE49:EE56" si="325">IFERROR(VALUE(IF(OR(EL49="--",EL49="0.00%"),$EE$1,EL49)),$EE$1)</f>
        <v>1.0271999999999999</v>
      </c>
      <c r="EF49" s="84">
        <f t="shared" ref="EF49:EF56" si="326">IFERROR(VALUE(IF(OR(EM49="--",EM49="0.00%"),$EE$1,EM49)),$EE$1)</f>
        <v>4.3624000000000001</v>
      </c>
      <c r="EG49" s="84">
        <f t="shared" ref="EG49:EG56" si="327">IFERROR(VALUE(IF(OR(EN49="--",EN49="0.00%"),$EE$1,EN49)),$EE$1)</f>
        <v>1.0271999999999999</v>
      </c>
      <c r="EH49" s="84">
        <f t="shared" ref="EH49:EH56" si="328">IFERROR(VALUE(IF(OR(EO49="--",EO49="0.00%"),$EE$1,EO49)),$EE$1)</f>
        <v>0.25</v>
      </c>
      <c r="EI49" s="84">
        <f t="shared" ref="EI49:EI56" si="329">IFERROR(VALUE(IF(OR(EP49="--",EP49="0.00%"),$EE$1,EP49)),$EE$1)</f>
        <v>0.27410000000000001</v>
      </c>
      <c r="EJ49" s="84">
        <f t="shared" ref="EJ49:EJ56" si="330">IFERROR(VALUE(IF(OR(EQ49="--",EQ49="0.00%"),$EE$1,EQ49)),$EE$1)</f>
        <v>0.27489999999999998</v>
      </c>
      <c r="EL49" s="83" t="str">
        <f>RTD("tos.rtd",,EL$43,"."&amp;$A$43&amp;$AS$42&amp;"C"&amp;$A49)</f>
        <v>102.72%</v>
      </c>
      <c r="EM49" s="83" t="str">
        <f>RTD("tos.rtd",,EM$43,"."&amp;$A$43&amp;$AS$42&amp;"P"&amp;$A49)</f>
        <v>436.24%</v>
      </c>
      <c r="EN49" s="83" t="str">
        <f>RTD("tos.rtd",,EN$2,"."&amp;$A$43&amp;$AU$1&amp;"C"&amp;$A49)</f>
        <v>102.72%</v>
      </c>
      <c r="EO49" s="83" t="str">
        <f>RTD("tos.rtd",,EO$2,"."&amp;$A$43&amp;$AU$1&amp;"P"&amp;$A49)</f>
        <v>--</v>
      </c>
      <c r="EP49" s="83" t="str">
        <f>RTD("tos.rtd",,EP$2,"."&amp;$A$43&amp;$AW$1&amp;"C"&amp;$A49)</f>
        <v>27.41%</v>
      </c>
      <c r="EQ49" s="83" t="str">
        <f>RTD("tos.rtd",,EQ$2,"."&amp;$A$43&amp;$AW$1&amp;"P"&amp;$A49)</f>
        <v>27.49%</v>
      </c>
      <c r="ES49" s="63" t="str">
        <f t="shared" si="272"/>
        <v>498,-778.00</v>
      </c>
      <c r="ET49" s="64" t="str">
        <f t="shared" ca="1" si="273"/>
        <v>498,00.00</v>
      </c>
      <c r="EU49" s="68">
        <v>563.16999999999996</v>
      </c>
      <c r="EV49" s="68" t="s">
        <v>411</v>
      </c>
      <c r="EW49" s="68">
        <v>485.58</v>
      </c>
      <c r="EX49" s="68" t="s">
        <v>412</v>
      </c>
      <c r="EY49" s="68">
        <v>5645.25</v>
      </c>
      <c r="EZ49" s="68" t="s">
        <v>413</v>
      </c>
      <c r="FA49" s="68">
        <v>19947.75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90"/>
        <v>497</v>
      </c>
      <c r="B50" s="3">
        <f t="shared" si="295"/>
        <v>1917</v>
      </c>
      <c r="C50" s="3">
        <f t="shared" si="296"/>
        <v>3718</v>
      </c>
      <c r="D50" s="3">
        <f t="shared" si="297"/>
        <v>884</v>
      </c>
      <c r="E50" s="3">
        <f t="shared" si="298"/>
        <v>6519</v>
      </c>
      <c r="F50" s="4">
        <f t="shared" si="299"/>
        <v>20521.418470241024</v>
      </c>
      <c r="AM50" s="1">
        <v>-44</v>
      </c>
      <c r="AN50" s="1">
        <v>-1</v>
      </c>
      <c r="AO50" s="1">
        <v>497</v>
      </c>
      <c r="AP50" s="1">
        <v>2574</v>
      </c>
      <c r="AQ50" s="1">
        <v>-71</v>
      </c>
      <c r="AS50" s="6">
        <f>IF(RTD("tos.rtd",,AS$43,"."&amp;$A$43&amp;$AS$42&amp;"C"&amp;$A50)="N/A",0,RTD("tos.rtd",,AS$43,"."&amp;$A$43&amp;$AS$42&amp;"C"&amp;$A50))</f>
        <v>1882</v>
      </c>
      <c r="AT50" s="7">
        <f>-IF(RTD("tos.rtd",,AT$43,"."&amp;$A$43&amp;$AS$42&amp;"P"&amp;$A50)="N/A",0,RTD("tos.rtd",,AT$43,"."&amp;$A$43&amp;$AS$42&amp;"P"&amp;$A50))</f>
        <v>-35</v>
      </c>
      <c r="AU50" s="6">
        <f>IF(RTD("tos.rtd",,AU$2,"."&amp;$A$43&amp;$AU$1&amp;"C"&amp;$A50)="N/A",0,RTD("tos.rtd",,AU$2,"."&amp;$A$43&amp;$AU$1&amp;"C"&amp;$A50))</f>
        <v>3438</v>
      </c>
      <c r="AV50" s="7">
        <f>-IF(RTD("tos.rtd",,AV$2,"."&amp;$A$43&amp;$AU$1&amp;"P"&amp;$A50)="N/A",0,RTD("tos.rtd",,AV$2,"."&amp;$A$43&amp;$AU$1&amp;"P"&amp;$A50))</f>
        <v>-280</v>
      </c>
      <c r="AW50" s="6">
        <f>IF(RTD("tos.rtd",,AW$2,"."&amp;$A$43&amp;$AW$1&amp;"C"&amp;$A50)="N/A",0,RTD("tos.rtd",,AW$2,"."&amp;$A$43&amp;$AW$1&amp;"C"&amp;$A50))</f>
        <v>808</v>
      </c>
      <c r="AX50" s="7">
        <f>-IF(RTD("tos.rtd",,AX$2,"."&amp;$A$43&amp;$AW$1&amp;"P"&amp;$A50)="N/A",0,RTD("tos.rtd",,AX$2,"."&amp;$A$43&amp;$AW$1&amp;"P"&amp;$A50))</f>
        <v>-76</v>
      </c>
      <c r="AY50" s="7">
        <f t="shared" si="300"/>
        <v>5737</v>
      </c>
      <c r="AZ50" s="8">
        <f t="shared" si="243"/>
        <v>497</v>
      </c>
      <c r="BA50" s="6">
        <f>IF(RTD("tos.rtd",,BA$43,"."&amp;$A$43&amp;$AS$42&amp;"C"&amp;$A50)="N/A",0,RTD("tos.rtd",,BA$43,"."&amp;$A$43&amp;$AS$42&amp;"C"&amp;$A50))</f>
        <v>0</v>
      </c>
      <c r="BB50" s="7">
        <f>-IF(RTD("tos.rtd",,BB$43,"."&amp;$A$43&amp;$AS$42&amp;"P"&amp;$A50)="N/A",0,RTD("tos.rtd",,BB$43,"."&amp;$A$43&amp;$AS$42&amp;"P"&amp;$A50))</f>
        <v>0</v>
      </c>
      <c r="BC50" s="6">
        <f>IF(RTD("tos.rtd",,BC$2,"."&amp;$A$43&amp;$AU$1&amp;"C"&amp;$A50)="N/A",0,RTD("tos.rtd",,BC$2,"."&amp;$A$43&amp;$AU$1&amp;"C"&amp;$A50))</f>
        <v>12075</v>
      </c>
      <c r="BD50" s="7">
        <f>-IF(RTD("tos.rtd",,BD$2,"."&amp;$A$43&amp;$AU$1&amp;"P"&amp;$A50)="N/A",0,RTD("tos.rtd",,BD$2,"."&amp;$A$43&amp;$AU$1&amp;"P"&amp;$A50))</f>
        <v>-191</v>
      </c>
      <c r="BE50" s="6">
        <f>IF(RTD("tos.rtd",,BE$2,"."&amp;$A$43&amp;$AW$1&amp;"C"&amp;$A50)="N/A",0,RTD("tos.rtd",,BE$2,"."&amp;$A$43&amp;$AW$1&amp;"C"&amp;$A50))</f>
        <v>779</v>
      </c>
      <c r="BF50" s="7">
        <f>-IF(RTD("tos.rtd",,BF$2,"."&amp;$A$43&amp;$AW$1&amp;"P"&amp;$A50)="N/A",0,RTD("tos.rtd",,BF$2,"."&amp;$A$43&amp;$AW$1&amp;"P"&amp;$A50))</f>
        <v>-30</v>
      </c>
      <c r="BG50" s="32">
        <f ca="1">+Hoja2!Y51</f>
        <v>312</v>
      </c>
      <c r="BH50" s="7">
        <f t="shared" ca="1" si="275"/>
        <v>12945</v>
      </c>
      <c r="BI50" s="8" t="str">
        <f t="shared" ca="1" si="291"/>
        <v/>
      </c>
      <c r="BJ50" s="83" t="e">
        <f ca="1">IF($BP$1=1,DX50,IF(RTD("tos.rtd",,BJ$43,"."&amp;$A$43&amp;$AS$42&amp;"C"&amp;$A50)="N/A",0,RTD("tos.rtd",,BJ$43,"."&amp;$A$43&amp;$AS$42&amp;"C"&amp;$A50)))</f>
        <v>#NUM!</v>
      </c>
      <c r="BK50" s="83" t="e">
        <f ca="1">IF($BP$1=1,DY50,-IF(RTD("tos.rtd",,BK$43,"."&amp;$A$43&amp;$AS$42&amp;"P"&amp;$A50)="N/A",0,RTD("tos.rtd",,BK$43,"."&amp;$A$43&amp;$AS$42&amp;"P"&amp;$A50)))</f>
        <v>#NUM!</v>
      </c>
      <c r="BL50" s="83" t="e">
        <f ca="1">IF($BP$1=1,DZ50,IF(RTD("tos.rtd",,BL$2,"."&amp;$A$43&amp;$AU$1&amp;"C"&amp;$A50)="N/A",0,RTD("tos.rtd",,BL$2,"."&amp;$A$43&amp;$AU$1&amp;"C"&amp;$A50)))</f>
        <v>#NUM!</v>
      </c>
      <c r="BM50" s="83" t="e">
        <f ca="1">IF($BP$1=1,EA50,-IF(RTD("tos.rtd",,BM$2,"."&amp;$A$43&amp;$AU$1&amp;"P"&amp;$A50)="N/A",0,RTD("tos.rtd",,BM$2,"."&amp;$A$43&amp;$AU$1&amp;"P"&amp;$A50)))</f>
        <v>#NUM!</v>
      </c>
      <c r="BN50" s="83" t="e">
        <f ca="1">IF($BP$1=1,EB50,IF(RTD("tos.rtd",,BN$2,"."&amp;$A$43&amp;$AW$1&amp;"C"&amp;$A50)="N/A",0,RTD("tos.rtd",,BN$2,"."&amp;$A$43&amp;$AW$1&amp;"C"&amp;$A50)))</f>
        <v>#NUM!</v>
      </c>
      <c r="BO50" s="83" t="e">
        <f ca="1">IF($BP$1=1,EC50,-IF(RTD("tos.rtd",,BO$2,"."&amp;$A$43&amp;$AW$1&amp;"P"&amp;$A50)="N/A",0,RTD("tos.rtd",,BO$2,"."&amp;$A$43&amp;$AW$1&amp;"P"&amp;$A50)))</f>
        <v>#NUM!</v>
      </c>
      <c r="BQ50" s="83" t="e">
        <f t="shared" ca="1" si="301"/>
        <v>#NUM!</v>
      </c>
      <c r="BR50" s="3" t="e">
        <f t="shared" ca="1" si="277"/>
        <v>#NUM!</v>
      </c>
      <c r="BS50" s="83" t="e">
        <f t="shared" ca="1" si="302"/>
        <v>#NUM!</v>
      </c>
      <c r="BT50" s="3" t="e">
        <f t="shared" ca="1" si="279"/>
        <v>#NUM!</v>
      </c>
      <c r="BU50" s="83" t="e">
        <f t="shared" ca="1" si="303"/>
        <v>#NUM!</v>
      </c>
      <c r="BV50" s="83"/>
      <c r="BX50" s="83" t="e">
        <f t="shared" ca="1" si="304"/>
        <v>#NUM!</v>
      </c>
      <c r="BY50" s="83" t="e">
        <f t="shared" ca="1" si="292"/>
        <v>#NUM!</v>
      </c>
      <c r="BZ50" s="83" t="e">
        <f t="shared" ca="1" si="305"/>
        <v>#NUM!</v>
      </c>
      <c r="CA50" s="83" t="e">
        <f t="shared" ca="1" si="292"/>
        <v>#NUM!</v>
      </c>
      <c r="CB50" s="83" t="e">
        <f t="shared" ca="1" si="306"/>
        <v>#NUM!</v>
      </c>
      <c r="CC50" s="83" t="e">
        <f t="shared" ca="1" si="292"/>
        <v>#NUM!</v>
      </c>
      <c r="CD50" s="83">
        <f>IF(RTD("tos.rtd",,CD$43,"."&amp;$A$43&amp;$AS$42&amp;"C"&amp;$A50)="N/A",0,RTD("tos.rtd",,CD$43,"."&amp;$A$43&amp;$AS$42&amp;"C"&amp;$A50))</f>
        <v>0</v>
      </c>
      <c r="CE50" s="83">
        <f>-IF(RTD("tos.rtd",,CE$43,"."&amp;$A$43&amp;$AS$42&amp;"P"&amp;$A50)="N/A",0,RTD("tos.rtd",,CE$43,"."&amp;$A$43&amp;$AS$42&amp;"P"&amp;$A50))</f>
        <v>0.7</v>
      </c>
      <c r="CF50" s="83">
        <f>IF(RTD("tos.rtd",,CF$2,"."&amp;$A$43&amp;$AU$1&amp;"C"&amp;$A50)="N/A",0,RTD("tos.rtd",,CF$2,"."&amp;$A$43&amp;$AU$1&amp;"C"&amp;$A50))</f>
        <v>0</v>
      </c>
      <c r="CG50" s="83">
        <f>-IF(RTD("tos.rtd",,CG$2,"."&amp;$A$43&amp;$AU$1&amp;"P"&amp;$A50)="N/A",0,RTD("tos.rtd",,CG$2,"."&amp;$A$43&amp;$AU$1&amp;"P"&amp;$A50))</f>
        <v>1</v>
      </c>
      <c r="CH50" s="83">
        <f>IF(RTD("tos.rtd",,CH$2,"."&amp;$A$43&amp;$AW$1&amp;"C"&amp;$A50)="N/A",0,RTD("tos.rtd",,CH$2,"."&amp;$A$43&amp;$AW$1&amp;"C"&amp;$A50))</f>
        <v>0.3</v>
      </c>
      <c r="CI50" s="83">
        <f>-IF(RTD("tos.rtd",,CI$2,"."&amp;$A$43&amp;$AW$1&amp;"P"&amp;$A50)="N/A",0,RTD("tos.rtd",,CI$2,"."&amp;$A$43&amp;$AW$1&amp;"P"&amp;$A50))</f>
        <v>0.7</v>
      </c>
      <c r="CK50" s="83">
        <f t="shared" si="307"/>
        <v>-2450</v>
      </c>
      <c r="CL50" s="83"/>
      <c r="CM50" s="83">
        <f t="shared" si="308"/>
        <v>-28000</v>
      </c>
      <c r="CN50" s="83"/>
      <c r="CO50" s="83">
        <f t="shared" si="309"/>
        <v>18919.999999999996</v>
      </c>
      <c r="CP50" s="83">
        <f t="shared" si="310"/>
        <v>-11530.000000000004</v>
      </c>
      <c r="CQ50" s="83">
        <f t="shared" si="311"/>
        <v>0</v>
      </c>
      <c r="CR50" s="83"/>
      <c r="CS50" s="83">
        <f t="shared" si="312"/>
        <v>11884</v>
      </c>
      <c r="CT50" s="83"/>
      <c r="CU50" s="83">
        <f t="shared" si="313"/>
        <v>749</v>
      </c>
      <c r="CV50" s="83"/>
      <c r="CW50" s="83" t="e">
        <f t="shared" ca="1" si="314"/>
        <v>#NUM!</v>
      </c>
      <c r="CY50" s="83" t="e">
        <f t="shared" ca="1" si="315"/>
        <v>#NUM!</v>
      </c>
      <c r="CZ50" s="70" t="e">
        <f t="shared" ca="1" si="293"/>
        <v>#NUM!</v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8.0299999999999994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12.75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11.5</v>
      </c>
      <c r="DG50" s="86">
        <f t="shared" si="287"/>
        <v>9.0799999999999841</v>
      </c>
      <c r="DH50" s="83">
        <f t="shared" si="316"/>
        <v>-2574</v>
      </c>
      <c r="DI50" s="83">
        <f t="shared" si="317"/>
        <v>-197.09600000000006</v>
      </c>
      <c r="DJ50" s="83">
        <f t="shared" si="318"/>
        <v>-2574</v>
      </c>
      <c r="DK50" s="83">
        <f t="shared" si="255"/>
        <v>-71</v>
      </c>
      <c r="DL50" s="83">
        <f t="shared" si="256"/>
        <v>-2771.096</v>
      </c>
      <c r="DM50" s="83">
        <f t="shared" si="257"/>
        <v>-2645</v>
      </c>
      <c r="DN50" s="64" t="str">
        <f t="shared" si="258"/>
        <v>UNKNOWN</v>
      </c>
      <c r="DO50" s="64" t="str">
        <f t="shared" si="259"/>
        <v>UNKNOWN</v>
      </c>
      <c r="DP50" s="83">
        <f t="shared" si="260"/>
        <v>-1608.4208800000004</v>
      </c>
      <c r="DQ50" s="83">
        <f t="shared" si="261"/>
        <v>-595.87</v>
      </c>
      <c r="DR50" s="83" t="e">
        <f t="shared" ca="1" si="262"/>
        <v>#NUM!</v>
      </c>
      <c r="DS50" s="83">
        <f t="shared" si="263"/>
        <v>-49.699999999999996</v>
      </c>
      <c r="DT50" s="83">
        <f t="shared" si="288"/>
        <v>-2574</v>
      </c>
      <c r="DU50" s="83">
        <f t="shared" si="289"/>
        <v>71</v>
      </c>
      <c r="DV50" s="83">
        <f t="shared" si="264"/>
        <v>-44</v>
      </c>
      <c r="DW50" s="83">
        <f t="shared" si="265"/>
        <v>-1</v>
      </c>
      <c r="DX50" s="83" t="e">
        <f t="shared" ca="1" si="319"/>
        <v>#NUM!</v>
      </c>
      <c r="DY50" s="83" t="e">
        <f t="shared" ca="1" si="320"/>
        <v>#NUM!</v>
      </c>
      <c r="DZ50" s="83" t="e">
        <f t="shared" ca="1" si="321"/>
        <v>#NUM!</v>
      </c>
      <c r="EA50" s="83" t="e">
        <f t="shared" ca="1" si="322"/>
        <v>#NUM!</v>
      </c>
      <c r="EB50" s="83" t="e">
        <f t="shared" ca="1" si="323"/>
        <v>#NUM!</v>
      </c>
      <c r="EC50" s="83" t="e">
        <f t="shared" ca="1" si="324"/>
        <v>#NUM!</v>
      </c>
      <c r="EE50" s="84">
        <f t="shared" si="325"/>
        <v>0.93659999999999999</v>
      </c>
      <c r="EF50" s="84">
        <f t="shared" si="326"/>
        <v>4.4623999999999997</v>
      </c>
      <c r="EG50" s="84">
        <f t="shared" si="327"/>
        <v>0.93659999999999999</v>
      </c>
      <c r="EH50" s="84">
        <f t="shared" si="328"/>
        <v>0.25</v>
      </c>
      <c r="EI50" s="84">
        <f t="shared" si="329"/>
        <v>0.2757</v>
      </c>
      <c r="EJ50" s="84">
        <f t="shared" si="330"/>
        <v>0.27779999999999999</v>
      </c>
      <c r="EL50" s="83" t="str">
        <f>RTD("tos.rtd",,EL$43,"."&amp;$A$43&amp;$AS$42&amp;"C"&amp;$A50)</f>
        <v>93.66%</v>
      </c>
      <c r="EM50" s="83" t="str">
        <f>RTD("tos.rtd",,EM$43,"."&amp;$A$43&amp;$AS$42&amp;"P"&amp;$A50)</f>
        <v>446.24%</v>
      </c>
      <c r="EN50" s="83" t="str">
        <f>RTD("tos.rtd",,EN$2,"."&amp;$A$43&amp;$AU$1&amp;"C"&amp;$A50)</f>
        <v>93.66%</v>
      </c>
      <c r="EO50" s="83" t="str">
        <f>RTD("tos.rtd",,EO$2,"."&amp;$A$43&amp;$AU$1&amp;"P"&amp;$A50)</f>
        <v>--</v>
      </c>
      <c r="EP50" s="83" t="str">
        <f>RTD("tos.rtd",,EP$2,"."&amp;$A$43&amp;$AW$1&amp;"C"&amp;$A50)</f>
        <v>27.57%</v>
      </c>
      <c r="EQ50" s="83" t="str">
        <f>RTD("tos.rtd",,EQ$2,"."&amp;$A$43&amp;$AW$1&amp;"P"&amp;$A50)</f>
        <v>27.78%</v>
      </c>
      <c r="ES50" s="63" t="str">
        <f t="shared" si="272"/>
        <v>497,-45.00</v>
      </c>
      <c r="ET50" s="64" t="str">
        <f t="shared" ca="1" si="273"/>
        <v>497,00.00</v>
      </c>
      <c r="EU50" s="68">
        <v>563.16</v>
      </c>
      <c r="EV50" s="68" t="s">
        <v>419</v>
      </c>
      <c r="EW50" s="68">
        <v>485.51</v>
      </c>
      <c r="EX50" s="68" t="s">
        <v>420</v>
      </c>
      <c r="EY50" s="68">
        <v>5645.25</v>
      </c>
      <c r="EZ50" s="68" t="s">
        <v>421</v>
      </c>
      <c r="FA50" s="68">
        <v>19945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90"/>
        <v>496</v>
      </c>
      <c r="B51" s="3">
        <f t="shared" si="295"/>
        <v>1718</v>
      </c>
      <c r="C51" s="3">
        <f t="shared" si="296"/>
        <v>2743</v>
      </c>
      <c r="D51" s="3">
        <f t="shared" si="297"/>
        <v>1040</v>
      </c>
      <c r="E51" s="3">
        <f t="shared" si="298"/>
        <v>5501</v>
      </c>
      <c r="F51" s="4">
        <f t="shared" si="299"/>
        <v>20480.127889818003</v>
      </c>
      <c r="AM51" s="1">
        <v>642</v>
      </c>
      <c r="AN51" s="1">
        <v>-33</v>
      </c>
      <c r="AO51" s="1">
        <v>496</v>
      </c>
      <c r="AP51" s="1">
        <v>3762</v>
      </c>
      <c r="AQ51" s="1">
        <v>-37</v>
      </c>
      <c r="AS51" s="6">
        <f>IF(RTD("tos.rtd",,AS$43,"."&amp;$A$43&amp;$AS$42&amp;"C"&amp;$A51)="N/A",0,RTD("tos.rtd",,AS$43,"."&amp;$A$43&amp;$AS$42&amp;"C"&amp;$A51))</f>
        <v>1683</v>
      </c>
      <c r="AT51" s="7">
        <f>-IF(RTD("tos.rtd",,AT$43,"."&amp;$A$43&amp;$AS$42&amp;"P"&amp;$A51)="N/A",0,RTD("tos.rtd",,AT$43,"."&amp;$A$43&amp;$AS$42&amp;"P"&amp;$A51))</f>
        <v>-35</v>
      </c>
      <c r="AU51" s="6">
        <f>IF(RTD("tos.rtd",,AU$2,"."&amp;$A$43&amp;$AU$1&amp;"C"&amp;$A51)="N/A",0,RTD("tos.rtd",,AU$2,"."&amp;$A$43&amp;$AU$1&amp;"C"&amp;$A51))</f>
        <v>2517</v>
      </c>
      <c r="AV51" s="7">
        <f>-IF(RTD("tos.rtd",,AV$2,"."&amp;$A$43&amp;$AU$1&amp;"P"&amp;$A51)="N/A",0,RTD("tos.rtd",,AV$2,"."&amp;$A$43&amp;$AU$1&amp;"P"&amp;$A51))</f>
        <v>-226</v>
      </c>
      <c r="AW51" s="6">
        <f>IF(RTD("tos.rtd",,AW$2,"."&amp;$A$43&amp;$AW$1&amp;"C"&amp;$A51)="N/A",0,RTD("tos.rtd",,AW$2,"."&amp;$A$43&amp;$AW$1&amp;"C"&amp;$A51))</f>
        <v>992</v>
      </c>
      <c r="AX51" s="7">
        <f>-IF(RTD("tos.rtd",,AX$2,"."&amp;$A$43&amp;$AW$1&amp;"P"&amp;$A51)="N/A",0,RTD("tos.rtd",,AX$2,"."&amp;$A$43&amp;$AW$1&amp;"P"&amp;$A51))</f>
        <v>-48</v>
      </c>
      <c r="AY51" s="7">
        <f t="shared" si="300"/>
        <v>4883</v>
      </c>
      <c r="AZ51" s="8">
        <f t="shared" si="243"/>
        <v>496</v>
      </c>
      <c r="BA51" s="6">
        <f>IF(RTD("tos.rtd",,BA$43,"."&amp;$A$43&amp;$AS$42&amp;"C"&amp;$A51)="N/A",0,RTD("tos.rtd",,BA$43,"."&amp;$A$43&amp;$AS$42&amp;"C"&amp;$A51))</f>
        <v>0</v>
      </c>
      <c r="BB51" s="7">
        <f>-IF(RTD("tos.rtd",,BB$43,"."&amp;$A$43&amp;$AS$42&amp;"P"&amp;$A51)="N/A",0,RTD("tos.rtd",,BB$43,"."&amp;$A$43&amp;$AS$42&amp;"P"&amp;$A51))</f>
        <v>0</v>
      </c>
      <c r="BC51" s="6">
        <f>IF(RTD("tos.rtd",,BC$2,"."&amp;$A$43&amp;$AU$1&amp;"C"&amp;$A51)="N/A",0,RTD("tos.rtd",,BC$2,"."&amp;$A$43&amp;$AU$1&amp;"C"&amp;$A51))</f>
        <v>17493</v>
      </c>
      <c r="BD51" s="7">
        <f>-IF(RTD("tos.rtd",,BD$2,"."&amp;$A$43&amp;$AU$1&amp;"P"&amp;$A51)="N/A",0,RTD("tos.rtd",,BD$2,"."&amp;$A$43&amp;$AU$1&amp;"P"&amp;$A51))</f>
        <v>-414</v>
      </c>
      <c r="BE51" s="6">
        <f>IF(RTD("tos.rtd",,BE$2,"."&amp;$A$43&amp;$AW$1&amp;"C"&amp;$A51)="N/A",0,RTD("tos.rtd",,BE$2,"."&amp;$A$43&amp;$AW$1&amp;"C"&amp;$A51))</f>
        <v>1114</v>
      </c>
      <c r="BF51" s="7">
        <f>-IF(RTD("tos.rtd",,BF$2,"."&amp;$A$43&amp;$AW$1&amp;"P"&amp;$A51)="N/A",0,RTD("tos.rtd",,BF$2,"."&amp;$A$43&amp;$AW$1&amp;"P"&amp;$A51))</f>
        <v>-40</v>
      </c>
      <c r="BG51" s="32">
        <f ca="1">+Hoja2!Y52</f>
        <v>91</v>
      </c>
      <c r="BH51" s="7">
        <f t="shared" ca="1" si="275"/>
        <v>18244</v>
      </c>
      <c r="BI51" s="8" t="str">
        <f t="shared" ca="1" si="291"/>
        <v/>
      </c>
      <c r="BJ51" s="83" t="e">
        <f ca="1">IF($BP$1=1,DX51,IF(RTD("tos.rtd",,BJ$43,"."&amp;$A$43&amp;$AS$42&amp;"C"&amp;$A51)="N/A",0,RTD("tos.rtd",,BJ$43,"."&amp;$A$43&amp;$AS$42&amp;"C"&amp;$A51)))</f>
        <v>#NUM!</v>
      </c>
      <c r="BK51" s="83" t="e">
        <f ca="1">IF($BP$1=1,DY51,-IF(RTD("tos.rtd",,BK$43,"."&amp;$A$43&amp;$AS$42&amp;"P"&amp;$A51)="N/A",0,RTD("tos.rtd",,BK$43,"."&amp;$A$43&amp;$AS$42&amp;"P"&amp;$A51)))</f>
        <v>#NUM!</v>
      </c>
      <c r="BL51" s="83" t="e">
        <f ca="1">IF($BP$1=1,DZ51,IF(RTD("tos.rtd",,BL$2,"."&amp;$A$43&amp;$AU$1&amp;"C"&amp;$A51)="N/A",0,RTD("tos.rtd",,BL$2,"."&amp;$A$43&amp;$AU$1&amp;"C"&amp;$A51)))</f>
        <v>#NUM!</v>
      </c>
      <c r="BM51" s="83" t="e">
        <f ca="1">IF($BP$1=1,EA51,-IF(RTD("tos.rtd",,BM$2,"."&amp;$A$43&amp;$AU$1&amp;"P"&amp;$A51)="N/A",0,RTD("tos.rtd",,BM$2,"."&amp;$A$43&amp;$AU$1&amp;"P"&amp;$A51)))</f>
        <v>#NUM!</v>
      </c>
      <c r="BN51" s="83" t="e">
        <f ca="1">IF($BP$1=1,EB51,IF(RTD("tos.rtd",,BN$2,"."&amp;$A$43&amp;$AW$1&amp;"C"&amp;$A51)="N/A",0,RTD("tos.rtd",,BN$2,"."&amp;$A$43&amp;$AW$1&amp;"C"&amp;$A51)))</f>
        <v>#NUM!</v>
      </c>
      <c r="BO51" s="83" t="e">
        <f ca="1">IF($BP$1=1,EC51,-IF(RTD("tos.rtd",,BO$2,"."&amp;$A$43&amp;$AW$1&amp;"P"&amp;$A51)="N/A",0,RTD("tos.rtd",,BO$2,"."&amp;$A$43&amp;$AW$1&amp;"P"&amp;$A51)))</f>
        <v>#NUM!</v>
      </c>
      <c r="BQ51" s="83" t="e">
        <f t="shared" ca="1" si="301"/>
        <v>#NUM!</v>
      </c>
      <c r="BR51" s="3" t="e">
        <f t="shared" ca="1" si="277"/>
        <v>#NUM!</v>
      </c>
      <c r="BS51" s="83" t="e">
        <f t="shared" ca="1" si="302"/>
        <v>#NUM!</v>
      </c>
      <c r="BT51" s="3" t="e">
        <f t="shared" ca="1" si="279"/>
        <v>#NUM!</v>
      </c>
      <c r="BU51" s="83" t="e">
        <f t="shared" ca="1" si="303"/>
        <v>#NUM!</v>
      </c>
      <c r="BV51" s="83"/>
      <c r="BX51" s="83" t="e">
        <f t="shared" ca="1" si="304"/>
        <v>#NUM!</v>
      </c>
      <c r="BY51" s="83" t="e">
        <f t="shared" ca="1" si="292"/>
        <v>#NUM!</v>
      </c>
      <c r="BZ51" s="83" t="e">
        <f t="shared" ca="1" si="305"/>
        <v>#NUM!</v>
      </c>
      <c r="CA51" s="83" t="e">
        <f t="shared" ca="1" si="292"/>
        <v>#NUM!</v>
      </c>
      <c r="CB51" s="83" t="e">
        <f t="shared" ca="1" si="306"/>
        <v>#NUM!</v>
      </c>
      <c r="CC51" s="83" t="e">
        <f t="shared" ca="1" si="292"/>
        <v>#NUM!</v>
      </c>
      <c r="CD51" s="83">
        <f>IF(RTD("tos.rtd",,CD$43,"."&amp;$A$43&amp;$AS$42&amp;"C"&amp;$A51)="N/A",0,RTD("tos.rtd",,CD$43,"."&amp;$A$43&amp;$AS$42&amp;"C"&amp;$A51))</f>
        <v>0.01</v>
      </c>
      <c r="CE51" s="83">
        <f>-IF(RTD("tos.rtd",,CE$43,"."&amp;$A$43&amp;$AS$42&amp;"P"&amp;$A51)="N/A",0,RTD("tos.rtd",,CE$43,"."&amp;$A$43&amp;$AS$42&amp;"P"&amp;$A51))</f>
        <v>0.7</v>
      </c>
      <c r="CF51" s="83">
        <f>IF(RTD("tos.rtd",,CF$2,"."&amp;$A$43&amp;$AU$1&amp;"C"&amp;$A51)="N/A",0,RTD("tos.rtd",,CF$2,"."&amp;$A$43&amp;$AU$1&amp;"C"&amp;$A51))</f>
        <v>0.01</v>
      </c>
      <c r="CG51" s="83">
        <f>-IF(RTD("tos.rtd",,CG$2,"."&amp;$A$43&amp;$AU$1&amp;"P"&amp;$A51)="N/A",0,RTD("tos.rtd",,CG$2,"."&amp;$A$43&amp;$AU$1&amp;"P"&amp;$A51))</f>
        <v>1</v>
      </c>
      <c r="CH51" s="83">
        <f>IF(RTD("tos.rtd",,CH$2,"."&amp;$A$43&amp;$AW$1&amp;"C"&amp;$A51)="N/A",0,RTD("tos.rtd",,CH$2,"."&amp;$A$43&amp;$AW$1&amp;"C"&amp;$A51))</f>
        <v>0.32</v>
      </c>
      <c r="CI51" s="83">
        <f>-IF(RTD("tos.rtd",,CI$2,"."&amp;$A$43&amp;$AW$1&amp;"P"&amp;$A51)="N/A",0,RTD("tos.rtd",,CI$2,"."&amp;$A$43&amp;$AW$1&amp;"P"&amp;$A51))</f>
        <v>0.69</v>
      </c>
      <c r="CK51" s="83">
        <f t="shared" si="307"/>
        <v>-766.99999999999977</v>
      </c>
      <c r="CL51" s="83"/>
      <c r="CM51" s="83">
        <f t="shared" si="308"/>
        <v>-20083</v>
      </c>
      <c r="CN51" s="83"/>
      <c r="CO51" s="83">
        <f t="shared" si="309"/>
        <v>28432</v>
      </c>
      <c r="CP51" s="83">
        <f t="shared" si="310"/>
        <v>7582</v>
      </c>
      <c r="CQ51" s="83">
        <f t="shared" si="311"/>
        <v>0</v>
      </c>
      <c r="CR51" s="83"/>
      <c r="CS51" s="83">
        <f t="shared" si="312"/>
        <v>17079</v>
      </c>
      <c r="CT51" s="83"/>
      <c r="CU51" s="83">
        <f t="shared" si="313"/>
        <v>1074</v>
      </c>
      <c r="CV51" s="83"/>
      <c r="CW51" s="83" t="e">
        <f t="shared" ca="1" si="314"/>
        <v>#NUM!</v>
      </c>
      <c r="CY51" s="83" t="e">
        <f t="shared" ca="1" si="315"/>
        <v>#NUM!</v>
      </c>
      <c r="CZ51" s="70" t="e">
        <f t="shared" ca="1" si="293"/>
        <v>#NUM!</v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9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10.95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10.5</v>
      </c>
      <c r="DG51" s="86">
        <f t="shared" si="287"/>
        <v>8.0799999999999841</v>
      </c>
      <c r="DH51" s="83">
        <f t="shared" si="316"/>
        <v>-3762</v>
      </c>
      <c r="DI51" s="83">
        <f t="shared" si="317"/>
        <v>-123.33333333333354</v>
      </c>
      <c r="DJ51" s="83">
        <f t="shared" si="318"/>
        <v>-3762</v>
      </c>
      <c r="DK51" s="83">
        <f t="shared" si="255"/>
        <v>-37</v>
      </c>
      <c r="DL51" s="83">
        <f t="shared" si="256"/>
        <v>-3885.3333333333335</v>
      </c>
      <c r="DM51" s="83">
        <f t="shared" si="257"/>
        <v>-3799</v>
      </c>
      <c r="DN51" s="64" t="str">
        <f t="shared" si="258"/>
        <v>UNKNOWN</v>
      </c>
      <c r="DO51" s="64" t="str">
        <f t="shared" si="259"/>
        <v>UNKNOWN</v>
      </c>
      <c r="DP51" s="83">
        <f t="shared" si="260"/>
        <v>-1147.6200000000017</v>
      </c>
      <c r="DQ51" s="83">
        <f t="shared" si="261"/>
        <v>-370.62</v>
      </c>
      <c r="DR51" s="83" t="e">
        <f t="shared" ca="1" si="262"/>
        <v>#NUM!</v>
      </c>
      <c r="DS51" s="83">
        <f t="shared" si="263"/>
        <v>-63.519999999999996</v>
      </c>
      <c r="DT51" s="83">
        <f t="shared" si="288"/>
        <v>-3762</v>
      </c>
      <c r="DU51" s="83">
        <f t="shared" si="289"/>
        <v>37</v>
      </c>
      <c r="DV51" s="83">
        <f t="shared" si="264"/>
        <v>642</v>
      </c>
      <c r="DW51" s="83">
        <f t="shared" si="265"/>
        <v>-33</v>
      </c>
      <c r="DX51" s="83" t="e">
        <f t="shared" ca="1" si="319"/>
        <v>#NUM!</v>
      </c>
      <c r="DY51" s="83" t="e">
        <f t="shared" ca="1" si="320"/>
        <v>#NUM!</v>
      </c>
      <c r="DZ51" s="83" t="e">
        <f t="shared" ca="1" si="321"/>
        <v>#NUM!</v>
      </c>
      <c r="EA51" s="83" t="e">
        <f t="shared" ca="1" si="322"/>
        <v>#NUM!</v>
      </c>
      <c r="EB51" s="83" t="e">
        <f t="shared" ca="1" si="323"/>
        <v>#NUM!</v>
      </c>
      <c r="EC51" s="83" t="e">
        <f t="shared" ca="1" si="324"/>
        <v>#NUM!</v>
      </c>
      <c r="EE51" s="84">
        <f t="shared" si="325"/>
        <v>0.84489999999999998</v>
      </c>
      <c r="EF51" s="84">
        <f t="shared" si="326"/>
        <v>3.9241999999999999</v>
      </c>
      <c r="EG51" s="84">
        <f t="shared" si="327"/>
        <v>0.84489999999999998</v>
      </c>
      <c r="EH51" s="84">
        <f t="shared" si="328"/>
        <v>0.25</v>
      </c>
      <c r="EI51" s="84">
        <f t="shared" si="329"/>
        <v>0.27689999999999998</v>
      </c>
      <c r="EJ51" s="84">
        <f t="shared" si="330"/>
        <v>0.2732</v>
      </c>
      <c r="EL51" s="83" t="str">
        <f>RTD("tos.rtd",,EL$43,"."&amp;$A$43&amp;$AS$42&amp;"C"&amp;$A51)</f>
        <v>84.49%</v>
      </c>
      <c r="EM51" s="83" t="str">
        <f>RTD("tos.rtd",,EM$43,"."&amp;$A$43&amp;$AS$42&amp;"P"&amp;$A51)</f>
        <v>392.42%</v>
      </c>
      <c r="EN51" s="83" t="str">
        <f>RTD("tos.rtd",,EN$2,"."&amp;$A$43&amp;$AU$1&amp;"C"&amp;$A51)</f>
        <v>84.49%</v>
      </c>
      <c r="EO51" s="83" t="str">
        <f>RTD("tos.rtd",,EO$2,"."&amp;$A$43&amp;$AU$1&amp;"P"&amp;$A51)</f>
        <v>--</v>
      </c>
      <c r="EP51" s="83" t="str">
        <f>RTD("tos.rtd",,EP$2,"."&amp;$A$43&amp;$AW$1&amp;"C"&amp;$A51)</f>
        <v>27.69%</v>
      </c>
      <c r="EQ51" s="83" t="str">
        <f>RTD("tos.rtd",,EQ$2,"."&amp;$A$43&amp;$AW$1&amp;"P"&amp;$A51)</f>
        <v>27.32%</v>
      </c>
      <c r="ES51" s="63" t="str">
        <f t="shared" si="272"/>
        <v>496,609.00</v>
      </c>
      <c r="ET51" s="64" t="str">
        <f t="shared" ca="1" si="273"/>
        <v>496,00.00</v>
      </c>
      <c r="EU51" s="68">
        <v>563.04999999999995</v>
      </c>
      <c r="EV51" s="68" t="s">
        <v>427</v>
      </c>
      <c r="EW51" s="68">
        <v>485.36</v>
      </c>
      <c r="EX51" s="68" t="s">
        <v>428</v>
      </c>
      <c r="EY51" s="68">
        <v>5644</v>
      </c>
      <c r="EZ51" s="68" t="s">
        <v>429</v>
      </c>
      <c r="FA51" s="68">
        <v>19938.5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90"/>
        <v>495</v>
      </c>
      <c r="B52" s="3">
        <f t="shared" si="295"/>
        <v>6511</v>
      </c>
      <c r="C52" s="3">
        <f t="shared" si="296"/>
        <v>12595</v>
      </c>
      <c r="D52" s="3">
        <f t="shared" si="297"/>
        <v>41287</v>
      </c>
      <c r="E52" s="3">
        <f t="shared" si="298"/>
        <v>60393</v>
      </c>
      <c r="F52" s="4">
        <f t="shared" si="299"/>
        <v>20438.837309394981</v>
      </c>
      <c r="AM52" s="1">
        <v>-644</v>
      </c>
      <c r="AN52" s="1">
        <v>-12</v>
      </c>
      <c r="AO52" s="1">
        <v>495</v>
      </c>
      <c r="AP52" s="1">
        <v>8042</v>
      </c>
      <c r="AQ52" s="1">
        <v>-287</v>
      </c>
      <c r="AS52" s="6">
        <f>IF(RTD("tos.rtd",,AS$43,"."&amp;$A$43&amp;$AS$42&amp;"C"&amp;$A52)="N/A",0,RTD("tos.rtd",,AS$43,"."&amp;$A$43&amp;$AS$42&amp;"C"&amp;$A52))</f>
        <v>6395</v>
      </c>
      <c r="AT52" s="7">
        <f>-IF(RTD("tos.rtd",,AT$43,"."&amp;$A$43&amp;$AS$42&amp;"P"&amp;$A52)="N/A",0,RTD("tos.rtd",,AT$43,"."&amp;$A$43&amp;$AS$42&amp;"P"&amp;$A52))</f>
        <v>-116</v>
      </c>
      <c r="AU52" s="6">
        <f>IF(RTD("tos.rtd",,AU$2,"."&amp;$A$43&amp;$AU$1&amp;"C"&amp;$A52)="N/A",0,RTD("tos.rtd",,AU$2,"."&amp;$A$43&amp;$AU$1&amp;"C"&amp;$A52))</f>
        <v>10961</v>
      </c>
      <c r="AV52" s="7">
        <f>-IF(RTD("tos.rtd",,AV$2,"."&amp;$A$43&amp;$AU$1&amp;"P"&amp;$A52)="N/A",0,RTD("tos.rtd",,AV$2,"."&amp;$A$43&amp;$AU$1&amp;"P"&amp;$A52))</f>
        <v>-1634</v>
      </c>
      <c r="AW52" s="6">
        <f>IF(RTD("tos.rtd",,AW$2,"."&amp;$A$43&amp;$AW$1&amp;"C"&amp;$A52)="N/A",0,RTD("tos.rtd",,AW$2,"."&amp;$A$43&amp;$AW$1&amp;"C"&amp;$A52))</f>
        <v>38799</v>
      </c>
      <c r="AX52" s="7">
        <f>-IF(RTD("tos.rtd",,AX$2,"."&amp;$A$43&amp;$AW$1&amp;"P"&amp;$A52)="N/A",0,RTD("tos.rtd",,AX$2,"."&amp;$A$43&amp;$AW$1&amp;"P"&amp;$A52))</f>
        <v>-2488</v>
      </c>
      <c r="AY52" s="7">
        <f t="shared" si="300"/>
        <v>51917</v>
      </c>
      <c r="AZ52" s="8">
        <f t="shared" si="243"/>
        <v>495</v>
      </c>
      <c r="BA52" s="6">
        <f>IF(RTD("tos.rtd",,BA$43,"."&amp;$A$43&amp;$AS$42&amp;"C"&amp;$A52)="N/A",0,RTD("tos.rtd",,BA$43,"."&amp;$A$43&amp;$AS$42&amp;"C"&amp;$A52))</f>
        <v>0</v>
      </c>
      <c r="BB52" s="7">
        <f>-IF(RTD("tos.rtd",,BB$43,"."&amp;$A$43&amp;$AS$42&amp;"P"&amp;$A52)="N/A",0,RTD("tos.rtd",,BB$43,"."&amp;$A$43&amp;$AS$42&amp;"P"&amp;$A52))</f>
        <v>0</v>
      </c>
      <c r="BC52" s="6">
        <f>IF(RTD("tos.rtd",,BC$2,"."&amp;$A$43&amp;$AU$1&amp;"C"&amp;$A52)="N/A",0,RTD("tos.rtd",,BC$2,"."&amp;$A$43&amp;$AU$1&amp;"C"&amp;$A52))</f>
        <v>71389</v>
      </c>
      <c r="BD52" s="7">
        <f>-IF(RTD("tos.rtd",,BD$2,"."&amp;$A$43&amp;$AU$1&amp;"P"&amp;$A52)="N/A",0,RTD("tos.rtd",,BD$2,"."&amp;$A$43&amp;$AU$1&amp;"P"&amp;$A52))</f>
        <v>-4253</v>
      </c>
      <c r="BE52" s="6">
        <f>IF(RTD("tos.rtd",,BE$2,"."&amp;$A$43&amp;$AW$1&amp;"C"&amp;$A52)="N/A",0,RTD("tos.rtd",,BE$2,"."&amp;$A$43&amp;$AW$1&amp;"C"&amp;$A52))</f>
        <v>5633</v>
      </c>
      <c r="BF52" s="7">
        <f>-IF(RTD("tos.rtd",,BF$2,"."&amp;$A$43&amp;$AW$1&amp;"P"&amp;$A52)="N/A",0,RTD("tos.rtd",,BF$2,"."&amp;$A$43&amp;$AW$1&amp;"P"&amp;$A52))</f>
        <v>-952</v>
      </c>
      <c r="BG52" s="32">
        <f ca="1">+Hoja2!Y53</f>
        <v>6197</v>
      </c>
      <c r="BH52" s="7">
        <f t="shared" ca="1" si="275"/>
        <v>78014</v>
      </c>
      <c r="BI52" s="8" t="str">
        <f t="shared" ca="1" si="291"/>
        <v/>
      </c>
      <c r="BJ52" s="83" t="e">
        <f ca="1">IF($BP$1=1,DX52,IF(RTD("tos.rtd",,BJ$43,"."&amp;$A$43&amp;$AS$42&amp;"C"&amp;$A52)="N/A",0,RTD("tos.rtd",,BJ$43,"."&amp;$A$43&amp;$AS$42&amp;"C"&amp;$A52)))</f>
        <v>#NUM!</v>
      </c>
      <c r="BK52" s="83" t="e">
        <f ca="1">IF($BP$1=1,DY52,-IF(RTD("tos.rtd",,BK$43,"."&amp;$A$43&amp;$AS$42&amp;"P"&amp;$A52)="N/A",0,RTD("tos.rtd",,BK$43,"."&amp;$A$43&amp;$AS$42&amp;"P"&amp;$A52)))</f>
        <v>#NUM!</v>
      </c>
      <c r="BL52" s="83" t="e">
        <f ca="1">IF($BP$1=1,DZ52,IF(RTD("tos.rtd",,BL$2,"."&amp;$A$43&amp;$AU$1&amp;"C"&amp;$A52)="N/A",0,RTD("tos.rtd",,BL$2,"."&amp;$A$43&amp;$AU$1&amp;"C"&amp;$A52)))</f>
        <v>#NUM!</v>
      </c>
      <c r="BM52" s="83" t="e">
        <f ca="1">IF($BP$1=1,EA52,-IF(RTD("tos.rtd",,BM$2,"."&amp;$A$43&amp;$AU$1&amp;"P"&amp;$A52)="N/A",0,RTD("tos.rtd",,BM$2,"."&amp;$A$43&amp;$AU$1&amp;"P"&amp;$A52)))</f>
        <v>#NUM!</v>
      </c>
      <c r="BN52" s="83" t="e">
        <f ca="1">IF($BP$1=1,EB52,IF(RTD("tos.rtd",,BN$2,"."&amp;$A$43&amp;$AW$1&amp;"C"&amp;$A52)="N/A",0,RTD("tos.rtd",,BN$2,"."&amp;$A$43&amp;$AW$1&amp;"C"&amp;$A52)))</f>
        <v>#NUM!</v>
      </c>
      <c r="BO52" s="83" t="e">
        <f ca="1">IF($BP$1=1,EC52,-IF(RTD("tos.rtd",,BO$2,"."&amp;$A$43&amp;$AW$1&amp;"P"&amp;$A52)="N/A",0,RTD("tos.rtd",,BO$2,"."&amp;$A$43&amp;$AW$1&amp;"P"&amp;$A52)))</f>
        <v>#NUM!</v>
      </c>
      <c r="BQ52" s="83" t="e">
        <f t="shared" ca="1" si="301"/>
        <v>#NUM!</v>
      </c>
      <c r="BR52" s="3" t="e">
        <f t="shared" ca="1" si="277"/>
        <v>#NUM!</v>
      </c>
      <c r="BS52" s="83" t="e">
        <f t="shared" ca="1" si="302"/>
        <v>#NUM!</v>
      </c>
      <c r="BT52" s="3" t="e">
        <f t="shared" ca="1" si="279"/>
        <v>#NUM!</v>
      </c>
      <c r="BU52" s="83" t="e">
        <f t="shared" ca="1" si="303"/>
        <v>#NUM!</v>
      </c>
      <c r="BV52" s="83"/>
      <c r="BX52" s="83" t="e">
        <f t="shared" ca="1" si="304"/>
        <v>#NUM!</v>
      </c>
      <c r="BY52" s="83" t="e">
        <f t="shared" ca="1" si="292"/>
        <v>#NUM!</v>
      </c>
      <c r="BZ52" s="83" t="e">
        <f t="shared" ca="1" si="305"/>
        <v>#NUM!</v>
      </c>
      <c r="CA52" s="83" t="e">
        <f t="shared" ca="1" si="292"/>
        <v>#NUM!</v>
      </c>
      <c r="CB52" s="83" t="e">
        <f t="shared" ca="1" si="306"/>
        <v>#NUM!</v>
      </c>
      <c r="CC52" s="83" t="e">
        <f t="shared" ca="1" si="292"/>
        <v>#NUM!</v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0.67</v>
      </c>
      <c r="CF52" s="83">
        <f>IF(RTD("tos.rtd",,CF$2,"."&amp;$A$43&amp;$AU$1&amp;"C"&amp;$A52)="N/A",0,RTD("tos.rtd",,CF$2,"."&amp;$A$43&amp;$AU$1&amp;"C"&amp;$A52))</f>
        <v>0.01</v>
      </c>
      <c r="CG52" s="83">
        <f>-IF(RTD("tos.rtd",,CG$2,"."&amp;$A$43&amp;$AU$1&amp;"P"&amp;$A52)="N/A",0,RTD("tos.rtd",,CG$2,"."&amp;$A$43&amp;$AU$1&amp;"P"&amp;$A52))</f>
        <v>1</v>
      </c>
      <c r="CH52" s="83">
        <f>IF(RTD("tos.rtd",,CH$2,"."&amp;$A$43&amp;$AW$1&amp;"C"&amp;$A52)="N/A",0,RTD("tos.rtd",,CH$2,"."&amp;$A$43&amp;$AW$1&amp;"C"&amp;$A52))</f>
        <v>0.34</v>
      </c>
      <c r="CI52" s="83">
        <f>-IF(RTD("tos.rtd",,CI$2,"."&amp;$A$43&amp;$AW$1&amp;"P"&amp;$A52)="N/A",0,RTD("tos.rtd",,CI$2,"."&amp;$A$43&amp;$AW$1&amp;"P"&amp;$A52))</f>
        <v>0.66</v>
      </c>
      <c r="CK52" s="83">
        <f t="shared" si="307"/>
        <v>-1377</v>
      </c>
      <c r="CL52" s="83"/>
      <c r="CM52" s="83">
        <f t="shared" si="308"/>
        <v>-152439</v>
      </c>
      <c r="CN52" s="83"/>
      <c r="CO52" s="83">
        <f t="shared" si="309"/>
        <v>1154958.0000000002</v>
      </c>
      <c r="CP52" s="83">
        <f t="shared" si="310"/>
        <v>1001142.0000000002</v>
      </c>
      <c r="CQ52" s="83">
        <f t="shared" si="311"/>
        <v>0</v>
      </c>
      <c r="CR52" s="83"/>
      <c r="CS52" s="83">
        <f t="shared" si="312"/>
        <v>67136</v>
      </c>
      <c r="CT52" s="83"/>
      <c r="CU52" s="83">
        <f t="shared" si="313"/>
        <v>4681</v>
      </c>
      <c r="CV52" s="83"/>
      <c r="CW52" s="83" t="e">
        <f t="shared" ca="1" si="314"/>
        <v>#NUM!</v>
      </c>
      <c r="CY52" s="83" t="e">
        <f t="shared" ca="1" si="315"/>
        <v>#NUM!</v>
      </c>
      <c r="CZ52" s="70" t="e">
        <f t="shared" ca="1" si="293"/>
        <v>#NUM!</v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9.3000000000000007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11.09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9.5</v>
      </c>
      <c r="DG52" s="86">
        <f t="shared" si="287"/>
        <v>7.0799999999999841</v>
      </c>
      <c r="DH52" s="83">
        <f t="shared" si="316"/>
        <v>-8042</v>
      </c>
      <c r="DI52" s="83">
        <f t="shared" si="317"/>
        <v>-36.100628930817486</v>
      </c>
      <c r="DJ52" s="83">
        <f t="shared" si="318"/>
        <v>-8042</v>
      </c>
      <c r="DK52" s="83">
        <f t="shared" si="255"/>
        <v>-287</v>
      </c>
      <c r="DL52" s="83">
        <f t="shared" si="256"/>
        <v>-8078.100628930817</v>
      </c>
      <c r="DM52" s="83">
        <f t="shared" si="257"/>
        <v>-8329</v>
      </c>
      <c r="DN52" s="64" t="str">
        <f t="shared" si="258"/>
        <v>UNKNOWN</v>
      </c>
      <c r="DO52" s="64" t="str">
        <f t="shared" si="259"/>
        <v>UNKNOWN</v>
      </c>
      <c r="DP52" s="83">
        <f t="shared" si="260"/>
        <v>-416.15584905660268</v>
      </c>
      <c r="DQ52" s="83">
        <f t="shared" si="261"/>
        <v>-2749.5200000000004</v>
      </c>
      <c r="DR52" s="83" t="e">
        <f t="shared" ca="1" si="262"/>
        <v>#NUM!</v>
      </c>
      <c r="DS52" s="83">
        <f t="shared" si="263"/>
        <v>-272.71000000000004</v>
      </c>
      <c r="DT52" s="83">
        <f t="shared" si="288"/>
        <v>-8042</v>
      </c>
      <c r="DU52" s="83">
        <f t="shared" si="289"/>
        <v>287</v>
      </c>
      <c r="DV52" s="83">
        <f t="shared" si="264"/>
        <v>-644</v>
      </c>
      <c r="DW52" s="83">
        <f t="shared" si="265"/>
        <v>-12</v>
      </c>
      <c r="DX52" s="83" t="e">
        <f t="shared" ca="1" si="319"/>
        <v>#NUM!</v>
      </c>
      <c r="DY52" s="83" t="e">
        <f t="shared" ca="1" si="320"/>
        <v>#NUM!</v>
      </c>
      <c r="DZ52" s="83" t="e">
        <f t="shared" ca="1" si="321"/>
        <v>#NUM!</v>
      </c>
      <c r="EA52" s="83" t="e">
        <f t="shared" ca="1" si="322"/>
        <v>#NUM!</v>
      </c>
      <c r="EB52" s="83" t="e">
        <f t="shared" ca="1" si="323"/>
        <v>#NUM!</v>
      </c>
      <c r="EC52" s="83" t="e">
        <f t="shared" ca="1" si="324"/>
        <v>#NUM!</v>
      </c>
      <c r="EE52" s="84">
        <f t="shared" si="325"/>
        <v>0.752</v>
      </c>
      <c r="EF52" s="84">
        <f t="shared" si="326"/>
        <v>4.1306000000000003</v>
      </c>
      <c r="EG52" s="84">
        <f t="shared" si="327"/>
        <v>0.752</v>
      </c>
      <c r="EH52" s="84">
        <f t="shared" si="328"/>
        <v>0.25</v>
      </c>
      <c r="EI52" s="84">
        <f t="shared" si="329"/>
        <v>0.27850000000000003</v>
      </c>
      <c r="EJ52" s="84">
        <f t="shared" si="330"/>
        <v>0.27439999999999998</v>
      </c>
      <c r="EL52" s="83" t="str">
        <f>RTD("tos.rtd",,EL$43,"."&amp;$A$43&amp;$AS$42&amp;"C"&amp;$A52)</f>
        <v>75.20%</v>
      </c>
      <c r="EM52" s="83" t="str">
        <f>RTD("tos.rtd",,EM$43,"."&amp;$A$43&amp;$AS$42&amp;"P"&amp;$A52)</f>
        <v>413.06%</v>
      </c>
      <c r="EN52" s="83" t="str">
        <f>RTD("tos.rtd",,EN$2,"."&amp;$A$43&amp;$AU$1&amp;"C"&amp;$A52)</f>
        <v>75.20%</v>
      </c>
      <c r="EO52" s="83" t="str">
        <f>RTD("tos.rtd",,EO$2,"."&amp;$A$43&amp;$AU$1&amp;"P"&amp;$A52)</f>
        <v>--</v>
      </c>
      <c r="EP52" s="83" t="str">
        <f>RTD("tos.rtd",,EP$2,"."&amp;$A$43&amp;$AW$1&amp;"C"&amp;$A52)</f>
        <v>27.85%</v>
      </c>
      <c r="EQ52" s="83" t="str">
        <f>RTD("tos.rtd",,EQ$2,"."&amp;$A$43&amp;$AW$1&amp;"P"&amp;$A52)</f>
        <v>27.44%</v>
      </c>
      <c r="ES52" s="63" t="str">
        <f t="shared" si="272"/>
        <v>495,-656.00</v>
      </c>
      <c r="ET52" s="64" t="str">
        <f t="shared" ca="1" si="273"/>
        <v>495,00.00</v>
      </c>
      <c r="EU52" s="68">
        <v>563.09</v>
      </c>
      <c r="EV52" s="68" t="s">
        <v>435</v>
      </c>
      <c r="EW52" s="68">
        <v>485.4</v>
      </c>
      <c r="EX52" s="68" t="s">
        <v>436</v>
      </c>
      <c r="EY52" s="68">
        <v>5644.5</v>
      </c>
      <c r="EZ52" s="68" t="s">
        <v>437</v>
      </c>
      <c r="FA52" s="68">
        <v>19940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90"/>
        <v>494</v>
      </c>
      <c r="B53" s="3">
        <f t="shared" si="295"/>
        <v>1963</v>
      </c>
      <c r="C53" s="3">
        <f t="shared" si="296"/>
        <v>3387</v>
      </c>
      <c r="D53" s="3">
        <f t="shared" si="297"/>
        <v>559</v>
      </c>
      <c r="E53" s="3">
        <f t="shared" si="298"/>
        <v>5909</v>
      </c>
      <c r="F53" s="4">
        <f t="shared" si="299"/>
        <v>20397.546728971964</v>
      </c>
      <c r="AM53" s="1">
        <v>-539</v>
      </c>
      <c r="AN53" s="1">
        <v>0</v>
      </c>
      <c r="AO53" s="1">
        <v>494</v>
      </c>
      <c r="AP53" s="1">
        <v>6075</v>
      </c>
      <c r="AQ53" s="1">
        <v>-191</v>
      </c>
      <c r="AS53" s="6">
        <f>IF(RTD("tos.rtd",,AS$43,"."&amp;$A$43&amp;$AS$42&amp;"C"&amp;$A53)="N/A",0,RTD("tos.rtd",,AS$43,"."&amp;$A$43&amp;$AS$42&amp;"C"&amp;$A53))</f>
        <v>1900</v>
      </c>
      <c r="AT53" s="7">
        <f>-IF(RTD("tos.rtd",,AT$43,"."&amp;$A$43&amp;$AS$42&amp;"P"&amp;$A53)="N/A",0,RTD("tos.rtd",,AT$43,"."&amp;$A$43&amp;$AS$42&amp;"P"&amp;$A53))</f>
        <v>-63</v>
      </c>
      <c r="AU53" s="6">
        <f>IF(RTD("tos.rtd",,AU$2,"."&amp;$A$43&amp;$AU$1&amp;"C"&amp;$A53)="N/A",0,RTD("tos.rtd",,AU$2,"."&amp;$A$43&amp;$AU$1&amp;"C"&amp;$A53))</f>
        <v>3016</v>
      </c>
      <c r="AV53" s="7">
        <f>-IF(RTD("tos.rtd",,AV$2,"."&amp;$A$43&amp;$AU$1&amp;"P"&amp;$A53)="N/A",0,RTD("tos.rtd",,AV$2,"."&amp;$A$43&amp;$AU$1&amp;"P"&amp;$A53))</f>
        <v>-371</v>
      </c>
      <c r="AW53" s="6">
        <f>IF(RTD("tos.rtd",,AW$2,"."&amp;$A$43&amp;$AW$1&amp;"C"&amp;$A53)="N/A",0,RTD("tos.rtd",,AW$2,"."&amp;$A$43&amp;$AW$1&amp;"C"&amp;$A53))</f>
        <v>449</v>
      </c>
      <c r="AX53" s="7">
        <f>-IF(RTD("tos.rtd",,AX$2,"."&amp;$A$43&amp;$AW$1&amp;"P"&amp;$A53)="N/A",0,RTD("tos.rtd",,AX$2,"."&amp;$A$43&amp;$AW$1&amp;"P"&amp;$A53))</f>
        <v>-110</v>
      </c>
      <c r="AY53" s="7">
        <f t="shared" si="300"/>
        <v>4821</v>
      </c>
      <c r="AZ53" s="8">
        <f t="shared" si="243"/>
        <v>494</v>
      </c>
      <c r="BA53" s="6">
        <f>IF(RTD("tos.rtd",,BA$43,"."&amp;$A$43&amp;$AS$42&amp;"C"&amp;$A53)="N/A",0,RTD("tos.rtd",,BA$43,"."&amp;$A$43&amp;$AS$42&amp;"C"&amp;$A53))</f>
        <v>0</v>
      </c>
      <c r="BB53" s="7">
        <f>-IF(RTD("tos.rtd",,BB$43,"."&amp;$A$43&amp;$AS$42&amp;"P"&amp;$A53)="N/A",0,RTD("tos.rtd",,BB$43,"."&amp;$A$43&amp;$AS$42&amp;"P"&amp;$A53))</f>
        <v>0</v>
      </c>
      <c r="BC53" s="6">
        <f>IF(RTD("tos.rtd",,BC$2,"."&amp;$A$43&amp;$AU$1&amp;"C"&amp;$A53)="N/A",0,RTD("tos.rtd",,BC$2,"."&amp;$A$43&amp;$AU$1&amp;"C"&amp;$A53))</f>
        <v>36320</v>
      </c>
      <c r="BD53" s="7">
        <f>-IF(RTD("tos.rtd",,BD$2,"."&amp;$A$43&amp;$AU$1&amp;"P"&amp;$A53)="N/A",0,RTD("tos.rtd",,BD$2,"."&amp;$A$43&amp;$AU$1&amp;"P"&amp;$A53))</f>
        <v>-783</v>
      </c>
      <c r="BE53" s="6">
        <f>IF(RTD("tos.rtd",,BE$2,"."&amp;$A$43&amp;$AW$1&amp;"C"&amp;$A53)="N/A",0,RTD("tos.rtd",,BE$2,"."&amp;$A$43&amp;$AW$1&amp;"C"&amp;$A53))</f>
        <v>1093</v>
      </c>
      <c r="BF53" s="7">
        <f>-IF(RTD("tos.rtd",,BF$2,"."&amp;$A$43&amp;$AW$1&amp;"P"&amp;$A53)="N/A",0,RTD("tos.rtd",,BF$2,"."&amp;$A$43&amp;$AW$1&amp;"P"&amp;$A53))</f>
        <v>-316</v>
      </c>
      <c r="BG53" s="32">
        <f ca="1">+Hoja2!Y54</f>
        <v>146</v>
      </c>
      <c r="BH53" s="7">
        <f t="shared" ca="1" si="275"/>
        <v>36460</v>
      </c>
      <c r="BI53" s="8" t="str">
        <f t="shared" ca="1" si="291"/>
        <v/>
      </c>
      <c r="BJ53" s="83" t="e">
        <f ca="1">IF($BP$1=1,DX53,IF(RTD("tos.rtd",,BJ$43,"."&amp;$A$43&amp;$AS$42&amp;"C"&amp;$A53)="N/A",0,RTD("tos.rtd",,BJ$43,"."&amp;$A$43&amp;$AS$42&amp;"C"&amp;$A53)))</f>
        <v>#NUM!</v>
      </c>
      <c r="BK53" s="83" t="e">
        <f ca="1">IF($BP$1=1,DY53,-IF(RTD("tos.rtd",,BK$43,"."&amp;$A$43&amp;$AS$42&amp;"P"&amp;$A53)="N/A",0,RTD("tos.rtd",,BK$43,"."&amp;$A$43&amp;$AS$42&amp;"P"&amp;$A53)))</f>
        <v>#NUM!</v>
      </c>
      <c r="BL53" s="83" t="e">
        <f ca="1">IF($BP$1=1,DZ53,IF(RTD("tos.rtd",,BL$2,"."&amp;$A$43&amp;$AU$1&amp;"C"&amp;$A53)="N/A",0,RTD("tos.rtd",,BL$2,"."&amp;$A$43&amp;$AU$1&amp;"C"&amp;$A53)))</f>
        <v>#NUM!</v>
      </c>
      <c r="BM53" s="83" t="e">
        <f ca="1">IF($BP$1=1,EA53,-IF(RTD("tos.rtd",,BM$2,"."&amp;$A$43&amp;$AU$1&amp;"P"&amp;$A53)="N/A",0,RTD("tos.rtd",,BM$2,"."&amp;$A$43&amp;$AU$1&amp;"P"&amp;$A53)))</f>
        <v>#NUM!</v>
      </c>
      <c r="BN53" s="83" t="e">
        <f ca="1">IF($BP$1=1,EB53,IF(RTD("tos.rtd",,BN$2,"."&amp;$A$43&amp;$AW$1&amp;"C"&amp;$A53)="N/A",0,RTD("tos.rtd",,BN$2,"."&amp;$A$43&amp;$AW$1&amp;"C"&amp;$A53)))</f>
        <v>#NUM!</v>
      </c>
      <c r="BO53" s="83" t="e">
        <f ca="1">IF($BP$1=1,EC53,-IF(RTD("tos.rtd",,BO$2,"."&amp;$A$43&amp;$AW$1&amp;"P"&amp;$A53)="N/A",0,RTD("tos.rtd",,BO$2,"."&amp;$A$43&amp;$AW$1&amp;"P"&amp;$A53)))</f>
        <v>#NUM!</v>
      </c>
      <c r="BQ53" s="83" t="e">
        <f t="shared" ca="1" si="301"/>
        <v>#NUM!</v>
      </c>
      <c r="BR53" s="3" t="e">
        <f t="shared" ca="1" si="277"/>
        <v>#NUM!</v>
      </c>
      <c r="BS53" s="83" t="e">
        <f t="shared" ca="1" si="302"/>
        <v>#NUM!</v>
      </c>
      <c r="BT53" s="3" t="e">
        <f t="shared" ca="1" si="279"/>
        <v>#NUM!</v>
      </c>
      <c r="BU53" s="83" t="e">
        <f t="shared" ca="1" si="303"/>
        <v>#NUM!</v>
      </c>
      <c r="BV53" s="83"/>
      <c r="BX53" s="83" t="e">
        <f t="shared" ca="1" si="304"/>
        <v>#NUM!</v>
      </c>
      <c r="BY53" s="83" t="e">
        <f t="shared" ca="1" si="292"/>
        <v>#NUM!</v>
      </c>
      <c r="BZ53" s="83" t="e">
        <f t="shared" ca="1" si="305"/>
        <v>#NUM!</v>
      </c>
      <c r="CA53" s="83" t="e">
        <f t="shared" ca="1" si="292"/>
        <v>#NUM!</v>
      </c>
      <c r="CB53" s="83" t="e">
        <f t="shared" ca="1" si="306"/>
        <v>#NUM!</v>
      </c>
      <c r="CC53" s="83" t="e">
        <f t="shared" ca="1" si="292"/>
        <v>#NUM!</v>
      </c>
      <c r="CD53" s="83">
        <f>IF(RTD("tos.rtd",,CD$43,"."&amp;$A$43&amp;$AS$42&amp;"C"&amp;$A53)="N/A",0,RTD("tos.rtd",,CD$43,"."&amp;$A$43&amp;$AS$42&amp;"C"&amp;$A53))</f>
        <v>0.01</v>
      </c>
      <c r="CE53" s="83">
        <f>-IF(RTD("tos.rtd",,CE$43,"."&amp;$A$43&amp;$AS$42&amp;"P"&amp;$A53)="N/A",0,RTD("tos.rtd",,CE$43,"."&amp;$A$43&amp;$AS$42&amp;"P"&amp;$A53))</f>
        <v>0.66</v>
      </c>
      <c r="CF53" s="83">
        <f>IF(RTD("tos.rtd",,CF$2,"."&amp;$A$43&amp;$AU$1&amp;"C"&amp;$A53)="N/A",0,RTD("tos.rtd",,CF$2,"."&amp;$A$43&amp;$AU$1&amp;"C"&amp;$A53))</f>
        <v>0.01</v>
      </c>
      <c r="CG53" s="83">
        <f>-IF(RTD("tos.rtd",,CG$2,"."&amp;$A$43&amp;$AU$1&amp;"P"&amp;$A53)="N/A",0,RTD("tos.rtd",,CG$2,"."&amp;$A$43&amp;$AU$1&amp;"P"&amp;$A53))</f>
        <v>1</v>
      </c>
      <c r="CH53" s="83">
        <f>IF(RTD("tos.rtd",,CH$2,"."&amp;$A$43&amp;$AW$1&amp;"C"&amp;$A53)="N/A",0,RTD("tos.rtd",,CH$2,"."&amp;$A$43&amp;$AW$1&amp;"C"&amp;$A53))</f>
        <v>0.37</v>
      </c>
      <c r="CI53" s="83">
        <f>-IF(RTD("tos.rtd",,CI$2,"."&amp;$A$43&amp;$AW$1&amp;"P"&amp;$A53)="N/A",0,RTD("tos.rtd",,CI$2,"."&amp;$A$43&amp;$AW$1&amp;"P"&amp;$A53))</f>
        <v>0.64</v>
      </c>
      <c r="CK53" s="83">
        <f t="shared" si="307"/>
        <v>-2258.0000000000009</v>
      </c>
      <c r="CL53" s="83"/>
      <c r="CM53" s="83">
        <f t="shared" si="308"/>
        <v>-34084</v>
      </c>
      <c r="CN53" s="83"/>
      <c r="CO53" s="83">
        <f t="shared" si="309"/>
        <v>9573</v>
      </c>
      <c r="CP53" s="83">
        <f t="shared" si="310"/>
        <v>-26769</v>
      </c>
      <c r="CQ53" s="83">
        <f t="shared" si="311"/>
        <v>0</v>
      </c>
      <c r="CR53" s="83"/>
      <c r="CS53" s="83">
        <f t="shared" si="312"/>
        <v>35537</v>
      </c>
      <c r="CT53" s="83"/>
      <c r="CU53" s="83">
        <f t="shared" si="313"/>
        <v>777</v>
      </c>
      <c r="CV53" s="83"/>
      <c r="CW53" s="83" t="e">
        <f t="shared" ca="1" si="314"/>
        <v>#NUM!</v>
      </c>
      <c r="CY53" s="83" t="e">
        <f t="shared" ca="1" si="315"/>
        <v>#NUM!</v>
      </c>
      <c r="CZ53" s="70" t="e">
        <f t="shared" ca="1" si="293"/>
        <v>#NUM!</v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7.2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9.98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8.5</v>
      </c>
      <c r="DG53" s="86">
        <f t="shared" si="287"/>
        <v>6.0799999999999841</v>
      </c>
      <c r="DH53" s="83">
        <f t="shared" si="316"/>
        <v>-6075</v>
      </c>
      <c r="DI53" s="83">
        <f t="shared" si="317"/>
        <v>-167.7702702702702</v>
      </c>
      <c r="DJ53" s="83">
        <f t="shared" si="318"/>
        <v>-6075</v>
      </c>
      <c r="DK53" s="83">
        <f t="shared" si="255"/>
        <v>-191</v>
      </c>
      <c r="DL53" s="83">
        <f t="shared" si="256"/>
        <v>-6242.77027027027</v>
      </c>
      <c r="DM53" s="83">
        <f t="shared" si="257"/>
        <v>-6266</v>
      </c>
      <c r="DN53" s="64" t="str">
        <f t="shared" si="258"/>
        <v>UNKNOWN</v>
      </c>
      <c r="DO53" s="64" t="str">
        <f t="shared" si="259"/>
        <v>UNKNOWN</v>
      </c>
      <c r="DP53" s="83">
        <f t="shared" si="260"/>
        <v>-1268.6959459459456</v>
      </c>
      <c r="DQ53" s="83">
        <f t="shared" si="261"/>
        <v>-1435.95</v>
      </c>
      <c r="DR53" s="83" t="e">
        <f t="shared" ca="1" si="262"/>
        <v>#NUM!</v>
      </c>
      <c r="DS53" s="83">
        <f t="shared" si="263"/>
        <v>-186.81</v>
      </c>
      <c r="DT53" s="83">
        <f t="shared" si="288"/>
        <v>-6075</v>
      </c>
      <c r="DU53" s="83">
        <f t="shared" si="289"/>
        <v>191</v>
      </c>
      <c r="DV53" s="83">
        <f t="shared" si="264"/>
        <v>-539</v>
      </c>
      <c r="DW53" s="83">
        <f t="shared" si="265"/>
        <v>0</v>
      </c>
      <c r="DX53" s="83" t="e">
        <f t="shared" ca="1" si="319"/>
        <v>#NUM!</v>
      </c>
      <c r="DY53" s="83" t="e">
        <f t="shared" ca="1" si="320"/>
        <v>#NUM!</v>
      </c>
      <c r="DZ53" s="83" t="e">
        <f t="shared" ca="1" si="321"/>
        <v>#NUM!</v>
      </c>
      <c r="EA53" s="83" t="e">
        <f t="shared" ca="1" si="322"/>
        <v>#NUM!</v>
      </c>
      <c r="EB53" s="83" t="e">
        <f t="shared" ca="1" si="323"/>
        <v>#NUM!</v>
      </c>
      <c r="EC53" s="83" t="e">
        <f t="shared" ca="1" si="324"/>
        <v>#NUM!</v>
      </c>
      <c r="EE53" s="84">
        <f t="shared" si="325"/>
        <v>0.65769999999999995</v>
      </c>
      <c r="EF53" s="84">
        <f t="shared" si="326"/>
        <v>3.8483999999999998</v>
      </c>
      <c r="EG53" s="84">
        <f t="shared" si="327"/>
        <v>0.65769999999999995</v>
      </c>
      <c r="EH53" s="84">
        <f t="shared" si="328"/>
        <v>0.25</v>
      </c>
      <c r="EI53" s="84">
        <f t="shared" si="329"/>
        <v>0.28029999999999999</v>
      </c>
      <c r="EJ53" s="84">
        <f t="shared" si="330"/>
        <v>0.27589999999999998</v>
      </c>
      <c r="EL53" s="83" t="str">
        <f>RTD("tos.rtd",,EL$43,"."&amp;$A$43&amp;$AS$42&amp;"C"&amp;$A53)</f>
        <v>65.77%</v>
      </c>
      <c r="EM53" s="83" t="str">
        <f>RTD("tos.rtd",,EM$43,"."&amp;$A$43&amp;$AS$42&amp;"P"&amp;$A53)</f>
        <v>384.84%</v>
      </c>
      <c r="EN53" s="83" t="str">
        <f>RTD("tos.rtd",,EN$2,"."&amp;$A$43&amp;$AU$1&amp;"C"&amp;$A53)</f>
        <v>65.77%</v>
      </c>
      <c r="EO53" s="83" t="str">
        <f>RTD("tos.rtd",,EO$2,"."&amp;$A$43&amp;$AU$1&amp;"P"&amp;$A53)</f>
        <v>--</v>
      </c>
      <c r="EP53" s="83" t="str">
        <f>RTD("tos.rtd",,EP$2,"."&amp;$A$43&amp;$AW$1&amp;"C"&amp;$A53)</f>
        <v>28.03%</v>
      </c>
      <c r="EQ53" s="83" t="str">
        <f>RTD("tos.rtd",,EQ$2,"."&amp;$A$43&amp;$AW$1&amp;"P"&amp;$A53)</f>
        <v>27.59%</v>
      </c>
      <c r="ES53" s="63" t="str">
        <f t="shared" si="272"/>
        <v>494,-539.00</v>
      </c>
      <c r="ET53" s="64" t="str">
        <f t="shared" ca="1" si="273"/>
        <v>494,00.00</v>
      </c>
      <c r="EU53" s="68">
        <v>563.11</v>
      </c>
      <c r="EV53" s="68" t="s">
        <v>443</v>
      </c>
      <c r="EW53" s="68">
        <v>485.32</v>
      </c>
      <c r="EX53" s="68" t="s">
        <v>444</v>
      </c>
      <c r="EY53" s="68">
        <v>5644.75</v>
      </c>
      <c r="EZ53" s="68" t="s">
        <v>445</v>
      </c>
      <c r="FA53" s="68">
        <v>19939.75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90"/>
        <v>493</v>
      </c>
      <c r="B54" s="3">
        <f t="shared" si="295"/>
        <v>2362</v>
      </c>
      <c r="C54" s="3">
        <f t="shared" si="296"/>
        <v>6763</v>
      </c>
      <c r="D54" s="3">
        <f t="shared" si="297"/>
        <v>836</v>
      </c>
      <c r="E54" s="3">
        <f t="shared" si="298"/>
        <v>9961</v>
      </c>
      <c r="F54" s="4">
        <f t="shared" si="299"/>
        <v>20356.256148548942</v>
      </c>
      <c r="AM54" s="1">
        <v>795</v>
      </c>
      <c r="AN54" s="1">
        <v>-263</v>
      </c>
      <c r="AO54" s="1">
        <v>493</v>
      </c>
      <c r="AP54" s="1">
        <v>8046</v>
      </c>
      <c r="AQ54" s="1">
        <v>-767</v>
      </c>
      <c r="AS54" s="6">
        <f>IF(RTD("tos.rtd",,AS$43,"."&amp;$A$43&amp;$AS$42&amp;"C"&amp;$A54)="N/A",0,RTD("tos.rtd",,AS$43,"."&amp;$A$43&amp;$AS$42&amp;"C"&amp;$A54))</f>
        <v>2109</v>
      </c>
      <c r="AT54" s="7">
        <f>-IF(RTD("tos.rtd",,AT$43,"."&amp;$A$43&amp;$AS$42&amp;"P"&amp;$A54)="N/A",0,RTD("tos.rtd",,AT$43,"."&amp;$A$43&amp;$AS$42&amp;"P"&amp;$A54))</f>
        <v>-253</v>
      </c>
      <c r="AU54" s="6">
        <f>IF(RTD("tos.rtd",,AU$2,"."&amp;$A$43&amp;$AU$1&amp;"C"&amp;$A54)="N/A",0,RTD("tos.rtd",,AU$2,"."&amp;$A$43&amp;$AU$1&amp;"C"&amp;$A54))</f>
        <v>6093</v>
      </c>
      <c r="AV54" s="7">
        <f>-IF(RTD("tos.rtd",,AV$2,"."&amp;$A$43&amp;$AU$1&amp;"P"&amp;$A54)="N/A",0,RTD("tos.rtd",,AV$2,"."&amp;$A$43&amp;$AU$1&amp;"P"&amp;$A54))</f>
        <v>-670</v>
      </c>
      <c r="AW54" s="6">
        <f>IF(RTD("tos.rtd",,AW$2,"."&amp;$A$43&amp;$AW$1&amp;"C"&amp;$A54)="N/A",0,RTD("tos.rtd",,AW$2,"."&amp;$A$43&amp;$AW$1&amp;"C"&amp;$A54))</f>
        <v>728</v>
      </c>
      <c r="AX54" s="7">
        <f>-IF(RTD("tos.rtd",,AX$2,"."&amp;$A$43&amp;$AW$1&amp;"P"&amp;$A54)="N/A",0,RTD("tos.rtd",,AX$2,"."&amp;$A$43&amp;$AW$1&amp;"P"&amp;$A54))</f>
        <v>-108</v>
      </c>
      <c r="AY54" s="7">
        <f t="shared" si="300"/>
        <v>7899</v>
      </c>
      <c r="AZ54" s="8">
        <f t="shared" si="243"/>
        <v>493</v>
      </c>
      <c r="BA54" s="6">
        <f>IF(RTD("tos.rtd",,BA$43,"."&amp;$A$43&amp;$AS$42&amp;"C"&amp;$A54)="N/A",0,RTD("tos.rtd",,BA$43,"."&amp;$A$43&amp;$AS$42&amp;"C"&amp;$A54))</f>
        <v>0</v>
      </c>
      <c r="BB54" s="7">
        <f>-IF(RTD("tos.rtd",,BB$43,"."&amp;$A$43&amp;$AS$42&amp;"P"&amp;$A54)="N/A",0,RTD("tos.rtd",,BB$43,"."&amp;$A$43&amp;$AS$42&amp;"P"&amp;$A54))</f>
        <v>0</v>
      </c>
      <c r="BC54" s="6">
        <f>IF(RTD("tos.rtd",,BC$2,"."&amp;$A$43&amp;$AU$1&amp;"C"&amp;$A54)="N/A",0,RTD("tos.rtd",,BC$2,"."&amp;$A$43&amp;$AU$1&amp;"C"&amp;$A54))</f>
        <v>74644</v>
      </c>
      <c r="BD54" s="7">
        <f>-IF(RTD("tos.rtd",,BD$2,"."&amp;$A$43&amp;$AU$1&amp;"P"&amp;$A54)="N/A",0,RTD("tos.rtd",,BD$2,"."&amp;$A$43&amp;$AU$1&amp;"P"&amp;$A54))</f>
        <v>-3069</v>
      </c>
      <c r="BE54" s="6">
        <f>IF(RTD("tos.rtd",,BE$2,"."&amp;$A$43&amp;$AW$1&amp;"C"&amp;$A54)="N/A",0,RTD("tos.rtd",,BE$2,"."&amp;$A$43&amp;$AW$1&amp;"C"&amp;$A54))</f>
        <v>1576</v>
      </c>
      <c r="BF54" s="7">
        <f>-IF(RTD("tos.rtd",,BF$2,"."&amp;$A$43&amp;$AW$1&amp;"P"&amp;$A54)="N/A",0,RTD("tos.rtd",,BF$2,"."&amp;$A$43&amp;$AW$1&amp;"P"&amp;$A54))</f>
        <v>-285</v>
      </c>
      <c r="BG54" s="32">
        <f ca="1">+Hoja2!Y55</f>
        <v>377</v>
      </c>
      <c r="BH54" s="7">
        <f t="shared" ca="1" si="275"/>
        <v>73243</v>
      </c>
      <c r="BI54" s="8" t="str">
        <f t="shared" ca="1" si="291"/>
        <v/>
      </c>
      <c r="BJ54" s="83" t="e">
        <f ca="1">IF($BP$1=1,DX54,IF(RTD("tos.rtd",,BJ$43,"."&amp;$A$43&amp;$AS$42&amp;"C"&amp;$A54)="N/A",0,RTD("tos.rtd",,BJ$43,"."&amp;$A$43&amp;$AS$42&amp;"C"&amp;$A54)))</f>
        <v>#NUM!</v>
      </c>
      <c r="BK54" s="83" t="e">
        <f ca="1">IF($BP$1=1,DY54,-IF(RTD("tos.rtd",,BK$43,"."&amp;$A$43&amp;$AS$42&amp;"P"&amp;$A54)="N/A",0,RTD("tos.rtd",,BK$43,"."&amp;$A$43&amp;$AS$42&amp;"P"&amp;$A54)))</f>
        <v>#NUM!</v>
      </c>
      <c r="BL54" s="83" t="e">
        <f ca="1">IF($BP$1=1,DZ54,IF(RTD("tos.rtd",,BL$2,"."&amp;$A$43&amp;$AU$1&amp;"C"&amp;$A54)="N/A",0,RTD("tos.rtd",,BL$2,"."&amp;$A$43&amp;$AU$1&amp;"C"&amp;$A54)))</f>
        <v>#NUM!</v>
      </c>
      <c r="BM54" s="83" t="e">
        <f ca="1">IF($BP$1=1,EA54,-IF(RTD("tos.rtd",,BM$2,"."&amp;$A$43&amp;$AU$1&amp;"P"&amp;$A54)="N/A",0,RTD("tos.rtd",,BM$2,"."&amp;$A$43&amp;$AU$1&amp;"P"&amp;$A54)))</f>
        <v>#NUM!</v>
      </c>
      <c r="BN54" s="83" t="e">
        <f ca="1">IF($BP$1=1,EB54,IF(RTD("tos.rtd",,BN$2,"."&amp;$A$43&amp;$AW$1&amp;"C"&amp;$A54)="N/A",0,RTD("tos.rtd",,BN$2,"."&amp;$A$43&amp;$AW$1&amp;"C"&amp;$A54)))</f>
        <v>#NUM!</v>
      </c>
      <c r="BO54" s="83" t="e">
        <f ca="1">IF($BP$1=1,EC54,-IF(RTD("tos.rtd",,BO$2,"."&amp;$A$43&amp;$AW$1&amp;"P"&amp;$A54)="N/A",0,RTD("tos.rtd",,BO$2,"."&amp;$A$43&amp;$AW$1&amp;"P"&amp;$A54)))</f>
        <v>#NUM!</v>
      </c>
      <c r="BQ54" s="83" t="e">
        <f t="shared" ca="1" si="301"/>
        <v>#NUM!</v>
      </c>
      <c r="BR54" s="3" t="e">
        <f t="shared" ca="1" si="277"/>
        <v>#NUM!</v>
      </c>
      <c r="BS54" s="83" t="e">
        <f t="shared" ca="1" si="302"/>
        <v>#NUM!</v>
      </c>
      <c r="BT54" s="3" t="e">
        <f t="shared" ca="1" si="279"/>
        <v>#NUM!</v>
      </c>
      <c r="BU54" s="83" t="e">
        <f t="shared" ca="1" si="303"/>
        <v>#NUM!</v>
      </c>
      <c r="BV54" s="83"/>
      <c r="BX54" s="83" t="e">
        <f t="shared" ca="1" si="304"/>
        <v>#NUM!</v>
      </c>
      <c r="BY54" s="83" t="e">
        <f t="shared" ca="1" si="292"/>
        <v>#NUM!</v>
      </c>
      <c r="BZ54" s="83" t="e">
        <f t="shared" ca="1" si="305"/>
        <v>#NUM!</v>
      </c>
      <c r="CA54" s="83" t="e">
        <f t="shared" ca="1" si="292"/>
        <v>#NUM!</v>
      </c>
      <c r="CB54" s="83" t="e">
        <f t="shared" ca="1" si="306"/>
        <v>#NUM!</v>
      </c>
      <c r="CC54" s="83" t="e">
        <f t="shared" ca="1" si="292"/>
        <v>#NUM!</v>
      </c>
      <c r="CD54" s="83">
        <f>IF(RTD("tos.rtd",,CD$43,"."&amp;$A$43&amp;$AS$42&amp;"C"&amp;$A54)="N/A",0,RTD("tos.rtd",,CD$43,"."&amp;$A$43&amp;$AS$42&amp;"C"&amp;$A54))</f>
        <v>0.01</v>
      </c>
      <c r="CE54" s="83">
        <f>-IF(RTD("tos.rtd",,CE$43,"."&amp;$A$43&amp;$AS$42&amp;"P"&amp;$A54)="N/A",0,RTD("tos.rtd",,CE$43,"."&amp;$A$43&amp;$AS$42&amp;"P"&amp;$A54))</f>
        <v>0.64</v>
      </c>
      <c r="CF54" s="83">
        <f>IF(RTD("tos.rtd",,CF$2,"."&amp;$A$43&amp;$AU$1&amp;"C"&amp;$A54)="N/A",0,RTD("tos.rtd",,CF$2,"."&amp;$A$43&amp;$AU$1&amp;"C"&amp;$A54))</f>
        <v>0.01</v>
      </c>
      <c r="CG54" s="83">
        <f>-IF(RTD("tos.rtd",,CG$2,"."&amp;$A$43&amp;$AU$1&amp;"P"&amp;$A54)="N/A",0,RTD("tos.rtd",,CG$2,"."&amp;$A$43&amp;$AU$1&amp;"P"&amp;$A54))</f>
        <v>1</v>
      </c>
      <c r="CH54" s="83">
        <f>IF(RTD("tos.rtd",,CH$2,"."&amp;$A$43&amp;$AW$1&amp;"C"&amp;$A54)="N/A",0,RTD("tos.rtd",,CH$2,"."&amp;$A$43&amp;$AW$1&amp;"C"&amp;$A54))</f>
        <v>0.39</v>
      </c>
      <c r="CI54" s="83">
        <f>-IF(RTD("tos.rtd",,CI$2,"."&amp;$A$43&amp;$AW$1&amp;"P"&amp;$A54)="N/A",0,RTD("tos.rtd",,CI$2,"."&amp;$A$43&amp;$AW$1&amp;"P"&amp;$A54))</f>
        <v>0.61</v>
      </c>
      <c r="CK54" s="83">
        <f t="shared" si="307"/>
        <v>-14083.000000000002</v>
      </c>
      <c r="CL54" s="83"/>
      <c r="CM54" s="83">
        <f t="shared" si="308"/>
        <v>-60907</v>
      </c>
      <c r="CN54" s="83"/>
      <c r="CO54" s="83">
        <f t="shared" si="309"/>
        <v>21804</v>
      </c>
      <c r="CP54" s="83">
        <f t="shared" si="310"/>
        <v>-53186</v>
      </c>
      <c r="CQ54" s="83">
        <f t="shared" si="311"/>
        <v>0</v>
      </c>
      <c r="CR54" s="83"/>
      <c r="CS54" s="83">
        <f t="shared" si="312"/>
        <v>71575</v>
      </c>
      <c r="CT54" s="83"/>
      <c r="CU54" s="83">
        <f t="shared" si="313"/>
        <v>1291</v>
      </c>
      <c r="CV54" s="83"/>
      <c r="CW54" s="83" t="e">
        <f t="shared" ca="1" si="314"/>
        <v>#NUM!</v>
      </c>
      <c r="CY54" s="83" t="e">
        <f t="shared" ca="1" si="315"/>
        <v>#NUM!</v>
      </c>
      <c r="CZ54" s="70" t="e">
        <f t="shared" ca="1" si="293"/>
        <v>#NUM!</v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7.23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9.09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7.5</v>
      </c>
      <c r="DG54" s="86">
        <f t="shared" si="287"/>
        <v>5.0799999999999841</v>
      </c>
      <c r="DH54" s="83">
        <f t="shared" si="316"/>
        <v>-8046</v>
      </c>
      <c r="DI54" s="83">
        <f t="shared" si="317"/>
        <v>-130.24528301886772</v>
      </c>
      <c r="DJ54" s="83">
        <f t="shared" si="318"/>
        <v>-8046</v>
      </c>
      <c r="DK54" s="83">
        <f t="shared" si="255"/>
        <v>-767</v>
      </c>
      <c r="DL54" s="83">
        <f t="shared" si="256"/>
        <v>-8176.2452830188677</v>
      </c>
      <c r="DM54" s="83">
        <f t="shared" si="257"/>
        <v>-8813</v>
      </c>
      <c r="DN54" s="64" t="str">
        <f t="shared" si="258"/>
        <v>UNKNOWN</v>
      </c>
      <c r="DO54" s="64" t="str">
        <f t="shared" si="259"/>
        <v>UNKNOWN</v>
      </c>
      <c r="DP54" s="83">
        <f t="shared" si="260"/>
        <v>-1022.1333962264138</v>
      </c>
      <c r="DQ54" s="83">
        <f t="shared" si="261"/>
        <v>-5625.8700000000008</v>
      </c>
      <c r="DR54" s="83" t="e">
        <f t="shared" ca="1" si="262"/>
        <v>#NUM!</v>
      </c>
      <c r="DS54" s="83">
        <f t="shared" si="263"/>
        <v>-571.34</v>
      </c>
      <c r="DT54" s="83">
        <f t="shared" si="288"/>
        <v>-8046</v>
      </c>
      <c r="DU54" s="83">
        <f t="shared" si="289"/>
        <v>767</v>
      </c>
      <c r="DV54" s="83">
        <f t="shared" si="264"/>
        <v>795</v>
      </c>
      <c r="DW54" s="83">
        <f t="shared" si="265"/>
        <v>-263</v>
      </c>
      <c r="DX54" s="83" t="e">
        <f t="shared" ca="1" si="319"/>
        <v>#NUM!</v>
      </c>
      <c r="DY54" s="83" t="e">
        <f t="shared" ca="1" si="320"/>
        <v>#NUM!</v>
      </c>
      <c r="DZ54" s="83" t="e">
        <f t="shared" ca="1" si="321"/>
        <v>#NUM!</v>
      </c>
      <c r="EA54" s="83" t="e">
        <f t="shared" ca="1" si="322"/>
        <v>#NUM!</v>
      </c>
      <c r="EB54" s="83" t="e">
        <f t="shared" ca="1" si="323"/>
        <v>#NUM!</v>
      </c>
      <c r="EC54" s="83" t="e">
        <f t="shared" ca="1" si="324"/>
        <v>#NUM!</v>
      </c>
      <c r="EE54" s="84">
        <f t="shared" si="325"/>
        <v>0.56169999999999998</v>
      </c>
      <c r="EF54" s="84">
        <f t="shared" si="326"/>
        <v>3.6404000000000001</v>
      </c>
      <c r="EG54" s="84">
        <f t="shared" si="327"/>
        <v>0.56169999999999998</v>
      </c>
      <c r="EH54" s="84">
        <f t="shared" si="328"/>
        <v>0.25</v>
      </c>
      <c r="EI54" s="84">
        <f t="shared" si="329"/>
        <v>0.28189999999999998</v>
      </c>
      <c r="EJ54" s="84">
        <f t="shared" si="330"/>
        <v>0.27739999999999998</v>
      </c>
      <c r="EL54" s="83" t="str">
        <f>RTD("tos.rtd",,EL$43,"."&amp;$A$43&amp;$AS$42&amp;"C"&amp;$A54)</f>
        <v>56.17%</v>
      </c>
      <c r="EM54" s="83" t="str">
        <f>RTD("tos.rtd",,EM$43,"."&amp;$A$43&amp;$AS$42&amp;"P"&amp;$A54)</f>
        <v>364.04%</v>
      </c>
      <c r="EN54" s="83" t="str">
        <f>RTD("tos.rtd",,EN$2,"."&amp;$A$43&amp;$AU$1&amp;"C"&amp;$A54)</f>
        <v>56.17%</v>
      </c>
      <c r="EO54" s="83" t="str">
        <f>RTD("tos.rtd",,EO$2,"."&amp;$A$43&amp;$AU$1&amp;"P"&amp;$A54)</f>
        <v>--</v>
      </c>
      <c r="EP54" s="83" t="str">
        <f>RTD("tos.rtd",,EP$2,"."&amp;$A$43&amp;$AW$1&amp;"C"&amp;$A54)</f>
        <v>28.19%</v>
      </c>
      <c r="EQ54" s="83" t="str">
        <f>RTD("tos.rtd",,EQ$2,"."&amp;$A$43&amp;$AW$1&amp;"P"&amp;$A54)</f>
        <v>27.74%</v>
      </c>
      <c r="ES54" s="63" t="str">
        <f t="shared" si="272"/>
        <v>493,532.00</v>
      </c>
      <c r="ET54" s="64" t="str">
        <f t="shared" ca="1" si="273"/>
        <v>493,00.00</v>
      </c>
      <c r="EU54" s="68">
        <v>563.09</v>
      </c>
      <c r="EV54" s="68" t="s">
        <v>451</v>
      </c>
      <c r="EW54" s="68">
        <v>485.38</v>
      </c>
      <c r="EX54" s="68" t="s">
        <v>452</v>
      </c>
      <c r="EY54" s="68">
        <v>5644.5</v>
      </c>
      <c r="EZ54" s="68" t="s">
        <v>453</v>
      </c>
      <c r="FA54" s="68">
        <v>19940.25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90"/>
        <v>492</v>
      </c>
      <c r="B55" s="3">
        <f t="shared" ref="B55" si="331">+IF($A$1="ABS",AS55-AT55,AS55+AT55)</f>
        <v>3794</v>
      </c>
      <c r="C55" s="3">
        <f t="shared" ref="C55" si="332">+IF($A$1="ABS",AU55-AV55,AU55+AV55)</f>
        <v>7686</v>
      </c>
      <c r="D55" s="3">
        <f t="shared" ref="D55" si="333">+IF($A$1="ABS",AW55-AX55,AW55+AX55)</f>
        <v>1613</v>
      </c>
      <c r="E55" s="3">
        <f t="shared" ref="E55" si="334">SUM(B55:D55)</f>
        <v>13093</v>
      </c>
      <c r="F55" s="4">
        <f t="shared" ref="F55" si="335">+$F$44/$A$44*A55</f>
        <v>20314.965568125921</v>
      </c>
      <c r="AM55" s="1">
        <v>-762</v>
      </c>
      <c r="AN55" s="1">
        <v>448</v>
      </c>
      <c r="AO55" s="1">
        <v>492</v>
      </c>
      <c r="AP55" s="1">
        <v>18750</v>
      </c>
      <c r="AQ55" s="1">
        <v>-1227</v>
      </c>
      <c r="AS55" s="6">
        <f>IF(RTD("tos.rtd",,AS$43,"."&amp;$A$43&amp;$AS$42&amp;"C"&amp;$A55)="N/A",0,RTD("tos.rtd",,AS$43,"."&amp;$A$43&amp;$AS$42&amp;"C"&amp;$A55))</f>
        <v>3438</v>
      </c>
      <c r="AT55" s="7">
        <f>-IF(RTD("tos.rtd",,AT$43,"."&amp;$A$43&amp;$AS$42&amp;"P"&amp;$A55)="N/A",0,RTD("tos.rtd",,AT$43,"."&amp;$A$43&amp;$AS$42&amp;"P"&amp;$A55))</f>
        <v>-356</v>
      </c>
      <c r="AU55" s="6">
        <f>IF(RTD("tos.rtd",,AU$2,"."&amp;$A$43&amp;$AU$1&amp;"C"&amp;$A55)="N/A",0,RTD("tos.rtd",,AU$2,"."&amp;$A$43&amp;$AU$1&amp;"C"&amp;$A55))</f>
        <v>5394</v>
      </c>
      <c r="AV55" s="7">
        <f>-IF(RTD("tos.rtd",,AV$2,"."&amp;$A$43&amp;$AU$1&amp;"P"&amp;$A55)="N/A",0,RTD("tos.rtd",,AV$2,"."&amp;$A$43&amp;$AU$1&amp;"P"&amp;$A55))</f>
        <v>-2292</v>
      </c>
      <c r="AW55" s="6">
        <f>IF(RTD("tos.rtd",,AW$2,"."&amp;$A$43&amp;$AW$1&amp;"C"&amp;$A55)="N/A",0,RTD("tos.rtd",,AW$2,"."&amp;$A$43&amp;$AW$1&amp;"C"&amp;$A55))</f>
        <v>1025</v>
      </c>
      <c r="AX55" s="7">
        <f>-IF(RTD("tos.rtd",,AX$2,"."&amp;$A$43&amp;$AW$1&amp;"P"&amp;$A55)="N/A",0,RTD("tos.rtd",,AX$2,"."&amp;$A$43&amp;$AW$1&amp;"P"&amp;$A55))</f>
        <v>-588</v>
      </c>
      <c r="AY55" s="7">
        <f t="shared" ref="AY55" si="336">SUM(AS55:AX55)</f>
        <v>6621</v>
      </c>
      <c r="AZ55" s="8">
        <f t="shared" si="243"/>
        <v>492</v>
      </c>
      <c r="BA55" s="6">
        <f>IF(RTD("tos.rtd",,BA$43,"."&amp;$A$43&amp;$AS$42&amp;"C"&amp;$A55)="N/A",0,RTD("tos.rtd",,BA$43,"."&amp;$A$43&amp;$AS$42&amp;"C"&amp;$A55))</f>
        <v>0</v>
      </c>
      <c r="BB55" s="7">
        <f>-IF(RTD("tos.rtd",,BB$43,"."&amp;$A$43&amp;$AS$42&amp;"P"&amp;$A55)="N/A",0,RTD("tos.rtd",,BB$43,"."&amp;$A$43&amp;$AS$42&amp;"P"&amp;$A55))</f>
        <v>0</v>
      </c>
      <c r="BC55" s="6">
        <f>IF(RTD("tos.rtd",,BC$2,"."&amp;$A$43&amp;$AU$1&amp;"C"&amp;$A55)="N/A",0,RTD("tos.rtd",,BC$2,"."&amp;$A$43&amp;$AU$1&amp;"C"&amp;$A55))</f>
        <v>97017</v>
      </c>
      <c r="BD55" s="7">
        <f>-IF(RTD("tos.rtd",,BD$2,"."&amp;$A$43&amp;$AU$1&amp;"P"&amp;$A55)="N/A",0,RTD("tos.rtd",,BD$2,"."&amp;$A$43&amp;$AU$1&amp;"P"&amp;$A55))</f>
        <v>-11255</v>
      </c>
      <c r="BE55" s="6">
        <f>IF(RTD("tos.rtd",,BE$2,"."&amp;$A$43&amp;$AW$1&amp;"C"&amp;$A55)="N/A",0,RTD("tos.rtd",,BE$2,"."&amp;$A$43&amp;$AW$1&amp;"C"&amp;$A55))</f>
        <v>2465</v>
      </c>
      <c r="BF55" s="7">
        <f>-IF(RTD("tos.rtd",,BF$2,"."&amp;$A$43&amp;$AW$1&amp;"P"&amp;$A55)="N/A",0,RTD("tos.rtd",,BF$2,"."&amp;$A$43&amp;$AW$1&amp;"P"&amp;$A55))</f>
        <v>-521</v>
      </c>
      <c r="BG55" s="32">
        <f ca="1">+Hoja2!Y56</f>
        <v>523</v>
      </c>
      <c r="BH55" s="7">
        <f t="shared" ca="1" si="275"/>
        <v>88229</v>
      </c>
      <c r="BI55" s="8" t="str">
        <f t="shared" ca="1" si="291"/>
        <v/>
      </c>
      <c r="BJ55" s="83" t="e">
        <f ca="1">IF($BP$1=1,DX55,IF(RTD("tos.rtd",,BJ$43,"."&amp;$A$43&amp;$AS$42&amp;"C"&amp;$A55)="N/A",0,RTD("tos.rtd",,BJ$43,"."&amp;$A$43&amp;$AS$42&amp;"C"&amp;$A55)))</f>
        <v>#NUM!</v>
      </c>
      <c r="BK55" s="83" t="e">
        <f ca="1">IF($BP$1=1,DY55,-IF(RTD("tos.rtd",,BK$43,"."&amp;$A$43&amp;$AS$42&amp;"P"&amp;$A55)="N/A",0,RTD("tos.rtd",,BK$43,"."&amp;$A$43&amp;$AS$42&amp;"P"&amp;$A55)))</f>
        <v>#NUM!</v>
      </c>
      <c r="BL55" s="83" t="e">
        <f ca="1">IF($BP$1=1,DZ55,IF(RTD("tos.rtd",,BL$2,"."&amp;$A$43&amp;$AU$1&amp;"C"&amp;$A55)="N/A",0,RTD("tos.rtd",,BL$2,"."&amp;$A$43&amp;$AU$1&amp;"C"&amp;$A55)))</f>
        <v>#NUM!</v>
      </c>
      <c r="BM55" s="83" t="e">
        <f ca="1">IF($BP$1=1,EA55,-IF(RTD("tos.rtd",,BM$2,"."&amp;$A$43&amp;$AU$1&amp;"P"&amp;$A55)="N/A",0,RTD("tos.rtd",,BM$2,"."&amp;$A$43&amp;$AU$1&amp;"P"&amp;$A55)))</f>
        <v>#NUM!</v>
      </c>
      <c r="BN55" s="83" t="e">
        <f ca="1">IF($BP$1=1,EB55,IF(RTD("tos.rtd",,BN$2,"."&amp;$A$43&amp;$AW$1&amp;"C"&amp;$A55)="N/A",0,RTD("tos.rtd",,BN$2,"."&amp;$A$43&amp;$AW$1&amp;"C"&amp;$A55)))</f>
        <v>#NUM!</v>
      </c>
      <c r="BO55" s="83" t="e">
        <f ca="1">IF($BP$1=1,EC55,-IF(RTD("tos.rtd",,BO$2,"."&amp;$A$43&amp;$AW$1&amp;"P"&amp;$A55)="N/A",0,RTD("tos.rtd",,BO$2,"."&amp;$A$43&amp;$AW$1&amp;"P"&amp;$A55)))</f>
        <v>#NUM!</v>
      </c>
      <c r="BQ55" s="83" t="e">
        <f t="shared" ref="BQ55" ca="1" si="337">+$A$44*$A$44*AS55*BJ55-$A$44*$A$44*AT55*BK55</f>
        <v>#NUM!</v>
      </c>
      <c r="BR55" s="3" t="e">
        <f t="shared" ca="1" si="277"/>
        <v>#NUM!</v>
      </c>
      <c r="BS55" s="83" t="e">
        <f t="shared" ref="BS55" ca="1" si="338">+$A$44*$A$44*AU55*BL55-$A$44*$A$44*AV55*BM55</f>
        <v>#NUM!</v>
      </c>
      <c r="BT55" s="3" t="e">
        <f t="shared" ca="1" si="279"/>
        <v>#NUM!</v>
      </c>
      <c r="BU55" s="83" t="e">
        <f t="shared" ref="BU55" ca="1" si="339">+$A$44*$A$44*AW55*BN55-$A$44*$A$44*AX55*BO55</f>
        <v>#NUM!</v>
      </c>
      <c r="BV55" s="83"/>
      <c r="BX55" s="83" t="e">
        <f t="shared" ref="BX55" ca="1" si="340">+$A$44*$A$44*BA55*BJ55-$A$44*$A$44*BB55*BK55</f>
        <v>#NUM!</v>
      </c>
      <c r="BY55" s="83" t="e">
        <f t="shared" ca="1" si="292"/>
        <v>#NUM!</v>
      </c>
      <c r="BZ55" s="83" t="e">
        <f t="shared" ref="BZ55" ca="1" si="341">+$A$44*$A$44*BC55*BL55-$A$44*$A$44*BD55*BM55</f>
        <v>#NUM!</v>
      </c>
      <c r="CA55" s="83" t="e">
        <f t="shared" ca="1" si="292"/>
        <v>#NUM!</v>
      </c>
      <c r="CB55" s="83" t="e">
        <f t="shared" ref="CB55" ca="1" si="342">+$A$44*$A$44*BE55*BN55-$A$44*$A$44*BF55*BO55</f>
        <v>#NUM!</v>
      </c>
      <c r="CC55" s="83" t="e">
        <f t="shared" ca="1" si="292"/>
        <v>#NUM!</v>
      </c>
      <c r="CD55" s="83">
        <f>IF(RTD("tos.rtd",,CD$43,"."&amp;$A$43&amp;$AS$42&amp;"C"&amp;$A55)="N/A",0,RTD("tos.rtd",,CD$43,"."&amp;$A$43&amp;$AS$42&amp;"C"&amp;$A55))</f>
        <v>0.01</v>
      </c>
      <c r="CE55" s="83">
        <f>-IF(RTD("tos.rtd",,CE$43,"."&amp;$A$43&amp;$AS$42&amp;"P"&amp;$A55)="N/A",0,RTD("tos.rtd",,CE$43,"."&amp;$A$43&amp;$AS$42&amp;"P"&amp;$A55))</f>
        <v>0.62</v>
      </c>
      <c r="CF55" s="83">
        <f>IF(RTD("tos.rtd",,CF$2,"."&amp;$A$43&amp;$AU$1&amp;"C"&amp;$A55)="N/A",0,RTD("tos.rtd",,CF$2,"."&amp;$A$43&amp;$AU$1&amp;"C"&amp;$A55))</f>
        <v>0.01</v>
      </c>
      <c r="CG55" s="83">
        <f>-IF(RTD("tos.rtd",,CG$2,"."&amp;$A$43&amp;$AU$1&amp;"P"&amp;$A55)="N/A",0,RTD("tos.rtd",,CG$2,"."&amp;$A$43&amp;$AU$1&amp;"P"&amp;$A55))</f>
        <v>1</v>
      </c>
      <c r="CH55" s="83">
        <f>IF(RTD("tos.rtd",,CH$2,"."&amp;$A$43&amp;$AW$1&amp;"C"&amp;$A55)="N/A",0,RTD("tos.rtd",,CH$2,"."&amp;$A$43&amp;$AW$1&amp;"C"&amp;$A55))</f>
        <v>0.41</v>
      </c>
      <c r="CI55" s="83">
        <f>-IF(RTD("tos.rtd",,CI$2,"."&amp;$A$43&amp;$AW$1&amp;"P"&amp;$A55)="N/A",0,RTD("tos.rtd",,CI$2,"."&amp;$A$43&amp;$AW$1&amp;"P"&amp;$A55))</f>
        <v>0.59</v>
      </c>
      <c r="CK55" s="83">
        <f t="shared" ref="CK55" si="343">+AS55*CD55*100+AT55*CE55*100</f>
        <v>-18634</v>
      </c>
      <c r="CL55" s="83"/>
      <c r="CM55" s="83">
        <f t="shared" ref="CM55" si="344">+AU55*CF55*100+AV55*CG55*100</f>
        <v>-223806</v>
      </c>
      <c r="CN55" s="83"/>
      <c r="CO55" s="83">
        <f t="shared" ref="CO55" si="345">+AW55*CH55*100+AX55*CI55*100</f>
        <v>7333.0000000000073</v>
      </c>
      <c r="CP55" s="83">
        <f t="shared" ref="CP55" si="346">+CK55+CM55+CO55</f>
        <v>-235107</v>
      </c>
      <c r="CQ55" s="83">
        <f t="shared" ref="CQ55" si="347">+BA55+BB55</f>
        <v>0</v>
      </c>
      <c r="CR55" s="83"/>
      <c r="CS55" s="83">
        <f t="shared" ref="CS55" si="348">+BC55+BD55</f>
        <v>85762</v>
      </c>
      <c r="CT55" s="83"/>
      <c r="CU55" s="83">
        <f t="shared" ref="CU55" si="349">+BE55+BF55</f>
        <v>1944</v>
      </c>
      <c r="CV55" s="83"/>
      <c r="CW55" s="83" t="e">
        <f t="shared" ref="CW55" ca="1" si="350">+BQ55+BS55+BU55</f>
        <v>#NUM!</v>
      </c>
      <c r="CY55" s="83" t="e">
        <f t="shared" ref="CY55" ca="1" si="351">+BX55+BZ55+CB55</f>
        <v>#NUM!</v>
      </c>
      <c r="CZ55" s="70" t="e">
        <f t="shared" ca="1" si="293"/>
        <v>#NUM!</v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6.15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7.98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6.5</v>
      </c>
      <c r="DG55" s="86">
        <f t="shared" si="287"/>
        <v>4.0799999999999841</v>
      </c>
      <c r="DH55" s="83">
        <f t="shared" ref="DH55" si="352">((DA55-DE55)/(DC55-DE55))*(BA55-AP55)</f>
        <v>-18750</v>
      </c>
      <c r="DI55" s="83">
        <f t="shared" ref="DI55" si="353">((DB55-DF55)/(DD55-DF55))*(BB55-AQ55)</f>
        <v>-290.16891891891856</v>
      </c>
      <c r="DJ55" s="83">
        <f t="shared" ref="DJ55" si="354">IF(DA55&gt;=(DE55+(DC55-DE55)*0.6),(BA55-AP55),IF(DA55&lt;=(DE55+(DC55-DE55)*0.4),-(BA55-AP55),0))</f>
        <v>-18750</v>
      </c>
      <c r="DK55" s="83">
        <f t="shared" si="255"/>
        <v>-1227</v>
      </c>
      <c r="DL55" s="83">
        <f t="shared" si="256"/>
        <v>-19040.16891891892</v>
      </c>
      <c r="DM55" s="83">
        <f t="shared" si="257"/>
        <v>-19977</v>
      </c>
      <c r="DN55" s="64" t="str">
        <f t="shared" si="258"/>
        <v>UNKNOWN</v>
      </c>
      <c r="DO55" s="64" t="str">
        <f t="shared" si="259"/>
        <v>UNKNOWN</v>
      </c>
      <c r="DP55" s="83">
        <f t="shared" si="260"/>
        <v>-1972.0388513513492</v>
      </c>
      <c r="DQ55" s="83">
        <f t="shared" si="261"/>
        <v>-7733.55</v>
      </c>
      <c r="DR55" s="83" t="e">
        <f t="shared" ca="1" si="262"/>
        <v>#NUM!</v>
      </c>
      <c r="DS55" s="83">
        <f t="shared" si="263"/>
        <v>-948.24</v>
      </c>
      <c r="DT55" s="83">
        <f t="shared" si="288"/>
        <v>-18750</v>
      </c>
      <c r="DU55" s="83">
        <f t="shared" si="289"/>
        <v>1227</v>
      </c>
      <c r="DV55" s="83">
        <f t="shared" si="264"/>
        <v>-762</v>
      </c>
      <c r="DW55" s="83">
        <f t="shared" si="265"/>
        <v>448</v>
      </c>
      <c r="DX55" s="83" t="e">
        <f t="shared" ca="1" si="319"/>
        <v>#NUM!</v>
      </c>
      <c r="DY55" s="83" t="e">
        <f t="shared" ca="1" si="320"/>
        <v>#NUM!</v>
      </c>
      <c r="DZ55" s="83" t="e">
        <f t="shared" ca="1" si="321"/>
        <v>#NUM!</v>
      </c>
      <c r="EA55" s="83" t="e">
        <f t="shared" ca="1" si="322"/>
        <v>#NUM!</v>
      </c>
      <c r="EB55" s="83" t="e">
        <f t="shared" ca="1" si="323"/>
        <v>#NUM!</v>
      </c>
      <c r="EC55" s="83" t="e">
        <f t="shared" ca="1" si="324"/>
        <v>#NUM!</v>
      </c>
      <c r="EE55" s="84">
        <f t="shared" ref="EE55" si="355">IFERROR(VALUE(IF(OR(EL55="--",EL55="0.00%"),$EE$1,EL55)),$EE$1)</f>
        <v>0.4637</v>
      </c>
      <c r="EF55" s="84">
        <f t="shared" ref="EF55" si="356">IFERROR(VALUE(IF(OR(EM55="--",EM55="0.00%"),$EE$1,EM55)),$EE$1)</f>
        <v>3.3433000000000002</v>
      </c>
      <c r="EG55" s="84">
        <f t="shared" ref="EG55" si="357">IFERROR(VALUE(IF(OR(EN55="--",EN55="0.00%"),$EE$1,EN55)),$EE$1)</f>
        <v>0.4637</v>
      </c>
      <c r="EH55" s="84">
        <f t="shared" ref="EH55" si="358">IFERROR(VALUE(IF(OR(EO55="--",EO55="0.00%"),$EE$1,EO55)),$EE$1)</f>
        <v>0.25</v>
      </c>
      <c r="EI55" s="84">
        <f t="shared" ref="EI55" si="359">IFERROR(VALUE(IF(OR(EP55="--",EP55="0.00%"),$EE$1,EP55)),$EE$1)</f>
        <v>0.2833</v>
      </c>
      <c r="EJ55" s="84">
        <f t="shared" ref="EJ55" si="360">IFERROR(VALUE(IF(OR(EQ55="--",EQ55="0.00%"),$EE$1,EQ55)),$EE$1)</f>
        <v>0.2792</v>
      </c>
      <c r="EL55" s="83" t="str">
        <f>RTD("tos.rtd",,EL$43,"."&amp;$A$43&amp;$AS$42&amp;"C"&amp;$A55)</f>
        <v>46.37%</v>
      </c>
      <c r="EM55" s="83" t="str">
        <f>RTD("tos.rtd",,EM$43,"."&amp;$A$43&amp;$AS$42&amp;"P"&amp;$A55)</f>
        <v>334.33%</v>
      </c>
      <c r="EN55" s="83" t="str">
        <f>RTD("tos.rtd",,EN$2,"."&amp;$A$43&amp;$AU$1&amp;"C"&amp;$A55)</f>
        <v>46.37%</v>
      </c>
      <c r="EO55" s="83" t="str">
        <f>RTD("tos.rtd",,EO$2,"."&amp;$A$43&amp;$AU$1&amp;"P"&amp;$A55)</f>
        <v>--</v>
      </c>
      <c r="EP55" s="83" t="str">
        <f>RTD("tos.rtd",,EP$2,"."&amp;$A$43&amp;$AW$1&amp;"C"&amp;$A55)</f>
        <v>28.33%</v>
      </c>
      <c r="EQ55" s="83" t="str">
        <f>RTD("tos.rtd",,EQ$2,"."&amp;$A$43&amp;$AW$1&amp;"P"&amp;$A55)</f>
        <v>27.92%</v>
      </c>
      <c r="ES55" s="63" t="str">
        <f t="shared" si="272"/>
        <v>492,-314.00</v>
      </c>
      <c r="ET55" s="64" t="str">
        <f t="shared" ca="1" si="273"/>
        <v>492,00.00</v>
      </c>
      <c r="EU55" s="68">
        <v>563.09</v>
      </c>
      <c r="EV55" s="68" t="s">
        <v>459</v>
      </c>
      <c r="EW55" s="68">
        <v>485.39</v>
      </c>
      <c r="EX55" s="68" t="s">
        <v>460</v>
      </c>
      <c r="EY55" s="68">
        <v>5644.75</v>
      </c>
      <c r="EZ55" s="68" t="s">
        <v>461</v>
      </c>
      <c r="FA55" s="68">
        <v>19940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90"/>
        <v>491</v>
      </c>
      <c r="B56" s="3">
        <f t="shared" si="295"/>
        <v>3848</v>
      </c>
      <c r="C56" s="3">
        <f t="shared" si="296"/>
        <v>6500</v>
      </c>
      <c r="D56" s="3">
        <f t="shared" si="297"/>
        <v>1086</v>
      </c>
      <c r="E56" s="3">
        <f t="shared" si="298"/>
        <v>11434</v>
      </c>
      <c r="F56" s="4">
        <f t="shared" si="299"/>
        <v>20273.674987702903</v>
      </c>
      <c r="AM56" s="1">
        <v>-2323</v>
      </c>
      <c r="AN56" s="1">
        <v>-259</v>
      </c>
      <c r="AO56" s="1">
        <v>491</v>
      </c>
      <c r="AP56" s="1">
        <v>35707</v>
      </c>
      <c r="AQ56" s="1">
        <v>-4303</v>
      </c>
      <c r="AS56" s="6">
        <f>IF(RTD("tos.rtd",,AS$43,"."&amp;$A$43&amp;$AS$42&amp;"C"&amp;$A56)="N/A",0,RTD("tos.rtd",,AS$43,"."&amp;$A$43&amp;$AS$42&amp;"C"&amp;$A56))</f>
        <v>3038</v>
      </c>
      <c r="AT56" s="7">
        <f>-IF(RTD("tos.rtd",,AT$43,"."&amp;$A$43&amp;$AS$42&amp;"P"&amp;$A56)="N/A",0,RTD("tos.rtd",,AT$43,"."&amp;$A$43&amp;$AS$42&amp;"P"&amp;$A56))</f>
        <v>-810</v>
      </c>
      <c r="AU56" s="6">
        <f>IF(RTD("tos.rtd",,AU$2,"."&amp;$A$43&amp;$AU$1&amp;"C"&amp;$A56)="N/A",0,RTD("tos.rtd",,AU$2,"."&amp;$A$43&amp;$AU$1&amp;"C"&amp;$A56))</f>
        <v>4571</v>
      </c>
      <c r="AV56" s="7">
        <f>-IF(RTD("tos.rtd",,AV$2,"."&amp;$A$43&amp;$AU$1&amp;"P"&amp;$A56)="N/A",0,RTD("tos.rtd",,AV$2,"."&amp;$A$43&amp;$AU$1&amp;"P"&amp;$A56))</f>
        <v>-1929</v>
      </c>
      <c r="AW56" s="6">
        <f>IF(RTD("tos.rtd",,AW$2,"."&amp;$A$43&amp;$AW$1&amp;"C"&amp;$A56)="N/A",0,RTD("tos.rtd",,AW$2,"."&amp;$A$43&amp;$AW$1&amp;"C"&amp;$A56))</f>
        <v>787</v>
      </c>
      <c r="AX56" s="7">
        <f>-IF(RTD("tos.rtd",,AX$2,"."&amp;$A$43&amp;$AW$1&amp;"P"&amp;$A56)="N/A",0,RTD("tos.rtd",,AX$2,"."&amp;$A$43&amp;$AW$1&amp;"P"&amp;$A56))</f>
        <v>-299</v>
      </c>
      <c r="AY56" s="7">
        <f t="shared" si="300"/>
        <v>5358</v>
      </c>
      <c r="AZ56" s="8">
        <f t="shared" si="243"/>
        <v>491</v>
      </c>
      <c r="BA56" s="6">
        <f>IF(RTD("tos.rtd",,BA$43,"."&amp;$A$43&amp;$AS$42&amp;"C"&amp;$A56)="N/A",0,RTD("tos.rtd",,BA$43,"."&amp;$A$43&amp;$AS$42&amp;"C"&amp;$A56))</f>
        <v>0</v>
      </c>
      <c r="BB56" s="7">
        <f>-IF(RTD("tos.rtd",,BB$43,"."&amp;$A$43&amp;$AS$42&amp;"P"&amp;$A56)="N/A",0,RTD("tos.rtd",,BB$43,"."&amp;$A$43&amp;$AS$42&amp;"P"&amp;$A56))</f>
        <v>0</v>
      </c>
      <c r="BC56" s="6">
        <f>IF(RTD("tos.rtd",,BC$2,"."&amp;$A$43&amp;$AU$1&amp;"C"&amp;$A56)="N/A",0,RTD("tos.rtd",,BC$2,"."&amp;$A$43&amp;$AU$1&amp;"C"&amp;$A56))</f>
        <v>125611</v>
      </c>
      <c r="BD56" s="7">
        <f>-IF(RTD("tos.rtd",,BD$2,"."&amp;$A$43&amp;$AU$1&amp;"P"&amp;$A56)="N/A",0,RTD("tos.rtd",,BD$2,"."&amp;$A$43&amp;$AU$1&amp;"P"&amp;$A56))</f>
        <v>-28296</v>
      </c>
      <c r="BE56" s="6">
        <f>IF(RTD("tos.rtd",,BE$2,"."&amp;$A$43&amp;$AW$1&amp;"C"&amp;$A56)="N/A",0,RTD("tos.rtd",,BE$2,"."&amp;$A$43&amp;$AW$1&amp;"C"&amp;$A56))</f>
        <v>2095</v>
      </c>
      <c r="BF56" s="7">
        <f>-IF(RTD("tos.rtd",,BF$2,"."&amp;$A$43&amp;$AW$1&amp;"P"&amp;$A56)="N/A",0,RTD("tos.rtd",,BF$2,"."&amp;$A$43&amp;$AW$1&amp;"P"&amp;$A56))</f>
        <v>-1071</v>
      </c>
      <c r="BG56" s="32">
        <f ca="1">+Hoja2!Y57</f>
        <v>1030</v>
      </c>
      <c r="BH56" s="7">
        <f t="shared" ca="1" si="275"/>
        <v>99369</v>
      </c>
      <c r="BI56" s="8" t="str">
        <f t="shared" ca="1" si="291"/>
        <v/>
      </c>
      <c r="BJ56" s="83" t="e">
        <f ca="1">IF($BP$1=1,DX56,IF(RTD("tos.rtd",,BJ$43,"."&amp;$A$43&amp;$AS$42&amp;"C"&amp;$A56)="N/A",0,RTD("tos.rtd",,BJ$43,"."&amp;$A$43&amp;$AS$42&amp;"C"&amp;$A56)))</f>
        <v>#NUM!</v>
      </c>
      <c r="BK56" s="83" t="e">
        <f ca="1">IF($BP$1=1,DY56,-IF(RTD("tos.rtd",,BK$43,"."&amp;$A$43&amp;$AS$42&amp;"P"&amp;$A56)="N/A",0,RTD("tos.rtd",,BK$43,"."&amp;$A$43&amp;$AS$42&amp;"P"&amp;$A56)))</f>
        <v>#NUM!</v>
      </c>
      <c r="BL56" s="83" t="e">
        <f ca="1">IF($BP$1=1,DZ56,IF(RTD("tos.rtd",,BL$2,"."&amp;$A$43&amp;$AU$1&amp;"C"&amp;$A56)="N/A",0,RTD("tos.rtd",,BL$2,"."&amp;$A$43&amp;$AU$1&amp;"C"&amp;$A56)))</f>
        <v>#NUM!</v>
      </c>
      <c r="BM56" s="83" t="e">
        <f ca="1">IF($BP$1=1,EA56,-IF(RTD("tos.rtd",,BM$2,"."&amp;$A$43&amp;$AU$1&amp;"P"&amp;$A56)="N/A",0,RTD("tos.rtd",,BM$2,"."&amp;$A$43&amp;$AU$1&amp;"P"&amp;$A56)))</f>
        <v>#NUM!</v>
      </c>
      <c r="BN56" s="83" t="e">
        <f ca="1">IF($BP$1=1,EB56,IF(RTD("tos.rtd",,BN$2,"."&amp;$A$43&amp;$AW$1&amp;"C"&amp;$A56)="N/A",0,RTD("tos.rtd",,BN$2,"."&amp;$A$43&amp;$AW$1&amp;"C"&amp;$A56)))</f>
        <v>#NUM!</v>
      </c>
      <c r="BO56" s="83" t="e">
        <f ca="1">IF($BP$1=1,EC56,-IF(RTD("tos.rtd",,BO$2,"."&amp;$A$43&amp;$AW$1&amp;"P"&amp;$A56)="N/A",0,RTD("tos.rtd",,BO$2,"."&amp;$A$43&amp;$AW$1&amp;"P"&amp;$A56)))</f>
        <v>#NUM!</v>
      </c>
      <c r="BQ56" s="83" t="e">
        <f t="shared" ca="1" si="301"/>
        <v>#NUM!</v>
      </c>
      <c r="BR56" s="3" t="e">
        <f t="shared" ca="1" si="277"/>
        <v>#NUM!</v>
      </c>
      <c r="BS56" s="83" t="e">
        <f t="shared" ca="1" si="302"/>
        <v>#NUM!</v>
      </c>
      <c r="BT56" s="3" t="e">
        <f t="shared" ca="1" si="279"/>
        <v>#NUM!</v>
      </c>
      <c r="BU56" s="83" t="e">
        <f t="shared" ca="1" si="303"/>
        <v>#NUM!</v>
      </c>
      <c r="BV56" s="83"/>
      <c r="BX56" s="83" t="e">
        <f t="shared" ca="1" si="304"/>
        <v>#NUM!</v>
      </c>
      <c r="BY56" s="83" t="e">
        <f t="shared" ca="1" si="292"/>
        <v>#NUM!</v>
      </c>
      <c r="BZ56" s="83" t="e">
        <f t="shared" ca="1" si="305"/>
        <v>#NUM!</v>
      </c>
      <c r="CA56" s="83" t="e">
        <f t="shared" ca="1" si="292"/>
        <v>#NUM!</v>
      </c>
      <c r="CB56" s="83" t="e">
        <f t="shared" ca="1" si="306"/>
        <v>#NUM!</v>
      </c>
      <c r="CC56" s="83" t="e">
        <f t="shared" ca="1" si="292"/>
        <v>#NUM!</v>
      </c>
      <c r="CD56" s="83">
        <f>IF(RTD("tos.rtd",,CD$43,"."&amp;$A$43&amp;$AS$42&amp;"C"&amp;$A56)="N/A",0,RTD("tos.rtd",,CD$43,"."&amp;$A$43&amp;$AS$42&amp;"C"&amp;$A56))</f>
        <v>0.01</v>
      </c>
      <c r="CE56" s="83">
        <f>-IF(RTD("tos.rtd",,CE$43,"."&amp;$A$43&amp;$AS$42&amp;"P"&amp;$A56)="N/A",0,RTD("tos.rtd",,CE$43,"."&amp;$A$43&amp;$AS$42&amp;"P"&amp;$A56))</f>
        <v>0.6</v>
      </c>
      <c r="CF56" s="83">
        <f>IF(RTD("tos.rtd",,CF$2,"."&amp;$A$43&amp;$AU$1&amp;"C"&amp;$A56)="N/A",0,RTD("tos.rtd",,CF$2,"."&amp;$A$43&amp;$AU$1&amp;"C"&amp;$A56))</f>
        <v>0.01</v>
      </c>
      <c r="CG56" s="83">
        <f>-IF(RTD("tos.rtd",,CG$2,"."&amp;$A$43&amp;$AU$1&amp;"P"&amp;$A56)="N/A",0,RTD("tos.rtd",,CG$2,"."&amp;$A$43&amp;$AU$1&amp;"P"&amp;$A56))</f>
        <v>0.92</v>
      </c>
      <c r="CH56" s="83">
        <f>IF(RTD("tos.rtd",,CH$2,"."&amp;$A$43&amp;$AW$1&amp;"C"&amp;$A56)="N/A",0,RTD("tos.rtd",,CH$2,"."&amp;$A$43&amp;$AW$1&amp;"C"&amp;$A56))</f>
        <v>0.44</v>
      </c>
      <c r="CI56" s="83">
        <f>-IF(RTD("tos.rtd",,CI$2,"."&amp;$A$43&amp;$AW$1&amp;"P"&amp;$A56)="N/A",0,RTD("tos.rtd",,CI$2,"."&amp;$A$43&amp;$AW$1&amp;"P"&amp;$A56))</f>
        <v>0.56000000000000005</v>
      </c>
      <c r="CK56" s="83">
        <f t="shared" si="307"/>
        <v>-45562</v>
      </c>
      <c r="CL56" s="83"/>
      <c r="CM56" s="83">
        <f t="shared" si="308"/>
        <v>-172897</v>
      </c>
      <c r="CN56" s="83"/>
      <c r="CO56" s="83">
        <f t="shared" si="309"/>
        <v>17883.999999999996</v>
      </c>
      <c r="CP56" s="83">
        <f t="shared" si="310"/>
        <v>-200575</v>
      </c>
      <c r="CQ56" s="83">
        <f t="shared" si="311"/>
        <v>0</v>
      </c>
      <c r="CR56" s="83"/>
      <c r="CS56" s="83">
        <f t="shared" si="312"/>
        <v>97315</v>
      </c>
      <c r="CT56" s="83"/>
      <c r="CU56" s="83">
        <f t="shared" si="313"/>
        <v>1024</v>
      </c>
      <c r="CV56" s="83"/>
      <c r="CW56" s="83" t="e">
        <f t="shared" ca="1" si="314"/>
        <v>#NUM!</v>
      </c>
      <c r="CY56" s="83" t="e">
        <f t="shared" ca="1" si="315"/>
        <v>#NUM!</v>
      </c>
      <c r="CZ56" s="70" t="e">
        <f t="shared" ca="1" si="293"/>
        <v>#NUM!</v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5.83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6.98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5.5</v>
      </c>
      <c r="DG56" s="86">
        <f t="shared" si="287"/>
        <v>3.0799999999999841</v>
      </c>
      <c r="DH56" s="83">
        <f t="shared" si="316"/>
        <v>-35707</v>
      </c>
      <c r="DI56" s="83">
        <f t="shared" si="317"/>
        <v>959.4527027027026</v>
      </c>
      <c r="DJ56" s="83">
        <f t="shared" si="318"/>
        <v>-35707</v>
      </c>
      <c r="DK56" s="83">
        <f t="shared" si="255"/>
        <v>-4303</v>
      </c>
      <c r="DL56" s="83">
        <f t="shared" si="256"/>
        <v>-34747.5472972973</v>
      </c>
      <c r="DM56" s="83">
        <f t="shared" si="257"/>
        <v>-40010</v>
      </c>
      <c r="DN56" s="64" t="str">
        <f t="shared" si="258"/>
        <v>UNKNOWN</v>
      </c>
      <c r="DO56" s="64" t="str">
        <f t="shared" si="259"/>
        <v>UNKNOWN</v>
      </c>
      <c r="DP56" s="83">
        <f t="shared" si="260"/>
        <v>5236.5392567567569</v>
      </c>
      <c r="DQ56" s="83">
        <f t="shared" si="261"/>
        <v>-25443.56</v>
      </c>
      <c r="DR56" s="83" t="e">
        <f t="shared" ca="1" si="262"/>
        <v>#NUM!</v>
      </c>
      <c r="DS56" s="83">
        <f t="shared" si="263"/>
        <v>-2938.87</v>
      </c>
      <c r="DT56" s="83">
        <f t="shared" si="288"/>
        <v>-35707</v>
      </c>
      <c r="DU56" s="83">
        <f t="shared" si="289"/>
        <v>4303</v>
      </c>
      <c r="DV56" s="83">
        <f t="shared" si="264"/>
        <v>-2323</v>
      </c>
      <c r="DW56" s="83">
        <f t="shared" si="265"/>
        <v>-259</v>
      </c>
      <c r="DX56" s="83" t="e">
        <f t="shared" ca="1" si="319"/>
        <v>#NUM!</v>
      </c>
      <c r="DY56" s="83" t="e">
        <f t="shared" ca="1" si="320"/>
        <v>#NUM!</v>
      </c>
      <c r="DZ56" s="83" t="e">
        <f t="shared" ca="1" si="321"/>
        <v>#NUM!</v>
      </c>
      <c r="EA56" s="83" t="e">
        <f t="shared" ca="1" si="322"/>
        <v>#NUM!</v>
      </c>
      <c r="EB56" s="83" t="e">
        <f t="shared" ca="1" si="323"/>
        <v>#NUM!</v>
      </c>
      <c r="EC56" s="83" t="e">
        <f t="shared" ca="1" si="324"/>
        <v>#NUM!</v>
      </c>
      <c r="EE56" s="84">
        <f t="shared" si="325"/>
        <v>0.36299999999999999</v>
      </c>
      <c r="EF56" s="84">
        <f t="shared" si="326"/>
        <v>3.0758000000000001</v>
      </c>
      <c r="EG56" s="84">
        <f t="shared" si="327"/>
        <v>0.36299999999999999</v>
      </c>
      <c r="EH56" s="84">
        <f t="shared" si="328"/>
        <v>0.58340000000000003</v>
      </c>
      <c r="EI56" s="84">
        <f t="shared" si="329"/>
        <v>0.28489999999999999</v>
      </c>
      <c r="EJ56" s="84">
        <f t="shared" si="330"/>
        <v>0.2802</v>
      </c>
      <c r="EL56" s="83" t="str">
        <f>RTD("tos.rtd",,EL$43,"."&amp;$A$43&amp;$AS$42&amp;"C"&amp;$A56)</f>
        <v>36.30%</v>
      </c>
      <c r="EM56" s="83" t="str">
        <f>RTD("tos.rtd",,EM$43,"."&amp;$A$43&amp;$AS$42&amp;"P"&amp;$A56)</f>
        <v>307.58%</v>
      </c>
      <c r="EN56" s="83" t="str">
        <f>RTD("tos.rtd",,EN$2,"."&amp;$A$43&amp;$AU$1&amp;"C"&amp;$A56)</f>
        <v>36.30%</v>
      </c>
      <c r="EO56" s="83" t="str">
        <f>RTD("tos.rtd",,EO$2,"."&amp;$A$43&amp;$AU$1&amp;"P"&amp;$A56)</f>
        <v>58.34%</v>
      </c>
      <c r="EP56" s="83" t="str">
        <f>RTD("tos.rtd",,EP$2,"."&amp;$A$43&amp;$AW$1&amp;"C"&amp;$A56)</f>
        <v>28.49%</v>
      </c>
      <c r="EQ56" s="83" t="str">
        <f>RTD("tos.rtd",,EQ$2,"."&amp;$A$43&amp;$AW$1&amp;"P"&amp;$A56)</f>
        <v>28.02%</v>
      </c>
      <c r="ES56" s="63" t="str">
        <f t="shared" si="272"/>
        <v>491,-2582.00</v>
      </c>
      <c r="ET56" s="64" t="str">
        <f t="shared" ca="1" si="273"/>
        <v>491,00.00</v>
      </c>
      <c r="EU56" s="68">
        <v>563.07000000000005</v>
      </c>
      <c r="EV56" s="68" t="s">
        <v>467</v>
      </c>
      <c r="EW56" s="68">
        <v>485.36</v>
      </c>
      <c r="EX56" s="68" t="s">
        <v>468</v>
      </c>
      <c r="EY56" s="68">
        <v>5644.5</v>
      </c>
      <c r="EZ56" s="68" t="s">
        <v>469</v>
      </c>
      <c r="FA56" s="68">
        <v>19939.25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90"/>
        <v>490</v>
      </c>
      <c r="B57" s="3">
        <f t="shared" si="239"/>
        <v>18099</v>
      </c>
      <c r="C57" s="3">
        <f t="shared" si="240"/>
        <v>15914</v>
      </c>
      <c r="D57" s="3">
        <f t="shared" si="241"/>
        <v>79033</v>
      </c>
      <c r="E57" s="3">
        <f t="shared" si="242"/>
        <v>113046</v>
      </c>
      <c r="F57" s="4">
        <f t="shared" si="294"/>
        <v>20232.384407279882</v>
      </c>
      <c r="AM57" s="1">
        <v>4862</v>
      </c>
      <c r="AN57" s="1">
        <v>-1741</v>
      </c>
      <c r="AO57" s="1">
        <v>490</v>
      </c>
      <c r="AP57" s="1">
        <v>117264</v>
      </c>
      <c r="AQ57" s="1">
        <v>-16739</v>
      </c>
      <c r="AS57" s="6">
        <f>IF(RTD("tos.rtd",,AS$43,"."&amp;$A$43&amp;$AS$42&amp;"C"&amp;$A57)="N/A",0,RTD("tos.rtd",,AS$43,"."&amp;$A$43&amp;$AS$42&amp;"C"&amp;$A57))</f>
        <v>12361</v>
      </c>
      <c r="AT57" s="7">
        <f>-IF(RTD("tos.rtd",,AT$43,"."&amp;$A$43&amp;$AS$42&amp;"P"&amp;$A57)="N/A",0,RTD("tos.rtd",,AT$43,"."&amp;$A$43&amp;$AS$42&amp;"P"&amp;$A57))</f>
        <v>-5738</v>
      </c>
      <c r="AU57" s="6">
        <f>IF(RTD("tos.rtd",,AU$2,"."&amp;$A$43&amp;$AU$1&amp;"C"&amp;$A57)="N/A",0,RTD("tos.rtd",,AU$2,"."&amp;$A$43&amp;$AU$1&amp;"C"&amp;$A57))</f>
        <v>10598</v>
      </c>
      <c r="AV57" s="7">
        <f>-IF(RTD("tos.rtd",,AV$2,"."&amp;$A$43&amp;$AU$1&amp;"P"&amp;$A57)="N/A",0,RTD("tos.rtd",,AV$2,"."&amp;$A$43&amp;$AU$1&amp;"P"&amp;$A57))</f>
        <v>-5316</v>
      </c>
      <c r="AW57" s="6">
        <f>IF(RTD("tos.rtd",,AW$2,"."&amp;$A$43&amp;$AW$1&amp;"C"&amp;$A57)="N/A",0,RTD("tos.rtd",,AW$2,"."&amp;$A$43&amp;$AW$1&amp;"C"&amp;$A57))</f>
        <v>64740</v>
      </c>
      <c r="AX57" s="7">
        <f>-IF(RTD("tos.rtd",,AX$2,"."&amp;$A$43&amp;$AW$1&amp;"P"&amp;$A57)="N/A",0,RTD("tos.rtd",,AX$2,"."&amp;$A$43&amp;$AW$1&amp;"P"&amp;$A57))</f>
        <v>-14293</v>
      </c>
      <c r="AY57" s="7">
        <f t="shared" si="274"/>
        <v>62352</v>
      </c>
      <c r="AZ57" s="8">
        <f t="shared" si="243"/>
        <v>490</v>
      </c>
      <c r="BA57" s="6">
        <f>IF(RTD("tos.rtd",,BA$43,"."&amp;$A$43&amp;$AS$42&amp;"C"&amp;$A57)="N/A",0,RTD("tos.rtd",,BA$43,"."&amp;$A$43&amp;$AS$42&amp;"C"&amp;$A57))</f>
        <v>0</v>
      </c>
      <c r="BB57" s="7">
        <f>-IF(RTD("tos.rtd",,BB$43,"."&amp;$A$43&amp;$AS$42&amp;"P"&amp;$A57)="N/A",0,RTD("tos.rtd",,BB$43,"."&amp;$A$43&amp;$AS$42&amp;"P"&amp;$A57))</f>
        <v>0</v>
      </c>
      <c r="BC57" s="6">
        <f>IF(RTD("tos.rtd",,BC$2,"."&amp;$A$43&amp;$AU$1&amp;"C"&amp;$A57)="N/A",0,RTD("tos.rtd",,BC$2,"."&amp;$A$43&amp;$AU$1&amp;"C"&amp;$A57))</f>
        <v>172339</v>
      </c>
      <c r="BD57" s="7">
        <f>-IF(RTD("tos.rtd",,BD$2,"."&amp;$A$43&amp;$AU$1&amp;"P"&amp;$A57)="N/A",0,RTD("tos.rtd",,BD$2,"."&amp;$A$43&amp;$AU$1&amp;"P"&amp;$A57))</f>
        <v>-80050</v>
      </c>
      <c r="BE57" s="6">
        <f>IF(RTD("tos.rtd",,BE$2,"."&amp;$A$43&amp;$AW$1&amp;"C"&amp;$A57)="N/A",0,RTD("tos.rtd",,BE$2,"."&amp;$A$43&amp;$AW$1&amp;"C"&amp;$A57))</f>
        <v>16143</v>
      </c>
      <c r="BF57" s="7">
        <f>-IF(RTD("tos.rtd",,BF$2,"."&amp;$A$43&amp;$AW$1&amp;"P"&amp;$A57)="N/A",0,RTD("tos.rtd",,BF$2,"."&amp;$A$43&amp;$AW$1&amp;"P"&amp;$A57))</f>
        <v>-10614</v>
      </c>
      <c r="BG57" s="32">
        <f ca="1">+Hoja2!Y58</f>
        <v>319</v>
      </c>
      <c r="BH57" s="7">
        <f t="shared" ca="1" si="275"/>
        <v>98137</v>
      </c>
      <c r="BI57" s="8" t="str">
        <f t="shared" ca="1" si="291"/>
        <v/>
      </c>
      <c r="BJ57" s="83" t="e">
        <f ca="1">IF($BP$1=1,DX57,IF(RTD("tos.rtd",,BJ$43,"."&amp;$A$43&amp;$AS$42&amp;"C"&amp;$A57)="N/A",0,RTD("tos.rtd",,BJ$43,"."&amp;$A$43&amp;$AS$42&amp;"C"&amp;$A57)))</f>
        <v>#NUM!</v>
      </c>
      <c r="BK57" s="83" t="e">
        <f ca="1">IF($BP$1=1,DY57,-IF(RTD("tos.rtd",,BK$43,"."&amp;$A$43&amp;$AS$42&amp;"P"&amp;$A57)="N/A",0,RTD("tos.rtd",,BK$43,"."&amp;$A$43&amp;$AS$42&amp;"P"&amp;$A57)))</f>
        <v>#NUM!</v>
      </c>
      <c r="BL57" s="83" t="e">
        <f ca="1">IF($BP$1=1,DZ57,IF(RTD("tos.rtd",,BL$2,"."&amp;$A$43&amp;$AU$1&amp;"C"&amp;$A57)="N/A",0,RTD("tos.rtd",,BL$2,"."&amp;$A$43&amp;$AU$1&amp;"C"&amp;$A57)))</f>
        <v>#NUM!</v>
      </c>
      <c r="BM57" s="83" t="e">
        <f ca="1">IF($BP$1=1,EA57,-IF(RTD("tos.rtd",,BM$2,"."&amp;$A$43&amp;$AU$1&amp;"P"&amp;$A57)="N/A",0,RTD("tos.rtd",,BM$2,"."&amp;$A$43&amp;$AU$1&amp;"P"&amp;$A57)))</f>
        <v>#NUM!</v>
      </c>
      <c r="BN57" s="83" t="e">
        <f ca="1">IF($BP$1=1,EB57,IF(RTD("tos.rtd",,BN$2,"."&amp;$A$43&amp;$AW$1&amp;"C"&amp;$A57)="N/A",0,RTD("tos.rtd",,BN$2,"."&amp;$A$43&amp;$AW$1&amp;"C"&amp;$A57)))</f>
        <v>#NUM!</v>
      </c>
      <c r="BO57" s="83" t="e">
        <f ca="1">IF($BP$1=1,EC57,-IF(RTD("tos.rtd",,BO$2,"."&amp;$A$43&amp;$AW$1&amp;"P"&amp;$A57)="N/A",0,RTD("tos.rtd",,BO$2,"."&amp;$A$43&amp;$AW$1&amp;"P"&amp;$A57)))</f>
        <v>#NUM!</v>
      </c>
      <c r="BQ57" s="83" t="e">
        <f t="shared" ca="1" si="276"/>
        <v>#NUM!</v>
      </c>
      <c r="BR57" s="3" t="e">
        <f t="shared" ca="1" si="277"/>
        <v>#NUM!</v>
      </c>
      <c r="BS57" s="83" t="e">
        <f t="shared" ca="1" si="278"/>
        <v>#NUM!</v>
      </c>
      <c r="BT57" s="3" t="e">
        <f t="shared" ca="1" si="279"/>
        <v>#NUM!</v>
      </c>
      <c r="BU57" s="83" t="e">
        <f t="shared" ca="1" si="280"/>
        <v>#NUM!</v>
      </c>
      <c r="BV57" s="83"/>
      <c r="BX57" s="83" t="e">
        <f t="shared" ca="1" si="281"/>
        <v>#NUM!</v>
      </c>
      <c r="BY57" s="83" t="e">
        <f t="shared" ca="1" si="292"/>
        <v>#NUM!</v>
      </c>
      <c r="BZ57" s="83" t="e">
        <f t="shared" ca="1" si="282"/>
        <v>#NUM!</v>
      </c>
      <c r="CA57" s="83" t="e">
        <f t="shared" ca="1" si="292"/>
        <v>#NUM!</v>
      </c>
      <c r="CB57" s="83" t="e">
        <f t="shared" ca="1" si="283"/>
        <v>#NUM!</v>
      </c>
      <c r="CC57" s="83" t="e">
        <f t="shared" ca="1" si="292"/>
        <v>#NUM!</v>
      </c>
      <c r="CD57" s="83">
        <f>IF(RTD("tos.rtd",,CD$43,"."&amp;$A$43&amp;$AS$42&amp;"C"&amp;$A57)="N/A",0,RTD("tos.rtd",,CD$43,"."&amp;$A$43&amp;$AS$42&amp;"C"&amp;$A57))</f>
        <v>0.01</v>
      </c>
      <c r="CE57" s="83">
        <f>-IF(RTD("tos.rtd",,CE$43,"."&amp;$A$43&amp;$AS$42&amp;"P"&amp;$A57)="N/A",0,RTD("tos.rtd",,CE$43,"."&amp;$A$43&amp;$AS$42&amp;"P"&amp;$A57))</f>
        <v>0.59</v>
      </c>
      <c r="CF57" s="83">
        <f>IF(RTD("tos.rtd",,CF$2,"."&amp;$A$43&amp;$AU$1&amp;"C"&amp;$A57)="N/A",0,RTD("tos.rtd",,CF$2,"."&amp;$A$43&amp;$AU$1&amp;"C"&amp;$A57))</f>
        <v>0.01</v>
      </c>
      <c r="CG57" s="83">
        <f>-IF(RTD("tos.rtd",,CG$2,"."&amp;$A$43&amp;$AU$1&amp;"P"&amp;$A57)="N/A",0,RTD("tos.rtd",,CG$2,"."&amp;$A$43&amp;$AU$1&amp;"P"&amp;$A57))</f>
        <v>0.85</v>
      </c>
      <c r="CH57" s="83">
        <f>IF(RTD("tos.rtd",,CH$2,"."&amp;$A$43&amp;$AW$1&amp;"C"&amp;$A57)="N/A",0,RTD("tos.rtd",,CH$2,"."&amp;$A$43&amp;$AW$1&amp;"C"&amp;$A57))</f>
        <v>0.46</v>
      </c>
      <c r="CI57" s="83">
        <f>-IF(RTD("tos.rtd",,CI$2,"."&amp;$A$43&amp;$AW$1&amp;"P"&amp;$A57)="N/A",0,RTD("tos.rtd",,CI$2,"."&amp;$A$43&amp;$AW$1&amp;"P"&amp;$A57))</f>
        <v>0.54</v>
      </c>
      <c r="CK57" s="83">
        <f t="shared" si="284"/>
        <v>-326180.99999999994</v>
      </c>
      <c r="CL57" s="83"/>
      <c r="CM57" s="83">
        <f t="shared" si="285"/>
        <v>-441261.99999999994</v>
      </c>
      <c r="CN57" s="83"/>
      <c r="CO57" s="83">
        <f t="shared" si="286"/>
        <v>2206218</v>
      </c>
      <c r="CP57" s="83">
        <f t="shared" si="233"/>
        <v>1438775</v>
      </c>
      <c r="CQ57" s="83">
        <f t="shared" si="247"/>
        <v>0</v>
      </c>
      <c r="CR57" s="83"/>
      <c r="CS57" s="83">
        <f t="shared" si="248"/>
        <v>92289</v>
      </c>
      <c r="CT57" s="83"/>
      <c r="CU57" s="83">
        <f t="shared" si="249"/>
        <v>5529</v>
      </c>
      <c r="CV57" s="83"/>
      <c r="CW57" s="83" t="e">
        <f t="shared" ca="1" si="250"/>
        <v>#NUM!</v>
      </c>
      <c r="CY57" s="83" t="e">
        <f t="shared" ca="1" si="251"/>
        <v>#NUM!</v>
      </c>
      <c r="CZ57" s="70" t="e">
        <f t="shared" ca="1" si="293"/>
        <v>#NUM!</v>
      </c>
      <c r="DA57" s="83">
        <f>IF(RTD("tos.rtd",,DA$43,"."&amp;$A$43&amp;$AS$42&amp;"C"&amp;$A57)="N/A",0,RTD("tos.rtd",,DA$43,"."&amp;$A$43&amp;$AS$42&amp;"C"&amp;$A57))</f>
        <v>0.01</v>
      </c>
      <c r="DB57" s="83">
        <f>IF(RTD("tos.rtd",,DB$43,"."&amp;$A$43&amp;$AS$42&amp;"P"&amp;$A57)="N/A",0,RTD("tos.rtd",,DB$43,"."&amp;$A$43&amp;$AS$42&amp;"P"&amp;$A57))</f>
        <v>4.75</v>
      </c>
      <c r="DC57" s="83">
        <f>IF(RTD("tos.rtd",,DC$43,"."&amp;$A$43&amp;$AS$42&amp;"C"&amp;$A57)="N/A",0,RTD("tos.rtd",,DC$43,"."&amp;$A$43&amp;$AS$42&amp;"C"&amp;$A57))</f>
        <v>0.01</v>
      </c>
      <c r="DD57" s="83">
        <f>IF(RTD("tos.rtd",,DD$43,"."&amp;$A$43&amp;$AS$42&amp;"P"&amp;$A57)="N/A",0,RTD("tos.rtd",,DD$43,"."&amp;$A$43&amp;$AS$42&amp;"P"&amp;$A57))</f>
        <v>4.95</v>
      </c>
      <c r="DE57" s="83">
        <f>IF(RTD("tos.rtd",,DE$43,"."&amp;$A$43&amp;$AS$42&amp;"C"&amp;$A57)="N/A",0,RTD("tos.rtd",,DE$43,"."&amp;$A$43&amp;$AS$42&amp;"C"&amp;$A57))</f>
        <v>0</v>
      </c>
      <c r="DF57" s="83">
        <f>IF(RTD("tos.rtd",,DF$43,"."&amp;$A$43&amp;$AS$42&amp;"P"&amp;$A57)="N/A",0,RTD("tos.rtd",,DF$43,"."&amp;$A$43&amp;$AS$42&amp;"P"&amp;$A57))</f>
        <v>4.5</v>
      </c>
      <c r="DG57" s="86">
        <f t="shared" si="287"/>
        <v>2.0799999999999841</v>
      </c>
      <c r="DH57" s="83">
        <f t="shared" si="252"/>
        <v>-117264</v>
      </c>
      <c r="DI57" s="83">
        <f t="shared" si="253"/>
        <v>9299.4444444444416</v>
      </c>
      <c r="DJ57" s="83">
        <f t="shared" si="254"/>
        <v>-117264</v>
      </c>
      <c r="DK57" s="83">
        <f t="shared" si="255"/>
        <v>0</v>
      </c>
      <c r="DL57" s="83">
        <f t="shared" si="256"/>
        <v>-107964.55555555556</v>
      </c>
      <c r="DM57" s="83">
        <f t="shared" si="257"/>
        <v>-117264</v>
      </c>
      <c r="DN57" s="64" t="str">
        <f t="shared" si="258"/>
        <v>UNKNOWN</v>
      </c>
      <c r="DO57" s="64" t="str">
        <f t="shared" si="259"/>
        <v>UNKNOWN</v>
      </c>
      <c r="DP57" s="83">
        <f t="shared" si="260"/>
        <v>42999.721111111096</v>
      </c>
      <c r="DQ57" s="83">
        <f t="shared" si="261"/>
        <v>-1172.6400000000001</v>
      </c>
      <c r="DR57" s="83" t="e">
        <f t="shared" ca="1" si="262"/>
        <v>#NUM!</v>
      </c>
      <c r="DS57" s="83">
        <f t="shared" si="263"/>
        <v>-1172.6400000000001</v>
      </c>
      <c r="DT57" s="83">
        <f t="shared" si="288"/>
        <v>-117264</v>
      </c>
      <c r="DU57" s="83">
        <f t="shared" si="289"/>
        <v>16739</v>
      </c>
      <c r="DV57" s="83">
        <f t="shared" si="264"/>
        <v>4862</v>
      </c>
      <c r="DW57" s="83">
        <f t="shared" si="265"/>
        <v>-1741</v>
      </c>
      <c r="DX57" s="83" t="e">
        <f t="shared" ref="DX57:DX64" ca="1" si="361">(EXP(-POWER((LN($A$44/$A57)+($EC$1+POWER($EE57,2)/2)*($EM$1/$DY$1))/($EE57*SQRT($EM$1/$DY$1)),2)/2)/SQRT(2*PI())/($A$44*$EE57*SQRT($EM$1/$DY$1)))</f>
        <v>#NUM!</v>
      </c>
      <c r="DY57" s="83" t="e">
        <f t="shared" ref="DY57:DY64" ca="1" si="362">-(EXP(-POWER((LN($A$44/$A57)+($EC$1+POWER($EF57,2)/2)*($EM$1/$DY$1))/($EF57*SQRT($EM$1/$DY$1)),2)/2)/SQRT(2*PI())/($A$44*$EF57*SQRT($EM$1/$DY$1)))</f>
        <v>#NUM!</v>
      </c>
      <c r="DZ57" s="83" t="e">
        <f t="shared" ref="DZ57:DZ64" ca="1" si="363">(EXP(-POWER((LN($A$44/$A57)+($EC$1+POWER($EG57,2)/2)*($EO$1/$DY$1))/($EG57*SQRT($EO$1/$DY$1)),2)/2)/SQRT(2*PI())/($A$44*$EG57*SQRT($EO$1/$DY$1)))</f>
        <v>#NUM!</v>
      </c>
      <c r="EA57" s="83" t="e">
        <f t="shared" ref="EA57:EA64" ca="1" si="364">-(EXP(-POWER((LN($A$44/$A57)+($EC$1+POWER($EH57,2)/2)*($EO$1/$DY$1))/($EH57*SQRT($EO$1/$DY$1)),2)/2)/SQRT(2*PI())/($A$44*$EH57*SQRT($EO$1/$DY$1)))</f>
        <v>#NUM!</v>
      </c>
      <c r="EB57" s="83" t="e">
        <f t="shared" ref="EB57:EB64" ca="1" si="365">(EXP(-POWER((LN($A$44/$A57)+($EC$1+POWER($EI57,2)/2)*($EO$1/$DY$1))/($EI57*SQRT($EO$1/$DY$1)),2)/2)/SQRT(2*PI())/($A$44*$EI57*SQRT($EO$1/$DY$1)))</f>
        <v>#NUM!</v>
      </c>
      <c r="EC57" s="83" t="e">
        <f t="shared" ref="EC57:EC64" ca="1" si="366">-(EXP(-POWER((LN($A$44/$A57)+($EC$1+POWER($EJ57,2)/2)*($EO$1/$DY$1))/($EJ57*SQRT($EO$1/$DY$1)),2)/2)/SQRT(2*PI())/($A$44*$EJ57*SQRT($EO$1/$DY$1)))</f>
        <v>#NUM!</v>
      </c>
      <c r="EE57" s="84">
        <f t="shared" si="266"/>
        <v>0.25869999999999999</v>
      </c>
      <c r="EF57" s="84">
        <f t="shared" si="267"/>
        <v>2.4371</v>
      </c>
      <c r="EG57" s="84">
        <f t="shared" si="268"/>
        <v>0.25869999999999999</v>
      </c>
      <c r="EH57" s="84">
        <f t="shared" si="269"/>
        <v>0.53269999999999995</v>
      </c>
      <c r="EI57" s="84">
        <f t="shared" si="270"/>
        <v>0.28639999999999999</v>
      </c>
      <c r="EJ57" s="84">
        <f t="shared" si="271"/>
        <v>0.28170000000000001</v>
      </c>
      <c r="EL57" s="83" t="str">
        <f>RTD("tos.rtd",,EL$43,"."&amp;$A$43&amp;$AS$42&amp;"C"&amp;$A57)</f>
        <v>25.87%</v>
      </c>
      <c r="EM57" s="83" t="str">
        <f>RTD("tos.rtd",,EM$43,"."&amp;$A$43&amp;$AS$42&amp;"P"&amp;$A57)</f>
        <v>243.71%</v>
      </c>
      <c r="EN57" s="83" t="str">
        <f>RTD("tos.rtd",,EN$2,"."&amp;$A$43&amp;$AU$1&amp;"C"&amp;$A57)</f>
        <v>25.87%</v>
      </c>
      <c r="EO57" s="83" t="str">
        <f>RTD("tos.rtd",,EO$2,"."&amp;$A$43&amp;$AU$1&amp;"P"&amp;$A57)</f>
        <v>53.27%</v>
      </c>
      <c r="EP57" s="83" t="str">
        <f>RTD("tos.rtd",,EP$2,"."&amp;$A$43&amp;$AW$1&amp;"C"&amp;$A57)</f>
        <v>28.64%</v>
      </c>
      <c r="EQ57" s="83" t="str">
        <f>RTD("tos.rtd",,EQ$2,"."&amp;$A$43&amp;$AW$1&amp;"P"&amp;$A57)</f>
        <v>28.17%</v>
      </c>
      <c r="ES57" s="63" t="str">
        <f t="shared" si="272"/>
        <v>490,3121.00</v>
      </c>
      <c r="ET57" s="64" t="str">
        <f t="shared" ca="1" si="273"/>
        <v>490,00.00</v>
      </c>
      <c r="EU57" s="68">
        <v>563.04999999999995</v>
      </c>
      <c r="EV57" s="68" t="s">
        <v>475</v>
      </c>
      <c r="EW57" s="68">
        <v>485.32</v>
      </c>
      <c r="EX57" s="68" t="s">
        <v>476</v>
      </c>
      <c r="EY57" s="68">
        <v>5644</v>
      </c>
      <c r="EZ57" s="68" t="s">
        <v>477</v>
      </c>
      <c r="FA57" s="68">
        <v>19937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90"/>
        <v>489</v>
      </c>
      <c r="B58" s="3">
        <f t="shared" si="239"/>
        <v>4004</v>
      </c>
      <c r="C58" s="3">
        <f t="shared" si="240"/>
        <v>3346</v>
      </c>
      <c r="D58" s="3">
        <f t="shared" si="241"/>
        <v>967</v>
      </c>
      <c r="E58" s="3">
        <f t="shared" si="242"/>
        <v>8317</v>
      </c>
      <c r="F58" s="4">
        <f t="shared" si="294"/>
        <v>20191.093826856861</v>
      </c>
      <c r="AM58" s="1">
        <v>4782</v>
      </c>
      <c r="AN58" s="1">
        <v>-3636</v>
      </c>
      <c r="AO58" s="1">
        <v>489</v>
      </c>
      <c r="AP58" s="1">
        <v>126992</v>
      </c>
      <c r="AQ58" s="1">
        <v>-37136</v>
      </c>
      <c r="AS58" s="6">
        <f>IF(RTD("tos.rtd",,AS$43,"."&amp;$A$43&amp;$AS$42&amp;"C"&amp;$A58)="N/A",0,RTD("tos.rtd",,AS$43,"."&amp;$A$43&amp;$AS$42&amp;"C"&amp;$A58))</f>
        <v>2390</v>
      </c>
      <c r="AT58" s="7">
        <f>-IF(RTD("tos.rtd",,AT$43,"."&amp;$A$43&amp;$AS$42&amp;"P"&amp;$A58)="N/A",0,RTD("tos.rtd",,AT$43,"."&amp;$A$43&amp;$AS$42&amp;"P"&amp;$A58))</f>
        <v>-1614</v>
      </c>
      <c r="AU58" s="6">
        <v>1</v>
      </c>
      <c r="AV58" s="7">
        <f>-IF(RTD("tos.rtd",,AV$2,"."&amp;$A$43&amp;$AU$1&amp;"P"&amp;$A58)="N/A",0,RTD("tos.rtd",,AV$2,"."&amp;$A$43&amp;$AU$1&amp;"P"&amp;$A58))</f>
        <v>-3345</v>
      </c>
      <c r="AW58" s="6">
        <f>IF(RTD("tos.rtd",,AW$2,"."&amp;$A$43&amp;$AW$1&amp;"C"&amp;$A58)="N/A",0,RTD("tos.rtd",,AW$2,"."&amp;$A$43&amp;$AW$1&amp;"C"&amp;$A58))</f>
        <v>631</v>
      </c>
      <c r="AX58" s="7">
        <f>-IF(RTD("tos.rtd",,AX$2,"."&amp;$A$43&amp;$AW$1&amp;"P"&amp;$A58)="N/A",0,RTD("tos.rtd",,AX$2,"."&amp;$A$43&amp;$AW$1&amp;"P"&amp;$A58))</f>
        <v>-336</v>
      </c>
      <c r="AY58" s="7">
        <f t="shared" si="274"/>
        <v>-2273</v>
      </c>
      <c r="AZ58" s="8">
        <f t="shared" si="243"/>
        <v>489</v>
      </c>
      <c r="BA58" s="6">
        <f>IF(RTD("tos.rtd",,BA$43,"."&amp;$A$43&amp;$AS$42&amp;"C"&amp;$A58)="N/A",0,RTD("tos.rtd",,BA$43,"."&amp;$A$43&amp;$AS$42&amp;"C"&amp;$A58))</f>
        <v>0</v>
      </c>
      <c r="BB58" s="7">
        <f>-IF(RTD("tos.rtd",,BB$43,"."&amp;$A$43&amp;$AS$42&amp;"P"&amp;$A58)="N/A",0,RTD("tos.rtd",,BB$43,"."&amp;$A$43&amp;$AS$42&amp;"P"&amp;$A58))</f>
        <v>0</v>
      </c>
      <c r="BC58" s="6">
        <f>IF(RTD("tos.rtd",,BC$2,"."&amp;$A$43&amp;$AU$1&amp;"C"&amp;$A58)="N/A",0,RTD("tos.rtd",,BC$2,"."&amp;$A$43&amp;$AU$1&amp;"C"&amp;$A58))</f>
        <v>147460</v>
      </c>
      <c r="BD58" s="7">
        <f>-IF(RTD("tos.rtd",,BD$2,"."&amp;$A$43&amp;$AU$1&amp;"P"&amp;$A58)="N/A",0,RTD("tos.rtd",,BD$2,"."&amp;$A$43&amp;$AU$1&amp;"P"&amp;$A58))</f>
        <v>-77159</v>
      </c>
      <c r="BE58" s="6">
        <f>IF(RTD("tos.rtd",,BE$2,"."&amp;$A$43&amp;$AW$1&amp;"C"&amp;$A58)="N/A",0,RTD("tos.rtd",,BE$2,"."&amp;$A$43&amp;$AW$1&amp;"C"&amp;$A58))</f>
        <v>2745</v>
      </c>
      <c r="BF58" s="7">
        <f>-IF(RTD("tos.rtd",,BF$2,"."&amp;$A$43&amp;$AW$1&amp;"P"&amp;$A58)="N/A",0,RTD("tos.rtd",,BF$2,"."&amp;$A$43&amp;$AW$1&amp;"P"&amp;$A58))</f>
        <v>-2013</v>
      </c>
      <c r="BG58" s="32">
        <f ca="1">+Hoja2!Y59</f>
        <v>-205</v>
      </c>
      <c r="BH58" s="7">
        <f t="shared" ca="1" si="275"/>
        <v>70828</v>
      </c>
      <c r="BI58" s="8" t="str">
        <f t="shared" ca="1" si="291"/>
        <v/>
      </c>
      <c r="BJ58" s="83" t="e">
        <f ca="1">IF($BP$1=1,DX58,IF(RTD("tos.rtd",,BJ$43,"."&amp;$A$43&amp;$AS$42&amp;"C"&amp;$A58)="N/A",0,RTD("tos.rtd",,BJ$43,"."&amp;$A$43&amp;$AS$42&amp;"C"&amp;$A58)))</f>
        <v>#NUM!</v>
      </c>
      <c r="BK58" s="83" t="e">
        <f ca="1">IF($BP$1=1,DY58,-IF(RTD("tos.rtd",,BK$43,"."&amp;$A$43&amp;$AS$42&amp;"P"&amp;$A58)="N/A",0,RTD("tos.rtd",,BK$43,"."&amp;$A$43&amp;$AS$42&amp;"P"&amp;$A58)))</f>
        <v>#NUM!</v>
      </c>
      <c r="BL58" s="83" t="e">
        <f ca="1">IF($BP$1=1,DZ58,IF(RTD("tos.rtd",,BL$2,"."&amp;$A$43&amp;$AU$1&amp;"C"&amp;$A58)="N/A",0,RTD("tos.rtd",,BL$2,"."&amp;$A$43&amp;$AU$1&amp;"C"&amp;$A58)))</f>
        <v>#NUM!</v>
      </c>
      <c r="BM58" s="83" t="e">
        <f ca="1">IF($BP$1=1,EA58,-IF(RTD("tos.rtd",,BM$2,"."&amp;$A$43&amp;$AU$1&amp;"P"&amp;$A58)="N/A",0,RTD("tos.rtd",,BM$2,"."&amp;$A$43&amp;$AU$1&amp;"P"&amp;$A58)))</f>
        <v>#NUM!</v>
      </c>
      <c r="BN58" s="83" t="e">
        <f ca="1">IF($BP$1=1,EB58,IF(RTD("tos.rtd",,BN$2,"."&amp;$A$43&amp;$AW$1&amp;"C"&amp;$A58)="N/A",0,RTD("tos.rtd",,BN$2,"."&amp;$A$43&amp;$AW$1&amp;"C"&amp;$A58)))</f>
        <v>#NUM!</v>
      </c>
      <c r="BO58" s="83" t="e">
        <f ca="1">IF($BP$1=1,EC58,-IF(RTD("tos.rtd",,BO$2,"."&amp;$A$43&amp;$AW$1&amp;"P"&amp;$A58)="N/A",0,RTD("tos.rtd",,BO$2,"."&amp;$A$43&amp;$AW$1&amp;"P"&amp;$A58)))</f>
        <v>#NUM!</v>
      </c>
      <c r="BQ58" s="83" t="e">
        <f t="shared" ca="1" si="276"/>
        <v>#NUM!</v>
      </c>
      <c r="BR58" s="3" t="e">
        <f t="shared" ca="1" si="277"/>
        <v>#NUM!</v>
      </c>
      <c r="BS58" s="83" t="e">
        <f t="shared" ca="1" si="278"/>
        <v>#NUM!</v>
      </c>
      <c r="BT58" s="3" t="e">
        <f t="shared" ca="1" si="279"/>
        <v>#NUM!</v>
      </c>
      <c r="BU58" s="83" t="e">
        <f t="shared" ca="1" si="280"/>
        <v>#NUM!</v>
      </c>
      <c r="BV58" s="83"/>
      <c r="BX58" s="83" t="e">
        <f t="shared" ca="1" si="281"/>
        <v>#NUM!</v>
      </c>
      <c r="BY58" s="83" t="e">
        <f t="shared" ca="1" si="292"/>
        <v>#NUM!</v>
      </c>
      <c r="BZ58" s="83" t="e">
        <f t="shared" ca="1" si="282"/>
        <v>#NUM!</v>
      </c>
      <c r="CA58" s="83" t="e">
        <f t="shared" ca="1" si="292"/>
        <v>#NUM!</v>
      </c>
      <c r="CB58" s="83" t="e">
        <f t="shared" ca="1" si="283"/>
        <v>#NUM!</v>
      </c>
      <c r="CC58" s="83" t="e">
        <f t="shared" ca="1" si="292"/>
        <v>#NUM!</v>
      </c>
      <c r="CD58" s="83">
        <f>IF(RTD("tos.rtd",,CD$43,"."&amp;$A$43&amp;$AS$42&amp;"C"&amp;$A58)="N/A",0,RTD("tos.rtd",,CD$43,"."&amp;$A$43&amp;$AS$42&amp;"C"&amp;$A58))</f>
        <v>0.02</v>
      </c>
      <c r="CE58" s="83">
        <f>-IF(RTD("tos.rtd",,CE$43,"."&amp;$A$43&amp;$AS$42&amp;"P"&amp;$A58)="N/A",0,RTD("tos.rtd",,CE$43,"."&amp;$A$43&amp;$AS$42&amp;"P"&amp;$A58))</f>
        <v>0.55000000000000004</v>
      </c>
      <c r="CF58" s="83">
        <f>IF(RTD("tos.rtd",,CF$2,"."&amp;$A$43&amp;$AU$1&amp;"C"&amp;$A58)="N/A",0,RTD("tos.rtd",,CF$2,"."&amp;$A$43&amp;$AU$1&amp;"C"&amp;$A58))</f>
        <v>0.02</v>
      </c>
      <c r="CG58" s="83">
        <f>-IF(RTD("tos.rtd",,CG$2,"."&amp;$A$43&amp;$AU$1&amp;"P"&amp;$A58)="N/A",0,RTD("tos.rtd",,CG$2,"."&amp;$A$43&amp;$AU$1&amp;"P"&amp;$A58))</f>
        <v>0.93</v>
      </c>
      <c r="CH58" s="83">
        <f>IF(RTD("tos.rtd",,CH$2,"."&amp;$A$43&amp;$AW$1&amp;"C"&amp;$A58)="N/A",0,RTD("tos.rtd",,CH$2,"."&amp;$A$43&amp;$AW$1&amp;"C"&amp;$A58))</f>
        <v>0.49</v>
      </c>
      <c r="CI58" s="83">
        <f>-IF(RTD("tos.rtd",,CI$2,"."&amp;$A$43&amp;$AW$1&amp;"P"&amp;$A58)="N/A",0,RTD("tos.rtd",,CI$2,"."&amp;$A$43&amp;$AW$1&amp;"P"&amp;$A58))</f>
        <v>0.51</v>
      </c>
      <c r="CK58" s="83">
        <f t="shared" si="284"/>
        <v>-83990</v>
      </c>
      <c r="CL58" s="83"/>
      <c r="CM58" s="83">
        <f t="shared" si="285"/>
        <v>-311083.00000000006</v>
      </c>
      <c r="CN58" s="83"/>
      <c r="CO58" s="83">
        <f t="shared" si="286"/>
        <v>13783</v>
      </c>
      <c r="CP58" s="83">
        <f t="shared" si="233"/>
        <v>-381290.00000000006</v>
      </c>
      <c r="CQ58" s="83">
        <f t="shared" si="247"/>
        <v>0</v>
      </c>
      <c r="CR58" s="83"/>
      <c r="CS58" s="83">
        <f t="shared" si="248"/>
        <v>70301</v>
      </c>
      <c r="CT58" s="83"/>
      <c r="CU58" s="83">
        <f t="shared" si="249"/>
        <v>732</v>
      </c>
      <c r="CV58" s="83"/>
      <c r="CW58" s="83" t="e">
        <f t="shared" ca="1" si="250"/>
        <v>#NUM!</v>
      </c>
      <c r="CY58" s="83" t="e">
        <f t="shared" ca="1" si="251"/>
        <v>#NUM!</v>
      </c>
      <c r="CZ58" s="70" t="e">
        <f t="shared" ca="1" si="293"/>
        <v>#NUM!</v>
      </c>
      <c r="DA58" s="83">
        <f>IF(RTD("tos.rtd",,DA$43,"."&amp;$A$43&amp;$AS$42&amp;"C"&amp;$A58)="N/A",0,RTD("tos.rtd",,DA$43,"."&amp;$A$43&amp;$AS$42&amp;"C"&amp;$A58))</f>
        <v>0.01</v>
      </c>
      <c r="DB58" s="83">
        <f>IF(RTD("tos.rtd",,DB$43,"."&amp;$A$43&amp;$AS$42&amp;"P"&amp;$A58)="N/A",0,RTD("tos.rtd",,DB$43,"."&amp;$A$43&amp;$AS$42&amp;"P"&amp;$A58))</f>
        <v>3.76</v>
      </c>
      <c r="DC58" s="83">
        <f>IF(RTD("tos.rtd",,DC$43,"."&amp;$A$43&amp;$AS$42&amp;"C"&amp;$A58)="N/A",0,RTD("tos.rtd",,DC$43,"."&amp;$A$43&amp;$AS$42&amp;"C"&amp;$A58))</f>
        <v>0.01</v>
      </c>
      <c r="DD58" s="83">
        <f>IF(RTD("tos.rtd",,DD$43,"."&amp;$A$43&amp;$AS$42&amp;"P"&amp;$A58)="N/A",0,RTD("tos.rtd",,DD$43,"."&amp;$A$43&amp;$AS$42&amp;"P"&amp;$A58))</f>
        <v>4</v>
      </c>
      <c r="DE58" s="83">
        <f>IF(RTD("tos.rtd",,DE$43,"."&amp;$A$43&amp;$AS$42&amp;"C"&amp;$A58)="N/A",0,RTD("tos.rtd",,DE$43,"."&amp;$A$43&amp;$AS$42&amp;"C"&amp;$A58))</f>
        <v>0</v>
      </c>
      <c r="DF58" s="83">
        <f>IF(RTD("tos.rtd",,DF$43,"."&amp;$A$43&amp;$AS$42&amp;"P"&amp;$A58)="N/A",0,RTD("tos.rtd",,DF$43,"."&amp;$A$43&amp;$AS$42&amp;"P"&amp;$A58))</f>
        <v>3.55</v>
      </c>
      <c r="DG58" s="86">
        <f t="shared" si="287"/>
        <v>1.0799999999999841</v>
      </c>
      <c r="DH58" s="83">
        <f t="shared" si="252"/>
        <v>-126992</v>
      </c>
      <c r="DI58" s="83">
        <f t="shared" si="253"/>
        <v>17330.133333333324</v>
      </c>
      <c r="DJ58" s="83">
        <f t="shared" si="254"/>
        <v>-126992</v>
      </c>
      <c r="DK58" s="83">
        <f t="shared" si="255"/>
        <v>0</v>
      </c>
      <c r="DL58" s="83">
        <f t="shared" si="256"/>
        <v>-109661.86666666667</v>
      </c>
      <c r="DM58" s="83">
        <f t="shared" si="257"/>
        <v>-126992</v>
      </c>
      <c r="DN58" s="64" t="str">
        <f t="shared" si="258"/>
        <v>UNKNOWN</v>
      </c>
      <c r="DO58" s="64" t="str">
        <f t="shared" si="259"/>
        <v>UNKNOWN</v>
      </c>
      <c r="DP58" s="83">
        <f t="shared" si="260"/>
        <v>63891.381333333295</v>
      </c>
      <c r="DQ58" s="83">
        <f t="shared" si="261"/>
        <v>-1269.92</v>
      </c>
      <c r="DR58" s="83" t="e">
        <f t="shared" ca="1" si="262"/>
        <v>#NUM!</v>
      </c>
      <c r="DS58" s="83">
        <f t="shared" si="263"/>
        <v>-2539.84</v>
      </c>
      <c r="DT58" s="83">
        <f t="shared" si="288"/>
        <v>-126992</v>
      </c>
      <c r="DU58" s="83">
        <f t="shared" si="289"/>
        <v>37136</v>
      </c>
      <c r="DV58" s="83">
        <f t="shared" si="264"/>
        <v>4782</v>
      </c>
      <c r="DW58" s="83">
        <f t="shared" si="265"/>
        <v>-3636</v>
      </c>
      <c r="DX58" s="83" t="e">
        <f t="shared" ca="1" si="361"/>
        <v>#NUM!</v>
      </c>
      <c r="DY58" s="83" t="e">
        <f t="shared" ca="1" si="362"/>
        <v>#NUM!</v>
      </c>
      <c r="DZ58" s="83" t="e">
        <f t="shared" ca="1" si="363"/>
        <v>#NUM!</v>
      </c>
      <c r="EA58" s="83" t="e">
        <f t="shared" ca="1" si="364"/>
        <v>#NUM!</v>
      </c>
      <c r="EB58" s="83" t="e">
        <f t="shared" ca="1" si="365"/>
        <v>#NUM!</v>
      </c>
      <c r="EC58" s="83" t="e">
        <f t="shared" ca="1" si="366"/>
        <v>#NUM!</v>
      </c>
      <c r="EE58" s="84">
        <f t="shared" si="266"/>
        <v>0.14829999999999999</v>
      </c>
      <c r="EF58" s="84">
        <f t="shared" si="267"/>
        <v>2.1789999999999998</v>
      </c>
      <c r="EG58" s="84">
        <f t="shared" si="268"/>
        <v>0.14829999999999999</v>
      </c>
      <c r="EH58" s="84">
        <f t="shared" si="269"/>
        <v>0.1973</v>
      </c>
      <c r="EI58" s="84">
        <f t="shared" si="270"/>
        <v>0.28849999999999998</v>
      </c>
      <c r="EJ58" s="84">
        <f t="shared" si="271"/>
        <v>0.28339999999999999</v>
      </c>
      <c r="EL58" s="83" t="str">
        <f>RTD("tos.rtd",,EL$43,"."&amp;$A$43&amp;$AS$42&amp;"C"&amp;$A58)</f>
        <v>14.83%</v>
      </c>
      <c r="EM58" s="83" t="str">
        <f>RTD("tos.rtd",,EM$43,"."&amp;$A$43&amp;$AS$42&amp;"P"&amp;$A58)</f>
        <v>217.90%</v>
      </c>
      <c r="EN58" s="83" t="str">
        <f>RTD("tos.rtd",,EN$2,"."&amp;$A$43&amp;$AU$1&amp;"C"&amp;$A58)</f>
        <v>14.83%</v>
      </c>
      <c r="EO58" s="83" t="str">
        <f>RTD("tos.rtd",,EO$2,"."&amp;$A$43&amp;$AU$1&amp;"P"&amp;$A58)</f>
        <v>19.73%</v>
      </c>
      <c r="EP58" s="83" t="str">
        <f>RTD("tos.rtd",,EP$2,"."&amp;$A$43&amp;$AW$1&amp;"C"&amp;$A58)</f>
        <v>28.85%</v>
      </c>
      <c r="EQ58" s="83" t="str">
        <f>RTD("tos.rtd",,EQ$2,"."&amp;$A$43&amp;$AW$1&amp;"P"&amp;$A58)</f>
        <v>28.34%</v>
      </c>
      <c r="ES58" s="63" t="str">
        <f t="shared" si="272"/>
        <v>489,1146.00</v>
      </c>
      <c r="ET58" s="64" t="str">
        <f t="shared" ca="1" si="273"/>
        <v>489,00.00</v>
      </c>
      <c r="EU58" s="68">
        <v>563</v>
      </c>
      <c r="EV58" s="68" t="s">
        <v>483</v>
      </c>
      <c r="EW58" s="68">
        <v>485.27</v>
      </c>
      <c r="EX58" s="68" t="s">
        <v>484</v>
      </c>
      <c r="EY58" s="68">
        <v>5643.75</v>
      </c>
      <c r="EZ58" s="68" t="s">
        <v>485</v>
      </c>
      <c r="FA58" s="68">
        <v>19935.5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90"/>
        <v>488</v>
      </c>
      <c r="B59" s="3">
        <f t="shared" si="239"/>
        <v>6070</v>
      </c>
      <c r="C59" s="3">
        <f t="shared" si="240"/>
        <v>6305</v>
      </c>
      <c r="D59" s="3">
        <f t="shared" si="241"/>
        <v>2491</v>
      </c>
      <c r="E59" s="3">
        <f>SUM(B59:D59)</f>
        <v>14866</v>
      </c>
      <c r="F59" s="4">
        <f>+$F$44/$A$44*A59</f>
        <v>20149.803246433843</v>
      </c>
      <c r="AM59" s="1">
        <v>-17084</v>
      </c>
      <c r="AN59" s="1">
        <v>-4247</v>
      </c>
      <c r="AO59" s="1">
        <v>488</v>
      </c>
      <c r="AP59" s="1">
        <v>207531</v>
      </c>
      <c r="AQ59" s="1">
        <v>-114179</v>
      </c>
      <c r="AS59" s="6">
        <f>IF(RTD("tos.rtd",,AS$43,"."&amp;$A$43&amp;$AS$42&amp;"C"&amp;$A59)="N/A",0,RTD("tos.rtd",,AS$43,"."&amp;$A$43&amp;$AS$42&amp;"C"&amp;$A59))</f>
        <v>2371</v>
      </c>
      <c r="AT59" s="7">
        <f>-IF(RTD("tos.rtd",,AT$43,"."&amp;$A$43&amp;$AS$42&amp;"P"&amp;$A59)="N/A",0,RTD("tos.rtd",,AT$43,"."&amp;$A$43&amp;$AS$42&amp;"P"&amp;$A59))</f>
        <v>-3699</v>
      </c>
      <c r="AU59" s="6">
        <f>IF(RTD("tos.rtd",,AU$2,"."&amp;$A$43&amp;$AU$1&amp;"C"&amp;$A59)="N/A",0,RTD("tos.rtd",,AU$2,"."&amp;$A$43&amp;$AU$1&amp;"C"&amp;$A59))</f>
        <v>2815</v>
      </c>
      <c r="AV59" s="7">
        <f>-IF(RTD("tos.rtd",,AV$2,"."&amp;$A$43&amp;$AU$1&amp;"P"&amp;$A59)="N/A",0,RTD("tos.rtd",,AV$2,"."&amp;$A$43&amp;$AU$1&amp;"P"&amp;$A59))</f>
        <v>-3490</v>
      </c>
      <c r="AW59" s="6">
        <f>IF(RTD("tos.rtd",,AW$2,"."&amp;$A$43&amp;$AW$1&amp;"C"&amp;$A59)="N/A",0,RTD("tos.rtd",,AW$2,"."&amp;$A$43&amp;$AW$1&amp;"C"&amp;$A59))</f>
        <v>1483</v>
      </c>
      <c r="AX59" s="7">
        <f>-IF(RTD("tos.rtd",,AX$2,"."&amp;$A$43&amp;$AW$1&amp;"P"&amp;$A59)="N/A",0,RTD("tos.rtd",,AX$2,"."&amp;$A$43&amp;$AW$1&amp;"P"&amp;$A59))</f>
        <v>-1008</v>
      </c>
      <c r="AY59" s="7">
        <f>SUM(AS59:AX59)</f>
        <v>-1528</v>
      </c>
      <c r="AZ59" s="8">
        <f t="shared" si="243"/>
        <v>488</v>
      </c>
      <c r="BA59" s="6">
        <f>IF(RTD("tos.rtd",,BA$43,"."&amp;$A$43&amp;$AS$42&amp;"C"&amp;$A59)="N/A",0,RTD("tos.rtd",,BA$43,"."&amp;$A$43&amp;$AS$42&amp;"C"&amp;$A59))</f>
        <v>0</v>
      </c>
      <c r="BB59" s="7">
        <f>-IF(RTD("tos.rtd",,BB$43,"."&amp;$A$43&amp;$AS$42&amp;"P"&amp;$A59)="N/A",0,RTD("tos.rtd",,BB$43,"."&amp;$A$43&amp;$AS$42&amp;"P"&amp;$A59))</f>
        <v>0</v>
      </c>
      <c r="BC59" s="6">
        <f>IF(RTD("tos.rtd",,BC$2,"."&amp;$A$43&amp;$AU$1&amp;"C"&amp;$A59)="N/A",0,RTD("tos.rtd",,BC$2,"."&amp;$A$43&amp;$AU$1&amp;"C"&amp;$A59))</f>
        <v>134820</v>
      </c>
      <c r="BD59" s="7">
        <f>-IF(RTD("tos.rtd",,BD$2,"."&amp;$A$43&amp;$AU$1&amp;"P"&amp;$A59)="N/A",0,RTD("tos.rtd",,BD$2,"."&amp;$A$43&amp;$AU$1&amp;"P"&amp;$A59))</f>
        <v>-167184</v>
      </c>
      <c r="BE59" s="6">
        <f>IF(RTD("tos.rtd",,BE$2,"."&amp;$A$43&amp;$AW$1&amp;"C"&amp;$A59)="N/A",0,RTD("tos.rtd",,BE$2,"."&amp;$A$43&amp;$AW$1&amp;"C"&amp;$A59))</f>
        <v>1844</v>
      </c>
      <c r="BF59" s="7">
        <f>-IF(RTD("tos.rtd",,BF$2,"."&amp;$A$43&amp;$AW$1&amp;"P"&amp;$A59)="N/A",0,RTD("tos.rtd",,BF$2,"."&amp;$A$43&amp;$AW$1&amp;"P"&amp;$A59))</f>
        <v>-2184</v>
      </c>
      <c r="BG59" s="32">
        <f ca="1">+Hoja2!Y60</f>
        <v>-249</v>
      </c>
      <c r="BH59" s="7">
        <f t="shared" ca="1" si="275"/>
        <v>-32953</v>
      </c>
      <c r="BI59" s="8" t="str">
        <f t="shared" ca="1" si="291"/>
        <v>Cruce -</v>
      </c>
      <c r="BJ59" s="83" t="e">
        <f ca="1">IF($BP$1=1,DX59,IF(RTD("tos.rtd",,BJ$43,"."&amp;$A$43&amp;$AS$42&amp;"C"&amp;$A59)="N/A",0,RTD("tos.rtd",,BJ$43,"."&amp;$A$43&amp;$AS$42&amp;"C"&amp;$A59)))</f>
        <v>#NUM!</v>
      </c>
      <c r="BK59" s="83" t="e">
        <f ca="1">IF($BP$1=1,DY59,-IF(RTD("tos.rtd",,BK$43,"."&amp;$A$43&amp;$AS$42&amp;"P"&amp;$A59)="N/A",0,RTD("tos.rtd",,BK$43,"."&amp;$A$43&amp;$AS$42&amp;"P"&amp;$A59)))</f>
        <v>#NUM!</v>
      </c>
      <c r="BL59" s="83" t="e">
        <f ca="1">IF($BP$1=1,DZ59,IF(RTD("tos.rtd",,BL$2,"."&amp;$A$43&amp;$AU$1&amp;"C"&amp;$A59)="N/A",0,RTD("tos.rtd",,BL$2,"."&amp;$A$43&amp;$AU$1&amp;"C"&amp;$A59)))</f>
        <v>#NUM!</v>
      </c>
      <c r="BM59" s="83" t="e">
        <f ca="1">IF($BP$1=1,EA59,-IF(RTD("tos.rtd",,BM$2,"."&amp;$A$43&amp;$AU$1&amp;"P"&amp;$A59)="N/A",0,RTD("tos.rtd",,BM$2,"."&amp;$A$43&amp;$AU$1&amp;"P"&amp;$A59)))</f>
        <v>#NUM!</v>
      </c>
      <c r="BN59" s="83" t="e">
        <f ca="1">IF($BP$1=1,EB59,IF(RTD("tos.rtd",,BN$2,"."&amp;$A$43&amp;$AW$1&amp;"C"&amp;$A59)="N/A",0,RTD("tos.rtd",,BN$2,"."&amp;$A$43&amp;$AW$1&amp;"C"&amp;$A59)))</f>
        <v>#NUM!</v>
      </c>
      <c r="BO59" s="83" t="e">
        <f ca="1">IF($BP$1=1,EC59,-IF(RTD("tos.rtd",,BO$2,"."&amp;$A$43&amp;$AW$1&amp;"P"&amp;$A59)="N/A",0,RTD("tos.rtd",,BO$2,"."&amp;$A$43&amp;$AW$1&amp;"P"&amp;$A59)))</f>
        <v>#NUM!</v>
      </c>
      <c r="BQ59" s="83" t="e">
        <f t="shared" ca="1" si="276"/>
        <v>#NUM!</v>
      </c>
      <c r="BR59" s="3" t="e">
        <f t="shared" ca="1" si="277"/>
        <v>#NUM!</v>
      </c>
      <c r="BS59" s="83" t="e">
        <f t="shared" ca="1" si="278"/>
        <v>#NUM!</v>
      </c>
      <c r="BT59" s="3" t="e">
        <f t="shared" ca="1" si="279"/>
        <v>#NUM!</v>
      </c>
      <c r="BU59" s="83" t="e">
        <f t="shared" ca="1" si="280"/>
        <v>#NUM!</v>
      </c>
      <c r="BV59" s="83"/>
      <c r="BX59" s="83" t="e">
        <f t="shared" ca="1" si="281"/>
        <v>#NUM!</v>
      </c>
      <c r="BY59" s="83" t="e">
        <f t="shared" ca="1" si="292"/>
        <v>#NUM!</v>
      </c>
      <c r="BZ59" s="83" t="e">
        <f t="shared" ca="1" si="282"/>
        <v>#NUM!</v>
      </c>
      <c r="CA59" s="83" t="e">
        <f t="shared" ca="1" si="292"/>
        <v>#NUM!</v>
      </c>
      <c r="CB59" s="83" t="e">
        <f t="shared" ca="1" si="283"/>
        <v>#NUM!</v>
      </c>
      <c r="CC59" s="83" t="e">
        <f t="shared" ca="1" si="292"/>
        <v>#NUM!</v>
      </c>
      <c r="CD59" s="83">
        <f>IF(RTD("tos.rtd",,CD$43,"."&amp;$A$43&amp;$AS$42&amp;"C"&amp;$A59)="N/A",0,RTD("tos.rtd",,CD$43,"."&amp;$A$43&amp;$AS$42&amp;"C"&amp;$A59))</f>
        <v>0.14000000000000001</v>
      </c>
      <c r="CE59" s="83">
        <f>-IF(RTD("tos.rtd",,CE$43,"."&amp;$A$43&amp;$AS$42&amp;"P"&amp;$A59)="N/A",0,RTD("tos.rtd",,CE$43,"."&amp;$A$43&amp;$AS$42&amp;"P"&amp;$A59))</f>
        <v>0.5</v>
      </c>
      <c r="CF59" s="83">
        <f>IF(RTD("tos.rtd",,CF$2,"."&amp;$A$43&amp;$AU$1&amp;"C"&amp;$A59)="N/A",0,RTD("tos.rtd",,CF$2,"."&amp;$A$43&amp;$AU$1&amp;"C"&amp;$A59))</f>
        <v>0.44</v>
      </c>
      <c r="CG59" s="83">
        <f>-IF(RTD("tos.rtd",,CG$2,"."&amp;$A$43&amp;$AU$1&amp;"P"&amp;$A59)="N/A",0,RTD("tos.rtd",,CG$2,"."&amp;$A$43&amp;$AU$1&amp;"P"&amp;$A59))</f>
        <v>0.56999999999999995</v>
      </c>
      <c r="CH59" s="83">
        <f>IF(RTD("tos.rtd",,CH$2,"."&amp;$A$43&amp;$AW$1&amp;"C"&amp;$A59)="N/A",0,RTD("tos.rtd",,CH$2,"."&amp;$A$43&amp;$AW$1&amp;"C"&amp;$A59))</f>
        <v>0.51</v>
      </c>
      <c r="CI59" s="83">
        <f>-IF(RTD("tos.rtd",,CI$2,"."&amp;$A$43&amp;$AW$1&amp;"P"&amp;$A59)="N/A",0,RTD("tos.rtd",,CI$2,"."&amp;$A$43&amp;$AW$1&amp;"P"&amp;$A59))</f>
        <v>0.49</v>
      </c>
      <c r="CK59" s="83">
        <f t="shared" si="284"/>
        <v>-151756</v>
      </c>
      <c r="CL59" s="83"/>
      <c r="CM59" s="83">
        <f t="shared" si="285"/>
        <v>-75069.999999999985</v>
      </c>
      <c r="CN59" s="83"/>
      <c r="CO59" s="83">
        <f t="shared" si="286"/>
        <v>26241</v>
      </c>
      <c r="CP59" s="83">
        <f t="shared" si="233"/>
        <v>-200585</v>
      </c>
      <c r="CQ59" s="83">
        <f t="shared" si="247"/>
        <v>0</v>
      </c>
      <c r="CR59" s="83"/>
      <c r="CS59" s="83">
        <f t="shared" si="248"/>
        <v>-32364</v>
      </c>
      <c r="CT59" s="83"/>
      <c r="CU59" s="83">
        <f t="shared" si="249"/>
        <v>-340</v>
      </c>
      <c r="CV59" s="83"/>
      <c r="CW59" s="83" t="e">
        <f ca="1">+BQ59+BS59+BU59</f>
        <v>#NUM!</v>
      </c>
      <c r="CY59" s="83" t="e">
        <f t="shared" ca="1" si="251"/>
        <v>#NUM!</v>
      </c>
      <c r="CZ59" s="70" t="e">
        <f t="shared" ca="1" si="293"/>
        <v>#NUM!</v>
      </c>
      <c r="DA59" s="83">
        <f>IF(RTD("tos.rtd",,DA$43,"."&amp;$A$43&amp;$AS$42&amp;"C"&amp;$A59)="N/A",0,RTD("tos.rtd",,DA$43,"."&amp;$A$43&amp;$AS$42&amp;"C"&amp;$A59))</f>
        <v>0.01</v>
      </c>
      <c r="DB59" s="83">
        <f>IF(RTD("tos.rtd",,DB$43,"."&amp;$A$43&amp;$AS$42&amp;"P"&amp;$A59)="N/A",0,RTD("tos.rtd",,DB$43,"."&amp;$A$43&amp;$AS$42&amp;"P"&amp;$A59))</f>
        <v>2.78</v>
      </c>
      <c r="DC59" s="83">
        <f>IF(RTD("tos.rtd",,DC$43,"."&amp;$A$43&amp;$AS$42&amp;"C"&amp;$A59)="N/A",0,RTD("tos.rtd",,DC$43,"."&amp;$A$43&amp;$AS$42&amp;"C"&amp;$A59))</f>
        <v>0.01</v>
      </c>
      <c r="DD59" s="83">
        <f>IF(RTD("tos.rtd",,DD$43,"."&amp;$A$43&amp;$AS$42&amp;"P"&amp;$A59)="N/A",0,RTD("tos.rtd",,DD$43,"."&amp;$A$43&amp;$AS$42&amp;"P"&amp;$A59))</f>
        <v>2.94</v>
      </c>
      <c r="DE59" s="83">
        <f>IF(RTD("tos.rtd",,DE$43,"."&amp;$A$43&amp;$AS$42&amp;"C"&amp;$A59)="N/A",0,RTD("tos.rtd",,DE$43,"."&amp;$A$43&amp;$AS$42&amp;"C"&amp;$A59))</f>
        <v>0</v>
      </c>
      <c r="DF59" s="83">
        <f>IF(RTD("tos.rtd",,DF$43,"."&amp;$A$43&amp;$AS$42&amp;"P"&amp;$A59)="N/A",0,RTD("tos.rtd",,DF$43,"."&amp;$A$43&amp;$AS$42&amp;"P"&amp;$A59))</f>
        <v>2.52</v>
      </c>
      <c r="DG59" s="86">
        <f t="shared" si="287"/>
        <v>7.9999999999984084E-2</v>
      </c>
      <c r="DH59" s="83">
        <f t="shared" si="252"/>
        <v>-207531</v>
      </c>
      <c r="DI59" s="83">
        <f t="shared" si="253"/>
        <v>70682.238095238048</v>
      </c>
      <c r="DJ59" s="83">
        <f t="shared" si="254"/>
        <v>-207531</v>
      </c>
      <c r="DK59" s="83">
        <f t="shared" si="255"/>
        <v>114179</v>
      </c>
      <c r="DL59" s="83">
        <f t="shared" si="256"/>
        <v>-136848.76190476195</v>
      </c>
      <c r="DM59" s="83">
        <f t="shared" si="257"/>
        <v>-93352</v>
      </c>
      <c r="DN59" s="64" t="str">
        <f t="shared" si="258"/>
        <v>UNKNOWN</v>
      </c>
      <c r="DO59" s="64" t="str">
        <f t="shared" si="259"/>
        <v>UNKNOWN</v>
      </c>
      <c r="DP59" s="83">
        <f t="shared" si="260"/>
        <v>194421.31190476177</v>
      </c>
      <c r="DQ59" s="83">
        <f t="shared" si="261"/>
        <v>315342.31</v>
      </c>
      <c r="DR59" s="83" t="e">
        <f t="shared" ca="1" si="262"/>
        <v>#NUM!</v>
      </c>
      <c r="DS59" s="83">
        <f t="shared" si="263"/>
        <v>28035.159999999996</v>
      </c>
      <c r="DT59" s="83">
        <f t="shared" si="288"/>
        <v>-207531</v>
      </c>
      <c r="DU59" s="83">
        <f t="shared" si="289"/>
        <v>114179</v>
      </c>
      <c r="DV59" s="83">
        <f t="shared" si="264"/>
        <v>-17084</v>
      </c>
      <c r="DW59" s="83">
        <f t="shared" si="265"/>
        <v>-4247</v>
      </c>
      <c r="DX59" s="83" t="e">
        <f t="shared" ca="1" si="361"/>
        <v>#NUM!</v>
      </c>
      <c r="DY59" s="83" t="e">
        <f t="shared" ca="1" si="362"/>
        <v>#NUM!</v>
      </c>
      <c r="DZ59" s="83" t="e">
        <f t="shared" ca="1" si="363"/>
        <v>#NUM!</v>
      </c>
      <c r="EA59" s="83" t="e">
        <f t="shared" ca="1" si="364"/>
        <v>#NUM!</v>
      </c>
      <c r="EB59" s="83" t="e">
        <f t="shared" ca="1" si="365"/>
        <v>#NUM!</v>
      </c>
      <c r="EC59" s="83" t="e">
        <f t="shared" ca="1" si="366"/>
        <v>#NUM!</v>
      </c>
      <c r="EE59" s="84">
        <f t="shared" si="266"/>
        <v>1.9599999999999999E-2</v>
      </c>
      <c r="EF59" s="84">
        <f t="shared" si="267"/>
        <v>1.83</v>
      </c>
      <c r="EG59" s="84">
        <f t="shared" si="268"/>
        <v>0.14430000000000001</v>
      </c>
      <c r="EH59" s="84">
        <f t="shared" si="269"/>
        <v>0.1244</v>
      </c>
      <c r="EI59" s="84">
        <f t="shared" si="270"/>
        <v>0.29020000000000001</v>
      </c>
      <c r="EJ59" s="84">
        <f t="shared" si="271"/>
        <v>0.28520000000000001</v>
      </c>
      <c r="EL59" s="83" t="str">
        <f>RTD("tos.rtd",,EL$43,"."&amp;$A$43&amp;$AS$42&amp;"C"&amp;$A59)</f>
        <v>1.96%</v>
      </c>
      <c r="EM59" s="83" t="str">
        <f>RTD("tos.rtd",,EM$43,"."&amp;$A$43&amp;$AS$42&amp;"P"&amp;$A59)</f>
        <v>183.00%</v>
      </c>
      <c r="EN59" s="83" t="str">
        <f>RTD("tos.rtd",,EN$2,"."&amp;$A$43&amp;$AU$1&amp;"C"&amp;$A59)</f>
        <v>14.43%</v>
      </c>
      <c r="EO59" s="83" t="str">
        <f>RTD("tos.rtd",,EO$2,"."&amp;$A$43&amp;$AU$1&amp;"P"&amp;$A59)</f>
        <v>12.44%</v>
      </c>
      <c r="EP59" s="83" t="str">
        <f>RTD("tos.rtd",,EP$2,"."&amp;$A$43&amp;$AW$1&amp;"C"&amp;$A59)</f>
        <v>29.02%</v>
      </c>
      <c r="EQ59" s="83" t="str">
        <f>RTD("tos.rtd",,EQ$2,"."&amp;$A$43&amp;$AW$1&amp;"P"&amp;$A59)</f>
        <v>28.52%</v>
      </c>
      <c r="ES59" s="63" t="str">
        <f t="shared" si="272"/>
        <v>488,-21331.00</v>
      </c>
      <c r="ET59" s="64" t="str">
        <f t="shared" ca="1" si="273"/>
        <v>488,00.00</v>
      </c>
      <c r="EU59" s="68">
        <v>562.94000000000005</v>
      </c>
      <c r="EV59" s="68" t="s">
        <v>491</v>
      </c>
      <c r="EW59" s="68">
        <v>485.27</v>
      </c>
      <c r="EX59" s="68" t="s">
        <v>492</v>
      </c>
      <c r="EY59" s="68">
        <v>5643.25</v>
      </c>
      <c r="EZ59" s="68" t="s">
        <v>493</v>
      </c>
      <c r="FA59" s="68">
        <v>19935.5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90"/>
        <v>487</v>
      </c>
      <c r="B60" s="3">
        <f t="shared" si="239"/>
        <v>5403</v>
      </c>
      <c r="C60" s="3">
        <f t="shared" si="240"/>
        <v>4891</v>
      </c>
      <c r="D60" s="3">
        <f t="shared" si="241"/>
        <v>1470</v>
      </c>
      <c r="E60" s="3">
        <f t="shared" si="242"/>
        <v>11764</v>
      </c>
      <c r="F60" s="4">
        <f t="shared" si="294"/>
        <v>20108.512666010822</v>
      </c>
      <c r="AM60" s="1">
        <v>-3095</v>
      </c>
      <c r="AN60" s="1">
        <v>-8585</v>
      </c>
      <c r="AO60" s="1">
        <v>487</v>
      </c>
      <c r="AP60" s="1">
        <v>177243</v>
      </c>
      <c r="AQ60" s="1">
        <v>-178004</v>
      </c>
      <c r="AS60" s="6">
        <f>IF(RTD("tos.rtd",,AS$43,"."&amp;$A$43&amp;$AS$42&amp;"C"&amp;$A60)="N/A",0,RTD("tos.rtd",,AS$43,"."&amp;$A$43&amp;$AS$42&amp;"C"&amp;$A60))</f>
        <v>1132</v>
      </c>
      <c r="AT60" s="7">
        <f>-IF(RTD("tos.rtd",,AT$43,"."&amp;$A$43&amp;$AS$42&amp;"P"&amp;$A60)="N/A",0,RTD("tos.rtd",,AT$43,"."&amp;$A$43&amp;$AS$42&amp;"P"&amp;$A60))</f>
        <v>-4271</v>
      </c>
      <c r="AU60" s="6">
        <f>IF(RTD("tos.rtd",,AU$2,"."&amp;$A$43&amp;$AU$1&amp;"C"&amp;$A60)="N/A",0,RTD("tos.rtd",,AU$2,"."&amp;$A$43&amp;$AU$1&amp;"C"&amp;$A60))</f>
        <v>2634</v>
      </c>
      <c r="AV60" s="7">
        <f>-IF(RTD("tos.rtd",,AV$2,"."&amp;$A$43&amp;$AU$1&amp;"P"&amp;$A60)="N/A",0,RTD("tos.rtd",,AV$2,"."&amp;$A$43&amp;$AU$1&amp;"P"&amp;$A60))</f>
        <v>-2257</v>
      </c>
      <c r="AW60" s="6">
        <f>IF(RTD("tos.rtd",,AW$2,"."&amp;$A$43&amp;$AW$1&amp;"C"&amp;$A60)="N/A",0,RTD("tos.rtd",,AW$2,"."&amp;$A$43&amp;$AW$1&amp;"C"&amp;$A60))</f>
        <v>757</v>
      </c>
      <c r="AX60" s="7">
        <f>-IF(RTD("tos.rtd",,AX$2,"."&amp;$A$43&amp;$AW$1&amp;"P"&amp;$A60)="N/A",0,RTD("tos.rtd",,AX$2,"."&amp;$A$43&amp;$AW$1&amp;"P"&amp;$A60))</f>
        <v>-713</v>
      </c>
      <c r="AY60" s="7">
        <f t="shared" si="274"/>
        <v>-2718</v>
      </c>
      <c r="AZ60" s="8">
        <f t="shared" si="243"/>
        <v>487</v>
      </c>
      <c r="BA60" s="6">
        <f>IF(RTD("tos.rtd",,BA$43,"."&amp;$A$43&amp;$AS$42&amp;"C"&amp;$A60)="N/A",0,RTD("tos.rtd",,BA$43,"."&amp;$A$43&amp;$AS$42&amp;"C"&amp;$A60))</f>
        <v>0</v>
      </c>
      <c r="BB60" s="7">
        <f>-IF(RTD("tos.rtd",,BB$43,"."&amp;$A$43&amp;$AS$42&amp;"P"&amp;$A60)="N/A",0,RTD("tos.rtd",,BB$43,"."&amp;$A$43&amp;$AS$42&amp;"P"&amp;$A60))</f>
        <v>0</v>
      </c>
      <c r="BC60" s="6">
        <f>IF(RTD("tos.rtd",,BC$2,"."&amp;$A$43&amp;$AU$1&amp;"C"&amp;$A60)="N/A",0,RTD("tos.rtd",,BC$2,"."&amp;$A$43&amp;$AU$1&amp;"C"&amp;$A60))</f>
        <v>57949</v>
      </c>
      <c r="BD60" s="7">
        <f>-IF(RTD("tos.rtd",,BD$2,"."&amp;$A$43&amp;$AU$1&amp;"P"&amp;$A60)="N/A",0,RTD("tos.rtd",,BD$2,"."&amp;$A$43&amp;$AU$1&amp;"P"&amp;$A60))</f>
        <v>-110290</v>
      </c>
      <c r="BE60" s="6">
        <f>IF(RTD("tos.rtd",,BE$2,"."&amp;$A$43&amp;$AW$1&amp;"C"&amp;$A60)="N/A",0,RTD("tos.rtd",,BE$2,"."&amp;$A$43&amp;$AW$1&amp;"C"&amp;$A60))</f>
        <v>1238</v>
      </c>
      <c r="BF60" s="7">
        <f>-IF(RTD("tos.rtd",,BF$2,"."&amp;$A$43&amp;$AW$1&amp;"P"&amp;$A60)="N/A",0,RTD("tos.rtd",,BF$2,"."&amp;$A$43&amp;$AW$1&amp;"P"&amp;$A60))</f>
        <v>-3102</v>
      </c>
      <c r="BG60" s="32">
        <f ca="1">+Hoja2!Y61</f>
        <v>-569</v>
      </c>
      <c r="BH60" s="7">
        <f t="shared" ca="1" si="275"/>
        <v>-54774</v>
      </c>
      <c r="BI60" s="8" t="str">
        <f t="shared" ca="1" si="291"/>
        <v/>
      </c>
      <c r="BJ60" s="83" t="e">
        <f ca="1">IF($BP$1=1,DX60,IF(RTD("tos.rtd",,BJ$43,"."&amp;$A$43&amp;$AS$42&amp;"C"&amp;$A60)="N/A",0,RTD("tos.rtd",,BJ$43,"."&amp;$A$43&amp;$AS$42&amp;"C"&amp;$A60)))</f>
        <v>#NUM!</v>
      </c>
      <c r="BK60" s="83" t="e">
        <f ca="1">IF($BP$1=1,DY60,-IF(RTD("tos.rtd",,BK$43,"."&amp;$A$43&amp;$AS$42&amp;"P"&amp;$A60)="N/A",0,RTD("tos.rtd",,BK$43,"."&amp;$A$43&amp;$AS$42&amp;"P"&amp;$A60)))</f>
        <v>#NUM!</v>
      </c>
      <c r="BL60" s="83" t="e">
        <f ca="1">IF($BP$1=1,DZ60,IF(RTD("tos.rtd",,BL$2,"."&amp;$A$43&amp;$AU$1&amp;"C"&amp;$A60)="N/A",0,RTD("tos.rtd",,BL$2,"."&amp;$A$43&amp;$AU$1&amp;"C"&amp;$A60)))</f>
        <v>#NUM!</v>
      </c>
      <c r="BM60" s="83" t="e">
        <f ca="1">IF($BP$1=1,EA60,-IF(RTD("tos.rtd",,BM$2,"."&amp;$A$43&amp;$AU$1&amp;"P"&amp;$A60)="N/A",0,RTD("tos.rtd",,BM$2,"."&amp;$A$43&amp;$AU$1&amp;"P"&amp;$A60)))</f>
        <v>#NUM!</v>
      </c>
      <c r="BN60" s="83" t="e">
        <f ca="1">IF($BP$1=1,EB60,IF(RTD("tos.rtd",,BN$2,"."&amp;$A$43&amp;$AW$1&amp;"C"&amp;$A60)="N/A",0,RTD("tos.rtd",,BN$2,"."&amp;$A$43&amp;$AW$1&amp;"C"&amp;$A60)))</f>
        <v>#NUM!</v>
      </c>
      <c r="BO60" s="83" t="e">
        <f ca="1">IF($BP$1=1,EC60,-IF(RTD("tos.rtd",,BO$2,"."&amp;$A$43&amp;$AW$1&amp;"P"&amp;$A60)="N/A",0,RTD("tos.rtd",,BO$2,"."&amp;$A$43&amp;$AW$1&amp;"P"&amp;$A60)))</f>
        <v>#NUM!</v>
      </c>
      <c r="BQ60" s="83" t="e">
        <f t="shared" ca="1" si="276"/>
        <v>#NUM!</v>
      </c>
      <c r="BR60" s="3" t="e">
        <f t="shared" ca="1" si="277"/>
        <v>#NUM!</v>
      </c>
      <c r="BS60" s="83" t="e">
        <f t="shared" ca="1" si="278"/>
        <v>#NUM!</v>
      </c>
      <c r="BT60" s="3" t="e">
        <f t="shared" ca="1" si="279"/>
        <v>#NUM!</v>
      </c>
      <c r="BU60" s="83" t="e">
        <f t="shared" ca="1" si="280"/>
        <v>#NUM!</v>
      </c>
      <c r="BV60" s="83"/>
      <c r="BX60" s="83" t="e">
        <f t="shared" ca="1" si="281"/>
        <v>#NUM!</v>
      </c>
      <c r="BY60" s="83" t="e">
        <f t="shared" ca="1" si="292"/>
        <v>#NUM!</v>
      </c>
      <c r="BZ60" s="83" t="e">
        <f t="shared" ca="1" si="282"/>
        <v>#NUM!</v>
      </c>
      <c r="CA60" s="83" t="e">
        <f t="shared" ca="1" si="292"/>
        <v>#NUM!</v>
      </c>
      <c r="CB60" s="83" t="e">
        <f t="shared" ca="1" si="283"/>
        <v>#NUM!</v>
      </c>
      <c r="CC60" s="83" t="e">
        <f t="shared" ca="1" si="292"/>
        <v>#NUM!</v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0.43</v>
      </c>
      <c r="CF60" s="83">
        <f>IF(RTD("tos.rtd",,CF$2,"."&amp;$A$43&amp;$AU$1&amp;"C"&amp;$A60)="N/A",0,RTD("tos.rtd",,CF$2,"."&amp;$A$43&amp;$AU$1&amp;"C"&amp;$A60))</f>
        <v>1</v>
      </c>
      <c r="CG60" s="83">
        <f>-IF(RTD("tos.rtd",,CG$2,"."&amp;$A$43&amp;$AU$1&amp;"P"&amp;$A60)="N/A",0,RTD("tos.rtd",,CG$2,"."&amp;$A$43&amp;$AU$1&amp;"P"&amp;$A60))</f>
        <v>0.06</v>
      </c>
      <c r="CH60" s="83">
        <f>IF(RTD("tos.rtd",,CH$2,"."&amp;$A$43&amp;$AW$1&amp;"C"&amp;$A60)="N/A",0,RTD("tos.rtd",,CH$2,"."&amp;$A$43&amp;$AW$1&amp;"C"&amp;$A60))</f>
        <v>0.54</v>
      </c>
      <c r="CI60" s="83">
        <f>-IF(RTD("tos.rtd",,CI$2,"."&amp;$A$43&amp;$AW$1&amp;"P"&amp;$A60)="N/A",0,RTD("tos.rtd",,CI$2,"."&amp;$A$43&amp;$AW$1&amp;"P"&amp;$A60))</f>
        <v>0.47</v>
      </c>
      <c r="CK60" s="83">
        <f t="shared" si="284"/>
        <v>-70453</v>
      </c>
      <c r="CL60" s="83"/>
      <c r="CM60" s="83">
        <f t="shared" si="285"/>
        <v>249858</v>
      </c>
      <c r="CN60" s="83"/>
      <c r="CO60" s="83">
        <f t="shared" si="286"/>
        <v>7367.0000000000073</v>
      </c>
      <c r="CP60" s="83">
        <f t="shared" si="233"/>
        <v>186772</v>
      </c>
      <c r="CQ60" s="83">
        <f t="shared" si="247"/>
        <v>0</v>
      </c>
      <c r="CR60" s="83"/>
      <c r="CS60" s="83">
        <f t="shared" si="248"/>
        <v>-52341</v>
      </c>
      <c r="CT60" s="83"/>
      <c r="CU60" s="83">
        <f t="shared" si="249"/>
        <v>-1864</v>
      </c>
      <c r="CV60" s="83"/>
      <c r="CW60" s="83" t="e">
        <f t="shared" ca="1" si="250"/>
        <v>#NUM!</v>
      </c>
      <c r="CY60" s="83" t="e">
        <f t="shared" ca="1" si="251"/>
        <v>#NUM!</v>
      </c>
      <c r="CZ60" s="70" t="e">
        <f t="shared" ca="1" si="293"/>
        <v>#NUM!</v>
      </c>
      <c r="DA60" s="83">
        <f>IF(RTD("tos.rtd",,DA$43,"."&amp;$A$43&amp;$AS$42&amp;"C"&amp;$A60)="N/A",0,RTD("tos.rtd",,DA$43,"."&amp;$A$43&amp;$AS$42&amp;"C"&amp;$A60))</f>
        <v>0.02</v>
      </c>
      <c r="DB60" s="83">
        <f>IF(RTD("tos.rtd",,DB$43,"."&amp;$A$43&amp;$AS$42&amp;"P"&amp;$A60)="N/A",0,RTD("tos.rtd",,DB$43,"."&amp;$A$43&amp;$AS$42&amp;"P"&amp;$A60))</f>
        <v>1.69</v>
      </c>
      <c r="DC60" s="83">
        <f>IF(RTD("tos.rtd",,DC$43,"."&amp;$A$43&amp;$AS$42&amp;"C"&amp;$A60)="N/A",0,RTD("tos.rtd",,DC$43,"."&amp;$A$43&amp;$AS$42&amp;"C"&amp;$A60))</f>
        <v>0.02</v>
      </c>
      <c r="DD60" s="83">
        <f>IF(RTD("tos.rtd",,DD$43,"."&amp;$A$43&amp;$AS$42&amp;"P"&amp;$A60)="N/A",0,RTD("tos.rtd",,DD$43,"."&amp;$A$43&amp;$AS$42&amp;"P"&amp;$A60))</f>
        <v>1.82</v>
      </c>
      <c r="DE60" s="83">
        <f>IF(RTD("tos.rtd",,DE$43,"."&amp;$A$43&amp;$AS$42&amp;"C"&amp;$A60)="N/A",0,RTD("tos.rtd",,DE$43,"."&amp;$A$43&amp;$AS$42&amp;"C"&amp;$A60))</f>
        <v>0.01</v>
      </c>
      <c r="DF60" s="83">
        <f>IF(RTD("tos.rtd",,DF$43,"."&amp;$A$43&amp;$AS$42&amp;"P"&amp;$A60)="N/A",0,RTD("tos.rtd",,DF$43,"."&amp;$A$43&amp;$AS$42&amp;"P"&amp;$A60))</f>
        <v>1.57</v>
      </c>
      <c r="DG60" s="86">
        <f t="shared" si="287"/>
        <v>-0.92000000000001592</v>
      </c>
      <c r="DH60" s="83">
        <f t="shared" si="252"/>
        <v>-177243</v>
      </c>
      <c r="DI60" s="83">
        <f t="shared" si="253"/>
        <v>85441.919999999911</v>
      </c>
      <c r="DJ60" s="83">
        <f t="shared" si="254"/>
        <v>-177243</v>
      </c>
      <c r="DK60" s="83">
        <f t="shared" si="255"/>
        <v>0</v>
      </c>
      <c r="DL60" s="83">
        <f t="shared" si="256"/>
        <v>-91801.080000000089</v>
      </c>
      <c r="DM60" s="83">
        <f t="shared" si="257"/>
        <v>-177243</v>
      </c>
      <c r="DN60" s="64" t="str">
        <f t="shared" si="258"/>
        <v>UNKNOWN</v>
      </c>
      <c r="DO60" s="64" t="str">
        <f t="shared" si="259"/>
        <v>UNKNOWN</v>
      </c>
      <c r="DP60" s="83">
        <f t="shared" si="260"/>
        <v>140851.98479999986</v>
      </c>
      <c r="DQ60" s="83">
        <f t="shared" si="261"/>
        <v>-3544.86</v>
      </c>
      <c r="DR60" s="83" t="e">
        <f t="shared" ca="1" si="262"/>
        <v>#NUM!</v>
      </c>
      <c r="DS60" s="83">
        <f t="shared" si="263"/>
        <v>-177243</v>
      </c>
      <c r="DT60" s="83">
        <f t="shared" si="288"/>
        <v>-177243</v>
      </c>
      <c r="DU60" s="83">
        <f t="shared" si="289"/>
        <v>178004</v>
      </c>
      <c r="DV60" s="83">
        <f t="shared" si="264"/>
        <v>-3095</v>
      </c>
      <c r="DW60" s="83">
        <f t="shared" si="265"/>
        <v>-8585</v>
      </c>
      <c r="DX60" s="83" t="e">
        <f t="shared" ca="1" si="361"/>
        <v>#NUM!</v>
      </c>
      <c r="DY60" s="83" t="e">
        <f t="shared" ca="1" si="362"/>
        <v>#NUM!</v>
      </c>
      <c r="DZ60" s="83" t="e">
        <f t="shared" ca="1" si="363"/>
        <v>#NUM!</v>
      </c>
      <c r="EA60" s="83" t="e">
        <f t="shared" ca="1" si="364"/>
        <v>#NUM!</v>
      </c>
      <c r="EB60" s="83" t="e">
        <f t="shared" ca="1" si="365"/>
        <v>#NUM!</v>
      </c>
      <c r="EC60" s="83" t="e">
        <f t="shared" ca="1" si="366"/>
        <v>#NUM!</v>
      </c>
      <c r="EE60" s="84">
        <f t="shared" si="266"/>
        <v>0.25</v>
      </c>
      <c r="EF60" s="84">
        <f t="shared" si="267"/>
        <v>1.4460999999999999</v>
      </c>
      <c r="EG60" s="84">
        <f t="shared" si="268"/>
        <v>0.25</v>
      </c>
      <c r="EH60" s="84">
        <f t="shared" si="269"/>
        <v>0.1605</v>
      </c>
      <c r="EI60" s="84">
        <f t="shared" si="270"/>
        <v>0.29199999999999998</v>
      </c>
      <c r="EJ60" s="84">
        <f t="shared" si="271"/>
        <v>0.28670000000000001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144.61%</v>
      </c>
      <c r="EN60" s="83" t="str">
        <f>RTD("tos.rtd",,EN$2,"."&amp;$A$43&amp;$AU$1&amp;"C"&amp;$A60)</f>
        <v>--</v>
      </c>
      <c r="EO60" s="83" t="str">
        <f>RTD("tos.rtd",,EO$2,"."&amp;$A$43&amp;$AU$1&amp;"P"&amp;$A60)</f>
        <v>16.05%</v>
      </c>
      <c r="EP60" s="83" t="str">
        <f>RTD("tos.rtd",,EP$2,"."&amp;$A$43&amp;$AW$1&amp;"C"&amp;$A60)</f>
        <v>29.20%</v>
      </c>
      <c r="EQ60" s="83" t="str">
        <f>RTD("tos.rtd",,EQ$2,"."&amp;$A$43&amp;$AW$1&amp;"P"&amp;$A60)</f>
        <v>28.67%</v>
      </c>
      <c r="ES60" s="63" t="str">
        <f t="shared" si="272"/>
        <v>487,-11680.00</v>
      </c>
      <c r="ET60" s="64" t="str">
        <f t="shared" ca="1" si="273"/>
        <v>487,00.00</v>
      </c>
      <c r="EU60" s="68">
        <v>562.99</v>
      </c>
      <c r="EV60" s="68" t="s">
        <v>499</v>
      </c>
      <c r="EW60" s="68">
        <v>485.3</v>
      </c>
      <c r="EX60" s="68" t="s">
        <v>500</v>
      </c>
      <c r="EY60" s="68">
        <v>5643.75</v>
      </c>
      <c r="EZ60" s="68" t="s">
        <v>501</v>
      </c>
      <c r="FA60" s="68">
        <v>19936.25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90"/>
        <v>486</v>
      </c>
      <c r="B61" s="3">
        <f t="shared" si="239"/>
        <v>4143</v>
      </c>
      <c r="C61" s="3">
        <f t="shared" si="240"/>
        <v>5817</v>
      </c>
      <c r="D61" s="3">
        <f t="shared" si="241"/>
        <v>1228</v>
      </c>
      <c r="E61" s="3">
        <f t="shared" si="242"/>
        <v>11188</v>
      </c>
      <c r="F61" s="4">
        <f t="shared" si="294"/>
        <v>20067.2220855878</v>
      </c>
      <c r="AM61" s="1">
        <v>-5564</v>
      </c>
      <c r="AN61" s="1">
        <v>6080</v>
      </c>
      <c r="AO61" s="1">
        <v>486</v>
      </c>
      <c r="AP61" s="1">
        <v>101382</v>
      </c>
      <c r="AQ61" s="1">
        <v>-135764</v>
      </c>
      <c r="AS61" s="6">
        <f>IF(RTD("tos.rtd",,AS$43,"."&amp;$A$43&amp;$AS$42&amp;"C"&amp;$A61)="N/A",0,RTD("tos.rtd",,AS$43,"."&amp;$A$43&amp;$AS$42&amp;"C"&amp;$A61))</f>
        <v>1247</v>
      </c>
      <c r="AT61" s="7">
        <f>-IF(RTD("tos.rtd",,AT$43,"."&amp;$A$43&amp;$AS$42&amp;"P"&amp;$A61)="N/A",0,RTD("tos.rtd",,AT$43,"."&amp;$A$43&amp;$AS$42&amp;"P"&amp;$A61))</f>
        <v>-2896</v>
      </c>
      <c r="AU61" s="6">
        <f>IF(RTD("tos.rtd",,AU$2,"."&amp;$A$43&amp;$AU$1&amp;"C"&amp;$A61)="N/A",0,RTD("tos.rtd",,AU$2,"."&amp;$A$43&amp;$AU$1&amp;"C"&amp;$A61))</f>
        <v>2181</v>
      </c>
      <c r="AV61" s="7">
        <f>-IF(RTD("tos.rtd",,AV$2,"."&amp;$A$43&amp;$AU$1&amp;"P"&amp;$A61)="N/A",0,RTD("tos.rtd",,AV$2,"."&amp;$A$43&amp;$AU$1&amp;"P"&amp;$A61))</f>
        <v>-3636</v>
      </c>
      <c r="AW61" s="6">
        <f>IF(RTD("tos.rtd",,AW$2,"."&amp;$A$43&amp;$AW$1&amp;"C"&amp;$A61)="N/A",0,RTD("tos.rtd",,AW$2,"."&amp;$A$43&amp;$AW$1&amp;"C"&amp;$A61))</f>
        <v>638</v>
      </c>
      <c r="AX61" s="7">
        <f>-IF(RTD("tos.rtd",,AX$2,"."&amp;$A$43&amp;$AW$1&amp;"P"&amp;$A61)="N/A",0,RTD("tos.rtd",,AX$2,"."&amp;$A$43&amp;$AW$1&amp;"P"&amp;$A61))</f>
        <v>-590</v>
      </c>
      <c r="AY61" s="7">
        <f t="shared" si="274"/>
        <v>-3056</v>
      </c>
      <c r="AZ61" s="8">
        <f t="shared" si="243"/>
        <v>486</v>
      </c>
      <c r="BA61" s="6">
        <f>IF(RTD("tos.rtd",,BA$43,"."&amp;$A$43&amp;$AS$42&amp;"C"&amp;$A61)="N/A",0,RTD("tos.rtd",,BA$43,"."&amp;$A$43&amp;$AS$42&amp;"C"&amp;$A61))</f>
        <v>0</v>
      </c>
      <c r="BB61" s="7">
        <f>-IF(RTD("tos.rtd",,BB$43,"."&amp;$A$43&amp;$AS$42&amp;"P"&amp;$A61)="N/A",0,RTD("tos.rtd",,BB$43,"."&amp;$A$43&amp;$AS$42&amp;"P"&amp;$A61))</f>
        <v>0</v>
      </c>
      <c r="BC61" s="6">
        <f>IF(RTD("tos.rtd",,BC$2,"."&amp;$A$43&amp;$AU$1&amp;"C"&amp;$A61)="N/A",0,RTD("tos.rtd",,BC$2,"."&amp;$A$43&amp;$AU$1&amp;"C"&amp;$A61))</f>
        <v>17501</v>
      </c>
      <c r="BD61" s="7">
        <f>-IF(RTD("tos.rtd",,BD$2,"."&amp;$A$43&amp;$AU$1&amp;"P"&amp;$A61)="N/A",0,RTD("tos.rtd",,BD$2,"."&amp;$A$43&amp;$AU$1&amp;"P"&amp;$A61))</f>
        <v>-109390</v>
      </c>
      <c r="BE61" s="6">
        <f>IF(RTD("tos.rtd",,BE$2,"."&amp;$A$43&amp;$AW$1&amp;"C"&amp;$A61)="N/A",0,RTD("tos.rtd",,BE$2,"."&amp;$A$43&amp;$AW$1&amp;"C"&amp;$A61))</f>
        <v>1695</v>
      </c>
      <c r="BF61" s="7">
        <f>-IF(RTD("tos.rtd",,BF$2,"."&amp;$A$43&amp;$AW$1&amp;"P"&amp;$A61)="N/A",0,RTD("tos.rtd",,BF$2,"."&amp;$A$43&amp;$AW$1&amp;"P"&amp;$A61))</f>
        <v>-1925</v>
      </c>
      <c r="BG61" s="32">
        <f ca="1">+Hoja2!Y62</f>
        <v>-589</v>
      </c>
      <c r="BH61" s="7">
        <f t="shared" ca="1" si="275"/>
        <v>-92708</v>
      </c>
      <c r="BI61" s="8" t="str">
        <f t="shared" ca="1" si="291"/>
        <v/>
      </c>
      <c r="BJ61" s="83" t="e">
        <f ca="1">IF($BP$1=1,DX61,IF(RTD("tos.rtd",,BJ$43,"."&amp;$A$43&amp;$AS$42&amp;"C"&amp;$A61)="N/A",0,RTD("tos.rtd",,BJ$43,"."&amp;$A$43&amp;$AS$42&amp;"C"&amp;$A61)))</f>
        <v>#NUM!</v>
      </c>
      <c r="BK61" s="83" t="e">
        <f ca="1">IF($BP$1=1,DY61,-IF(RTD("tos.rtd",,BK$43,"."&amp;$A$43&amp;$AS$42&amp;"P"&amp;$A61)="N/A",0,RTD("tos.rtd",,BK$43,"."&amp;$A$43&amp;$AS$42&amp;"P"&amp;$A61)))</f>
        <v>#NUM!</v>
      </c>
      <c r="BL61" s="83" t="e">
        <f ca="1">IF($BP$1=1,DZ61,IF(RTD("tos.rtd",,BL$2,"."&amp;$A$43&amp;$AU$1&amp;"C"&amp;$A61)="N/A",0,RTD("tos.rtd",,BL$2,"."&amp;$A$43&amp;$AU$1&amp;"C"&amp;$A61)))</f>
        <v>#NUM!</v>
      </c>
      <c r="BM61" s="83" t="e">
        <f ca="1">IF($BP$1=1,EA61,-IF(RTD("tos.rtd",,BM$2,"."&amp;$A$43&amp;$AU$1&amp;"P"&amp;$A61)="N/A",0,RTD("tos.rtd",,BM$2,"."&amp;$A$43&amp;$AU$1&amp;"P"&amp;$A61)))</f>
        <v>#NUM!</v>
      </c>
      <c r="BN61" s="83" t="e">
        <f ca="1">IF($BP$1=1,EB61,IF(RTD("tos.rtd",,BN$2,"."&amp;$A$43&amp;$AW$1&amp;"C"&amp;$A61)="N/A",0,RTD("tos.rtd",,BN$2,"."&amp;$A$43&amp;$AW$1&amp;"C"&amp;$A61)))</f>
        <v>#NUM!</v>
      </c>
      <c r="BO61" s="83" t="e">
        <f ca="1">IF($BP$1=1,EC61,-IF(RTD("tos.rtd",,BO$2,"."&amp;$A$43&amp;$AW$1&amp;"P"&amp;$A61)="N/A",0,RTD("tos.rtd",,BO$2,"."&amp;$A$43&amp;$AW$1&amp;"P"&amp;$A61)))</f>
        <v>#NUM!</v>
      </c>
      <c r="BQ61" s="83" t="e">
        <f t="shared" ca="1" si="276"/>
        <v>#NUM!</v>
      </c>
      <c r="BR61" s="3" t="e">
        <f t="shared" ca="1" si="277"/>
        <v>#NUM!</v>
      </c>
      <c r="BS61" s="83" t="e">
        <f t="shared" ca="1" si="278"/>
        <v>#NUM!</v>
      </c>
      <c r="BT61" s="3" t="e">
        <f t="shared" ca="1" si="279"/>
        <v>#NUM!</v>
      </c>
      <c r="BU61" s="83" t="e">
        <f t="shared" ca="1" si="280"/>
        <v>#NUM!</v>
      </c>
      <c r="BV61" s="83"/>
      <c r="BX61" s="83" t="e">
        <f t="shared" ca="1" si="281"/>
        <v>#NUM!</v>
      </c>
      <c r="BY61" s="83" t="e">
        <f t="shared" ca="1" si="292"/>
        <v>#NUM!</v>
      </c>
      <c r="BZ61" s="83" t="e">
        <f t="shared" ca="1" si="282"/>
        <v>#NUM!</v>
      </c>
      <c r="CA61" s="83" t="e">
        <f t="shared" ca="1" si="292"/>
        <v>#NUM!</v>
      </c>
      <c r="CB61" s="83" t="e">
        <f t="shared" ca="1" si="283"/>
        <v>#NUM!</v>
      </c>
      <c r="CC61" s="83" t="e">
        <f t="shared" ca="1" si="292"/>
        <v>#NUM!</v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0.31</v>
      </c>
      <c r="CF61" s="83">
        <f>IF(RTD("tos.rtd",,CF$2,"."&amp;$A$43&amp;$AU$1&amp;"C"&amp;$A61)="N/A",0,RTD("tos.rtd",,CF$2,"."&amp;$A$43&amp;$AU$1&amp;"C"&amp;$A61))</f>
        <v>0.92</v>
      </c>
      <c r="CG61" s="83">
        <f>-IF(RTD("tos.rtd",,CG$2,"."&amp;$A$43&amp;$AU$1&amp;"P"&amp;$A61)="N/A",0,RTD("tos.rtd",,CG$2,"."&amp;$A$43&amp;$AU$1&amp;"P"&amp;$A61))</f>
        <v>0.02</v>
      </c>
      <c r="CH61" s="83">
        <f>IF(RTD("tos.rtd",,CH$2,"."&amp;$A$43&amp;$AW$1&amp;"C"&amp;$A61)="N/A",0,RTD("tos.rtd",,CH$2,"."&amp;$A$43&amp;$AW$1&amp;"C"&amp;$A61))</f>
        <v>0.56000000000000005</v>
      </c>
      <c r="CI61" s="83">
        <f>-IF(RTD("tos.rtd",,CI$2,"."&amp;$A$43&amp;$AW$1&amp;"P"&amp;$A61)="N/A",0,RTD("tos.rtd",,CI$2,"."&amp;$A$43&amp;$AW$1&amp;"P"&amp;$A61))</f>
        <v>0.44</v>
      </c>
      <c r="CK61" s="83">
        <f t="shared" si="284"/>
        <v>34924</v>
      </c>
      <c r="CL61" s="83"/>
      <c r="CM61" s="83">
        <f t="shared" si="285"/>
        <v>193380</v>
      </c>
      <c r="CN61" s="83"/>
      <c r="CO61" s="83">
        <f t="shared" si="286"/>
        <v>9767.9999999999964</v>
      </c>
      <c r="CP61" s="83">
        <f t="shared" si="233"/>
        <v>238072</v>
      </c>
      <c r="CQ61" s="83">
        <f t="shared" si="247"/>
        <v>0</v>
      </c>
      <c r="CR61" s="83"/>
      <c r="CS61" s="83">
        <f t="shared" si="248"/>
        <v>-91889</v>
      </c>
      <c r="CT61" s="83"/>
      <c r="CU61" s="83">
        <f t="shared" si="249"/>
        <v>-230</v>
      </c>
      <c r="CV61" s="83"/>
      <c r="CW61" s="83" t="e">
        <f t="shared" ca="1" si="250"/>
        <v>#NUM!</v>
      </c>
      <c r="CY61" s="83" t="e">
        <f t="shared" ca="1" si="251"/>
        <v>#NUM!</v>
      </c>
      <c r="CZ61" s="70" t="e">
        <f t="shared" ca="1" si="293"/>
        <v>#NUM!</v>
      </c>
      <c r="DA61" s="83">
        <f>IF(RTD("tos.rtd",,DA$43,"."&amp;$A$43&amp;$AS$42&amp;"C"&amp;$A61)="N/A",0,RTD("tos.rtd",,DA$43,"."&amp;$A$43&amp;$AS$42&amp;"C"&amp;$A61))</f>
        <v>0.09</v>
      </c>
      <c r="DB61" s="83">
        <f>IF(RTD("tos.rtd",,DB$43,"."&amp;$A$43&amp;$AS$42&amp;"P"&amp;$A61)="N/A",0,RTD("tos.rtd",,DB$43,"."&amp;$A$43&amp;$AS$42&amp;"P"&amp;$A61))</f>
        <v>0.82</v>
      </c>
      <c r="DC61" s="83">
        <f>IF(RTD("tos.rtd",,DC$43,"."&amp;$A$43&amp;$AS$42&amp;"C"&amp;$A61)="N/A",0,RTD("tos.rtd",,DC$43,"."&amp;$A$43&amp;$AS$42&amp;"C"&amp;$A61))</f>
        <v>0.1</v>
      </c>
      <c r="DD61" s="83">
        <f>IF(RTD("tos.rtd",,DD$43,"."&amp;$A$43&amp;$AS$42&amp;"P"&amp;$A61)="N/A",0,RTD("tos.rtd",,DD$43,"."&amp;$A$43&amp;$AS$42&amp;"P"&amp;$A61))</f>
        <v>0.82</v>
      </c>
      <c r="DE61" s="83">
        <f>IF(RTD("tos.rtd",,DE$43,"."&amp;$A$43&amp;$AS$42&amp;"C"&amp;$A61)="N/A",0,RTD("tos.rtd",,DE$43,"."&amp;$A$43&amp;$AS$42&amp;"C"&amp;$A61))</f>
        <v>0.09</v>
      </c>
      <c r="DF61" s="83">
        <f>IF(RTD("tos.rtd",,DF$43,"."&amp;$A$43&amp;$AS$42&amp;"P"&amp;$A61)="N/A",0,RTD("tos.rtd",,DF$43,"."&amp;$A$43&amp;$AS$42&amp;"P"&amp;$A61))</f>
        <v>0.74</v>
      </c>
      <c r="DG61" s="86">
        <f t="shared" si="287"/>
        <v>-1.9200000000000159</v>
      </c>
      <c r="DH61" s="83">
        <f t="shared" si="252"/>
        <v>0</v>
      </c>
      <c r="DI61" s="83">
        <f t="shared" si="253"/>
        <v>135764</v>
      </c>
      <c r="DJ61" s="83">
        <f t="shared" si="254"/>
        <v>101382</v>
      </c>
      <c r="DK61" s="83">
        <f t="shared" si="255"/>
        <v>135764</v>
      </c>
      <c r="DL61" s="83">
        <f t="shared" si="256"/>
        <v>135764</v>
      </c>
      <c r="DM61" s="83">
        <f t="shared" si="257"/>
        <v>237146</v>
      </c>
      <c r="DN61" s="64" t="str">
        <f t="shared" si="258"/>
        <v>UNKNOWN</v>
      </c>
      <c r="DO61" s="64" t="str">
        <f t="shared" si="259"/>
        <v>UNKNOWN</v>
      </c>
      <c r="DP61" s="83">
        <f t="shared" si="260"/>
        <v>111326.48</v>
      </c>
      <c r="DQ61" s="83">
        <f t="shared" si="261"/>
        <v>120450.86</v>
      </c>
      <c r="DR61" s="83" t="e">
        <f t="shared" ca="1" si="262"/>
        <v>#NUM!</v>
      </c>
      <c r="DS61" s="83">
        <f t="shared" si="263"/>
        <v>143468.84</v>
      </c>
      <c r="DT61" s="83">
        <f t="shared" si="288"/>
        <v>-101382</v>
      </c>
      <c r="DU61" s="83">
        <f t="shared" si="289"/>
        <v>135764</v>
      </c>
      <c r="DV61" s="83">
        <f t="shared" si="264"/>
        <v>-5564</v>
      </c>
      <c r="DW61" s="83">
        <f t="shared" si="265"/>
        <v>6080</v>
      </c>
      <c r="DX61" s="83" t="e">
        <f t="shared" ca="1" si="361"/>
        <v>#NUM!</v>
      </c>
      <c r="DY61" s="83" t="e">
        <f t="shared" ca="1" si="362"/>
        <v>#NUM!</v>
      </c>
      <c r="DZ61" s="83" t="e">
        <f t="shared" ca="1" si="363"/>
        <v>#NUM!</v>
      </c>
      <c r="EA61" s="83" t="e">
        <f t="shared" ca="1" si="364"/>
        <v>#NUM!</v>
      </c>
      <c r="EB61" s="83" t="e">
        <f t="shared" ca="1" si="365"/>
        <v>#NUM!</v>
      </c>
      <c r="EC61" s="83" t="e">
        <f t="shared" ca="1" si="366"/>
        <v>#NUM!</v>
      </c>
      <c r="EE61" s="84">
        <f t="shared" si="266"/>
        <v>0.25</v>
      </c>
      <c r="EF61" s="84">
        <f t="shared" si="267"/>
        <v>1.0602</v>
      </c>
      <c r="EG61" s="84">
        <f t="shared" si="268"/>
        <v>0.3795</v>
      </c>
      <c r="EH61" s="84">
        <f t="shared" si="269"/>
        <v>0.24279999999999999</v>
      </c>
      <c r="EI61" s="84">
        <f t="shared" si="270"/>
        <v>0.29389999999999999</v>
      </c>
      <c r="EJ61" s="84">
        <f t="shared" si="271"/>
        <v>0.2883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106.02%</v>
      </c>
      <c r="EN61" s="83" t="str">
        <f>RTD("tos.rtd",,EN$2,"."&amp;$A$43&amp;$AU$1&amp;"C"&amp;$A61)</f>
        <v>37.95%</v>
      </c>
      <c r="EO61" s="83" t="str">
        <f>RTD("tos.rtd",,EO$2,"."&amp;$A$43&amp;$AU$1&amp;"P"&amp;$A61)</f>
        <v>24.28%</v>
      </c>
      <c r="EP61" s="83" t="str">
        <f>RTD("tos.rtd",,EP$2,"."&amp;$A$43&amp;$AW$1&amp;"C"&amp;$A61)</f>
        <v>29.39%</v>
      </c>
      <c r="EQ61" s="83" t="str">
        <f>RTD("tos.rtd",,EQ$2,"."&amp;$A$43&amp;$AW$1&amp;"P"&amp;$A61)</f>
        <v>28.83%</v>
      </c>
      <c r="ES61" s="63" t="str">
        <f t="shared" si="272"/>
        <v>486,516.00</v>
      </c>
      <c r="ET61" s="64" t="str">
        <f t="shared" ca="1" si="273"/>
        <v>486,00.00</v>
      </c>
      <c r="EU61" s="68">
        <v>562.9</v>
      </c>
      <c r="EV61" s="68" t="s">
        <v>507</v>
      </c>
      <c r="EW61" s="68">
        <v>485.24</v>
      </c>
      <c r="EX61" s="68" t="s">
        <v>508</v>
      </c>
      <c r="EY61" s="68">
        <v>5643.25</v>
      </c>
      <c r="EZ61" s="68" t="s">
        <v>509</v>
      </c>
      <c r="FA61" s="68">
        <v>19934.25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90"/>
        <v>485</v>
      </c>
      <c r="B62" s="33">
        <f t="shared" si="239"/>
        <v>37950</v>
      </c>
      <c r="C62" s="33">
        <f t="shared" si="240"/>
        <v>20129</v>
      </c>
      <c r="D62" s="33">
        <f t="shared" si="241"/>
        <v>39757</v>
      </c>
      <c r="E62" s="33">
        <f t="shared" si="242"/>
        <v>97836</v>
      </c>
      <c r="F62" s="4">
        <f t="shared" si="294"/>
        <v>20025.931505164779</v>
      </c>
      <c r="AM62" s="1">
        <v>-467</v>
      </c>
      <c r="AN62" s="1">
        <v>7243</v>
      </c>
      <c r="AO62" s="1">
        <v>485</v>
      </c>
      <c r="AP62" s="1">
        <v>64974</v>
      </c>
      <c r="AQ62" s="1">
        <v>-163188</v>
      </c>
      <c r="AS62" s="13">
        <f>IF(RTD("tos.rtd",,AS$43,"."&amp;$A$43&amp;$AS$42&amp;"C"&amp;$A62)="N/A",0,RTD("tos.rtd",,AS$43,"."&amp;$A$43&amp;$AS$42&amp;"C"&amp;$A62))</f>
        <v>19861</v>
      </c>
      <c r="AT62" s="29">
        <f>-IF(RTD("tos.rtd",,AT$43,"."&amp;$A$43&amp;$AS$42&amp;"P"&amp;$A62)="N/A",0,RTD("tos.rtd",,AT$43,"."&amp;$A$43&amp;$AS$42&amp;"P"&amp;$A62))</f>
        <v>-18089</v>
      </c>
      <c r="AU62" s="13">
        <f>IF(RTD("tos.rtd",,AU$2,"."&amp;$A$43&amp;$AU$1&amp;"C"&amp;$A62)="N/A",0,RTD("tos.rtd",,AU$2,"."&amp;$A$43&amp;$AU$1&amp;"C"&amp;$A62))</f>
        <v>7560</v>
      </c>
      <c r="AV62" s="29">
        <f>-IF(RTD("tos.rtd",,AV$2,"."&amp;$A$43&amp;$AU$1&amp;"P"&amp;$A62)="N/A",0,RTD("tos.rtd",,AV$2,"."&amp;$A$43&amp;$AU$1&amp;"P"&amp;$A62))</f>
        <v>-12569</v>
      </c>
      <c r="AW62" s="13">
        <f>IF(RTD("tos.rtd",,AW$2,"."&amp;$A$43&amp;$AW$1&amp;"C"&amp;$A62)="N/A",0,RTD("tos.rtd",,AW$2,"."&amp;$A$43&amp;$AW$1&amp;"C"&amp;$A62))</f>
        <v>27338</v>
      </c>
      <c r="AX62" s="29">
        <f>-IF(RTD("tos.rtd",,AX$2,"."&amp;$A$43&amp;$AW$1&amp;"P"&amp;$A62)="N/A",0,RTD("tos.rtd",,AX$2,"."&amp;$A$43&amp;$AW$1&amp;"P"&amp;$A62))</f>
        <v>-12419</v>
      </c>
      <c r="AY62" s="7">
        <f t="shared" si="274"/>
        <v>11682</v>
      </c>
      <c r="AZ62" s="8">
        <f t="shared" si="243"/>
        <v>485</v>
      </c>
      <c r="BA62" s="13">
        <f>IF(RTD("tos.rtd",,BA$43,"."&amp;$A$43&amp;$AS$42&amp;"C"&amp;$A62)="N/A",0,RTD("tos.rtd",,BA$43,"."&amp;$A$43&amp;$AS$42&amp;"C"&amp;$A62))</f>
        <v>0</v>
      </c>
      <c r="BB62" s="29">
        <f>-IF(RTD("tos.rtd",,BB$43,"."&amp;$A$43&amp;$AS$42&amp;"P"&amp;$A62)="N/A",0,RTD("tos.rtd",,BB$43,"."&amp;$A$43&amp;$AS$42&amp;"P"&amp;$A62))</f>
        <v>0</v>
      </c>
      <c r="BC62" s="13">
        <f>IF(RTD("tos.rtd",,BC$2,"."&amp;$A$43&amp;$AU$1&amp;"C"&amp;$A62)="N/A",0,RTD("tos.rtd",,BC$2,"."&amp;$A$43&amp;$AU$1&amp;"C"&amp;$A62))</f>
        <v>16198</v>
      </c>
      <c r="BD62" s="29">
        <f>-IF(RTD("tos.rtd",,BD$2,"."&amp;$A$43&amp;$AU$1&amp;"P"&amp;$A62)="N/A",0,RTD("tos.rtd",,BD$2,"."&amp;$A$43&amp;$AU$1&amp;"P"&amp;$A62))</f>
        <v>-100444</v>
      </c>
      <c r="BE62" s="13">
        <f>IF(RTD("tos.rtd",,BE$2,"."&amp;$A$43&amp;$AW$1&amp;"C"&amp;$A62)="N/A",0,RTD("tos.rtd",,BE$2,"."&amp;$A$43&amp;$AW$1&amp;"C"&amp;$A62))</f>
        <v>2375</v>
      </c>
      <c r="BF62" s="29">
        <f>-IF(RTD("tos.rtd",,BF$2,"."&amp;$A$43&amp;$AW$1&amp;"P"&amp;$A62)="N/A",0,RTD("tos.rtd",,BF$2,"."&amp;$A$43&amp;$AW$1&amp;"P"&amp;$A62))</f>
        <v>-13735</v>
      </c>
      <c r="BG62" s="100">
        <f ca="1">+Hoja2!Y63</f>
        <v>-4256</v>
      </c>
      <c r="BH62" s="7">
        <f t="shared" ca="1" si="275"/>
        <v>-99862</v>
      </c>
      <c r="BI62" s="8" t="str">
        <f t="shared" ca="1" si="291"/>
        <v/>
      </c>
      <c r="BJ62" s="83" t="e">
        <f ca="1">IF($BP$1=1,DX62,IF(RTD("tos.rtd",,BJ$43,"."&amp;$A$43&amp;$AS$42&amp;"C"&amp;$A62)="N/A",0,RTD("tos.rtd",,BJ$43,"."&amp;$A$43&amp;$AS$42&amp;"C"&amp;$A62)))</f>
        <v>#NUM!</v>
      </c>
      <c r="BK62" s="83" t="e">
        <f ca="1">IF($BP$1=1,DY62,-IF(RTD("tos.rtd",,BK$43,"."&amp;$A$43&amp;$AS$42&amp;"P"&amp;$A62)="N/A",0,RTD("tos.rtd",,BK$43,"."&amp;$A$43&amp;$AS$42&amp;"P"&amp;$A62)))</f>
        <v>#NUM!</v>
      </c>
      <c r="BL62" s="83" t="e">
        <f ca="1">IF($BP$1=1,DZ62,IF(RTD("tos.rtd",,BL$2,"."&amp;$A$43&amp;$AU$1&amp;"C"&amp;$A62)="N/A",0,RTD("tos.rtd",,BL$2,"."&amp;$A$43&amp;$AU$1&amp;"C"&amp;$A62)))</f>
        <v>#NUM!</v>
      </c>
      <c r="BM62" s="83" t="e">
        <f ca="1">IF($BP$1=1,EA62,-IF(RTD("tos.rtd",,BM$2,"."&amp;$A$43&amp;$AU$1&amp;"P"&amp;$A62)="N/A",0,RTD("tos.rtd",,BM$2,"."&amp;$A$43&amp;$AU$1&amp;"P"&amp;$A62)))</f>
        <v>#NUM!</v>
      </c>
      <c r="BN62" s="83" t="e">
        <f ca="1">IF($BP$1=1,EB62,IF(RTD("tos.rtd",,BN$2,"."&amp;$A$43&amp;$AW$1&amp;"C"&amp;$A62)="N/A",0,RTD("tos.rtd",,BN$2,"."&amp;$A$43&amp;$AW$1&amp;"C"&amp;$A62)))</f>
        <v>#NUM!</v>
      </c>
      <c r="BO62" s="83" t="e">
        <f ca="1">IF($BP$1=1,EC62,-IF(RTD("tos.rtd",,BO$2,"."&amp;$A$43&amp;$AW$1&amp;"P"&amp;$A62)="N/A",0,RTD("tos.rtd",,BO$2,"."&amp;$A$43&amp;$AW$1&amp;"P"&amp;$A62)))</f>
        <v>#NUM!</v>
      </c>
      <c r="BQ62" s="83" t="e">
        <f t="shared" ca="1" si="276"/>
        <v>#NUM!</v>
      </c>
      <c r="BR62" s="3" t="e">
        <f t="shared" ca="1" si="277"/>
        <v>#NUM!</v>
      </c>
      <c r="BS62" s="83" t="e">
        <f t="shared" ca="1" si="278"/>
        <v>#NUM!</v>
      </c>
      <c r="BT62" s="3" t="e">
        <f t="shared" ca="1" si="279"/>
        <v>#NUM!</v>
      </c>
      <c r="BU62" s="83" t="e">
        <f t="shared" ca="1" si="280"/>
        <v>#NUM!</v>
      </c>
      <c r="BV62" s="83"/>
      <c r="BX62" s="83" t="e">
        <f t="shared" ca="1" si="281"/>
        <v>#NUM!</v>
      </c>
      <c r="BY62" s="83" t="e">
        <f t="shared" ca="1" si="292"/>
        <v>#NUM!</v>
      </c>
      <c r="BZ62" s="83" t="e">
        <f t="shared" ca="1" si="282"/>
        <v>#NUM!</v>
      </c>
      <c r="CA62" s="83" t="e">
        <f t="shared" ca="1" si="292"/>
        <v>#NUM!</v>
      </c>
      <c r="CB62" s="83" t="e">
        <f t="shared" ca="1" si="283"/>
        <v>#NUM!</v>
      </c>
      <c r="CC62" s="83" t="e">
        <f t="shared" ca="1" si="292"/>
        <v>#NUM!</v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0.13</v>
      </c>
      <c r="CF62" s="83">
        <f>IF(RTD("tos.rtd",,CF$2,"."&amp;$A$43&amp;$AU$1&amp;"C"&amp;$A62)="N/A",0,RTD("tos.rtd",,CF$2,"."&amp;$A$43&amp;$AU$1&amp;"C"&amp;$A62))</f>
        <v>0.96</v>
      </c>
      <c r="CG62" s="83">
        <f>-IF(RTD("tos.rtd",,CG$2,"."&amp;$A$43&amp;$AU$1&amp;"P"&amp;$A62)="N/A",0,RTD("tos.rtd",,CG$2,"."&amp;$A$43&amp;$AU$1&amp;"P"&amp;$A62))</f>
        <v>0.01</v>
      </c>
      <c r="CH62" s="83">
        <f>IF(RTD("tos.rtd",,CH$2,"."&amp;$A$43&amp;$AW$1&amp;"C"&amp;$A62)="N/A",0,RTD("tos.rtd",,CH$2,"."&amp;$A$43&amp;$AW$1&amp;"C"&amp;$A62))</f>
        <v>0.57999999999999996</v>
      </c>
      <c r="CI62" s="83">
        <f>-IF(RTD("tos.rtd",,CI$2,"."&amp;$A$43&amp;$AW$1&amp;"P"&amp;$A62)="N/A",0,RTD("tos.rtd",,CI$2,"."&amp;$A$43&amp;$AW$1&amp;"P"&amp;$A62))</f>
        <v>0.42</v>
      </c>
      <c r="CK62" s="83">
        <f t="shared" si="284"/>
        <v>1750943</v>
      </c>
      <c r="CL62" s="83"/>
      <c r="CM62" s="83">
        <f t="shared" si="285"/>
        <v>713191</v>
      </c>
      <c r="CN62" s="83"/>
      <c r="CO62" s="83">
        <f t="shared" si="286"/>
        <v>1064006</v>
      </c>
      <c r="CP62" s="83">
        <f t="shared" si="233"/>
        <v>3528140</v>
      </c>
      <c r="CQ62" s="83">
        <f t="shared" si="247"/>
        <v>0</v>
      </c>
      <c r="CR62" s="83"/>
      <c r="CS62" s="83">
        <f t="shared" si="248"/>
        <v>-84246</v>
      </c>
      <c r="CT62" s="83"/>
      <c r="CU62" s="83">
        <f t="shared" si="249"/>
        <v>-11360</v>
      </c>
      <c r="CV62" s="83"/>
      <c r="CW62" s="83" t="e">
        <f t="shared" ca="1" si="250"/>
        <v>#NUM!</v>
      </c>
      <c r="CY62" s="83" t="e">
        <f t="shared" ca="1" si="251"/>
        <v>#NUM!</v>
      </c>
      <c r="CZ62" s="70" t="e">
        <f t="shared" ca="1" si="293"/>
        <v>#NUM!</v>
      </c>
      <c r="DA62" s="83">
        <f>IF(RTD("tos.rtd",,DA$43,"."&amp;$A$43&amp;$AS$42&amp;"C"&amp;$A62)="N/A",0,RTD("tos.rtd",,DA$43,"."&amp;$A$43&amp;$AS$42&amp;"C"&amp;$A62))</f>
        <v>0.48</v>
      </c>
      <c r="DB62" s="83">
        <f>IF(RTD("tos.rtd",,DB$43,"."&amp;$A$43&amp;$AS$42&amp;"P"&amp;$A62)="N/A",0,RTD("tos.rtd",,DB$43,"."&amp;$A$43&amp;$AS$42&amp;"P"&amp;$A62))</f>
        <v>0.16</v>
      </c>
      <c r="DC62" s="83">
        <f>IF(RTD("tos.rtd",,DC$43,"."&amp;$A$43&amp;$AS$42&amp;"C"&amp;$A62)="N/A",0,RTD("tos.rtd",,DC$43,"."&amp;$A$43&amp;$AS$42&amp;"C"&amp;$A62))</f>
        <v>0.5</v>
      </c>
      <c r="DD62" s="83">
        <f>IF(RTD("tos.rtd",,DD$43,"."&amp;$A$43&amp;$AS$42&amp;"P"&amp;$A62)="N/A",0,RTD("tos.rtd",,DD$43,"."&amp;$A$43&amp;$AS$42&amp;"P"&amp;$A62))</f>
        <v>0.19</v>
      </c>
      <c r="DE62" s="83">
        <f>IF(RTD("tos.rtd",,DE$43,"."&amp;$A$43&amp;$AS$42&amp;"C"&amp;$A62)="N/A",0,RTD("tos.rtd",,DE$43,"."&amp;$A$43&amp;$AS$42&amp;"C"&amp;$A62))</f>
        <v>0.45</v>
      </c>
      <c r="DF62" s="83">
        <f>IF(RTD("tos.rtd",,DF$43,"."&amp;$A$43&amp;$AS$42&amp;"P"&amp;$A62)="N/A",0,RTD("tos.rtd",,DF$43,"."&amp;$A$43&amp;$AS$42&amp;"P"&amp;$A62))</f>
        <v>0.17</v>
      </c>
      <c r="DG62" s="86">
        <f t="shared" si="287"/>
        <v>-2.9200000000000159</v>
      </c>
      <c r="DH62" s="83">
        <f t="shared" si="252"/>
        <v>-38984.399999999972</v>
      </c>
      <c r="DI62" s="83">
        <f t="shared" si="253"/>
        <v>-81594.000000000102</v>
      </c>
      <c r="DJ62" s="83">
        <f t="shared" si="254"/>
        <v>-64974</v>
      </c>
      <c r="DK62" s="83">
        <f t="shared" si="255"/>
        <v>-163188</v>
      </c>
      <c r="DL62" s="83">
        <f t="shared" si="256"/>
        <v>-120578.40000000008</v>
      </c>
      <c r="DM62" s="83">
        <f t="shared" si="257"/>
        <v>-228162</v>
      </c>
      <c r="DN62" s="64" t="str">
        <f t="shared" si="258"/>
        <v>UNKNOWN</v>
      </c>
      <c r="DO62" s="64" t="str">
        <f t="shared" si="259"/>
        <v>UNKNOWN</v>
      </c>
      <c r="DP62" s="83">
        <f t="shared" si="260"/>
        <v>-31767.552000000003</v>
      </c>
      <c r="DQ62" s="83">
        <f t="shared" si="261"/>
        <v>-57297.600000000006</v>
      </c>
      <c r="DR62" s="83" t="e">
        <f t="shared" ca="1" si="262"/>
        <v>#NUM!</v>
      </c>
      <c r="DS62" s="83">
        <f t="shared" si="263"/>
        <v>-86188.44</v>
      </c>
      <c r="DT62" s="83">
        <f t="shared" si="288"/>
        <v>-64974</v>
      </c>
      <c r="DU62" s="83">
        <f t="shared" si="289"/>
        <v>163188</v>
      </c>
      <c r="DV62" s="83">
        <f t="shared" si="264"/>
        <v>-467</v>
      </c>
      <c r="DW62" s="83">
        <f t="shared" si="265"/>
        <v>7243</v>
      </c>
      <c r="DX62" s="83" t="e">
        <f t="shared" ca="1" si="361"/>
        <v>#NUM!</v>
      </c>
      <c r="DY62" s="83" t="e">
        <f t="shared" ca="1" si="362"/>
        <v>#NUM!</v>
      </c>
      <c r="DZ62" s="83" t="e">
        <f t="shared" ca="1" si="363"/>
        <v>#NUM!</v>
      </c>
      <c r="EA62" s="83" t="e">
        <f t="shared" ca="1" si="364"/>
        <v>#NUM!</v>
      </c>
      <c r="EB62" s="83" t="e">
        <f t="shared" ca="1" si="365"/>
        <v>#NUM!</v>
      </c>
      <c r="EC62" s="83" t="e">
        <f t="shared" ca="1" si="366"/>
        <v>#NUM!</v>
      </c>
      <c r="EE62" s="84">
        <f t="shared" si="266"/>
        <v>0.25</v>
      </c>
      <c r="EF62" s="84">
        <f t="shared" si="267"/>
        <v>0.72009999999999996</v>
      </c>
      <c r="EG62" s="84">
        <f t="shared" si="268"/>
        <v>0.44429999999999997</v>
      </c>
      <c r="EH62" s="84">
        <f t="shared" si="269"/>
        <v>0.34889999999999999</v>
      </c>
      <c r="EI62" s="84">
        <f t="shared" si="270"/>
        <v>0.2954</v>
      </c>
      <c r="EJ62" s="84">
        <f t="shared" si="271"/>
        <v>0.28999999999999998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72.01%</v>
      </c>
      <c r="EN62" s="83" t="str">
        <f>RTD("tos.rtd",,EN$2,"."&amp;$A$43&amp;$AU$1&amp;"C"&amp;$A62)</f>
        <v>44.43%</v>
      </c>
      <c r="EO62" s="83" t="str">
        <f>RTD("tos.rtd",,EO$2,"."&amp;$A$43&amp;$AU$1&amp;"P"&amp;$A62)</f>
        <v>34.89%</v>
      </c>
      <c r="EP62" s="83" t="str">
        <f>RTD("tos.rtd",,EP$2,"."&amp;$A$43&amp;$AW$1&amp;"C"&amp;$A62)</f>
        <v>29.54%</v>
      </c>
      <c r="EQ62" s="83" t="str">
        <f>RTD("tos.rtd",,EQ$2,"."&amp;$A$43&amp;$AW$1&amp;"P"&amp;$A62)</f>
        <v>29.00%</v>
      </c>
      <c r="ES62" s="63" t="str">
        <f t="shared" si="272"/>
        <v>485,6776.00</v>
      </c>
      <c r="ET62" s="64" t="str">
        <f t="shared" ca="1" si="273"/>
        <v>485,00.00</v>
      </c>
      <c r="EU62" s="68">
        <v>562.89</v>
      </c>
      <c r="EV62" s="68" t="s">
        <v>515</v>
      </c>
      <c r="EW62" s="68">
        <v>485.18</v>
      </c>
      <c r="EX62" s="68" t="s">
        <v>516</v>
      </c>
      <c r="EY62" s="68">
        <v>5642.5</v>
      </c>
      <c r="EZ62" s="68" t="s">
        <v>517</v>
      </c>
      <c r="FA62" s="68">
        <v>19931.25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90"/>
        <v>484</v>
      </c>
      <c r="B63" s="3">
        <f t="shared" si="239"/>
        <v>4980</v>
      </c>
      <c r="C63" s="3">
        <f t="shared" si="240"/>
        <v>10105</v>
      </c>
      <c r="D63" s="3">
        <f t="shared" si="241"/>
        <v>3037</v>
      </c>
      <c r="E63" s="3">
        <f t="shared" si="242"/>
        <v>18122</v>
      </c>
      <c r="F63" s="4">
        <f>+$F$44/$A$44*A63</f>
        <v>19984.640924741761</v>
      </c>
      <c r="AM63" s="1">
        <v>-2901</v>
      </c>
      <c r="AN63" s="1">
        <v>9099</v>
      </c>
      <c r="AO63" s="1">
        <v>484</v>
      </c>
      <c r="AP63" s="1">
        <v>14270</v>
      </c>
      <c r="AQ63" s="1">
        <v>-119775</v>
      </c>
      <c r="AS63" s="6">
        <f>IF(RTD("tos.rtd",,AS$43,"."&amp;$A$43&amp;$AS$42&amp;"C"&amp;$A63)="N/A",0,RTD("tos.rtd",,AS$43,"."&amp;$A$43&amp;$AS$42&amp;"C"&amp;$A63))</f>
        <v>1302</v>
      </c>
      <c r="AT63" s="7">
        <f>-IF(RTD("tos.rtd",,AT$43,"."&amp;$A$43&amp;$AS$42&amp;"P"&amp;$A63)="N/A",0,RTD("tos.rtd",,AT$43,"."&amp;$A$43&amp;$AS$42&amp;"P"&amp;$A63))</f>
        <v>-3678</v>
      </c>
      <c r="AU63" s="6">
        <f>IF(RTD("tos.rtd",,AU$2,"."&amp;$A$43&amp;$AU$1&amp;"C"&amp;$A63)="N/A",0,RTD("tos.rtd",,AU$2,"."&amp;$A$43&amp;$AU$1&amp;"C"&amp;$A63))</f>
        <v>1773</v>
      </c>
      <c r="AV63" s="7">
        <f>-IF(RTD("tos.rtd",,AV$2,"."&amp;$A$43&amp;$AU$1&amp;"P"&amp;$A63)="N/A",0,RTD("tos.rtd",,AV$2,"."&amp;$A$43&amp;$AU$1&amp;"P"&amp;$A63))</f>
        <v>-8332</v>
      </c>
      <c r="AW63" s="6">
        <f>IF(RTD("tos.rtd",,AW$2,"."&amp;$A$43&amp;$AW$1&amp;"C"&amp;$A63)="N/A",0,RTD("tos.rtd",,AW$2,"."&amp;$A$43&amp;$AW$1&amp;"C"&amp;$A63))</f>
        <v>1519</v>
      </c>
      <c r="AX63" s="7">
        <f>-IF(RTD("tos.rtd",,AX$2,"."&amp;$A$43&amp;$AW$1&amp;"P"&amp;$A63)="N/A",0,RTD("tos.rtd",,AX$2,"."&amp;$A$43&amp;$AW$1&amp;"P"&amp;$A63))</f>
        <v>-1518</v>
      </c>
      <c r="AY63" s="7">
        <f t="shared" si="274"/>
        <v>-8934</v>
      </c>
      <c r="AZ63" s="8">
        <f t="shared" si="243"/>
        <v>484</v>
      </c>
      <c r="BA63" s="6">
        <f>IF(RTD("tos.rtd",,BA$43,"."&amp;$A$43&amp;$AS$42&amp;"C"&amp;$A63)="N/A",0,RTD("tos.rtd",,BA$43,"."&amp;$A$43&amp;$AS$42&amp;"C"&amp;$A63))</f>
        <v>0</v>
      </c>
      <c r="BB63" s="7">
        <f>-IF(RTD("tos.rtd",,BB$43,"."&amp;$A$43&amp;$AS$42&amp;"P"&amp;$A63)="N/A",0,RTD("tos.rtd",,BB$43,"."&amp;$A$43&amp;$AS$42&amp;"P"&amp;$A63))</f>
        <v>0</v>
      </c>
      <c r="BC63" s="6">
        <f>IF(RTD("tos.rtd",,BC$2,"."&amp;$A$43&amp;$AU$1&amp;"C"&amp;$A63)="N/A",0,RTD("tos.rtd",,BC$2,"."&amp;$A$43&amp;$AU$1&amp;"C"&amp;$A63))</f>
        <v>4274</v>
      </c>
      <c r="BD63" s="7">
        <f>-IF(RTD("tos.rtd",,BD$2,"."&amp;$A$43&amp;$AU$1&amp;"P"&amp;$A63)="N/A",0,RTD("tos.rtd",,BD$2,"."&amp;$A$43&amp;$AU$1&amp;"P"&amp;$A63))</f>
        <v>-48368</v>
      </c>
      <c r="BE63" s="6">
        <f>IF(RTD("tos.rtd",,BE$2,"."&amp;$A$43&amp;$AW$1&amp;"C"&amp;$A63)="N/A",0,RTD("tos.rtd",,BE$2,"."&amp;$A$43&amp;$AW$1&amp;"C"&amp;$A63))</f>
        <v>115</v>
      </c>
      <c r="BF63" s="7">
        <f>-IF(RTD("tos.rtd",,BF$2,"."&amp;$A$43&amp;$AW$1&amp;"P"&amp;$A63)="N/A",0,RTD("tos.rtd",,BF$2,"."&amp;$A$43&amp;$AW$1&amp;"P"&amp;$A63))</f>
        <v>-1556</v>
      </c>
      <c r="BG63" s="32">
        <f ca="1">+Hoja2!Y64</f>
        <v>-1858</v>
      </c>
      <c r="BH63" s="7">
        <f t="shared" ca="1" si="275"/>
        <v>-47393</v>
      </c>
      <c r="BI63" s="8" t="str">
        <f t="shared" ca="1" si="291"/>
        <v/>
      </c>
      <c r="BJ63" s="83" t="e">
        <f ca="1">IF($BP$1=1,DX63,IF(RTD("tos.rtd",,BJ$43,"."&amp;$A$43&amp;$AS$42&amp;"C"&amp;$A63)="N/A",0,RTD("tos.rtd",,BJ$43,"."&amp;$A$43&amp;$AS$42&amp;"C"&amp;$A63)))</f>
        <v>#NUM!</v>
      </c>
      <c r="BK63" s="83" t="e">
        <f ca="1">IF($BP$1=1,DY63,-IF(RTD("tos.rtd",,BK$43,"."&amp;$A$43&amp;$AS$42&amp;"P"&amp;$A63)="N/A",0,RTD("tos.rtd",,BK$43,"."&amp;$A$43&amp;$AS$42&amp;"P"&amp;$A63)))</f>
        <v>#NUM!</v>
      </c>
      <c r="BL63" s="83" t="e">
        <f ca="1">IF($BP$1=1,DZ63,IF(RTD("tos.rtd",,BL$2,"."&amp;$A$43&amp;$AU$1&amp;"C"&amp;$A63)="N/A",0,RTD("tos.rtd",,BL$2,"."&amp;$A$43&amp;$AU$1&amp;"C"&amp;$A63)))</f>
        <v>#NUM!</v>
      </c>
      <c r="BM63" s="83" t="e">
        <f ca="1">IF($BP$1=1,EA63,-IF(RTD("tos.rtd",,BM$2,"."&amp;$A$43&amp;$AU$1&amp;"P"&amp;$A63)="N/A",0,RTD("tos.rtd",,BM$2,"."&amp;$A$43&amp;$AU$1&amp;"P"&amp;$A63)))</f>
        <v>#NUM!</v>
      </c>
      <c r="BN63" s="83" t="e">
        <f ca="1">IF($BP$1=1,EB63,IF(RTD("tos.rtd",,BN$2,"."&amp;$A$43&amp;$AW$1&amp;"C"&amp;$A63)="N/A",0,RTD("tos.rtd",,BN$2,"."&amp;$A$43&amp;$AW$1&amp;"C"&amp;$A63)))</f>
        <v>#NUM!</v>
      </c>
      <c r="BO63" s="83" t="e">
        <f ca="1">IF($BP$1=1,EC63,-IF(RTD("tos.rtd",,BO$2,"."&amp;$A$43&amp;$AW$1&amp;"P"&amp;$A63)="N/A",0,RTD("tos.rtd",,BO$2,"."&amp;$A$43&amp;$AW$1&amp;"P"&amp;$A63)))</f>
        <v>#NUM!</v>
      </c>
      <c r="BQ63" s="83" t="e">
        <f t="shared" ca="1" si="276"/>
        <v>#NUM!</v>
      </c>
      <c r="BR63" s="3" t="e">
        <f t="shared" ca="1" si="277"/>
        <v>#NUM!</v>
      </c>
      <c r="BS63" s="83" t="e">
        <f t="shared" ca="1" si="278"/>
        <v>#NUM!</v>
      </c>
      <c r="BT63" s="3" t="e">
        <f t="shared" ca="1" si="279"/>
        <v>#NUM!</v>
      </c>
      <c r="BU63" s="83" t="e">
        <f t="shared" ca="1" si="280"/>
        <v>#NUM!</v>
      </c>
      <c r="BV63" s="83"/>
      <c r="BX63" s="83" t="e">
        <f t="shared" ca="1" si="281"/>
        <v>#NUM!</v>
      </c>
      <c r="BY63" s="83" t="e">
        <f t="shared" ca="1" si="292"/>
        <v>#NUM!</v>
      </c>
      <c r="BZ63" s="83" t="e">
        <f t="shared" ca="1" si="282"/>
        <v>#NUM!</v>
      </c>
      <c r="CA63" s="83" t="e">
        <f t="shared" ca="1" si="292"/>
        <v>#NUM!</v>
      </c>
      <c r="CB63" s="83" t="e">
        <f t="shared" ca="1" si="283"/>
        <v>#NUM!</v>
      </c>
      <c r="CC63" s="83" t="e">
        <f t="shared" ca="1" si="292"/>
        <v>#NUM!</v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0.03</v>
      </c>
      <c r="CF63" s="83">
        <f>IF(RTD("tos.rtd",,CF$2,"."&amp;$A$43&amp;$AU$1&amp;"C"&amp;$A63)="N/A",0,RTD("tos.rtd",,CF$2,"."&amp;$A$43&amp;$AU$1&amp;"C"&amp;$A63))</f>
        <v>0.98</v>
      </c>
      <c r="CG63" s="83">
        <f>-IF(RTD("tos.rtd",,CG$2,"."&amp;$A$43&amp;$AU$1&amp;"P"&amp;$A63)="N/A",0,RTD("tos.rtd",,CG$2,"."&amp;$A$43&amp;$AU$1&amp;"P"&amp;$A63))</f>
        <v>0.01</v>
      </c>
      <c r="CH63" s="83">
        <f>IF(RTD("tos.rtd",,CH$2,"."&amp;$A$43&amp;$AW$1&amp;"C"&amp;$A63)="N/A",0,RTD("tos.rtd",,CH$2,"."&amp;$A$43&amp;$AW$1&amp;"C"&amp;$A63))</f>
        <v>0.6</v>
      </c>
      <c r="CI63" s="83">
        <f>-IF(RTD("tos.rtd",,CI$2,"."&amp;$A$43&amp;$AW$1&amp;"P"&amp;$A63)="N/A",0,RTD("tos.rtd",,CI$2,"."&amp;$A$43&amp;$AW$1&amp;"P"&amp;$A63))</f>
        <v>0.39</v>
      </c>
      <c r="CK63" s="83">
        <f t="shared" si="284"/>
        <v>119166</v>
      </c>
      <c r="CL63" s="83"/>
      <c r="CM63" s="83">
        <f t="shared" si="285"/>
        <v>165422</v>
      </c>
      <c r="CN63" s="83"/>
      <c r="CO63" s="83">
        <f t="shared" si="286"/>
        <v>31938</v>
      </c>
      <c r="CP63" s="83">
        <f t="shared" si="233"/>
        <v>316526</v>
      </c>
      <c r="CQ63" s="83">
        <f t="shared" si="247"/>
        <v>0</v>
      </c>
      <c r="CR63" s="83"/>
      <c r="CS63" s="83">
        <f t="shared" si="248"/>
        <v>-44094</v>
      </c>
      <c r="CT63" s="83"/>
      <c r="CU63" s="83">
        <f t="shared" si="249"/>
        <v>-1441</v>
      </c>
      <c r="CV63" s="83"/>
      <c r="CW63" s="83" t="e">
        <f t="shared" ca="1" si="250"/>
        <v>#NUM!</v>
      </c>
      <c r="CY63" s="83" t="e">
        <f t="shared" ca="1" si="251"/>
        <v>#NUM!</v>
      </c>
      <c r="CZ63" s="70" t="e">
        <f t="shared" ca="1" si="293"/>
        <v>#NUM!</v>
      </c>
      <c r="DA63" s="83">
        <f>IF(RTD("tos.rtd",,DA$43,"."&amp;$A$43&amp;$AS$42&amp;"C"&amp;$A63)="N/A",0,RTD("tos.rtd",,DA$43,"."&amp;$A$43&amp;$AS$42&amp;"C"&amp;$A63))</f>
        <v>1.19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1.47</v>
      </c>
      <c r="DD63" s="83">
        <f>IF(RTD("tos.rtd",,DD$43,"."&amp;$A$43&amp;$AS$42&amp;"P"&amp;$A63)="N/A",0,RTD("tos.rtd",,DD$43,"."&amp;$A$43&amp;$AS$42&amp;"P"&amp;$A63))</f>
        <v>0.03</v>
      </c>
      <c r="DE63" s="83">
        <f>IF(RTD("tos.rtd",,DE$43,"."&amp;$A$43&amp;$AS$42&amp;"C"&amp;$A63)="N/A",0,RTD("tos.rtd",,DE$43,"."&amp;$A$43&amp;$AS$42&amp;"C"&amp;$A63))</f>
        <v>1.24</v>
      </c>
      <c r="DF63" s="83">
        <f>IF(RTD("tos.rtd",,DF$43,"."&amp;$A$43&amp;$AS$42&amp;"P"&amp;$A63)="N/A",0,RTD("tos.rtd",,DF$43,"."&amp;$A$43&amp;$AS$42&amp;"P"&amp;$A63))</f>
        <v>0.02</v>
      </c>
      <c r="DG63" s="86">
        <f t="shared" si="287"/>
        <v>-3.9200000000000159</v>
      </c>
      <c r="DH63" s="83">
        <f t="shared" si="252"/>
        <v>3102.1739130434812</v>
      </c>
      <c r="DI63" s="83">
        <f t="shared" si="253"/>
        <v>-119775.00000000003</v>
      </c>
      <c r="DJ63" s="83">
        <f t="shared" si="254"/>
        <v>14270</v>
      </c>
      <c r="DK63" s="83">
        <f t="shared" si="255"/>
        <v>-119775</v>
      </c>
      <c r="DL63" s="83">
        <f t="shared" si="256"/>
        <v>-116672.82608695654</v>
      </c>
      <c r="DM63" s="83">
        <f t="shared" si="257"/>
        <v>-105505</v>
      </c>
      <c r="DN63" s="64" t="str">
        <f t="shared" si="258"/>
        <v>UNKNOWN</v>
      </c>
      <c r="DO63" s="64" t="str">
        <f t="shared" si="259"/>
        <v>UNKNOWN</v>
      </c>
      <c r="DP63" s="83">
        <f t="shared" si="260"/>
        <v>2493.8369565217426</v>
      </c>
      <c r="DQ63" s="83">
        <f t="shared" si="261"/>
        <v>15783.55</v>
      </c>
      <c r="DR63" s="83" t="e">
        <f t="shared" ca="1" si="262"/>
        <v>#NUM!</v>
      </c>
      <c r="DS63" s="83">
        <f t="shared" si="263"/>
        <v>10676.75</v>
      </c>
      <c r="DT63" s="83">
        <f t="shared" si="288"/>
        <v>-14270</v>
      </c>
      <c r="DU63" s="83">
        <f t="shared" si="289"/>
        <v>119775</v>
      </c>
      <c r="DV63" s="83">
        <f t="shared" si="264"/>
        <v>-2901</v>
      </c>
      <c r="DW63" s="83">
        <f t="shared" si="265"/>
        <v>9099</v>
      </c>
      <c r="DX63" s="83" t="e">
        <f t="shared" ca="1" si="361"/>
        <v>#NUM!</v>
      </c>
      <c r="DY63" s="83" t="e">
        <f t="shared" ca="1" si="362"/>
        <v>#NUM!</v>
      </c>
      <c r="DZ63" s="83" t="e">
        <f t="shared" ca="1" si="363"/>
        <v>#NUM!</v>
      </c>
      <c r="EA63" s="83" t="e">
        <f t="shared" ca="1" si="364"/>
        <v>#NUM!</v>
      </c>
      <c r="EB63" s="83" t="e">
        <f t="shared" ca="1" si="365"/>
        <v>#NUM!</v>
      </c>
      <c r="EC63" s="83" t="e">
        <f t="shared" ca="1" si="366"/>
        <v>#NUM!</v>
      </c>
      <c r="EE63" s="84">
        <f t="shared" si="266"/>
        <v>0.25</v>
      </c>
      <c r="EF63" s="84">
        <f t="shared" si="267"/>
        <v>0.56950000000000001</v>
      </c>
      <c r="EG63" s="84">
        <f t="shared" si="268"/>
        <v>0.52080000000000004</v>
      </c>
      <c r="EH63" s="84">
        <f t="shared" si="269"/>
        <v>0.4516</v>
      </c>
      <c r="EI63" s="84">
        <f t="shared" si="270"/>
        <v>0.29699999999999999</v>
      </c>
      <c r="EJ63" s="84">
        <f t="shared" si="271"/>
        <v>0.29149999999999998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56.95%</v>
      </c>
      <c r="EN63" s="83" t="str">
        <f>RTD("tos.rtd",,EN$2,"."&amp;$A$43&amp;$AU$1&amp;"C"&amp;$A63)</f>
        <v>52.08%</v>
      </c>
      <c r="EO63" s="83" t="str">
        <f>RTD("tos.rtd",,EO$2,"."&amp;$A$43&amp;$AU$1&amp;"P"&amp;$A63)</f>
        <v>45.16%</v>
      </c>
      <c r="EP63" s="83" t="str">
        <f>RTD("tos.rtd",,EP$2,"."&amp;$A$43&amp;$AW$1&amp;"C"&amp;$A63)</f>
        <v>29.70%</v>
      </c>
      <c r="EQ63" s="83" t="str">
        <f>RTD("tos.rtd",,EQ$2,"."&amp;$A$43&amp;$AW$1&amp;"P"&amp;$A63)</f>
        <v>29.15%</v>
      </c>
      <c r="ES63" s="63" t="str">
        <f t="shared" si="272"/>
        <v>484,6198.00</v>
      </c>
      <c r="ET63" s="64" t="str">
        <f t="shared" ca="1" si="273"/>
        <v>484,00.00</v>
      </c>
      <c r="EU63" s="68">
        <v>562.9</v>
      </c>
      <c r="EV63" s="68" t="s">
        <v>523</v>
      </c>
      <c r="EW63" s="68">
        <v>485.25</v>
      </c>
      <c r="EX63" s="68" t="s">
        <v>524</v>
      </c>
      <c r="EY63" s="68">
        <v>5643.25</v>
      </c>
      <c r="EZ63" s="68" t="s">
        <v>525</v>
      </c>
      <c r="FA63" s="68">
        <v>19934.75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90"/>
        <v>483</v>
      </c>
      <c r="B64" s="3">
        <f t="shared" si="239"/>
        <v>4566</v>
      </c>
      <c r="C64" s="3">
        <f t="shared" si="240"/>
        <v>5854</v>
      </c>
      <c r="D64" s="3">
        <f t="shared" si="241"/>
        <v>2543</v>
      </c>
      <c r="E64" s="3">
        <f t="shared" si="242"/>
        <v>12963</v>
      </c>
      <c r="F64" s="34">
        <f t="shared" si="294"/>
        <v>19943.35034431874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-383</v>
      </c>
      <c r="AN64" s="12">
        <v>19721</v>
      </c>
      <c r="AO64" s="12">
        <v>483</v>
      </c>
      <c r="AP64" s="12">
        <v>5222</v>
      </c>
      <c r="AQ64" s="12">
        <v>-74708</v>
      </c>
      <c r="AR64" s="12"/>
      <c r="AS64" s="6">
        <f>IF(RTD("tos.rtd",,AS$43,"."&amp;$A$43&amp;$AS$42&amp;"C"&amp;$A64)="N/A",0,RTD("tos.rtd",,AS$43,"."&amp;$A$43&amp;$AS$42&amp;"C"&amp;$A64))</f>
        <v>936</v>
      </c>
      <c r="AT64" s="7">
        <f>-IF(RTD("tos.rtd",,AT$43,"."&amp;$A$43&amp;$AS$42&amp;"P"&amp;$A64)="N/A",0,RTD("tos.rtd",,AT$43,"."&amp;$A$43&amp;$AS$42&amp;"P"&amp;$A64))</f>
        <v>-3630</v>
      </c>
      <c r="AU64" s="6">
        <f>IF(RTD("tos.rtd",,AU$2,"."&amp;$A$43&amp;$AU$1&amp;"C"&amp;$A64)="N/A",0,RTD("tos.rtd",,AU$2,"."&amp;$A$43&amp;$AU$1&amp;"C"&amp;$A64))</f>
        <v>1801</v>
      </c>
      <c r="AV64" s="7">
        <f>-IF(RTD("tos.rtd",,AV$2,"."&amp;$A$43&amp;$AU$1&amp;"P"&amp;$A64)="N/A",0,RTD("tos.rtd",,AV$2,"."&amp;$A$43&amp;$AU$1&amp;"P"&amp;$A64))</f>
        <v>-4053</v>
      </c>
      <c r="AW64" s="6">
        <f>IF(RTD("tos.rtd",,AW$2,"."&amp;$A$43&amp;$AW$1&amp;"C"&amp;$A64)="N/A",0,RTD("tos.rtd",,AW$2,"."&amp;$A$43&amp;$AW$1&amp;"C"&amp;$A64))</f>
        <v>687</v>
      </c>
      <c r="AX64" s="7">
        <f>-IF(RTD("tos.rtd",,AX$2,"."&amp;$A$43&amp;$AW$1&amp;"P"&amp;$A64)="N/A",0,RTD("tos.rtd",,AX$2,"."&amp;$A$43&amp;$AW$1&amp;"P"&amp;$A64))</f>
        <v>-1856</v>
      </c>
      <c r="AY64" s="7">
        <f t="shared" si="274"/>
        <v>-6115</v>
      </c>
      <c r="AZ64" s="8">
        <f t="shared" si="243"/>
        <v>483</v>
      </c>
      <c r="BA64" s="6">
        <f>IF(RTD("tos.rtd",,BA$43,"."&amp;$A$43&amp;$AS$42&amp;"C"&amp;$A64)="N/A",0,RTD("tos.rtd",,BA$43,"."&amp;$A$43&amp;$AS$42&amp;"C"&amp;$A64))</f>
        <v>0</v>
      </c>
      <c r="BB64" s="7">
        <f>-IF(RTD("tos.rtd",,BB$43,"."&amp;$A$43&amp;$AS$42&amp;"P"&amp;$A64)="N/A",0,RTD("tos.rtd",,BB$43,"."&amp;$A$43&amp;$AS$42&amp;"P"&amp;$A64))</f>
        <v>0</v>
      </c>
      <c r="BC64" s="6">
        <f>IF(RTD("tos.rtd",,BC$2,"."&amp;$A$43&amp;$AU$1&amp;"C"&amp;$A64)="N/A",0,RTD("tos.rtd",,BC$2,"."&amp;$A$43&amp;$AU$1&amp;"C"&amp;$A64))</f>
        <v>3086</v>
      </c>
      <c r="BD64" s="7">
        <f>-IF(RTD("tos.rtd",,BD$2,"."&amp;$A$43&amp;$AU$1&amp;"P"&amp;$A64)="N/A",0,RTD("tos.rtd",,BD$2,"."&amp;$A$43&amp;$AU$1&amp;"P"&amp;$A64))</f>
        <v>-33256</v>
      </c>
      <c r="BE64" s="6">
        <f>IF(RTD("tos.rtd",,BE$2,"."&amp;$A$43&amp;$AW$1&amp;"C"&amp;$A64)="N/A",0,RTD("tos.rtd",,BE$2,"."&amp;$A$43&amp;$AW$1&amp;"C"&amp;$A64))</f>
        <v>121</v>
      </c>
      <c r="BF64" s="7">
        <f>-IF(RTD("tos.rtd",,BF$2,"."&amp;$A$43&amp;$AW$1&amp;"P"&amp;$A64)="N/A",0,RTD("tos.rtd",,BF$2,"."&amp;$A$43&amp;$AW$1&amp;"P"&amp;$A64))</f>
        <v>-2102</v>
      </c>
      <c r="BG64" s="32">
        <f ca="1">+Hoja2!Y65</f>
        <v>-364</v>
      </c>
      <c r="BH64" s="7">
        <f t="shared" ca="1" si="275"/>
        <v>-32515</v>
      </c>
      <c r="BI64" s="8" t="str">
        <f t="shared" ca="1" si="291"/>
        <v/>
      </c>
      <c r="BJ64" s="83" t="e">
        <f ca="1">IF($BP$1=1,DX64,IF(RTD("tos.rtd",,BJ$43,"."&amp;$A$43&amp;$AS$42&amp;"C"&amp;$A64)="N/A",0,RTD("tos.rtd",,BJ$43,"."&amp;$A$43&amp;$AS$42&amp;"C"&amp;$A64)))</f>
        <v>#NUM!</v>
      </c>
      <c r="BK64" s="83" t="e">
        <f ca="1">IF($BP$1=1,DY64,-IF(RTD("tos.rtd",,BK$43,"."&amp;$A$43&amp;$AS$42&amp;"P"&amp;$A64)="N/A",0,RTD("tos.rtd",,BK$43,"."&amp;$A$43&amp;$AS$42&amp;"P"&amp;$A64)))</f>
        <v>#NUM!</v>
      </c>
      <c r="BL64" s="83" t="e">
        <f ca="1">IF($BP$1=1,DZ64,IF(RTD("tos.rtd",,BL$2,"."&amp;$A$43&amp;$AU$1&amp;"C"&amp;$A64)="N/A",0,RTD("tos.rtd",,BL$2,"."&amp;$A$43&amp;$AU$1&amp;"C"&amp;$A64)))</f>
        <v>#NUM!</v>
      </c>
      <c r="BM64" s="83" t="e">
        <f ca="1">IF($BP$1=1,EA64,-IF(RTD("tos.rtd",,BM$2,"."&amp;$A$43&amp;$AU$1&amp;"P"&amp;$A64)="N/A",0,RTD("tos.rtd",,BM$2,"."&amp;$A$43&amp;$AU$1&amp;"P"&amp;$A64)))</f>
        <v>#NUM!</v>
      </c>
      <c r="BN64" s="83" t="e">
        <f ca="1">IF($BP$1=1,EB64,IF(RTD("tos.rtd",,BN$2,"."&amp;$A$43&amp;$AW$1&amp;"C"&amp;$A64)="N/A",0,RTD("tos.rtd",,BN$2,"."&amp;$A$43&amp;$AW$1&amp;"C"&amp;$A64)))</f>
        <v>#NUM!</v>
      </c>
      <c r="BO64" s="83" t="e">
        <f ca="1">IF($BP$1=1,EC64,-IF(RTD("tos.rtd",,BO$2,"."&amp;$A$43&amp;$AW$1&amp;"P"&amp;$A64)="N/A",0,RTD("tos.rtd",,BO$2,"."&amp;$A$43&amp;$AW$1&amp;"P"&amp;$A64)))</f>
        <v>#NUM!</v>
      </c>
      <c r="BQ64" s="83" t="e">
        <f t="shared" ca="1" si="276"/>
        <v>#NUM!</v>
      </c>
      <c r="BR64" s="3" t="e">
        <f t="shared" ca="1" si="277"/>
        <v>#NUM!</v>
      </c>
      <c r="BS64" s="83" t="e">
        <f t="shared" ca="1" si="278"/>
        <v>#NUM!</v>
      </c>
      <c r="BT64" s="3" t="e">
        <f t="shared" ca="1" si="279"/>
        <v>#NUM!</v>
      </c>
      <c r="BU64" s="83" t="e">
        <f t="shared" ca="1" si="280"/>
        <v>#NUM!</v>
      </c>
      <c r="BV64" s="83"/>
      <c r="BX64" s="83" t="e">
        <f t="shared" ca="1" si="281"/>
        <v>#NUM!</v>
      </c>
      <c r="BY64" s="83" t="e">
        <f t="shared" ca="1" si="292"/>
        <v>#NUM!</v>
      </c>
      <c r="BZ64" s="83" t="e">
        <f t="shared" ca="1" si="282"/>
        <v>#NUM!</v>
      </c>
      <c r="CA64" s="83" t="e">
        <f t="shared" ca="1" si="292"/>
        <v>#NUM!</v>
      </c>
      <c r="CB64" s="83" t="e">
        <f t="shared" ca="1" si="283"/>
        <v>#NUM!</v>
      </c>
      <c r="CC64" s="83" t="e">
        <f t="shared" ca="1" si="292"/>
        <v>#NUM!</v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0.01</v>
      </c>
      <c r="CF64" s="83">
        <f>IF(RTD("tos.rtd",,CF$2,"."&amp;$A$43&amp;$AU$1&amp;"C"&amp;$A64)="N/A",0,RTD("tos.rtd",,CF$2,"."&amp;$A$43&amp;$AU$1&amp;"C"&amp;$A64))</f>
        <v>0.98</v>
      </c>
      <c r="CG64" s="83">
        <f>-IF(RTD("tos.rtd",,CG$2,"."&amp;$A$43&amp;$AU$1&amp;"P"&amp;$A64)="N/A",0,RTD("tos.rtd",,CG$2,"."&amp;$A$43&amp;$AU$1&amp;"P"&amp;$A64))</f>
        <v>0.01</v>
      </c>
      <c r="CH64" s="83">
        <f>IF(RTD("tos.rtd",,CH$2,"."&amp;$A$43&amp;$AW$1&amp;"C"&amp;$A64)="N/A",0,RTD("tos.rtd",,CH$2,"."&amp;$A$43&amp;$AW$1&amp;"C"&amp;$A64))</f>
        <v>0.63</v>
      </c>
      <c r="CI64" s="83">
        <f>-IF(RTD("tos.rtd",,CI$2,"."&amp;$A$43&amp;$AW$1&amp;"P"&amp;$A64)="N/A",0,RTD("tos.rtd",,CI$2,"."&amp;$A$43&amp;$AW$1&amp;"P"&amp;$A64))</f>
        <v>0.37</v>
      </c>
      <c r="CK64" s="83">
        <f t="shared" si="284"/>
        <v>89970</v>
      </c>
      <c r="CL64" s="83"/>
      <c r="CM64" s="83">
        <f t="shared" si="285"/>
        <v>172445</v>
      </c>
      <c r="CN64" s="83"/>
      <c r="CO64" s="83">
        <f t="shared" si="286"/>
        <v>-25391</v>
      </c>
      <c r="CP64" s="83">
        <f t="shared" si="233"/>
        <v>237024</v>
      </c>
      <c r="CQ64" s="83">
        <f t="shared" si="247"/>
        <v>0</v>
      </c>
      <c r="CR64" s="83"/>
      <c r="CS64" s="83">
        <f t="shared" si="248"/>
        <v>-30170</v>
      </c>
      <c r="CT64" s="83"/>
      <c r="CU64" s="83">
        <f t="shared" si="249"/>
        <v>-1981</v>
      </c>
      <c r="CV64" s="83"/>
      <c r="CW64" s="83" t="e">
        <f t="shared" ca="1" si="250"/>
        <v>#NUM!</v>
      </c>
      <c r="CY64" s="83" t="e">
        <f t="shared" ca="1" si="251"/>
        <v>#NUM!</v>
      </c>
      <c r="CZ64" s="70" t="e">
        <f t="shared" ca="1" si="293"/>
        <v>#NUM!</v>
      </c>
      <c r="DA64" s="83">
        <f>IF(RTD("tos.rtd",,DA$43,"."&amp;$A$43&amp;$AS$42&amp;"C"&amp;$A64)="N/A",0,RTD("tos.rtd",,DA$43,"."&amp;$A$43&amp;$AS$42&amp;"C"&amp;$A64))</f>
        <v>2.0299999999999998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3.69</v>
      </c>
      <c r="DD64" s="83">
        <f>IF(RTD("tos.rtd",,DD$43,"."&amp;$A$43&amp;$AS$42&amp;"P"&amp;$A64)="N/A",0,RTD("tos.rtd",,DD$43,"."&amp;$A$43&amp;$AS$42&amp;"P"&amp;$A64))</f>
        <v>0.01</v>
      </c>
      <c r="DE64" s="83">
        <f>IF(RTD("tos.rtd",,DE$43,"."&amp;$A$43&amp;$AS$42&amp;"C"&amp;$A64)="N/A",0,RTD("tos.rtd",,DE$43,"."&amp;$A$43&amp;$AS$42&amp;"C"&amp;$A64))</f>
        <v>2.12</v>
      </c>
      <c r="DF64" s="83">
        <f>IF(RTD("tos.rtd",,DF$43,"."&amp;$A$43&amp;$AS$42&amp;"P"&amp;$A64)="N/A",0,RTD("tos.rtd",,DF$43,"."&amp;$A$43&amp;$AS$42&amp;"P"&amp;$A64))</f>
        <v>0</v>
      </c>
      <c r="DG64" s="86">
        <f t="shared" si="287"/>
        <v>-4.9200000000000159</v>
      </c>
      <c r="DH64" s="83">
        <f t="shared" si="252"/>
        <v>299.3503184713386</v>
      </c>
      <c r="DI64" s="83">
        <f t="shared" si="253"/>
        <v>74708</v>
      </c>
      <c r="DJ64" s="83">
        <f t="shared" si="254"/>
        <v>5222</v>
      </c>
      <c r="DK64" s="83">
        <f t="shared" si="255"/>
        <v>74708</v>
      </c>
      <c r="DL64" s="83">
        <f t="shared" si="256"/>
        <v>75007.350318471334</v>
      </c>
      <c r="DM64" s="83">
        <f t="shared" si="257"/>
        <v>79930</v>
      </c>
      <c r="DN64" s="64" t="str">
        <f t="shared" si="258"/>
        <v>UNKNOWN</v>
      </c>
      <c r="DO64" s="64" t="str">
        <f t="shared" si="259"/>
        <v>UNKNOWN</v>
      </c>
      <c r="DP64" s="83">
        <f t="shared" si="260"/>
        <v>1354.7611464968172</v>
      </c>
      <c r="DQ64" s="83">
        <f t="shared" si="261"/>
        <v>11347.74</v>
      </c>
      <c r="DR64" s="83" t="e">
        <f t="shared" ca="1" si="262"/>
        <v>#NUM!</v>
      </c>
      <c r="DS64" s="83">
        <f t="shared" si="263"/>
        <v>5969.08</v>
      </c>
      <c r="DT64" s="83">
        <f t="shared" si="288"/>
        <v>-5222</v>
      </c>
      <c r="DU64" s="83">
        <f t="shared" si="289"/>
        <v>74708</v>
      </c>
      <c r="DV64" s="83">
        <f t="shared" si="264"/>
        <v>-383</v>
      </c>
      <c r="DW64" s="83">
        <f t="shared" si="265"/>
        <v>19721</v>
      </c>
      <c r="DX64" s="83" t="e">
        <f t="shared" ca="1" si="361"/>
        <v>#NUM!</v>
      </c>
      <c r="DY64" s="83" t="e">
        <f t="shared" ca="1" si="362"/>
        <v>#NUM!</v>
      </c>
      <c r="DZ64" s="83" t="e">
        <f t="shared" ca="1" si="363"/>
        <v>#NUM!</v>
      </c>
      <c r="EA64" s="83" t="e">
        <f t="shared" ca="1" si="364"/>
        <v>#NUM!</v>
      </c>
      <c r="EB64" s="83" t="e">
        <f t="shared" ca="1" si="365"/>
        <v>#NUM!</v>
      </c>
      <c r="EC64" s="83" t="e">
        <f t="shared" ca="1" si="366"/>
        <v>#NUM!</v>
      </c>
      <c r="EE64" s="84">
        <f t="shared" si="266"/>
        <v>0.25</v>
      </c>
      <c r="EF64" s="84">
        <f t="shared" si="267"/>
        <v>0.55189999999999995</v>
      </c>
      <c r="EG64" s="84">
        <f t="shared" si="268"/>
        <v>0.66180000000000005</v>
      </c>
      <c r="EH64" s="84">
        <f t="shared" si="269"/>
        <v>0.55189999999999995</v>
      </c>
      <c r="EI64" s="84">
        <f t="shared" si="270"/>
        <v>0.29899999999999999</v>
      </c>
      <c r="EJ64" s="84">
        <f t="shared" si="271"/>
        <v>0.29320000000000002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55.19%</v>
      </c>
      <c r="EN64" s="83" t="str">
        <f>RTD("tos.rtd",,EN$2,"."&amp;$A$43&amp;$AU$1&amp;"C"&amp;$A64)</f>
        <v>66.18%</v>
      </c>
      <c r="EO64" s="83" t="str">
        <f>RTD("tos.rtd",,EO$2,"."&amp;$A$43&amp;$AU$1&amp;"P"&amp;$A64)</f>
        <v>55.19%</v>
      </c>
      <c r="EP64" s="83" t="str">
        <f>RTD("tos.rtd",,EP$2,"."&amp;$A$43&amp;$AW$1&amp;"C"&amp;$A64)</f>
        <v>29.90%</v>
      </c>
      <c r="EQ64" s="83" t="str">
        <f>RTD("tos.rtd",,EQ$2,"."&amp;$A$43&amp;$AW$1&amp;"P"&amp;$A64)</f>
        <v>29.32%</v>
      </c>
      <c r="ES64" s="63" t="str">
        <f t="shared" si="272"/>
        <v>483,19338.00</v>
      </c>
      <c r="ET64" s="64" t="str">
        <f t="shared" ca="1" si="273"/>
        <v>483,00.00</v>
      </c>
      <c r="EU64" s="68">
        <v>562.89</v>
      </c>
      <c r="EV64" s="68" t="s">
        <v>531</v>
      </c>
      <c r="EW64" s="68">
        <v>485.16</v>
      </c>
      <c r="EX64" s="68" t="s">
        <v>532</v>
      </c>
      <c r="EY64" s="68">
        <v>5642.5</v>
      </c>
      <c r="EZ64" s="68" t="s">
        <v>533</v>
      </c>
      <c r="FA64" s="68">
        <v>19930.5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90"/>
        <v>482</v>
      </c>
      <c r="B65" s="3">
        <f t="shared" ref="B65:B69" si="367">+IF($A$1="ABS",AS65-AT65,AS65+AT65)</f>
        <v>4091</v>
      </c>
      <c r="C65" s="3">
        <f t="shared" si="240"/>
        <v>7177</v>
      </c>
      <c r="D65" s="3">
        <f t="shared" ref="D65:D69" si="368">+IF($A$1="ABS",AW65-AX65,AW65+AX65)</f>
        <v>1225</v>
      </c>
      <c r="E65" s="3">
        <f t="shared" ref="E65:E69" si="369">SUM(B65:D65)</f>
        <v>12493</v>
      </c>
      <c r="F65" s="4">
        <f t="shared" ref="F65:F69" si="370">+$F$44/$A$44*A65</f>
        <v>19902.059763895719</v>
      </c>
      <c r="AM65" s="1">
        <v>-465</v>
      </c>
      <c r="AN65" s="1">
        <v>-2494</v>
      </c>
      <c r="AO65" s="1">
        <v>482</v>
      </c>
      <c r="AP65" s="1">
        <v>3765</v>
      </c>
      <c r="AQ65" s="1">
        <v>-65858</v>
      </c>
      <c r="AS65" s="6">
        <f>IF(RTD("tos.rtd",,AS$43,"."&amp;$A$43&amp;$AS$42&amp;"C"&amp;$A65)="N/A",0,RTD("tos.rtd",,AS$43,"."&amp;$A$43&amp;$AS$42&amp;"C"&amp;$A65))</f>
        <v>766</v>
      </c>
      <c r="AT65" s="7">
        <f>-IF(RTD("tos.rtd",,AT$43,"."&amp;$A$43&amp;$AS$42&amp;"P"&amp;$A65)="N/A",0,RTD("tos.rtd",,AT$43,"."&amp;$A$43&amp;$AS$42&amp;"P"&amp;$A65))</f>
        <v>-3325</v>
      </c>
      <c r="AU65" s="6">
        <f>IF(RTD("tos.rtd",,AU$2,"."&amp;$A$43&amp;$AU$1&amp;"C"&amp;$A65)="N/A",0,RTD("tos.rtd",,AU$2,"."&amp;$A$43&amp;$AU$1&amp;"C"&amp;$A65))</f>
        <v>2461</v>
      </c>
      <c r="AV65" s="7">
        <f>-IF(RTD("tos.rtd",,AV$2,"."&amp;$A$43&amp;$AU$1&amp;"P"&amp;$A65)="N/A",0,RTD("tos.rtd",,AV$2,"."&amp;$A$43&amp;$AU$1&amp;"P"&amp;$A65))</f>
        <v>-4716</v>
      </c>
      <c r="AW65" s="6">
        <f>IF(RTD("tos.rtd",,AW$2,"."&amp;$A$43&amp;$AW$1&amp;"C"&amp;$A65)="N/A",0,RTD("tos.rtd",,AW$2,"."&amp;$A$43&amp;$AW$1&amp;"C"&amp;$A65))</f>
        <v>578</v>
      </c>
      <c r="AX65" s="7">
        <f>-IF(RTD("tos.rtd",,AX$2,"."&amp;$A$43&amp;$AW$1&amp;"P"&amp;$A65)="N/A",0,RTD("tos.rtd",,AX$2,"."&amp;$A$43&amp;$AW$1&amp;"P"&amp;$A65))</f>
        <v>-647</v>
      </c>
      <c r="AY65" s="7">
        <f t="shared" ref="AY65:AY69" si="371">SUM(AS65:AX65)</f>
        <v>-4883</v>
      </c>
      <c r="AZ65" s="8">
        <f t="shared" si="243"/>
        <v>482</v>
      </c>
      <c r="BA65" s="6">
        <f>IF(RTD("tos.rtd",,BA$43,"."&amp;$A$43&amp;$AS$42&amp;"C"&amp;$A65)="N/A",0,RTD("tos.rtd",,BA$43,"."&amp;$A$43&amp;$AS$42&amp;"C"&amp;$A65))</f>
        <v>0</v>
      </c>
      <c r="BB65" s="7">
        <f>-IF(RTD("tos.rtd",,BB$43,"."&amp;$A$43&amp;$AS$42&amp;"P"&amp;$A65)="N/A",0,RTD("tos.rtd",,BB$43,"."&amp;$A$43&amp;$AS$42&amp;"P"&amp;$A65))</f>
        <v>0</v>
      </c>
      <c r="BC65" s="6">
        <f>IF(RTD("tos.rtd",,BC$2,"."&amp;$A$43&amp;$AU$1&amp;"C"&amp;$A65)="N/A",0,RTD("tos.rtd",,BC$2,"."&amp;$A$43&amp;$AU$1&amp;"C"&amp;$A65))</f>
        <v>1244</v>
      </c>
      <c r="BD65" s="7">
        <f>-IF(RTD("tos.rtd",,BD$2,"."&amp;$A$43&amp;$AU$1&amp;"P"&amp;$A65)="N/A",0,RTD("tos.rtd",,BD$2,"."&amp;$A$43&amp;$AU$1&amp;"P"&amp;$A65))</f>
        <v>-16319</v>
      </c>
      <c r="BE65" s="6">
        <f>IF(RTD("tos.rtd",,BE$2,"."&amp;$A$43&amp;$AW$1&amp;"C"&amp;$A65)="N/A",0,RTD("tos.rtd",,BE$2,"."&amp;$A$43&amp;$AW$1&amp;"C"&amp;$A65))</f>
        <v>282</v>
      </c>
      <c r="BF65" s="7">
        <f>-IF(RTD("tos.rtd",,BF$2,"."&amp;$A$43&amp;$AW$1&amp;"P"&amp;$A65)="N/A",0,RTD("tos.rtd",,BF$2,"."&amp;$A$43&amp;$AW$1&amp;"P"&amp;$A65))</f>
        <v>-677</v>
      </c>
      <c r="BG65" s="32">
        <f ca="1">+Hoja2!Y66</f>
        <v>-14</v>
      </c>
      <c r="BH65" s="7">
        <f t="shared" ca="1" si="275"/>
        <v>-15484</v>
      </c>
      <c r="BI65" s="8" t="str">
        <f t="shared" ca="1" si="291"/>
        <v/>
      </c>
      <c r="BJ65" s="83" t="e">
        <f ca="1">IF($BP$1=1,DX65,IF(RTD("tos.rtd",,BJ$43,"."&amp;$A$43&amp;$AS$42&amp;"C"&amp;$A65)="N/A",0,RTD("tos.rtd",,BJ$43,"."&amp;$A$43&amp;$AS$42&amp;"C"&amp;$A65)))</f>
        <v>#NUM!</v>
      </c>
      <c r="BK65" s="83" t="e">
        <f ca="1">IF($BP$1=1,DY65,-IF(RTD("tos.rtd",,BK$43,"."&amp;$A$43&amp;$AS$42&amp;"P"&amp;$A65)="N/A",0,RTD("tos.rtd",,BK$43,"."&amp;$A$43&amp;$AS$42&amp;"P"&amp;$A65)))</f>
        <v>#NUM!</v>
      </c>
      <c r="BL65" s="83" t="e">
        <f ca="1">IF($BP$1=1,DZ65,IF(RTD("tos.rtd",,BL$2,"."&amp;$A$43&amp;$AU$1&amp;"C"&amp;$A65)="N/A",0,RTD("tos.rtd",,BL$2,"."&amp;$A$43&amp;$AU$1&amp;"C"&amp;$A65)))</f>
        <v>#NUM!</v>
      </c>
      <c r="BM65" s="83" t="e">
        <f ca="1">IF($BP$1=1,EA65,-IF(RTD("tos.rtd",,BM$2,"."&amp;$A$43&amp;$AU$1&amp;"P"&amp;$A65)="N/A",0,RTD("tos.rtd",,BM$2,"."&amp;$A$43&amp;$AU$1&amp;"P"&amp;$A65)))</f>
        <v>#NUM!</v>
      </c>
      <c r="BN65" s="83" t="e">
        <f ca="1">IF($BP$1=1,EB65,IF(RTD("tos.rtd",,BN$2,"."&amp;$A$43&amp;$AW$1&amp;"C"&amp;$A65)="N/A",0,RTD("tos.rtd",,BN$2,"."&amp;$A$43&amp;$AW$1&amp;"C"&amp;$A65)))</f>
        <v>#NUM!</v>
      </c>
      <c r="BO65" s="83" t="e">
        <f ca="1">IF($BP$1=1,EC65,-IF(RTD("tos.rtd",,BO$2,"."&amp;$A$43&amp;$AW$1&amp;"P"&amp;$A65)="N/A",0,RTD("tos.rtd",,BO$2,"."&amp;$A$43&amp;$AW$1&amp;"P"&amp;$A65)))</f>
        <v>#NUM!</v>
      </c>
      <c r="BQ65" s="83" t="e">
        <f t="shared" ref="BQ65:BQ69" ca="1" si="372">+$A$44*$A$44*AS65*BJ65-$A$44*$A$44*AT65*BK65</f>
        <v>#NUM!</v>
      </c>
      <c r="BR65" s="3" t="e">
        <f t="shared" ca="1" si="277"/>
        <v>#NUM!</v>
      </c>
      <c r="BS65" s="83" t="e">
        <f t="shared" ref="BS65:BS69" ca="1" si="373">+$A$44*$A$44*AU65*BL65-$A$44*$A$44*AV65*BM65</f>
        <v>#NUM!</v>
      </c>
      <c r="BT65" s="3" t="e">
        <f t="shared" ca="1" si="279"/>
        <v>#NUM!</v>
      </c>
      <c r="BU65" s="83" t="e">
        <f t="shared" ref="BU65:BU69" ca="1" si="374">+$A$44*$A$44*AW65*BN65-$A$44*$A$44*AX65*BO65</f>
        <v>#NUM!</v>
      </c>
      <c r="BV65" s="83"/>
      <c r="BX65" s="83" t="e">
        <f t="shared" ref="BX65:BX69" ca="1" si="375">+$A$44*$A$44*BA65*BJ65-$A$44*$A$44*BB65*BK65</f>
        <v>#NUM!</v>
      </c>
      <c r="BY65" s="83" t="e">
        <f t="shared" ca="1" si="292"/>
        <v>#NUM!</v>
      </c>
      <c r="BZ65" s="83" t="e">
        <f t="shared" ref="BZ65:BZ69" ca="1" si="376">+$A$44*$A$44*BC65*BL65-$A$44*$A$44*BD65*BM65</f>
        <v>#NUM!</v>
      </c>
      <c r="CA65" s="83" t="e">
        <f t="shared" ca="1" si="292"/>
        <v>#NUM!</v>
      </c>
      <c r="CB65" s="83" t="e">
        <f t="shared" ref="CB65:CB69" ca="1" si="377">+$A$44*$A$44*BE65*BN65-$A$44*$A$44*BF65*BO65</f>
        <v>#NUM!</v>
      </c>
      <c r="CC65" s="83" t="e">
        <f t="shared" ca="1" si="292"/>
        <v>#NUM!</v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0.01</v>
      </c>
      <c r="CF65" s="83">
        <f>IF(RTD("tos.rtd",,CF$2,"."&amp;$A$43&amp;$AU$1&amp;"C"&amp;$A65)="N/A",0,RTD("tos.rtd",,CF$2,"."&amp;$A$43&amp;$AU$1&amp;"C"&amp;$A65))</f>
        <v>0.98</v>
      </c>
      <c r="CG65" s="83">
        <f>-IF(RTD("tos.rtd",,CG$2,"."&amp;$A$43&amp;$AU$1&amp;"P"&amp;$A65)="N/A",0,RTD("tos.rtd",,CG$2,"."&amp;$A$43&amp;$AU$1&amp;"P"&amp;$A65))</f>
        <v>0.01</v>
      </c>
      <c r="CH65" s="83">
        <f>IF(RTD("tos.rtd",,CH$2,"."&amp;$A$43&amp;$AW$1&amp;"C"&amp;$A65)="N/A",0,RTD("tos.rtd",,CH$2,"."&amp;$A$43&amp;$AW$1&amp;"C"&amp;$A65))</f>
        <v>0.65</v>
      </c>
      <c r="CI65" s="83">
        <f>-IF(RTD("tos.rtd",,CI$2,"."&amp;$A$43&amp;$AW$1&amp;"P"&amp;$A65)="N/A",0,RTD("tos.rtd",,CI$2,"."&amp;$A$43&amp;$AW$1&amp;"P"&amp;$A65))</f>
        <v>0.35</v>
      </c>
      <c r="CK65" s="83">
        <f t="shared" ref="CK65:CK69" si="378">+AS65*CD65*100+AT65*CE65*100</f>
        <v>73275</v>
      </c>
      <c r="CL65" s="83"/>
      <c r="CM65" s="83">
        <f t="shared" ref="CM65:CM69" si="379">+AU65*CF65*100+AV65*CG65*100</f>
        <v>236461.99999999997</v>
      </c>
      <c r="CN65" s="83"/>
      <c r="CO65" s="83">
        <f t="shared" ref="CO65:CO69" si="380">+AW65*CH65*100+AX65*CI65*100</f>
        <v>14925</v>
      </c>
      <c r="CP65" s="83">
        <f t="shared" ref="CP65:CP69" si="381">+CK65+CM65+CO65</f>
        <v>324662</v>
      </c>
      <c r="CQ65" s="83">
        <f t="shared" ref="CQ65:CQ69" si="382">+BA65+BB65</f>
        <v>0</v>
      </c>
      <c r="CR65" s="83"/>
      <c r="CS65" s="83">
        <f t="shared" ref="CS65:CS69" si="383">+BC65+BD65</f>
        <v>-15075</v>
      </c>
      <c r="CT65" s="83"/>
      <c r="CU65" s="83">
        <f t="shared" ref="CU65:CU69" si="384">+BE65+BF65</f>
        <v>-395</v>
      </c>
      <c r="CV65" s="83"/>
      <c r="CW65" s="83" t="e">
        <f t="shared" ref="CW65:CW69" ca="1" si="385">+BQ65+BS65+BU65</f>
        <v>#NUM!</v>
      </c>
      <c r="CY65" s="83" t="e">
        <f t="shared" ref="CY65:CY69" ca="1" si="386">+BX65+BZ65+CB65</f>
        <v>#NUM!</v>
      </c>
      <c r="CZ65" s="70" t="e">
        <f t="shared" ca="1" si="293"/>
        <v>#NUM!</v>
      </c>
      <c r="DA65" s="83">
        <f>IF(RTD("tos.rtd",,DA$43,"."&amp;$A$43&amp;$AS$42&amp;"C"&amp;$A65)="N/A",0,RTD("tos.rtd",,DA$43,"."&amp;$A$43&amp;$AS$42&amp;"C"&amp;$A65))</f>
        <v>3.68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5.22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3.1</v>
      </c>
      <c r="DF65" s="83">
        <f>IF(RTD("tos.rtd",,DF$43,"."&amp;$A$43&amp;$AS$42&amp;"P"&amp;$A65)="N/A",0,RTD("tos.rtd",,DF$43,"."&amp;$A$43&amp;$AS$42&amp;"P"&amp;$A65))</f>
        <v>0</v>
      </c>
      <c r="DG65" s="86">
        <f t="shared" si="287"/>
        <v>-5.9200000000000159</v>
      </c>
      <c r="DH65" s="83">
        <f t="shared" ref="DH65:DH69" si="387">((DA65-DE65)/(DC65-DE65))*(BA65-AP65)</f>
        <v>-1030.0471698113211</v>
      </c>
      <c r="DI65" s="83">
        <f t="shared" ref="DI65:DI69" si="388">((DB65-DF65)/(DD65-DF65))*(BB65-AQ65)</f>
        <v>65858</v>
      </c>
      <c r="DJ65" s="83">
        <f t="shared" ref="DJ65:DJ69" si="389">IF(DA65&gt;=(DE65+(DC65-DE65)*0.6),(BA65-AP65),IF(DA65&lt;=(DE65+(DC65-DE65)*0.4),-(BA65-AP65),0))</f>
        <v>3765</v>
      </c>
      <c r="DK65" s="83">
        <f t="shared" si="255"/>
        <v>65858</v>
      </c>
      <c r="DL65" s="83">
        <f t="shared" si="256"/>
        <v>64827.952830188682</v>
      </c>
      <c r="DM65" s="83">
        <f t="shared" si="257"/>
        <v>69623</v>
      </c>
      <c r="DN65" s="64" t="str">
        <f t="shared" si="258"/>
        <v>UNKNOWN</v>
      </c>
      <c r="DO65" s="64" t="str">
        <f t="shared" si="259"/>
        <v>UNKNOWN</v>
      </c>
      <c r="DP65" s="83">
        <f t="shared" si="260"/>
        <v>-3131.9935849056619</v>
      </c>
      <c r="DQ65" s="83">
        <f t="shared" si="261"/>
        <v>14513.78</v>
      </c>
      <c r="DR65" s="83" t="e">
        <f t="shared" ca="1" si="262"/>
        <v>#NUM!</v>
      </c>
      <c r="DS65" s="83">
        <f t="shared" si="263"/>
        <v>4423.58</v>
      </c>
      <c r="DT65" s="83">
        <f t="shared" si="288"/>
        <v>-3765</v>
      </c>
      <c r="DU65" s="83">
        <f t="shared" si="289"/>
        <v>65858</v>
      </c>
      <c r="DV65" s="83">
        <f t="shared" si="264"/>
        <v>-465</v>
      </c>
      <c r="DW65" s="83">
        <f t="shared" si="265"/>
        <v>-2494</v>
      </c>
      <c r="DX65" s="83" t="e">
        <f t="shared" ref="DX65:DX69" ca="1" si="390">(EXP(-POWER((LN($A$44/$A65)+($EC$1+POWER($EE65,2)/2)*($EM$1/$DY$1))/($EE65*SQRT($EM$1/$DY$1)),2)/2)/SQRT(2*PI())/($A$44*$EE65*SQRT($EM$1/$DY$1)))</f>
        <v>#NUM!</v>
      </c>
      <c r="DY65" s="83" t="e">
        <f t="shared" ref="DY65:DY69" ca="1" si="391">-(EXP(-POWER((LN($A$44/$A65)+($EC$1+POWER($EF65,2)/2)*($EM$1/$DY$1))/($EF65*SQRT($EM$1/$DY$1)),2)/2)/SQRT(2*PI())/($A$44*$EF65*SQRT($EM$1/$DY$1)))</f>
        <v>#NUM!</v>
      </c>
      <c r="DZ65" s="83" t="e">
        <f t="shared" ref="DZ65:DZ69" ca="1" si="392">(EXP(-POWER((LN($A$44/$A65)+($EC$1+POWER($EG65,2)/2)*($EO$1/$DY$1))/($EG65*SQRT($EO$1/$DY$1)),2)/2)/SQRT(2*PI())/($A$44*$EG65*SQRT($EO$1/$DY$1)))</f>
        <v>#NUM!</v>
      </c>
      <c r="EA65" s="83" t="e">
        <f t="shared" ref="EA65:EA69" ca="1" si="393">-(EXP(-POWER((LN($A$44/$A65)+($EC$1+POWER($EH65,2)/2)*($EO$1/$DY$1))/($EH65*SQRT($EO$1/$DY$1)),2)/2)/SQRT(2*PI())/($A$44*$EH65*SQRT($EO$1/$DY$1)))</f>
        <v>#NUM!</v>
      </c>
      <c r="EB65" s="83" t="e">
        <f t="shared" ref="EB65:EB69" ca="1" si="394">(EXP(-POWER((LN($A$44/$A65)+($EC$1+POWER($EI65,2)/2)*($EO$1/$DY$1))/($EI65*SQRT($EO$1/$DY$1)),2)/2)/SQRT(2*PI())/($A$44*$EI65*SQRT($EO$1/$DY$1)))</f>
        <v>#NUM!</v>
      </c>
      <c r="EC65" s="83" t="e">
        <f t="shared" ref="EC65:EC69" ca="1" si="395">-(EXP(-POWER((LN($A$44/$A65)+($EC$1+POWER($EJ65,2)/2)*($EO$1/$DY$1))/($EJ65*SQRT($EO$1/$DY$1)),2)/2)/SQRT(2*PI())/($A$44*$EJ65*SQRT($EO$1/$DY$1)))</f>
        <v>#NUM!</v>
      </c>
      <c r="EE65" s="84">
        <f t="shared" ref="EE65:EE69" si="396">IFERROR(VALUE(IF(OR(EL65="--",EL65="0.00%"),$EE$1,EL65)),$EE$1)</f>
        <v>0.25</v>
      </c>
      <c r="EF65" s="84">
        <f t="shared" ref="EF65:EF69" si="397">IFERROR(VALUE(IF(OR(EM65="--",EM65="0.00%"),$EE$1,EM65)),$EE$1)</f>
        <v>0.65049999999999997</v>
      </c>
      <c r="EG65" s="84">
        <f t="shared" ref="EG65:EG69" si="398">IFERROR(VALUE(IF(OR(EN65="--",EN65="0.00%"),$EE$1,EN65)),$EE$1)</f>
        <v>0.80300000000000005</v>
      </c>
      <c r="EH65" s="84">
        <f t="shared" ref="EH65:EH69" si="399">IFERROR(VALUE(IF(OR(EO65="--",EO65="0.00%"),$EE$1,EO65)),$EE$1)</f>
        <v>0.65049999999999997</v>
      </c>
      <c r="EI65" s="84">
        <f t="shared" ref="EI65:EI69" si="400">IFERROR(VALUE(IF(OR(EP65="--",EP65="0.00%"),$EE$1,EP65)),$EE$1)</f>
        <v>0.30049999999999999</v>
      </c>
      <c r="EJ65" s="84">
        <f t="shared" ref="EJ65:EJ69" si="401">IFERROR(VALUE(IF(OR(EQ65="--",EQ65="0.00%"),$EE$1,EQ65)),$EE$1)</f>
        <v>0.29480000000000001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65.05%</v>
      </c>
      <c r="EN65" s="83" t="str">
        <f>RTD("tos.rtd",,EN$2,"."&amp;$A$43&amp;$AU$1&amp;"C"&amp;$A65)</f>
        <v>80.30%</v>
      </c>
      <c r="EO65" s="83" t="str">
        <f>RTD("tos.rtd",,EO$2,"."&amp;$A$43&amp;$AU$1&amp;"P"&amp;$A65)</f>
        <v>65.05%</v>
      </c>
      <c r="EP65" s="83" t="str">
        <f>RTD("tos.rtd",,EP$2,"."&amp;$A$43&amp;$AW$1&amp;"C"&amp;$A65)</f>
        <v>30.05%</v>
      </c>
      <c r="EQ65" s="83" t="str">
        <f>RTD("tos.rtd",,EQ$2,"."&amp;$A$43&amp;$AW$1&amp;"P"&amp;$A65)</f>
        <v>29.48%</v>
      </c>
      <c r="ES65" s="63" t="str">
        <f t="shared" si="272"/>
        <v>482,-2959.00</v>
      </c>
      <c r="ET65" s="64" t="str">
        <f t="shared" ca="1" si="273"/>
        <v>482,00.00</v>
      </c>
      <c r="EU65" s="68">
        <v>562.87</v>
      </c>
      <c r="EV65" s="68" t="s">
        <v>539</v>
      </c>
      <c r="EW65" s="68">
        <v>485.14</v>
      </c>
      <c r="EX65" s="68" t="s">
        <v>540</v>
      </c>
      <c r="EY65" s="68">
        <v>5642.75</v>
      </c>
      <c r="EZ65" s="68" t="s">
        <v>541</v>
      </c>
      <c r="FA65" s="68">
        <v>19931.25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90"/>
        <v>481</v>
      </c>
      <c r="B66" s="3">
        <f t="shared" si="367"/>
        <v>3367</v>
      </c>
      <c r="C66" s="3">
        <f t="shared" si="240"/>
        <v>4539</v>
      </c>
      <c r="D66" s="3">
        <f t="shared" si="368"/>
        <v>1357</v>
      </c>
      <c r="E66" s="3">
        <f t="shared" si="369"/>
        <v>9263</v>
      </c>
      <c r="F66" s="4">
        <f t="shared" si="370"/>
        <v>19860.769183472701</v>
      </c>
      <c r="AM66" s="1">
        <v>731</v>
      </c>
      <c r="AN66" s="1">
        <v>-2989</v>
      </c>
      <c r="AO66" s="1">
        <v>481</v>
      </c>
      <c r="AP66" s="1">
        <v>3322</v>
      </c>
      <c r="AQ66" s="1">
        <v>-35777</v>
      </c>
      <c r="AS66" s="6">
        <f>IF(RTD("tos.rtd",,AS$43,"."&amp;$A$43&amp;$AS$42&amp;"C"&amp;$A66)="N/A",0,RTD("tos.rtd",,AS$43,"."&amp;$A$43&amp;$AS$42&amp;"C"&amp;$A66))</f>
        <v>545</v>
      </c>
      <c r="AT66" s="7">
        <f>-IF(RTD("tos.rtd",,AT$43,"."&amp;$A$43&amp;$AS$42&amp;"P"&amp;$A66)="N/A",0,RTD("tos.rtd",,AT$43,"."&amp;$A$43&amp;$AS$42&amp;"P"&amp;$A66))</f>
        <v>-2822</v>
      </c>
      <c r="AU66" s="6">
        <f>IF(RTD("tos.rtd",,AU$2,"."&amp;$A$43&amp;$AU$1&amp;"C"&amp;$A66)="N/A",0,RTD("tos.rtd",,AU$2,"."&amp;$A$43&amp;$AU$1&amp;"C"&amp;$A66))</f>
        <v>1987</v>
      </c>
      <c r="AV66" s="7">
        <f>-IF(RTD("tos.rtd",,AV$2,"."&amp;$A$43&amp;$AU$1&amp;"P"&amp;$A66)="N/A",0,RTD("tos.rtd",,AV$2,"."&amp;$A$43&amp;$AU$1&amp;"P"&amp;$A66))</f>
        <v>-2552</v>
      </c>
      <c r="AW66" s="6">
        <f>IF(RTD("tos.rtd",,AW$2,"."&amp;$A$43&amp;$AW$1&amp;"C"&amp;$A66)="N/A",0,RTD("tos.rtd",,AW$2,"."&amp;$A$43&amp;$AW$1&amp;"C"&amp;$A66))</f>
        <v>584</v>
      </c>
      <c r="AX66" s="7">
        <f>-IF(RTD("tos.rtd",,AX$2,"."&amp;$A$43&amp;$AW$1&amp;"P"&amp;$A66)="N/A",0,RTD("tos.rtd",,AX$2,"."&amp;$A$43&amp;$AW$1&amp;"P"&amp;$A66))</f>
        <v>-773</v>
      </c>
      <c r="AY66" s="7">
        <f t="shared" si="371"/>
        <v>-3031</v>
      </c>
      <c r="AZ66" s="8">
        <f t="shared" si="243"/>
        <v>481</v>
      </c>
      <c r="BA66" s="6">
        <f>IF(RTD("tos.rtd",,BA$43,"."&amp;$A$43&amp;$AS$42&amp;"C"&amp;$A66)="N/A",0,RTD("tos.rtd",,BA$43,"."&amp;$A$43&amp;$AS$42&amp;"C"&amp;$A66))</f>
        <v>0</v>
      </c>
      <c r="BB66" s="7">
        <f>-IF(RTD("tos.rtd",,BB$43,"."&amp;$A$43&amp;$AS$42&amp;"P"&amp;$A66)="N/A",0,RTD("tos.rtd",,BB$43,"."&amp;$A$43&amp;$AS$42&amp;"P"&amp;$A66))</f>
        <v>0</v>
      </c>
      <c r="BC66" s="6">
        <f>IF(RTD("tos.rtd",,BC$2,"."&amp;$A$43&amp;$AU$1&amp;"C"&amp;$A66)="N/A",0,RTD("tos.rtd",,BC$2,"."&amp;$A$43&amp;$AU$1&amp;"C"&amp;$A66))</f>
        <v>559</v>
      </c>
      <c r="BD66" s="7">
        <f>-IF(RTD("tos.rtd",,BD$2,"."&amp;$A$43&amp;$AU$1&amp;"P"&amp;$A66)="N/A",0,RTD("tos.rtd",,BD$2,"."&amp;$A$43&amp;$AU$1&amp;"P"&amp;$A66))</f>
        <v>-9331</v>
      </c>
      <c r="BE66" s="6">
        <f>IF(RTD("tos.rtd",,BE$2,"."&amp;$A$43&amp;$AW$1&amp;"C"&amp;$A66)="N/A",0,RTD("tos.rtd",,BE$2,"."&amp;$A$43&amp;$AW$1&amp;"C"&amp;$A66))</f>
        <v>70</v>
      </c>
      <c r="BF66" s="7">
        <f>-IF(RTD("tos.rtd",,BF$2,"."&amp;$A$43&amp;$AW$1&amp;"P"&amp;$A66)="N/A",0,RTD("tos.rtd",,BF$2,"."&amp;$A$43&amp;$AW$1&amp;"P"&amp;$A66))</f>
        <v>-367</v>
      </c>
      <c r="BG66" s="32">
        <f ca="1">+Hoja2!Y67</f>
        <v>-263</v>
      </c>
      <c r="BH66" s="7">
        <f t="shared" ca="1" si="275"/>
        <v>-9332</v>
      </c>
      <c r="BI66" s="8" t="str">
        <f t="shared" ca="1" si="291"/>
        <v/>
      </c>
      <c r="BJ66" s="83" t="e">
        <f ca="1">IF($BP$1=1,DX66,IF(RTD("tos.rtd",,BJ$43,"."&amp;$A$43&amp;$AS$42&amp;"C"&amp;$A66)="N/A",0,RTD("tos.rtd",,BJ$43,"."&amp;$A$43&amp;$AS$42&amp;"C"&amp;$A66)))</f>
        <v>#NUM!</v>
      </c>
      <c r="BK66" s="83" t="e">
        <f ca="1">IF($BP$1=1,DY66,-IF(RTD("tos.rtd",,BK$43,"."&amp;$A$43&amp;$AS$42&amp;"P"&amp;$A66)="N/A",0,RTD("tos.rtd",,BK$43,"."&amp;$A$43&amp;$AS$42&amp;"P"&amp;$A66)))</f>
        <v>#NUM!</v>
      </c>
      <c r="BL66" s="83" t="e">
        <f ca="1">IF($BP$1=1,DZ66,IF(RTD("tos.rtd",,BL$2,"."&amp;$A$43&amp;$AU$1&amp;"C"&amp;$A66)="N/A",0,RTD("tos.rtd",,BL$2,"."&amp;$A$43&amp;$AU$1&amp;"C"&amp;$A66)))</f>
        <v>#NUM!</v>
      </c>
      <c r="BM66" s="83" t="e">
        <f ca="1">IF($BP$1=1,EA66,-IF(RTD("tos.rtd",,BM$2,"."&amp;$A$43&amp;$AU$1&amp;"P"&amp;$A66)="N/A",0,RTD("tos.rtd",,BM$2,"."&amp;$A$43&amp;$AU$1&amp;"P"&amp;$A66)))</f>
        <v>#NUM!</v>
      </c>
      <c r="BN66" s="83" t="e">
        <f ca="1">IF($BP$1=1,EB66,IF(RTD("tos.rtd",,BN$2,"."&amp;$A$43&amp;$AW$1&amp;"C"&amp;$A66)="N/A",0,RTD("tos.rtd",,BN$2,"."&amp;$A$43&amp;$AW$1&amp;"C"&amp;$A66)))</f>
        <v>#NUM!</v>
      </c>
      <c r="BO66" s="83" t="e">
        <f ca="1">IF($BP$1=1,EC66,-IF(RTD("tos.rtd",,BO$2,"."&amp;$A$43&amp;$AW$1&amp;"P"&amp;$A66)="N/A",0,RTD("tos.rtd",,BO$2,"."&amp;$A$43&amp;$AW$1&amp;"P"&amp;$A66)))</f>
        <v>#NUM!</v>
      </c>
      <c r="BQ66" s="83" t="e">
        <f t="shared" ca="1" si="372"/>
        <v>#NUM!</v>
      </c>
      <c r="BR66" s="3" t="e">
        <f t="shared" ca="1" si="277"/>
        <v>#NUM!</v>
      </c>
      <c r="BS66" s="83" t="e">
        <f t="shared" ca="1" si="373"/>
        <v>#NUM!</v>
      </c>
      <c r="BT66" s="3" t="e">
        <f t="shared" ca="1" si="279"/>
        <v>#NUM!</v>
      </c>
      <c r="BU66" s="83" t="e">
        <f t="shared" ca="1" si="374"/>
        <v>#NUM!</v>
      </c>
      <c r="BV66" s="83"/>
      <c r="BX66" s="83" t="e">
        <f t="shared" ca="1" si="375"/>
        <v>#NUM!</v>
      </c>
      <c r="BY66" s="83" t="e">
        <f t="shared" ca="1" si="292"/>
        <v>#NUM!</v>
      </c>
      <c r="BZ66" s="83" t="e">
        <f t="shared" ca="1" si="376"/>
        <v>#NUM!</v>
      </c>
      <c r="CA66" s="83" t="e">
        <f t="shared" ca="1" si="292"/>
        <v>#NUM!</v>
      </c>
      <c r="CB66" s="83" t="e">
        <f t="shared" ca="1" si="377"/>
        <v>#NUM!</v>
      </c>
      <c r="CC66" s="83" t="e">
        <f t="shared" ca="1" si="292"/>
        <v>#NUM!</v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0.01</v>
      </c>
      <c r="CF66" s="83">
        <f>IF(RTD("tos.rtd",,CF$2,"."&amp;$A$43&amp;$AU$1&amp;"C"&amp;$A66)="N/A",0,RTD("tos.rtd",,CF$2,"."&amp;$A$43&amp;$AU$1&amp;"C"&amp;$A66))</f>
        <v>0.98</v>
      </c>
      <c r="CG66" s="83">
        <f>-IF(RTD("tos.rtd",,CG$2,"."&amp;$A$43&amp;$AU$1&amp;"P"&amp;$A66)="N/A",0,RTD("tos.rtd",,CG$2,"."&amp;$A$43&amp;$AU$1&amp;"P"&amp;$A66))</f>
        <v>0.01</v>
      </c>
      <c r="CH66" s="83">
        <f>IF(RTD("tos.rtd",,CH$2,"."&amp;$A$43&amp;$AW$1&amp;"C"&amp;$A66)="N/A",0,RTD("tos.rtd",,CH$2,"."&amp;$A$43&amp;$AW$1&amp;"C"&amp;$A66))</f>
        <v>0.67</v>
      </c>
      <c r="CI66" s="83">
        <f>-IF(RTD("tos.rtd",,CI$2,"."&amp;$A$43&amp;$AW$1&amp;"P"&amp;$A66)="N/A",0,RTD("tos.rtd",,CI$2,"."&amp;$A$43&amp;$AW$1&amp;"P"&amp;$A66))</f>
        <v>0.33</v>
      </c>
      <c r="CK66" s="83">
        <f t="shared" si="378"/>
        <v>51678</v>
      </c>
      <c r="CL66" s="83"/>
      <c r="CM66" s="83">
        <f t="shared" si="379"/>
        <v>192174</v>
      </c>
      <c r="CN66" s="83"/>
      <c r="CO66" s="83">
        <f t="shared" si="380"/>
        <v>13619</v>
      </c>
      <c r="CP66" s="83">
        <f t="shared" si="381"/>
        <v>257471</v>
      </c>
      <c r="CQ66" s="83">
        <f t="shared" si="382"/>
        <v>0</v>
      </c>
      <c r="CR66" s="83"/>
      <c r="CS66" s="83">
        <f t="shared" si="383"/>
        <v>-8772</v>
      </c>
      <c r="CT66" s="83"/>
      <c r="CU66" s="83">
        <f t="shared" si="384"/>
        <v>-297</v>
      </c>
      <c r="CV66" s="83"/>
      <c r="CW66" s="83" t="e">
        <f t="shared" ca="1" si="385"/>
        <v>#NUM!</v>
      </c>
      <c r="CY66" s="83" t="e">
        <f t="shared" ca="1" si="386"/>
        <v>#NUM!</v>
      </c>
      <c r="CZ66" s="70" t="e">
        <f t="shared" ca="1" si="293"/>
        <v>#NUM!</v>
      </c>
      <c r="DA66" s="83">
        <f>IF(RTD("tos.rtd",,DA$43,"."&amp;$A$43&amp;$AS$42&amp;"C"&amp;$A66)="N/A",0,RTD("tos.rtd",,DA$43,"."&amp;$A$43&amp;$AS$42&amp;"C"&amp;$A66))</f>
        <v>4.54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6.22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4.0999999999999996</v>
      </c>
      <c r="DF66" s="83">
        <f>IF(RTD("tos.rtd",,DF$43,"."&amp;$A$43&amp;$AS$42&amp;"P"&amp;$A66)="N/A",0,RTD("tos.rtd",,DF$43,"."&amp;$A$43&amp;$AS$42&amp;"P"&amp;$A66))</f>
        <v>0</v>
      </c>
      <c r="DG66" s="86">
        <f t="shared" si="287"/>
        <v>-6.9200000000000159</v>
      </c>
      <c r="DH66" s="83">
        <f t="shared" si="387"/>
        <v>-689.47169811320816</v>
      </c>
      <c r="DI66" s="83">
        <f t="shared" si="388"/>
        <v>35777</v>
      </c>
      <c r="DJ66" s="83">
        <f t="shared" si="389"/>
        <v>3322</v>
      </c>
      <c r="DK66" s="83">
        <f t="shared" si="255"/>
        <v>35777</v>
      </c>
      <c r="DL66" s="83">
        <f t="shared" si="256"/>
        <v>35087.528301886792</v>
      </c>
      <c r="DM66" s="83">
        <f t="shared" si="257"/>
        <v>39099</v>
      </c>
      <c r="DN66" s="64" t="str">
        <f t="shared" si="258"/>
        <v>UNKNOWN</v>
      </c>
      <c r="DO66" s="64" t="str">
        <f t="shared" si="259"/>
        <v>UNKNOWN</v>
      </c>
      <c r="DP66" s="83">
        <f t="shared" si="260"/>
        <v>-2772.4315094339649</v>
      </c>
      <c r="DQ66" s="83">
        <f t="shared" si="261"/>
        <v>15439.650000000001</v>
      </c>
      <c r="DR66" s="83" t="e">
        <f t="shared" ca="1" si="262"/>
        <v>#NUM!</v>
      </c>
      <c r="DS66" s="83">
        <f t="shared" si="263"/>
        <v>3679.77</v>
      </c>
      <c r="DT66" s="83">
        <f t="shared" si="288"/>
        <v>-3322</v>
      </c>
      <c r="DU66" s="83">
        <f t="shared" si="289"/>
        <v>35777</v>
      </c>
      <c r="DV66" s="83">
        <f t="shared" si="264"/>
        <v>731</v>
      </c>
      <c r="DW66" s="83">
        <f t="shared" si="265"/>
        <v>-2989</v>
      </c>
      <c r="DX66" s="83" t="e">
        <f t="shared" ca="1" si="390"/>
        <v>#NUM!</v>
      </c>
      <c r="DY66" s="83" t="e">
        <f t="shared" ca="1" si="391"/>
        <v>#NUM!</v>
      </c>
      <c r="DZ66" s="83" t="e">
        <f t="shared" ca="1" si="392"/>
        <v>#NUM!</v>
      </c>
      <c r="EA66" s="83" t="e">
        <f t="shared" ca="1" si="393"/>
        <v>#NUM!</v>
      </c>
      <c r="EB66" s="83" t="e">
        <f t="shared" ca="1" si="394"/>
        <v>#NUM!</v>
      </c>
      <c r="EC66" s="83" t="e">
        <f t="shared" ca="1" si="395"/>
        <v>#NUM!</v>
      </c>
      <c r="EE66" s="84">
        <f t="shared" si="396"/>
        <v>0.25</v>
      </c>
      <c r="EF66" s="84">
        <f t="shared" si="397"/>
        <v>0.74780000000000002</v>
      </c>
      <c r="EG66" s="84">
        <f t="shared" si="398"/>
        <v>0.91779999999999995</v>
      </c>
      <c r="EH66" s="84">
        <f t="shared" si="399"/>
        <v>0.74780000000000002</v>
      </c>
      <c r="EI66" s="84">
        <f t="shared" si="400"/>
        <v>0.30220000000000002</v>
      </c>
      <c r="EJ66" s="84">
        <f t="shared" si="401"/>
        <v>0.29630000000000001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74.78%</v>
      </c>
      <c r="EN66" s="83" t="str">
        <f>RTD("tos.rtd",,EN$2,"."&amp;$A$43&amp;$AU$1&amp;"C"&amp;$A66)</f>
        <v>91.78%</v>
      </c>
      <c r="EO66" s="83" t="str">
        <f>RTD("tos.rtd",,EO$2,"."&amp;$A$43&amp;$AU$1&amp;"P"&amp;$A66)</f>
        <v>74.78%</v>
      </c>
      <c r="EP66" s="83" t="str">
        <f>RTD("tos.rtd",,EP$2,"."&amp;$A$43&amp;$AW$1&amp;"C"&amp;$A66)</f>
        <v>30.22%</v>
      </c>
      <c r="EQ66" s="83" t="str">
        <f>RTD("tos.rtd",,EQ$2,"."&amp;$A$43&amp;$AW$1&amp;"P"&amp;$A66)</f>
        <v>29.63%</v>
      </c>
      <c r="ES66" s="63" t="str">
        <f t="shared" si="272"/>
        <v>481,-2258.00</v>
      </c>
      <c r="ET66" s="64" t="str">
        <f t="shared" ca="1" si="273"/>
        <v>481,00.00</v>
      </c>
      <c r="EU66" s="68">
        <v>562.9</v>
      </c>
      <c r="EV66" s="68" t="s">
        <v>547</v>
      </c>
      <c r="EW66" s="68">
        <v>485.22</v>
      </c>
      <c r="EX66" s="68" t="s">
        <v>548</v>
      </c>
      <c r="EY66" s="68">
        <v>5643</v>
      </c>
      <c r="EZ66" s="68" t="s">
        <v>549</v>
      </c>
      <c r="FA66" s="68">
        <v>19933.75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90"/>
        <v>480</v>
      </c>
      <c r="B67" s="3">
        <f t="shared" si="367"/>
        <v>13845</v>
      </c>
      <c r="C67" s="3">
        <f t="shared" si="240"/>
        <v>14750</v>
      </c>
      <c r="D67" s="3">
        <f t="shared" si="368"/>
        <v>56953</v>
      </c>
      <c r="E67" s="3">
        <f t="shared" si="369"/>
        <v>85548</v>
      </c>
      <c r="F67" s="4">
        <f t="shared" si="370"/>
        <v>19819.47860304968</v>
      </c>
      <c r="AM67" s="1">
        <v>175</v>
      </c>
      <c r="AN67" s="1">
        <v>-2069</v>
      </c>
      <c r="AO67" s="1">
        <v>480</v>
      </c>
      <c r="AP67" s="1">
        <v>3447</v>
      </c>
      <c r="AQ67" s="1">
        <v>-55495</v>
      </c>
      <c r="AS67" s="6">
        <f>IF(RTD("tos.rtd",,AS$43,"."&amp;$A$43&amp;$AS$42&amp;"C"&amp;$A67)="N/A",0,RTD("tos.rtd",,AS$43,"."&amp;$A$43&amp;$AS$42&amp;"C"&amp;$A67))</f>
        <v>2145</v>
      </c>
      <c r="AT67" s="7">
        <f>-IF(RTD("tos.rtd",,AT$43,"."&amp;$A$43&amp;$AS$42&amp;"P"&amp;$A67)="N/A",0,RTD("tos.rtd",,AT$43,"."&amp;$A$43&amp;$AS$42&amp;"P"&amp;$A67))</f>
        <v>-11700</v>
      </c>
      <c r="AU67" s="6">
        <f>IF(RTD("tos.rtd",,AU$2,"."&amp;$A$43&amp;$AU$1&amp;"C"&amp;$A67)="N/A",0,RTD("tos.rtd",,AU$2,"."&amp;$A$43&amp;$AU$1&amp;"C"&amp;$A67))</f>
        <v>3923</v>
      </c>
      <c r="AV67" s="7">
        <f>-IF(RTD("tos.rtd",,AV$2,"."&amp;$A$43&amp;$AU$1&amp;"P"&amp;$A67)="N/A",0,RTD("tos.rtd",,AV$2,"."&amp;$A$43&amp;$AU$1&amp;"P"&amp;$A67))</f>
        <v>-10827</v>
      </c>
      <c r="AW67" s="6">
        <f>IF(RTD("tos.rtd",,AW$2,"."&amp;$A$43&amp;$AW$1&amp;"C"&amp;$A67)="N/A",0,RTD("tos.rtd",,AW$2,"."&amp;$A$43&amp;$AW$1&amp;"C"&amp;$A67))</f>
        <v>29641</v>
      </c>
      <c r="AX67" s="7">
        <f>-IF(RTD("tos.rtd",,AX$2,"."&amp;$A$43&amp;$AW$1&amp;"P"&amp;$A67)="N/A",0,RTD("tos.rtd",,AX$2,"."&amp;$A$43&amp;$AW$1&amp;"P"&amp;$A67))</f>
        <v>-27312</v>
      </c>
      <c r="AY67" s="7">
        <f t="shared" si="371"/>
        <v>-14130</v>
      </c>
      <c r="AZ67" s="8">
        <f t="shared" si="243"/>
        <v>480</v>
      </c>
      <c r="BA67" s="6">
        <f>IF(RTD("tos.rtd",,BA$43,"."&amp;$A$43&amp;$AS$42&amp;"C"&amp;$A67)="N/A",0,RTD("tos.rtd",,BA$43,"."&amp;$A$43&amp;$AS$42&amp;"C"&amp;$A67))</f>
        <v>0</v>
      </c>
      <c r="BB67" s="7">
        <f>-IF(RTD("tos.rtd",,BB$43,"."&amp;$A$43&amp;$AS$42&amp;"P"&amp;$A67)="N/A",0,RTD("tos.rtd",,BB$43,"."&amp;$A$43&amp;$AS$42&amp;"P"&amp;$A67))</f>
        <v>0</v>
      </c>
      <c r="BC67" s="6">
        <f>IF(RTD("tos.rtd",,BC$2,"."&amp;$A$43&amp;$AU$1&amp;"C"&amp;$A67)="N/A",0,RTD("tos.rtd",,BC$2,"."&amp;$A$43&amp;$AU$1&amp;"C"&amp;$A67))</f>
        <v>2151</v>
      </c>
      <c r="BD67" s="7">
        <f>-IF(RTD("tos.rtd",,BD$2,"."&amp;$A$43&amp;$AU$1&amp;"P"&amp;$A67)="N/A",0,RTD("tos.rtd",,BD$2,"."&amp;$A$43&amp;$AU$1&amp;"P"&amp;$A67))</f>
        <v>-29076</v>
      </c>
      <c r="BE67" s="6">
        <f>IF(RTD("tos.rtd",,BE$2,"."&amp;$A$43&amp;$AW$1&amp;"C"&amp;$A67)="N/A",0,RTD("tos.rtd",,BE$2,"."&amp;$A$43&amp;$AW$1&amp;"C"&amp;$A67))</f>
        <v>2188</v>
      </c>
      <c r="BF67" s="7">
        <f>-IF(RTD("tos.rtd",,BF$2,"."&amp;$A$43&amp;$AW$1&amp;"P"&amp;$A67)="N/A",0,RTD("tos.rtd",,BF$2,"."&amp;$A$43&amp;$AW$1&amp;"P"&amp;$A67))</f>
        <v>-12274</v>
      </c>
      <c r="BG67" s="32">
        <f ca="1">+Hoja2!Y68</f>
        <v>-16327</v>
      </c>
      <c r="BH67" s="7">
        <f t="shared" ca="1" si="275"/>
        <v>-53338</v>
      </c>
      <c r="BI67" s="8" t="str">
        <f t="shared" ca="1" si="291"/>
        <v/>
      </c>
      <c r="BJ67" s="83" t="e">
        <f ca="1">IF($BP$1=1,DX67,IF(RTD("tos.rtd",,BJ$43,"."&amp;$A$43&amp;$AS$42&amp;"C"&amp;$A67)="N/A",0,RTD("tos.rtd",,BJ$43,"."&amp;$A$43&amp;$AS$42&amp;"C"&amp;$A67)))</f>
        <v>#NUM!</v>
      </c>
      <c r="BK67" s="83" t="e">
        <f ca="1">IF($BP$1=1,DY67,-IF(RTD("tos.rtd",,BK$43,"."&amp;$A$43&amp;$AS$42&amp;"P"&amp;$A67)="N/A",0,RTD("tos.rtd",,BK$43,"."&amp;$A$43&amp;$AS$42&amp;"P"&amp;$A67)))</f>
        <v>#NUM!</v>
      </c>
      <c r="BL67" s="83" t="e">
        <f ca="1">IF($BP$1=1,DZ67,IF(RTD("tos.rtd",,BL$2,"."&amp;$A$43&amp;$AU$1&amp;"C"&amp;$A67)="N/A",0,RTD("tos.rtd",,BL$2,"."&amp;$A$43&amp;$AU$1&amp;"C"&amp;$A67)))</f>
        <v>#NUM!</v>
      </c>
      <c r="BM67" s="83" t="e">
        <f ca="1">IF($BP$1=1,EA67,-IF(RTD("tos.rtd",,BM$2,"."&amp;$A$43&amp;$AU$1&amp;"P"&amp;$A67)="N/A",0,RTD("tos.rtd",,BM$2,"."&amp;$A$43&amp;$AU$1&amp;"P"&amp;$A67)))</f>
        <v>#NUM!</v>
      </c>
      <c r="BN67" s="83" t="e">
        <f ca="1">IF($BP$1=1,EB67,IF(RTD("tos.rtd",,BN$2,"."&amp;$A$43&amp;$AW$1&amp;"C"&amp;$A67)="N/A",0,RTD("tos.rtd",,BN$2,"."&amp;$A$43&amp;$AW$1&amp;"C"&amp;$A67)))</f>
        <v>#NUM!</v>
      </c>
      <c r="BO67" s="83" t="e">
        <f ca="1">IF($BP$1=1,EC67,-IF(RTD("tos.rtd",,BO$2,"."&amp;$A$43&amp;$AW$1&amp;"P"&amp;$A67)="N/A",0,RTD("tos.rtd",,BO$2,"."&amp;$A$43&amp;$AW$1&amp;"P"&amp;$A67)))</f>
        <v>#NUM!</v>
      </c>
      <c r="BQ67" s="83" t="e">
        <f t="shared" ca="1" si="372"/>
        <v>#NUM!</v>
      </c>
      <c r="BR67" s="3" t="e">
        <f t="shared" ca="1" si="277"/>
        <v>#NUM!</v>
      </c>
      <c r="BS67" s="83" t="e">
        <f t="shared" ca="1" si="373"/>
        <v>#NUM!</v>
      </c>
      <c r="BT67" s="3" t="e">
        <f t="shared" ca="1" si="279"/>
        <v>#NUM!</v>
      </c>
      <c r="BU67" s="83" t="e">
        <f t="shared" ca="1" si="374"/>
        <v>#NUM!</v>
      </c>
      <c r="BV67" s="83"/>
      <c r="BX67" s="83" t="e">
        <f t="shared" ca="1" si="375"/>
        <v>#NUM!</v>
      </c>
      <c r="BY67" s="83" t="e">
        <f t="shared" ca="1" si="292"/>
        <v>#NUM!</v>
      </c>
      <c r="BZ67" s="83" t="e">
        <f t="shared" ca="1" si="376"/>
        <v>#NUM!</v>
      </c>
      <c r="CA67" s="83" t="e">
        <f t="shared" ca="1" si="292"/>
        <v>#NUM!</v>
      </c>
      <c r="CB67" s="83" t="e">
        <f t="shared" ca="1" si="377"/>
        <v>#NUM!</v>
      </c>
      <c r="CC67" s="83" t="e">
        <f t="shared" ca="1" si="292"/>
        <v>#NUM!</v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0.01</v>
      </c>
      <c r="CF67" s="83">
        <f>IF(RTD("tos.rtd",,CF$2,"."&amp;$A$43&amp;$AU$1&amp;"C"&amp;$A67)="N/A",0,RTD("tos.rtd",,CF$2,"."&amp;$A$43&amp;$AU$1&amp;"C"&amp;$A67))</f>
        <v>0.98</v>
      </c>
      <c r="CG67" s="83">
        <f>-IF(RTD("tos.rtd",,CG$2,"."&amp;$A$43&amp;$AU$1&amp;"P"&amp;$A67)="N/A",0,RTD("tos.rtd",,CG$2,"."&amp;$A$43&amp;$AU$1&amp;"P"&amp;$A67))</f>
        <v>0.01</v>
      </c>
      <c r="CH67" s="83">
        <f>IF(RTD("tos.rtd",,CH$2,"."&amp;$A$43&amp;$AW$1&amp;"C"&amp;$A67)="N/A",0,RTD("tos.rtd",,CH$2,"."&amp;$A$43&amp;$AW$1&amp;"C"&amp;$A67))</f>
        <v>0.69</v>
      </c>
      <c r="CI67" s="83">
        <f>-IF(RTD("tos.rtd",,CI$2,"."&amp;$A$43&amp;$AW$1&amp;"P"&amp;$A67)="N/A",0,RTD("tos.rtd",,CI$2,"."&amp;$A$43&amp;$AW$1&amp;"P"&amp;$A67))</f>
        <v>0.31</v>
      </c>
      <c r="CK67" s="83">
        <f t="shared" si="378"/>
        <v>202800</v>
      </c>
      <c r="CL67" s="83"/>
      <c r="CM67" s="83">
        <f t="shared" si="379"/>
        <v>373627</v>
      </c>
      <c r="CN67" s="83"/>
      <c r="CO67" s="83">
        <f t="shared" si="380"/>
        <v>1198557</v>
      </c>
      <c r="CP67" s="83">
        <f t="shared" si="381"/>
        <v>1774984</v>
      </c>
      <c r="CQ67" s="83">
        <f t="shared" si="382"/>
        <v>0</v>
      </c>
      <c r="CR67" s="83"/>
      <c r="CS67" s="83">
        <f t="shared" si="383"/>
        <v>-26925</v>
      </c>
      <c r="CT67" s="83"/>
      <c r="CU67" s="83">
        <f t="shared" si="384"/>
        <v>-10086</v>
      </c>
      <c r="CV67" s="83"/>
      <c r="CW67" s="83" t="e">
        <f t="shared" ca="1" si="385"/>
        <v>#NUM!</v>
      </c>
      <c r="CY67" s="83" t="e">
        <f t="shared" ca="1" si="386"/>
        <v>#NUM!</v>
      </c>
      <c r="CZ67" s="70" t="e">
        <f t="shared" ca="1" si="293"/>
        <v>#NUM!</v>
      </c>
      <c r="DA67" s="83">
        <f>IF(RTD("tos.rtd",,DA$43,"."&amp;$A$43&amp;$AS$42&amp;"C"&amp;$A67)="N/A",0,RTD("tos.rtd",,DA$43,"."&amp;$A$43&amp;$AS$42&amp;"C"&amp;$A67))</f>
        <v>5.31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7.2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5.0999999999999996</v>
      </c>
      <c r="DF67" s="83">
        <f>IF(RTD("tos.rtd",,DF$43,"."&amp;$A$43&amp;$AS$42&amp;"P"&amp;$A67)="N/A",0,RTD("tos.rtd",,DF$43,"."&amp;$A$43&amp;$AS$42&amp;"P"&amp;$A67))</f>
        <v>0</v>
      </c>
      <c r="DG67" s="86">
        <f t="shared" si="287"/>
        <v>-7.9200000000000159</v>
      </c>
      <c r="DH67" s="83">
        <f t="shared" si="387"/>
        <v>-344.69999999999987</v>
      </c>
      <c r="DI67" s="83">
        <f t="shared" si="388"/>
        <v>55495</v>
      </c>
      <c r="DJ67" s="83">
        <f t="shared" si="389"/>
        <v>3447</v>
      </c>
      <c r="DK67" s="83">
        <f t="shared" si="255"/>
        <v>55495</v>
      </c>
      <c r="DL67" s="83">
        <f t="shared" si="256"/>
        <v>55150.3</v>
      </c>
      <c r="DM67" s="83">
        <f t="shared" si="257"/>
        <v>58942</v>
      </c>
      <c r="DN67" s="64" t="str">
        <f t="shared" si="258"/>
        <v>UNKNOWN</v>
      </c>
      <c r="DO67" s="64" t="str">
        <f t="shared" si="259"/>
        <v>UNKNOWN</v>
      </c>
      <c r="DP67" s="83">
        <f t="shared" si="260"/>
        <v>-1275.4069999999992</v>
      </c>
      <c r="DQ67" s="83">
        <f t="shared" si="261"/>
        <v>18858.52</v>
      </c>
      <c r="DR67" s="83" t="e">
        <f t="shared" ca="1" si="262"/>
        <v>#NUM!</v>
      </c>
      <c r="DS67" s="83">
        <f t="shared" si="263"/>
        <v>4001.95</v>
      </c>
      <c r="DT67" s="83">
        <f t="shared" si="288"/>
        <v>-3447</v>
      </c>
      <c r="DU67" s="83">
        <f t="shared" si="289"/>
        <v>55495</v>
      </c>
      <c r="DV67" s="83">
        <f t="shared" si="264"/>
        <v>175</v>
      </c>
      <c r="DW67" s="83">
        <f t="shared" si="265"/>
        <v>-2069</v>
      </c>
      <c r="DX67" s="83" t="e">
        <f t="shared" ca="1" si="390"/>
        <v>#NUM!</v>
      </c>
      <c r="DY67" s="83" t="e">
        <f t="shared" ca="1" si="391"/>
        <v>#NUM!</v>
      </c>
      <c r="DZ67" s="83" t="e">
        <f t="shared" ca="1" si="392"/>
        <v>#NUM!</v>
      </c>
      <c r="EA67" s="83" t="e">
        <f t="shared" ca="1" si="393"/>
        <v>#NUM!</v>
      </c>
      <c r="EB67" s="83" t="e">
        <f t="shared" ca="1" si="394"/>
        <v>#NUM!</v>
      </c>
      <c r="EC67" s="83" t="e">
        <f t="shared" ca="1" si="395"/>
        <v>#NUM!</v>
      </c>
      <c r="EE67" s="84">
        <f t="shared" si="396"/>
        <v>0.25</v>
      </c>
      <c r="EF67" s="84">
        <f t="shared" si="397"/>
        <v>0.84389999999999998</v>
      </c>
      <c r="EG67" s="84">
        <f t="shared" si="398"/>
        <v>1.0310999999999999</v>
      </c>
      <c r="EH67" s="84">
        <f t="shared" si="399"/>
        <v>0.84389999999999998</v>
      </c>
      <c r="EI67" s="84">
        <f t="shared" si="400"/>
        <v>0.30459999999999998</v>
      </c>
      <c r="EJ67" s="84">
        <f t="shared" si="401"/>
        <v>0.29759999999999998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84.39%</v>
      </c>
      <c r="EN67" s="83" t="str">
        <f>RTD("tos.rtd",,EN$2,"."&amp;$A$43&amp;$AU$1&amp;"C"&amp;$A67)</f>
        <v>103.11%</v>
      </c>
      <c r="EO67" s="83" t="str">
        <f>RTD("tos.rtd",,EO$2,"."&amp;$A$43&amp;$AU$1&amp;"P"&amp;$A67)</f>
        <v>84.39%</v>
      </c>
      <c r="EP67" s="83" t="str">
        <f>RTD("tos.rtd",,EP$2,"."&amp;$A$43&amp;$AW$1&amp;"C"&amp;$A67)</f>
        <v>30.46%</v>
      </c>
      <c r="EQ67" s="83" t="str">
        <f>RTD("tos.rtd",,EQ$2,"."&amp;$A$43&amp;$AW$1&amp;"P"&amp;$A67)</f>
        <v>29.76%</v>
      </c>
      <c r="ES67" s="63" t="str">
        <f t="shared" si="272"/>
        <v>480,-1894.00</v>
      </c>
      <c r="ET67" s="64" t="str">
        <f t="shared" ca="1" si="273"/>
        <v>480,00.00</v>
      </c>
      <c r="EU67" s="68">
        <v>562.9</v>
      </c>
      <c r="EV67" s="68" t="s">
        <v>555</v>
      </c>
      <c r="EW67" s="68">
        <v>485.27</v>
      </c>
      <c r="EX67" s="68" t="s">
        <v>556</v>
      </c>
      <c r="EY67" s="68">
        <v>5643.25</v>
      </c>
      <c r="EZ67" s="68" t="s">
        <v>557</v>
      </c>
      <c r="FA67" s="68">
        <v>19935.75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90"/>
        <v>479</v>
      </c>
      <c r="B68" s="3">
        <f t="shared" si="367"/>
        <v>3295</v>
      </c>
      <c r="C68" s="3">
        <f t="shared" si="240"/>
        <v>3840</v>
      </c>
      <c r="D68" s="3">
        <f t="shared" si="368"/>
        <v>1301</v>
      </c>
      <c r="E68" s="3">
        <f t="shared" si="369"/>
        <v>8436</v>
      </c>
      <c r="F68" s="4">
        <f t="shared" si="370"/>
        <v>19778.188022626658</v>
      </c>
      <c r="AM68" s="1">
        <v>63</v>
      </c>
      <c r="AN68" s="1">
        <v>-291</v>
      </c>
      <c r="AO68" s="1">
        <v>479</v>
      </c>
      <c r="AP68" s="1">
        <v>562</v>
      </c>
      <c r="AQ68" s="1">
        <v>-13375</v>
      </c>
      <c r="AS68" s="6">
        <f>IF(RTD("tos.rtd",,AS$43,"."&amp;$A$43&amp;$AS$42&amp;"C"&amp;$A68)="N/A",0,RTD("tos.rtd",,AS$43,"."&amp;$A$43&amp;$AS$42&amp;"C"&amp;$A68))</f>
        <v>861</v>
      </c>
      <c r="AT68" s="7">
        <f>-IF(RTD("tos.rtd",,AT$43,"."&amp;$A$43&amp;$AS$42&amp;"P"&amp;$A68)="N/A",0,RTD("tos.rtd",,AT$43,"."&amp;$A$43&amp;$AS$42&amp;"P"&amp;$A68))</f>
        <v>-2434</v>
      </c>
      <c r="AU68" s="6">
        <f>IF(RTD("tos.rtd",,AU$2,"."&amp;$A$43&amp;$AU$1&amp;"C"&amp;$A68)="N/A",0,RTD("tos.rtd",,AU$2,"."&amp;$A$43&amp;$AU$1&amp;"C"&amp;$A68))</f>
        <v>792</v>
      </c>
      <c r="AV68" s="7">
        <f>-IF(RTD("tos.rtd",,AV$2,"."&amp;$A$43&amp;$AU$1&amp;"P"&amp;$A68)="N/A",0,RTD("tos.rtd",,AV$2,"."&amp;$A$43&amp;$AU$1&amp;"P"&amp;$A68))</f>
        <v>-3048</v>
      </c>
      <c r="AW68" s="6">
        <f>IF(RTD("tos.rtd",,AW$2,"."&amp;$A$43&amp;$AW$1&amp;"C"&amp;$A68)="N/A",0,RTD("tos.rtd",,AW$2,"."&amp;$A$43&amp;$AW$1&amp;"C"&amp;$A68))</f>
        <v>207</v>
      </c>
      <c r="AX68" s="7">
        <f>-IF(RTD("tos.rtd",,AX$2,"."&amp;$A$43&amp;$AW$1&amp;"P"&amp;$A68)="N/A",0,RTD("tos.rtd",,AX$2,"."&amp;$A$43&amp;$AW$1&amp;"P"&amp;$A68))</f>
        <v>-1094</v>
      </c>
      <c r="AY68" s="7">
        <f t="shared" si="371"/>
        <v>-4716</v>
      </c>
      <c r="AZ68" s="8">
        <f t="shared" si="243"/>
        <v>479</v>
      </c>
      <c r="BA68" s="6">
        <f>IF(RTD("tos.rtd",,BA$43,"."&amp;$A$43&amp;$AS$42&amp;"C"&amp;$A68)="N/A",0,RTD("tos.rtd",,BA$43,"."&amp;$A$43&amp;$AS$42&amp;"C"&amp;$A68))</f>
        <v>0</v>
      </c>
      <c r="BB68" s="7">
        <f>-IF(RTD("tos.rtd",,BB$43,"."&amp;$A$43&amp;$AS$42&amp;"P"&amp;$A68)="N/A",0,RTD("tos.rtd",,BB$43,"."&amp;$A$43&amp;$AS$42&amp;"P"&amp;$A68))</f>
        <v>0</v>
      </c>
      <c r="BC68" s="6">
        <f>IF(RTD("tos.rtd",,BC$2,"."&amp;$A$43&amp;$AU$1&amp;"C"&amp;$A68)="N/A",0,RTD("tos.rtd",,BC$2,"."&amp;$A$43&amp;$AU$1&amp;"C"&amp;$A68))</f>
        <v>427</v>
      </c>
      <c r="BD68" s="7">
        <f>-IF(RTD("tos.rtd",,BD$2,"."&amp;$A$43&amp;$AU$1&amp;"P"&amp;$A68)="N/A",0,RTD("tos.rtd",,BD$2,"."&amp;$A$43&amp;$AU$1&amp;"P"&amp;$A68))</f>
        <v>-6476</v>
      </c>
      <c r="BE68" s="6">
        <f>IF(RTD("tos.rtd",,BE$2,"."&amp;$A$43&amp;$AW$1&amp;"C"&amp;$A68)="N/A",0,RTD("tos.rtd",,BE$2,"."&amp;$A$43&amp;$AW$1&amp;"C"&amp;$A68))</f>
        <v>62</v>
      </c>
      <c r="BF68" s="7">
        <f>-IF(RTD("tos.rtd",,BF$2,"."&amp;$A$43&amp;$AW$1&amp;"P"&amp;$A68)="N/A",0,RTD("tos.rtd",,BF$2,"."&amp;$A$43&amp;$AW$1&amp;"P"&amp;$A68))</f>
        <v>-1096</v>
      </c>
      <c r="BG68" s="32">
        <f ca="1">+Hoja2!Y69</f>
        <v>-87</v>
      </c>
      <c r="BH68" s="7">
        <f t="shared" ca="1" si="275"/>
        <v>-7170</v>
      </c>
      <c r="BI68" s="8" t="str">
        <f t="shared" ca="1" si="291"/>
        <v/>
      </c>
      <c r="BJ68" s="83" t="e">
        <f ca="1">IF($BP$1=1,DX68,IF(RTD("tos.rtd",,BJ$43,"."&amp;$A$43&amp;$AS$42&amp;"C"&amp;$A68)="N/A",0,RTD("tos.rtd",,BJ$43,"."&amp;$A$43&amp;$AS$42&amp;"C"&amp;$A68)))</f>
        <v>#NUM!</v>
      </c>
      <c r="BK68" s="83" t="e">
        <f ca="1">IF($BP$1=1,DY68,-IF(RTD("tos.rtd",,BK$43,"."&amp;$A$43&amp;$AS$42&amp;"P"&amp;$A68)="N/A",0,RTD("tos.rtd",,BK$43,"."&amp;$A$43&amp;$AS$42&amp;"P"&amp;$A68)))</f>
        <v>#NUM!</v>
      </c>
      <c r="BL68" s="83" t="e">
        <f ca="1">IF($BP$1=1,DZ68,IF(RTD("tos.rtd",,BL$2,"."&amp;$A$43&amp;$AU$1&amp;"C"&amp;$A68)="N/A",0,RTD("tos.rtd",,BL$2,"."&amp;$A$43&amp;$AU$1&amp;"C"&amp;$A68)))</f>
        <v>#NUM!</v>
      </c>
      <c r="BM68" s="83" t="e">
        <f ca="1">IF($BP$1=1,EA68,-IF(RTD("tos.rtd",,BM$2,"."&amp;$A$43&amp;$AU$1&amp;"P"&amp;$A68)="N/A",0,RTD("tos.rtd",,BM$2,"."&amp;$A$43&amp;$AU$1&amp;"P"&amp;$A68)))</f>
        <v>#NUM!</v>
      </c>
      <c r="BN68" s="83" t="e">
        <f ca="1">IF($BP$1=1,EB68,IF(RTD("tos.rtd",,BN$2,"."&amp;$A$43&amp;$AW$1&amp;"C"&amp;$A68)="N/A",0,RTD("tos.rtd",,BN$2,"."&amp;$A$43&amp;$AW$1&amp;"C"&amp;$A68)))</f>
        <v>#NUM!</v>
      </c>
      <c r="BO68" s="83" t="e">
        <f ca="1">IF($BP$1=1,EC68,-IF(RTD("tos.rtd",,BO$2,"."&amp;$A$43&amp;$AW$1&amp;"P"&amp;$A68)="N/A",0,RTD("tos.rtd",,BO$2,"."&amp;$A$43&amp;$AW$1&amp;"P"&amp;$A68)))</f>
        <v>#NUM!</v>
      </c>
      <c r="BQ68" s="83" t="e">
        <f t="shared" ca="1" si="372"/>
        <v>#NUM!</v>
      </c>
      <c r="BR68" s="3" t="e">
        <f t="shared" ca="1" si="277"/>
        <v>#NUM!</v>
      </c>
      <c r="BS68" s="83" t="e">
        <f t="shared" ca="1" si="373"/>
        <v>#NUM!</v>
      </c>
      <c r="BT68" s="3" t="e">
        <f t="shared" ca="1" si="279"/>
        <v>#NUM!</v>
      </c>
      <c r="BU68" s="83" t="e">
        <f t="shared" ca="1" si="374"/>
        <v>#NUM!</v>
      </c>
      <c r="BV68" s="83"/>
      <c r="BX68" s="83" t="e">
        <f t="shared" ca="1" si="375"/>
        <v>#NUM!</v>
      </c>
      <c r="BY68" s="83" t="e">
        <f t="shared" ca="1" si="292"/>
        <v>#NUM!</v>
      </c>
      <c r="BZ68" s="83" t="e">
        <f t="shared" ca="1" si="376"/>
        <v>#NUM!</v>
      </c>
      <c r="CA68" s="83" t="e">
        <f t="shared" ca="1" si="292"/>
        <v>#NUM!</v>
      </c>
      <c r="CB68" s="83" t="e">
        <f t="shared" ca="1" si="377"/>
        <v>#NUM!</v>
      </c>
      <c r="CC68" s="83" t="e">
        <f t="shared" ca="1" si="292"/>
        <v>#NUM!</v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0.99</v>
      </c>
      <c r="CG68" s="83">
        <f>-IF(RTD("tos.rtd",,CG$2,"."&amp;$A$43&amp;$AU$1&amp;"P"&amp;$A68)="N/A",0,RTD("tos.rtd",,CG$2,"."&amp;$A$43&amp;$AU$1&amp;"P"&amp;$A68))</f>
        <v>0</v>
      </c>
      <c r="CH68" s="83">
        <f>IF(RTD("tos.rtd",,CH$2,"."&amp;$A$43&amp;$AW$1&amp;"C"&amp;$A68)="N/A",0,RTD("tos.rtd",,CH$2,"."&amp;$A$43&amp;$AW$1&amp;"C"&amp;$A68))</f>
        <v>0.71</v>
      </c>
      <c r="CI68" s="83">
        <f>-IF(RTD("tos.rtd",,CI$2,"."&amp;$A$43&amp;$AW$1&amp;"P"&amp;$A68)="N/A",0,RTD("tos.rtd",,CI$2,"."&amp;$A$43&amp;$AW$1&amp;"P"&amp;$A68))</f>
        <v>0.28999999999999998</v>
      </c>
      <c r="CK68" s="83">
        <f t="shared" si="378"/>
        <v>86100</v>
      </c>
      <c r="CL68" s="83"/>
      <c r="CM68" s="83">
        <f t="shared" si="379"/>
        <v>78408</v>
      </c>
      <c r="CN68" s="83"/>
      <c r="CO68" s="83">
        <f t="shared" si="380"/>
        <v>-17029</v>
      </c>
      <c r="CP68" s="83">
        <f t="shared" si="381"/>
        <v>147479</v>
      </c>
      <c r="CQ68" s="83">
        <f t="shared" si="382"/>
        <v>0</v>
      </c>
      <c r="CR68" s="83"/>
      <c r="CS68" s="83">
        <f t="shared" si="383"/>
        <v>-6049</v>
      </c>
      <c r="CT68" s="83"/>
      <c r="CU68" s="83">
        <f t="shared" si="384"/>
        <v>-1034</v>
      </c>
      <c r="CV68" s="83"/>
      <c r="CW68" s="83" t="e">
        <f t="shared" ca="1" si="385"/>
        <v>#NUM!</v>
      </c>
      <c r="CY68" s="83" t="e">
        <f t="shared" ca="1" si="386"/>
        <v>#NUM!</v>
      </c>
      <c r="CZ68" s="70" t="e">
        <f t="shared" ca="1" si="293"/>
        <v>#NUM!</v>
      </c>
      <c r="DA68" s="83">
        <f>IF(RTD("tos.rtd",,DA$43,"."&amp;$A$43&amp;$AS$42&amp;"C"&amp;$A68)="N/A",0,RTD("tos.rtd",,DA$43,"."&amp;$A$43&amp;$AS$42&amp;"C"&amp;$A68))</f>
        <v>6.22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8.2200000000000006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6.1</v>
      </c>
      <c r="DF68" s="83">
        <f>IF(RTD("tos.rtd",,DF$43,"."&amp;$A$43&amp;$AS$42&amp;"P"&amp;$A68)="N/A",0,RTD("tos.rtd",,DF$43,"."&amp;$A$43&amp;$AS$42&amp;"P"&amp;$A68))</f>
        <v>0</v>
      </c>
      <c r="DG68" s="86">
        <f t="shared" si="287"/>
        <v>-8.9200000000000159</v>
      </c>
      <c r="DH68" s="83">
        <f t="shared" si="387"/>
        <v>-31.811320754716995</v>
      </c>
      <c r="DI68" s="83">
        <f t="shared" si="388"/>
        <v>13375</v>
      </c>
      <c r="DJ68" s="83">
        <f t="shared" si="389"/>
        <v>562</v>
      </c>
      <c r="DK68" s="83">
        <f t="shared" si="255"/>
        <v>13375</v>
      </c>
      <c r="DL68" s="83">
        <f t="shared" si="256"/>
        <v>13343.188679245282</v>
      </c>
      <c r="DM68" s="83">
        <f t="shared" si="257"/>
        <v>13937</v>
      </c>
      <c r="DN68" s="64" t="str">
        <f t="shared" si="258"/>
        <v>UNKNOWN</v>
      </c>
      <c r="DO68" s="64" t="str">
        <f t="shared" si="259"/>
        <v>UNKNOWN</v>
      </c>
      <c r="DP68" s="83">
        <f t="shared" si="260"/>
        <v>-64.116415094339715</v>
      </c>
      <c r="DQ68" s="83">
        <f t="shared" si="261"/>
        <v>3629.39</v>
      </c>
      <c r="DR68" s="83" t="e">
        <f t="shared" ca="1" si="262"/>
        <v>#NUM!</v>
      </c>
      <c r="DS68" s="83">
        <f t="shared" si="263"/>
        <v>562</v>
      </c>
      <c r="DT68" s="83">
        <f t="shared" si="288"/>
        <v>-562</v>
      </c>
      <c r="DU68" s="83">
        <f t="shared" si="289"/>
        <v>13375</v>
      </c>
      <c r="DV68" s="83">
        <f t="shared" si="264"/>
        <v>63</v>
      </c>
      <c r="DW68" s="83">
        <f t="shared" si="265"/>
        <v>-291</v>
      </c>
      <c r="DX68" s="83" t="e">
        <f t="shared" ca="1" si="390"/>
        <v>#NUM!</v>
      </c>
      <c r="DY68" s="83" t="e">
        <f t="shared" ca="1" si="391"/>
        <v>#NUM!</v>
      </c>
      <c r="DZ68" s="83" t="e">
        <f t="shared" ca="1" si="392"/>
        <v>#NUM!</v>
      </c>
      <c r="EA68" s="83" t="e">
        <f t="shared" ca="1" si="393"/>
        <v>#NUM!</v>
      </c>
      <c r="EB68" s="83" t="e">
        <f t="shared" ca="1" si="394"/>
        <v>#NUM!</v>
      </c>
      <c r="EC68" s="83" t="e">
        <f t="shared" ca="1" si="395"/>
        <v>#NUM!</v>
      </c>
      <c r="EE68" s="84">
        <f t="shared" si="396"/>
        <v>0.25</v>
      </c>
      <c r="EF68" s="84">
        <f t="shared" si="397"/>
        <v>0.93920000000000003</v>
      </c>
      <c r="EG68" s="84">
        <f t="shared" si="398"/>
        <v>1.1022000000000001</v>
      </c>
      <c r="EH68" s="84">
        <f t="shared" si="399"/>
        <v>0.93920000000000003</v>
      </c>
      <c r="EI68" s="84">
        <f t="shared" si="400"/>
        <v>0.30509999999999998</v>
      </c>
      <c r="EJ68" s="84">
        <f t="shared" si="401"/>
        <v>0.29909999999999998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93.92%</v>
      </c>
      <c r="EN68" s="83" t="str">
        <f>RTD("tos.rtd",,EN$2,"."&amp;$A$43&amp;$AU$1&amp;"C"&amp;$A68)</f>
        <v>110.22%</v>
      </c>
      <c r="EO68" s="83" t="str">
        <f>RTD("tos.rtd",,EO$2,"."&amp;$A$43&amp;$AU$1&amp;"P"&amp;$A68)</f>
        <v>93.92%</v>
      </c>
      <c r="EP68" s="83" t="str">
        <f>RTD("tos.rtd",,EP$2,"."&amp;$A$43&amp;$AW$1&amp;"C"&amp;$A68)</f>
        <v>30.51%</v>
      </c>
      <c r="EQ68" s="83" t="str">
        <f>RTD("tos.rtd",,EQ$2,"."&amp;$A$43&amp;$AW$1&amp;"P"&amp;$A68)</f>
        <v>29.91%</v>
      </c>
      <c r="ES68" s="63" t="str">
        <f t="shared" si="272"/>
        <v>479,-228.00</v>
      </c>
      <c r="ET68" s="64" t="str">
        <f t="shared" ca="1" si="273"/>
        <v>479,00.00</v>
      </c>
      <c r="EU68" s="68">
        <v>562.9</v>
      </c>
      <c r="EV68" s="68" t="s">
        <v>563</v>
      </c>
      <c r="EW68" s="68">
        <v>485.34</v>
      </c>
      <c r="EX68" s="68" t="s">
        <v>564</v>
      </c>
      <c r="EY68" s="68">
        <v>5643.75</v>
      </c>
      <c r="EZ68" s="68" t="s">
        <v>565</v>
      </c>
      <c r="FA68" s="68">
        <v>19939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90"/>
        <v>478</v>
      </c>
      <c r="B69" s="3">
        <f t="shared" si="367"/>
        <v>3305</v>
      </c>
      <c r="C69" s="3">
        <f t="shared" si="240"/>
        <v>4311</v>
      </c>
      <c r="D69" s="3">
        <f t="shared" si="368"/>
        <v>1299</v>
      </c>
      <c r="E69" s="3">
        <f t="shared" si="369"/>
        <v>8915</v>
      </c>
      <c r="F69" s="4">
        <f t="shared" si="370"/>
        <v>19736.897442203641</v>
      </c>
      <c r="AM69" s="1">
        <v>100</v>
      </c>
      <c r="AN69" s="1">
        <v>995</v>
      </c>
      <c r="AO69" s="1">
        <v>478</v>
      </c>
      <c r="AP69" s="1">
        <v>227</v>
      </c>
      <c r="AQ69" s="1">
        <v>-12087</v>
      </c>
      <c r="AS69" s="6">
        <f>IF(RTD("tos.rtd",,AS$43,"."&amp;$A$43&amp;$AS$42&amp;"C"&amp;$A69)="N/A",0,RTD("tos.rtd",,AS$43,"."&amp;$A$43&amp;$AS$42&amp;"C"&amp;$A69))</f>
        <v>577</v>
      </c>
      <c r="AT69" s="7">
        <f>-IF(RTD("tos.rtd",,AT$43,"."&amp;$A$43&amp;$AS$42&amp;"P"&amp;$A69)="N/A",0,RTD("tos.rtd",,AT$43,"."&amp;$A$43&amp;$AS$42&amp;"P"&amp;$A69))</f>
        <v>-2728</v>
      </c>
      <c r="AU69" s="6">
        <f>IF(RTD("tos.rtd",,AU$2,"."&amp;$A$43&amp;$AU$1&amp;"C"&amp;$A69)="N/A",0,RTD("tos.rtd",,AU$2,"."&amp;$A$43&amp;$AU$1&amp;"C"&amp;$A69))</f>
        <v>1013</v>
      </c>
      <c r="AV69" s="7">
        <f>-IF(RTD("tos.rtd",,AV$2,"."&amp;$A$43&amp;$AU$1&amp;"P"&amp;$A69)="N/A",0,RTD("tos.rtd",,AV$2,"."&amp;$A$43&amp;$AU$1&amp;"P"&amp;$A69))</f>
        <v>-3298</v>
      </c>
      <c r="AW69" s="6">
        <f>IF(RTD("tos.rtd",,AW$2,"."&amp;$A$43&amp;$AW$1&amp;"C"&amp;$A69)="N/A",0,RTD("tos.rtd",,AW$2,"."&amp;$A$43&amp;$AW$1&amp;"C"&amp;$A69))</f>
        <v>428</v>
      </c>
      <c r="AX69" s="7">
        <f>-IF(RTD("tos.rtd",,AX$2,"."&amp;$A$43&amp;$AW$1&amp;"P"&amp;$A69)="N/A",0,RTD("tos.rtd",,AX$2,"."&amp;$A$43&amp;$AW$1&amp;"P"&amp;$A69))</f>
        <v>-871</v>
      </c>
      <c r="AY69" s="7">
        <f t="shared" si="371"/>
        <v>-4879</v>
      </c>
      <c r="AZ69" s="8">
        <f t="shared" si="243"/>
        <v>478</v>
      </c>
      <c r="BA69" s="6">
        <f>IF(RTD("tos.rtd",,BA$43,"."&amp;$A$43&amp;$AS$42&amp;"C"&amp;$A69)="N/A",0,RTD("tos.rtd",,BA$43,"."&amp;$A$43&amp;$AS$42&amp;"C"&amp;$A69))</f>
        <v>0</v>
      </c>
      <c r="BB69" s="7">
        <f>-IF(RTD("tos.rtd",,BB$43,"."&amp;$A$43&amp;$AS$42&amp;"P"&amp;$A69)="N/A",0,RTD("tos.rtd",,BB$43,"."&amp;$A$43&amp;$AS$42&amp;"P"&amp;$A69))</f>
        <v>0</v>
      </c>
      <c r="BC69" s="6">
        <f>IF(RTD("tos.rtd",,BC$2,"."&amp;$A$43&amp;$AU$1&amp;"C"&amp;$A69)="N/A",0,RTD("tos.rtd",,BC$2,"."&amp;$A$43&amp;$AU$1&amp;"C"&amp;$A69))</f>
        <v>458</v>
      </c>
      <c r="BD69" s="7">
        <f>-IF(RTD("tos.rtd",,BD$2,"."&amp;$A$43&amp;$AU$1&amp;"P"&amp;$A69)="N/A",0,RTD("tos.rtd",,BD$2,"."&amp;$A$43&amp;$AU$1&amp;"P"&amp;$A69))</f>
        <v>-5660</v>
      </c>
      <c r="BE69" s="6">
        <f>IF(RTD("tos.rtd",,BE$2,"."&amp;$A$43&amp;$AW$1&amp;"C"&amp;$A69)="N/A",0,RTD("tos.rtd",,BE$2,"."&amp;$A$43&amp;$AW$1&amp;"C"&amp;$A69))</f>
        <v>62</v>
      </c>
      <c r="BF69" s="7">
        <f>-IF(RTD("tos.rtd",,BF$2,"."&amp;$A$43&amp;$AW$1&amp;"P"&amp;$A69)="N/A",0,RTD("tos.rtd",,BF$2,"."&amp;$A$43&amp;$AW$1&amp;"P"&amp;$A69))</f>
        <v>-1870</v>
      </c>
      <c r="BG69" s="32">
        <f ca="1">+Hoja2!Y70</f>
        <v>-181</v>
      </c>
      <c r="BH69" s="7">
        <f t="shared" ca="1" si="275"/>
        <v>-7191</v>
      </c>
      <c r="BI69" s="8" t="str">
        <f t="shared" ca="1" si="291"/>
        <v/>
      </c>
      <c r="BJ69" s="83" t="e">
        <f ca="1">IF($BP$1=1,DX69,IF(RTD("tos.rtd",,BJ$43,"."&amp;$A$43&amp;$AS$42&amp;"C"&amp;$A69)="N/A",0,RTD("tos.rtd",,BJ$43,"."&amp;$A$43&amp;$AS$42&amp;"C"&amp;$A69)))</f>
        <v>#NUM!</v>
      </c>
      <c r="BK69" s="83" t="e">
        <f ca="1">IF($BP$1=1,DY69,-IF(RTD("tos.rtd",,BK$43,"."&amp;$A$43&amp;$AS$42&amp;"P"&amp;$A69)="N/A",0,RTD("tos.rtd",,BK$43,"."&amp;$A$43&amp;$AS$42&amp;"P"&amp;$A69)))</f>
        <v>#NUM!</v>
      </c>
      <c r="BL69" s="83" t="e">
        <f ca="1">IF($BP$1=1,DZ69,IF(RTD("tos.rtd",,BL$2,"."&amp;$A$43&amp;$AU$1&amp;"C"&amp;$A69)="N/A",0,RTD("tos.rtd",,BL$2,"."&amp;$A$43&amp;$AU$1&amp;"C"&amp;$A69)))</f>
        <v>#NUM!</v>
      </c>
      <c r="BM69" s="83" t="e">
        <f ca="1">IF($BP$1=1,EA69,-IF(RTD("tos.rtd",,BM$2,"."&amp;$A$43&amp;$AU$1&amp;"P"&amp;$A69)="N/A",0,RTD("tos.rtd",,BM$2,"."&amp;$A$43&amp;$AU$1&amp;"P"&amp;$A69)))</f>
        <v>#NUM!</v>
      </c>
      <c r="BN69" s="83" t="e">
        <f ca="1">IF($BP$1=1,EB69,IF(RTD("tos.rtd",,BN$2,"."&amp;$A$43&amp;$AW$1&amp;"C"&amp;$A69)="N/A",0,RTD("tos.rtd",,BN$2,"."&amp;$A$43&amp;$AW$1&amp;"C"&amp;$A69)))</f>
        <v>#NUM!</v>
      </c>
      <c r="BO69" s="83" t="e">
        <f ca="1">IF($BP$1=1,EC69,-IF(RTD("tos.rtd",,BO$2,"."&amp;$A$43&amp;$AW$1&amp;"P"&amp;$A69)="N/A",0,RTD("tos.rtd",,BO$2,"."&amp;$A$43&amp;$AW$1&amp;"P"&amp;$A69)))</f>
        <v>#NUM!</v>
      </c>
      <c r="BQ69" s="83" t="e">
        <f t="shared" ca="1" si="372"/>
        <v>#NUM!</v>
      </c>
      <c r="BR69" s="3" t="e">
        <f t="shared" ca="1" si="277"/>
        <v>#NUM!</v>
      </c>
      <c r="BS69" s="83" t="e">
        <f t="shared" ca="1" si="373"/>
        <v>#NUM!</v>
      </c>
      <c r="BT69" s="3" t="e">
        <f t="shared" ca="1" si="279"/>
        <v>#NUM!</v>
      </c>
      <c r="BU69" s="83" t="e">
        <f t="shared" ca="1" si="374"/>
        <v>#NUM!</v>
      </c>
      <c r="BV69" s="83"/>
      <c r="BX69" s="83" t="e">
        <f t="shared" ca="1" si="375"/>
        <v>#NUM!</v>
      </c>
      <c r="BY69" s="83" t="e">
        <f t="shared" ca="1" si="292"/>
        <v>#NUM!</v>
      </c>
      <c r="BZ69" s="83" t="e">
        <f t="shared" ca="1" si="376"/>
        <v>#NUM!</v>
      </c>
      <c r="CA69" s="83" t="e">
        <f t="shared" ca="1" si="292"/>
        <v>#NUM!</v>
      </c>
      <c r="CB69" s="83" t="e">
        <f t="shared" ca="1" si="377"/>
        <v>#NUM!</v>
      </c>
      <c r="CC69" s="83" t="e">
        <f t="shared" ca="1" si="292"/>
        <v>#NUM!</v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0.98</v>
      </c>
      <c r="CG69" s="83">
        <f>-IF(RTD("tos.rtd",,CG$2,"."&amp;$A$43&amp;$AU$1&amp;"P"&amp;$A69)="N/A",0,RTD("tos.rtd",,CG$2,"."&amp;$A$43&amp;$AU$1&amp;"P"&amp;$A69))</f>
        <v>0</v>
      </c>
      <c r="CH69" s="83">
        <f>IF(RTD("tos.rtd",,CH$2,"."&amp;$A$43&amp;$AW$1&amp;"C"&amp;$A69)="N/A",0,RTD("tos.rtd",,CH$2,"."&amp;$A$43&amp;$AW$1&amp;"C"&amp;$A69))</f>
        <v>0.73</v>
      </c>
      <c r="CI69" s="83">
        <f>-IF(RTD("tos.rtd",,CI$2,"."&amp;$A$43&amp;$AW$1&amp;"P"&amp;$A69)="N/A",0,RTD("tos.rtd",,CI$2,"."&amp;$A$43&amp;$AW$1&amp;"P"&amp;$A69))</f>
        <v>0.27</v>
      </c>
      <c r="CK69" s="83">
        <f t="shared" si="378"/>
        <v>57700</v>
      </c>
      <c r="CL69" s="83"/>
      <c r="CM69" s="83">
        <f t="shared" si="379"/>
        <v>99274</v>
      </c>
      <c r="CN69" s="83"/>
      <c r="CO69" s="83">
        <f t="shared" si="380"/>
        <v>7727</v>
      </c>
      <c r="CP69" s="83">
        <f t="shared" si="381"/>
        <v>164701</v>
      </c>
      <c r="CQ69" s="83">
        <f t="shared" si="382"/>
        <v>0</v>
      </c>
      <c r="CR69" s="83"/>
      <c r="CS69" s="83">
        <f t="shared" si="383"/>
        <v>-5202</v>
      </c>
      <c r="CT69" s="83"/>
      <c r="CU69" s="83">
        <f t="shared" si="384"/>
        <v>-1808</v>
      </c>
      <c r="CV69" s="83"/>
      <c r="CW69" s="83" t="e">
        <f t="shared" ca="1" si="385"/>
        <v>#NUM!</v>
      </c>
      <c r="CY69" s="83" t="e">
        <f t="shared" ca="1" si="386"/>
        <v>#NUM!</v>
      </c>
      <c r="CZ69" s="70" t="e">
        <f t="shared" ca="1" si="293"/>
        <v>#NUM!</v>
      </c>
      <c r="DA69" s="83">
        <f>IF(RTD("tos.rtd",,DA$43,"."&amp;$A$43&amp;$AS$42&amp;"C"&amp;$A69)="N/A",0,RTD("tos.rtd",,DA$43,"."&amp;$A$43&amp;$AS$42&amp;"C"&amp;$A69))</f>
        <v>9.65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9.2200000000000006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7.1</v>
      </c>
      <c r="DF69" s="83">
        <f>IF(RTD("tos.rtd",,DF$43,"."&amp;$A$43&amp;$AS$42&amp;"P"&amp;$A69)="N/A",0,RTD("tos.rtd",,DF$43,"."&amp;$A$43&amp;$AS$42&amp;"P"&amp;$A69))</f>
        <v>0</v>
      </c>
      <c r="DG69" s="86">
        <f t="shared" si="287"/>
        <v>-9.9200000000000159</v>
      </c>
      <c r="DH69" s="83">
        <f t="shared" si="387"/>
        <v>-273.04245283018861</v>
      </c>
      <c r="DI69" s="83">
        <f t="shared" si="388"/>
        <v>12087</v>
      </c>
      <c r="DJ69" s="83">
        <f t="shared" si="389"/>
        <v>-227</v>
      </c>
      <c r="DK69" s="83">
        <f t="shared" si="255"/>
        <v>12087</v>
      </c>
      <c r="DL69" s="83">
        <f t="shared" si="256"/>
        <v>11813.957547169812</v>
      </c>
      <c r="DM69" s="83">
        <f t="shared" si="257"/>
        <v>11860</v>
      </c>
      <c r="DN69" s="64" t="str">
        <f t="shared" si="258"/>
        <v>UNKNOWN</v>
      </c>
      <c r="DO69" s="64" t="str">
        <f t="shared" si="259"/>
        <v>UNKNOWN</v>
      </c>
      <c r="DP69" s="83">
        <f t="shared" si="260"/>
        <v>-2513.9896698113203</v>
      </c>
      <c r="DQ69" s="83">
        <f t="shared" si="261"/>
        <v>-2069.6800000000003</v>
      </c>
      <c r="DR69" s="83" t="e">
        <f t="shared" ca="1" si="262"/>
        <v>#NUM!</v>
      </c>
      <c r="DS69" s="83">
        <f t="shared" si="263"/>
        <v>-227</v>
      </c>
      <c r="DT69" s="83">
        <f t="shared" si="288"/>
        <v>-227</v>
      </c>
      <c r="DU69" s="83">
        <f t="shared" si="289"/>
        <v>12087</v>
      </c>
      <c r="DV69" s="83">
        <f t="shared" si="264"/>
        <v>100</v>
      </c>
      <c r="DW69" s="83">
        <f t="shared" si="265"/>
        <v>995</v>
      </c>
      <c r="DX69" s="83" t="e">
        <f t="shared" ca="1" si="390"/>
        <v>#NUM!</v>
      </c>
      <c r="DY69" s="83" t="e">
        <f t="shared" ca="1" si="391"/>
        <v>#NUM!</v>
      </c>
      <c r="DZ69" s="83" t="e">
        <f t="shared" ca="1" si="392"/>
        <v>#NUM!</v>
      </c>
      <c r="EA69" s="83" t="e">
        <f t="shared" ca="1" si="393"/>
        <v>#NUM!</v>
      </c>
      <c r="EB69" s="83" t="e">
        <f t="shared" ca="1" si="394"/>
        <v>#NUM!</v>
      </c>
      <c r="EC69" s="83" t="e">
        <f t="shared" ca="1" si="395"/>
        <v>#NUM!</v>
      </c>
      <c r="EE69" s="84">
        <f t="shared" si="396"/>
        <v>0.25</v>
      </c>
      <c r="EF69" s="84">
        <f t="shared" si="397"/>
        <v>1.0338000000000001</v>
      </c>
      <c r="EG69" s="84">
        <f t="shared" si="398"/>
        <v>1.2869999999999999</v>
      </c>
      <c r="EH69" s="84">
        <f t="shared" si="399"/>
        <v>1.0338000000000001</v>
      </c>
      <c r="EI69" s="84">
        <f t="shared" si="400"/>
        <v>0.30620000000000003</v>
      </c>
      <c r="EJ69" s="84">
        <f t="shared" si="401"/>
        <v>0.30049999999999999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103.38%</v>
      </c>
      <c r="EN69" s="83" t="str">
        <f>RTD("tos.rtd",,EN$2,"."&amp;$A$43&amp;$AU$1&amp;"C"&amp;$A69)</f>
        <v>128.70%</v>
      </c>
      <c r="EO69" s="83" t="str">
        <f>RTD("tos.rtd",,EO$2,"."&amp;$A$43&amp;$AU$1&amp;"P"&amp;$A69)</f>
        <v>103.38%</v>
      </c>
      <c r="EP69" s="83" t="str">
        <f>RTD("tos.rtd",,EP$2,"."&amp;$A$43&amp;$AW$1&amp;"C"&amp;$A69)</f>
        <v>30.62%</v>
      </c>
      <c r="EQ69" s="83" t="str">
        <f>RTD("tos.rtd",,EQ$2,"."&amp;$A$43&amp;$AW$1&amp;"P"&amp;$A69)</f>
        <v>30.05%</v>
      </c>
      <c r="ES69" s="63" t="str">
        <f t="shared" si="272"/>
        <v>478,1095.00</v>
      </c>
      <c r="ET69" s="64" t="str">
        <f t="shared" ca="1" si="273"/>
        <v>478,00.00</v>
      </c>
      <c r="EU69" s="68">
        <v>562.9</v>
      </c>
      <c r="EV69" s="68" t="s">
        <v>571</v>
      </c>
      <c r="EW69" s="68">
        <v>485.28</v>
      </c>
      <c r="EX69" s="68" t="s">
        <v>572</v>
      </c>
      <c r="EY69" s="68">
        <v>5643</v>
      </c>
      <c r="EZ69" s="68" t="s">
        <v>573</v>
      </c>
      <c r="FA69" s="68">
        <v>19935.5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90"/>
        <v>477</v>
      </c>
      <c r="B70" s="3">
        <f t="shared" si="239"/>
        <v>2051</v>
      </c>
      <c r="C70" s="3">
        <f t="shared" si="240"/>
        <v>3081</v>
      </c>
      <c r="D70" s="3">
        <f t="shared" si="241"/>
        <v>1853</v>
      </c>
      <c r="E70" s="3">
        <f t="shared" si="242"/>
        <v>6985</v>
      </c>
      <c r="F70" s="4">
        <f t="shared" si="294"/>
        <v>19695.60686178062</v>
      </c>
      <c r="AM70" s="1">
        <v>59</v>
      </c>
      <c r="AN70" s="1">
        <v>-1475</v>
      </c>
      <c r="AO70" s="1">
        <v>477</v>
      </c>
      <c r="AP70" s="1">
        <v>167</v>
      </c>
      <c r="AQ70" s="1">
        <v>-6633</v>
      </c>
      <c r="AS70" s="6">
        <f>IF(RTD("tos.rtd",,AS$43,"."&amp;$A$43&amp;$AS$42&amp;"C"&amp;$A70)="N/A",0,RTD("tos.rtd",,AS$43,"."&amp;$A$43&amp;$AS$42&amp;"C"&amp;$A70))</f>
        <v>823</v>
      </c>
      <c r="AT70" s="7">
        <f>-IF(RTD("tos.rtd",,AT$43,"."&amp;$A$43&amp;$AS$42&amp;"P"&amp;$A70)="N/A",0,RTD("tos.rtd",,AT$43,"."&amp;$A$43&amp;$AS$42&amp;"P"&amp;$A70))</f>
        <v>-1228</v>
      </c>
      <c r="AU70" s="6">
        <f>IF(RTD("tos.rtd",,AU$2,"."&amp;$A$43&amp;$AU$1&amp;"C"&amp;$A70)="N/A",0,RTD("tos.rtd",,AU$2,"."&amp;$A$43&amp;$AU$1&amp;"C"&amp;$A70))</f>
        <v>926</v>
      </c>
      <c r="AV70" s="7">
        <f>-IF(RTD("tos.rtd",,AV$2,"."&amp;$A$43&amp;$AU$1&amp;"P"&amp;$A70)="N/A",0,RTD("tos.rtd",,AV$2,"."&amp;$A$43&amp;$AU$1&amp;"P"&amp;$A70))</f>
        <v>-2155</v>
      </c>
      <c r="AW70" s="6">
        <f>IF(RTD("tos.rtd",,AW$2,"."&amp;$A$43&amp;$AW$1&amp;"C"&amp;$A70)="N/A",0,RTD("tos.rtd",,AW$2,"."&amp;$A$43&amp;$AW$1&amp;"C"&amp;$A70))</f>
        <v>101</v>
      </c>
      <c r="AX70" s="7">
        <f>-IF(RTD("tos.rtd",,AX$2,"."&amp;$A$43&amp;$AW$1&amp;"P"&amp;$A70)="N/A",0,RTD("tos.rtd",,AX$2,"."&amp;$A$43&amp;$AW$1&amp;"P"&amp;$A70))</f>
        <v>-1752</v>
      </c>
      <c r="AY70" s="7">
        <f t="shared" si="274"/>
        <v>-3285</v>
      </c>
      <c r="AZ70" s="8">
        <f t="shared" si="243"/>
        <v>477</v>
      </c>
      <c r="BA70" s="6">
        <f>IF(RTD("tos.rtd",,BA$43,"."&amp;$A$43&amp;$AS$42&amp;"C"&amp;$A70)="N/A",0,RTD("tos.rtd",,BA$43,"."&amp;$A$43&amp;$AS$42&amp;"C"&amp;$A70))</f>
        <v>0</v>
      </c>
      <c r="BB70" s="7">
        <f>-IF(RTD("tos.rtd",,BB$43,"."&amp;$A$43&amp;$AS$42&amp;"P"&amp;$A70)="N/A",0,RTD("tos.rtd",,BB$43,"."&amp;$A$43&amp;$AS$42&amp;"P"&amp;$A70))</f>
        <v>0</v>
      </c>
      <c r="BC70" s="6">
        <f>IF(RTD("tos.rtd",,BC$2,"."&amp;$A$43&amp;$AU$1&amp;"C"&amp;$A70)="N/A",0,RTD("tos.rtd",,BC$2,"."&amp;$A$43&amp;$AU$1&amp;"C"&amp;$A70))</f>
        <v>162</v>
      </c>
      <c r="BD70" s="7">
        <f>-IF(RTD("tos.rtd",,BD$2,"."&amp;$A$43&amp;$AU$1&amp;"P"&amp;$A70)="N/A",0,RTD("tos.rtd",,BD$2,"."&amp;$A$43&amp;$AU$1&amp;"P"&amp;$A70))</f>
        <v>-3207</v>
      </c>
      <c r="BE70" s="6">
        <f>IF(RTD("tos.rtd",,BE$2,"."&amp;$A$43&amp;$AW$1&amp;"C"&amp;$A70)="N/A",0,RTD("tos.rtd",,BE$2,"."&amp;$A$43&amp;$AW$1&amp;"C"&amp;$A70))</f>
        <v>113</v>
      </c>
      <c r="BF70" s="7">
        <f>-IF(RTD("tos.rtd",,BF$2,"."&amp;$A$43&amp;$AW$1&amp;"P"&amp;$A70)="N/A",0,RTD("tos.rtd",,BF$2,"."&amp;$A$43&amp;$AW$1&amp;"P"&amp;$A70))</f>
        <v>-2327</v>
      </c>
      <c r="BG70" s="32">
        <f ca="1">+Hoja2!Y71</f>
        <v>-372</v>
      </c>
      <c r="BH70" s="7">
        <f t="shared" ca="1" si="275"/>
        <v>-5631</v>
      </c>
      <c r="BI70" s="8" t="str">
        <f t="shared" ca="1" si="291"/>
        <v/>
      </c>
      <c r="BJ70" s="83" t="e">
        <f ca="1">IF($BP$1=1,DX70,IF(RTD("tos.rtd",,BJ$43,"."&amp;$A$43&amp;$AS$42&amp;"C"&amp;$A70)="N/A",0,RTD("tos.rtd",,BJ$43,"."&amp;$A$43&amp;$AS$42&amp;"C"&amp;$A70)))</f>
        <v>#NUM!</v>
      </c>
      <c r="BK70" s="83" t="e">
        <f ca="1">IF($BP$1=1,DY70,-IF(RTD("tos.rtd",,BK$43,"."&amp;$A$43&amp;$AS$42&amp;"P"&amp;$A70)="N/A",0,RTD("tos.rtd",,BK$43,"."&amp;$A$43&amp;$AS$42&amp;"P"&amp;$A70)))</f>
        <v>#NUM!</v>
      </c>
      <c r="BL70" s="83" t="e">
        <f ca="1">IF($BP$1=1,DZ70,IF(RTD("tos.rtd",,BL$2,"."&amp;$A$43&amp;$AU$1&amp;"C"&amp;$A70)="N/A",0,RTD("tos.rtd",,BL$2,"."&amp;$A$43&amp;$AU$1&amp;"C"&amp;$A70)))</f>
        <v>#NUM!</v>
      </c>
      <c r="BM70" s="83" t="e">
        <f ca="1">IF($BP$1=1,EA70,-IF(RTD("tos.rtd",,BM$2,"."&amp;$A$43&amp;$AU$1&amp;"P"&amp;$A70)="N/A",0,RTD("tos.rtd",,BM$2,"."&amp;$A$43&amp;$AU$1&amp;"P"&amp;$A70)))</f>
        <v>#NUM!</v>
      </c>
      <c r="BN70" s="83" t="e">
        <f ca="1">IF($BP$1=1,EB70,IF(RTD("tos.rtd",,BN$2,"."&amp;$A$43&amp;$AW$1&amp;"C"&amp;$A70)="N/A",0,RTD("tos.rtd",,BN$2,"."&amp;$A$43&amp;$AW$1&amp;"C"&amp;$A70)))</f>
        <v>#NUM!</v>
      </c>
      <c r="BO70" s="83" t="e">
        <f ca="1">IF($BP$1=1,EC70,-IF(RTD("tos.rtd",,BO$2,"."&amp;$A$43&amp;$AW$1&amp;"P"&amp;$A70)="N/A",0,RTD("tos.rtd",,BO$2,"."&amp;$A$43&amp;$AW$1&amp;"P"&amp;$A70)))</f>
        <v>#NUM!</v>
      </c>
      <c r="BQ70" s="83" t="e">
        <f t="shared" ca="1" si="276"/>
        <v>#NUM!</v>
      </c>
      <c r="BR70" s="3" t="e">
        <f t="shared" ca="1" si="277"/>
        <v>#NUM!</v>
      </c>
      <c r="BS70" s="83" t="e">
        <f t="shared" ca="1" si="278"/>
        <v>#NUM!</v>
      </c>
      <c r="BT70" s="3" t="e">
        <f t="shared" ca="1" si="279"/>
        <v>#NUM!</v>
      </c>
      <c r="BU70" s="83" t="e">
        <f t="shared" ca="1" si="280"/>
        <v>#NUM!</v>
      </c>
      <c r="BV70" s="83"/>
      <c r="BX70" s="83" t="e">
        <f t="shared" ca="1" si="281"/>
        <v>#NUM!</v>
      </c>
      <c r="BY70" s="83" t="e">
        <f t="shared" ca="1" si="292"/>
        <v>#NUM!</v>
      </c>
      <c r="BZ70" s="83" t="e">
        <f t="shared" ca="1" si="282"/>
        <v>#NUM!</v>
      </c>
      <c r="CA70" s="83" t="e">
        <f t="shared" ca="1" si="292"/>
        <v>#NUM!</v>
      </c>
      <c r="CB70" s="83" t="e">
        <f t="shared" ca="1" si="283"/>
        <v>#NUM!</v>
      </c>
      <c r="CC70" s="83" t="e">
        <f t="shared" ca="1" si="292"/>
        <v>#NUM!</v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0.99</v>
      </c>
      <c r="CG70" s="83">
        <f>-IF(RTD("tos.rtd",,CG$2,"."&amp;$A$43&amp;$AU$1&amp;"P"&amp;$A70)="N/A",0,RTD("tos.rtd",,CG$2,"."&amp;$A$43&amp;$AU$1&amp;"P"&amp;$A70))</f>
        <v>0</v>
      </c>
      <c r="CH70" s="83">
        <f>IF(RTD("tos.rtd",,CH$2,"."&amp;$A$43&amp;$AW$1&amp;"C"&amp;$A70)="N/A",0,RTD("tos.rtd",,CH$2,"."&amp;$A$43&amp;$AW$1&amp;"C"&amp;$A70))</f>
        <v>0.74</v>
      </c>
      <c r="CI70" s="83">
        <f>-IF(RTD("tos.rtd",,CI$2,"."&amp;$A$43&amp;$AW$1&amp;"P"&amp;$A70)="N/A",0,RTD("tos.rtd",,CI$2,"."&amp;$A$43&amp;$AW$1&amp;"P"&amp;$A70))</f>
        <v>0.25</v>
      </c>
      <c r="CK70" s="83">
        <f t="shared" si="284"/>
        <v>82300</v>
      </c>
      <c r="CL70" s="83"/>
      <c r="CM70" s="83">
        <f t="shared" si="285"/>
        <v>91674</v>
      </c>
      <c r="CN70" s="83"/>
      <c r="CO70" s="83">
        <f t="shared" si="286"/>
        <v>-36326</v>
      </c>
      <c r="CP70" s="83">
        <f t="shared" si="233"/>
        <v>137648</v>
      </c>
      <c r="CQ70" s="83">
        <f t="shared" si="247"/>
        <v>0</v>
      </c>
      <c r="CR70" s="83"/>
      <c r="CS70" s="83">
        <f t="shared" si="248"/>
        <v>-3045</v>
      </c>
      <c r="CT70" s="83"/>
      <c r="CU70" s="83">
        <f t="shared" si="249"/>
        <v>-2214</v>
      </c>
      <c r="CV70" s="83"/>
      <c r="CW70" s="83" t="e">
        <f t="shared" ca="1" si="250"/>
        <v>#NUM!</v>
      </c>
      <c r="CY70" s="83" t="e">
        <f t="shared" ca="1" si="251"/>
        <v>#NUM!</v>
      </c>
      <c r="CZ70" s="70" t="e">
        <f t="shared" ca="1" si="293"/>
        <v>#NUM!</v>
      </c>
      <c r="DA70" s="83">
        <f>IF(RTD("tos.rtd",,DA$43,"."&amp;$A$43&amp;$AS$42&amp;"C"&amp;$A70)="N/A",0,RTD("tos.rtd",,DA$43,"."&amp;$A$43&amp;$AS$42&amp;"C"&amp;$A70))</f>
        <v>8.11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9.61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8.1</v>
      </c>
      <c r="DF70" s="83">
        <f>IF(RTD("tos.rtd",,DF$43,"."&amp;$A$43&amp;$AS$42&amp;"P"&amp;$A70)="N/A",0,RTD("tos.rtd",,DF$43,"."&amp;$A$43&amp;$AS$42&amp;"P"&amp;$A70))</f>
        <v>0</v>
      </c>
      <c r="DG70" s="86">
        <f t="shared" si="287"/>
        <v>-10.920000000000016</v>
      </c>
      <c r="DH70" s="83">
        <f t="shared" si="252"/>
        <v>-1.1059602649006388</v>
      </c>
      <c r="DI70" s="83">
        <f t="shared" si="253"/>
        <v>6633</v>
      </c>
      <c r="DJ70" s="83">
        <f t="shared" si="254"/>
        <v>167</v>
      </c>
      <c r="DK70" s="83">
        <f t="shared" si="255"/>
        <v>6633</v>
      </c>
      <c r="DL70" s="83">
        <f t="shared" si="256"/>
        <v>6631.8940397350998</v>
      </c>
      <c r="DM70" s="83">
        <f t="shared" si="257"/>
        <v>6800</v>
      </c>
      <c r="DN70" s="64" t="str">
        <f t="shared" si="258"/>
        <v>UNKNOWN</v>
      </c>
      <c r="DO70" s="64" t="str">
        <f t="shared" si="259"/>
        <v>UNKNOWN</v>
      </c>
      <c r="DP70" s="83">
        <f t="shared" si="260"/>
        <v>57.360662251655818</v>
      </c>
      <c r="DQ70" s="83">
        <f t="shared" si="261"/>
        <v>1420.6999999999998</v>
      </c>
      <c r="DR70" s="83" t="e">
        <f t="shared" ca="1" si="262"/>
        <v>#NUM!</v>
      </c>
      <c r="DS70" s="83">
        <f t="shared" si="263"/>
        <v>167</v>
      </c>
      <c r="DT70" s="83">
        <f t="shared" si="288"/>
        <v>-167</v>
      </c>
      <c r="DU70" s="83">
        <f t="shared" si="289"/>
        <v>6633</v>
      </c>
      <c r="DV70" s="83">
        <f t="shared" si="264"/>
        <v>59</v>
      </c>
      <c r="DW70" s="83">
        <f t="shared" si="265"/>
        <v>-1475</v>
      </c>
      <c r="DX70" s="83" t="e">
        <f t="shared" ref="DX70:DX79" ca="1" si="402">(EXP(-POWER((LN($A$44/$A70)+($EC$1+POWER($EE70,2)/2)*($EM$1/$DY$1))/($EE70*SQRT($EM$1/$DY$1)),2)/2)/SQRT(2*PI())/($A$44*$EE70*SQRT($EM$1/$DY$1)))</f>
        <v>#NUM!</v>
      </c>
      <c r="DY70" s="83" t="e">
        <f t="shared" ref="DY70:DY79" ca="1" si="403">-(EXP(-POWER((LN($A$44/$A70)+($EC$1+POWER($EF70,2)/2)*($EM$1/$DY$1))/($EF70*SQRT($EM$1/$DY$1)),2)/2)/SQRT(2*PI())/($A$44*$EF70*SQRT($EM$1/$DY$1)))</f>
        <v>#NUM!</v>
      </c>
      <c r="DZ70" s="83" t="e">
        <f t="shared" ref="DZ70:DZ79" ca="1" si="404">(EXP(-POWER((LN($A$44/$A70)+($EC$1+POWER($EG70,2)/2)*($EO$1/$DY$1))/($EG70*SQRT($EO$1/$DY$1)),2)/2)/SQRT(2*PI())/($A$44*$EG70*SQRT($EO$1/$DY$1)))</f>
        <v>#NUM!</v>
      </c>
      <c r="EA70" s="83" t="e">
        <f t="shared" ref="EA70:EA79" ca="1" si="405">-(EXP(-POWER((LN($A$44/$A70)+($EC$1+POWER($EH70,2)/2)*($EO$1/$DY$1))/($EH70*SQRT($EO$1/$DY$1)),2)/2)/SQRT(2*PI())/($A$44*$EH70*SQRT($EO$1/$DY$1)))</f>
        <v>#NUM!</v>
      </c>
      <c r="EB70" s="83" t="e">
        <f t="shared" ref="EB70:EB79" ca="1" si="406">(EXP(-POWER((LN($A$44/$A70)+($EC$1+POWER($EI70,2)/2)*($EO$1/$DY$1))/($EI70*SQRT($EO$1/$DY$1)),2)/2)/SQRT(2*PI())/($A$44*$EI70*SQRT($EO$1/$DY$1)))</f>
        <v>#NUM!</v>
      </c>
      <c r="EC70" s="83" t="e">
        <f t="shared" ref="EC70:EC79" ca="1" si="407">-(EXP(-POWER((LN($A$44/$A70)+($EC$1+POWER($EJ70,2)/2)*($EO$1/$DY$1))/($EJ70*SQRT($EO$1/$DY$1)),2)/2)/SQRT(2*PI())/($A$44*$EJ70*SQRT($EO$1/$DY$1)))</f>
        <v>#NUM!</v>
      </c>
      <c r="EE70" s="84">
        <f t="shared" si="266"/>
        <v>0.25</v>
      </c>
      <c r="EF70" s="84">
        <f t="shared" si="267"/>
        <v>1.1277999999999999</v>
      </c>
      <c r="EG70" s="84">
        <f t="shared" si="268"/>
        <v>1.3586</v>
      </c>
      <c r="EH70" s="84">
        <f t="shared" si="269"/>
        <v>1.1277999999999999</v>
      </c>
      <c r="EI70" s="84">
        <f t="shared" si="270"/>
        <v>0.30890000000000001</v>
      </c>
      <c r="EJ70" s="84">
        <f t="shared" si="271"/>
        <v>0.3019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112.78%</v>
      </c>
      <c r="EN70" s="83" t="str">
        <f>RTD("tos.rtd",,EN$2,"."&amp;$A$43&amp;$AU$1&amp;"C"&amp;$A70)</f>
        <v>135.86%</v>
      </c>
      <c r="EO70" s="83" t="str">
        <f>RTD("tos.rtd",,EO$2,"."&amp;$A$43&amp;$AU$1&amp;"P"&amp;$A70)</f>
        <v>112.78%</v>
      </c>
      <c r="EP70" s="83" t="str">
        <f>RTD("tos.rtd",,EP$2,"."&amp;$A$43&amp;$AW$1&amp;"C"&amp;$A70)</f>
        <v>30.89%</v>
      </c>
      <c r="EQ70" s="83" t="str">
        <f>RTD("tos.rtd",,EQ$2,"."&amp;$A$43&amp;$AW$1&amp;"P"&amp;$A70)</f>
        <v>30.19%</v>
      </c>
      <c r="ES70" s="63" t="str">
        <f t="shared" si="272"/>
        <v>477,-1416.00</v>
      </c>
      <c r="ET70" s="64" t="str">
        <f t="shared" ca="1" si="273"/>
        <v>477,00.00</v>
      </c>
      <c r="EU70" s="68">
        <v>562.9</v>
      </c>
      <c r="EV70" s="68" t="s">
        <v>579</v>
      </c>
      <c r="EW70" s="68">
        <v>485.28</v>
      </c>
      <c r="EX70" s="68" t="s">
        <v>580</v>
      </c>
      <c r="EY70" s="68">
        <v>5642.75</v>
      </c>
      <c r="EZ70" s="68" t="s">
        <v>581</v>
      </c>
      <c r="FA70" s="68">
        <v>19935.5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90"/>
        <v>476</v>
      </c>
      <c r="B71" s="3">
        <f t="shared" si="239"/>
        <v>3335</v>
      </c>
      <c r="C71" s="3">
        <f t="shared" si="240"/>
        <v>3774</v>
      </c>
      <c r="D71" s="3">
        <f t="shared" si="241"/>
        <v>854</v>
      </c>
      <c r="E71" s="3">
        <f t="shared" si="242"/>
        <v>7963</v>
      </c>
      <c r="F71" s="4">
        <f t="shared" si="294"/>
        <v>19654.316281357598</v>
      </c>
      <c r="AM71" s="1">
        <v>32</v>
      </c>
      <c r="AN71" s="1">
        <v>-2679</v>
      </c>
      <c r="AO71" s="1">
        <v>476</v>
      </c>
      <c r="AP71" s="1">
        <v>153</v>
      </c>
      <c r="AQ71" s="1">
        <v>-6835</v>
      </c>
      <c r="AS71" s="6">
        <f>IF(RTD("tos.rtd",,AS$43,"."&amp;$A$43&amp;$AS$42&amp;"C"&amp;$A71)="N/A",0,RTD("tos.rtd",,AS$43,"."&amp;$A$43&amp;$AS$42&amp;"C"&amp;$A71))</f>
        <v>1053</v>
      </c>
      <c r="AT71" s="7">
        <f>-IF(RTD("tos.rtd",,AT$43,"."&amp;$A$43&amp;$AS$42&amp;"P"&amp;$A71)="N/A",0,RTD("tos.rtd",,AT$43,"."&amp;$A$43&amp;$AS$42&amp;"P"&amp;$A71))</f>
        <v>-2282</v>
      </c>
      <c r="AU71" s="6">
        <f>IF(RTD("tos.rtd",,AU$2,"."&amp;$A$43&amp;$AU$1&amp;"C"&amp;$A71)="N/A",0,RTD("tos.rtd",,AU$2,"."&amp;$A$43&amp;$AU$1&amp;"C"&amp;$A71))</f>
        <v>718</v>
      </c>
      <c r="AV71" s="7">
        <f>-IF(RTD("tos.rtd",,AV$2,"."&amp;$A$43&amp;$AU$1&amp;"P"&amp;$A71)="N/A",0,RTD("tos.rtd",,AV$2,"."&amp;$A$43&amp;$AU$1&amp;"P"&amp;$A71))</f>
        <v>-3056</v>
      </c>
      <c r="AW71" s="6">
        <f>IF(RTD("tos.rtd",,AW$2,"."&amp;$A$43&amp;$AW$1&amp;"C"&amp;$A71)="N/A",0,RTD("tos.rtd",,AW$2,"."&amp;$A$43&amp;$AW$1&amp;"C"&amp;$A71))</f>
        <v>148</v>
      </c>
      <c r="AX71" s="7">
        <f>-IF(RTD("tos.rtd",,AX$2,"."&amp;$A$43&amp;$AW$1&amp;"P"&amp;$A71)="N/A",0,RTD("tos.rtd",,AX$2,"."&amp;$A$43&amp;$AW$1&amp;"P"&amp;$A71))</f>
        <v>-706</v>
      </c>
      <c r="AY71" s="7">
        <f t="shared" si="274"/>
        <v>-4125</v>
      </c>
      <c r="AZ71" s="8">
        <f t="shared" si="243"/>
        <v>476</v>
      </c>
      <c r="BA71" s="6">
        <f>IF(RTD("tos.rtd",,BA$43,"."&amp;$A$43&amp;$AS$42&amp;"C"&amp;$A71)="N/A",0,RTD("tos.rtd",,BA$43,"."&amp;$A$43&amp;$AS$42&amp;"C"&amp;$A71))</f>
        <v>0</v>
      </c>
      <c r="BB71" s="7">
        <f>-IF(RTD("tos.rtd",,BB$43,"."&amp;$A$43&amp;$AS$42&amp;"P"&amp;$A71)="N/A",0,RTD("tos.rtd",,BB$43,"."&amp;$A$43&amp;$AS$42&amp;"P"&amp;$A71))</f>
        <v>0</v>
      </c>
      <c r="BC71" s="6">
        <f>IF(RTD("tos.rtd",,BC$2,"."&amp;$A$43&amp;$AU$1&amp;"C"&amp;$A71)="N/A",0,RTD("tos.rtd",,BC$2,"."&amp;$A$43&amp;$AU$1&amp;"C"&amp;$A71))</f>
        <v>148</v>
      </c>
      <c r="BD71" s="7">
        <f>-IF(RTD("tos.rtd",,BD$2,"."&amp;$A$43&amp;$AU$1&amp;"P"&amp;$A71)="N/A",0,RTD("tos.rtd",,BD$2,"."&amp;$A$43&amp;$AU$1&amp;"P"&amp;$A71))</f>
        <v>-2702</v>
      </c>
      <c r="BE71" s="6">
        <f>IF(RTD("tos.rtd",,BE$2,"."&amp;$A$43&amp;$AW$1&amp;"C"&amp;$A71)="N/A",0,RTD("tos.rtd",,BE$2,"."&amp;$A$43&amp;$AW$1&amp;"C"&amp;$A71))</f>
        <v>63</v>
      </c>
      <c r="BF71" s="7">
        <f>-IF(RTD("tos.rtd",,BF$2,"."&amp;$A$43&amp;$AW$1&amp;"P"&amp;$A71)="N/A",0,RTD("tos.rtd",,BF$2,"."&amp;$A$43&amp;$AW$1&amp;"P"&amp;$A71))</f>
        <v>-1741</v>
      </c>
      <c r="BG71" s="32">
        <f ca="1">+Hoja2!Y72</f>
        <v>-348</v>
      </c>
      <c r="BH71" s="7">
        <f t="shared" ca="1" si="275"/>
        <v>-4580</v>
      </c>
      <c r="BI71" s="8" t="str">
        <f t="shared" ca="1" si="291"/>
        <v/>
      </c>
      <c r="BJ71" s="83" t="e">
        <f ca="1">IF($BP$1=1,DX71,IF(RTD("tos.rtd",,BJ$43,"."&amp;$A$43&amp;$AS$42&amp;"C"&amp;$A71)="N/A",0,RTD("tos.rtd",,BJ$43,"."&amp;$A$43&amp;$AS$42&amp;"C"&amp;$A71)))</f>
        <v>#NUM!</v>
      </c>
      <c r="BK71" s="83" t="e">
        <f ca="1">IF($BP$1=1,DY71,-IF(RTD("tos.rtd",,BK$43,"."&amp;$A$43&amp;$AS$42&amp;"P"&amp;$A71)="N/A",0,RTD("tos.rtd",,BK$43,"."&amp;$A$43&amp;$AS$42&amp;"P"&amp;$A71)))</f>
        <v>#NUM!</v>
      </c>
      <c r="BL71" s="83" t="e">
        <f ca="1">IF($BP$1=1,DZ71,IF(RTD("tos.rtd",,BL$2,"."&amp;$A$43&amp;$AU$1&amp;"C"&amp;$A71)="N/A",0,RTD("tos.rtd",,BL$2,"."&amp;$A$43&amp;$AU$1&amp;"C"&amp;$A71)))</f>
        <v>#NUM!</v>
      </c>
      <c r="BM71" s="83" t="e">
        <f ca="1">IF($BP$1=1,EA71,-IF(RTD("tos.rtd",,BM$2,"."&amp;$A$43&amp;$AU$1&amp;"P"&amp;$A71)="N/A",0,RTD("tos.rtd",,BM$2,"."&amp;$A$43&amp;$AU$1&amp;"P"&amp;$A71)))</f>
        <v>#NUM!</v>
      </c>
      <c r="BN71" s="83" t="e">
        <f ca="1">IF($BP$1=1,EB71,IF(RTD("tos.rtd",,BN$2,"."&amp;$A$43&amp;$AW$1&amp;"C"&amp;$A71)="N/A",0,RTD("tos.rtd",,BN$2,"."&amp;$A$43&amp;$AW$1&amp;"C"&amp;$A71)))</f>
        <v>#NUM!</v>
      </c>
      <c r="BO71" s="83" t="e">
        <f ca="1">IF($BP$1=1,EC71,-IF(RTD("tos.rtd",,BO$2,"."&amp;$A$43&amp;$AW$1&amp;"P"&amp;$A71)="N/A",0,RTD("tos.rtd",,BO$2,"."&amp;$A$43&amp;$AW$1&amp;"P"&amp;$A71)))</f>
        <v>#NUM!</v>
      </c>
      <c r="BQ71" s="83" t="e">
        <f t="shared" ca="1" si="276"/>
        <v>#NUM!</v>
      </c>
      <c r="BR71" s="3" t="e">
        <f t="shared" ca="1" si="277"/>
        <v>#NUM!</v>
      </c>
      <c r="BS71" s="83" t="e">
        <f t="shared" ca="1" si="278"/>
        <v>#NUM!</v>
      </c>
      <c r="BT71" s="3" t="e">
        <f t="shared" ca="1" si="279"/>
        <v>#NUM!</v>
      </c>
      <c r="BU71" s="83" t="e">
        <f t="shared" ca="1" si="280"/>
        <v>#NUM!</v>
      </c>
      <c r="BV71" s="83"/>
      <c r="BX71" s="83" t="e">
        <f t="shared" ca="1" si="281"/>
        <v>#NUM!</v>
      </c>
      <c r="BY71" s="83" t="e">
        <f t="shared" ca="1" si="292"/>
        <v>#NUM!</v>
      </c>
      <c r="BZ71" s="83" t="e">
        <f t="shared" ca="1" si="282"/>
        <v>#NUM!</v>
      </c>
      <c r="CA71" s="83" t="e">
        <f t="shared" ca="1" si="292"/>
        <v>#NUM!</v>
      </c>
      <c r="CB71" s="83" t="e">
        <f t="shared" ca="1" si="283"/>
        <v>#NUM!</v>
      </c>
      <c r="CC71" s="83" t="e">
        <f t="shared" ca="1" si="292"/>
        <v>#NUM!</v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0.99</v>
      </c>
      <c r="CG71" s="83">
        <f>-IF(RTD("tos.rtd",,CG$2,"."&amp;$A$43&amp;$AU$1&amp;"P"&amp;$A71)="N/A",0,RTD("tos.rtd",,CG$2,"."&amp;$A$43&amp;$AU$1&amp;"P"&amp;$A71))</f>
        <v>0</v>
      </c>
      <c r="CH71" s="83">
        <f>IF(RTD("tos.rtd",,CH$2,"."&amp;$A$43&amp;$AW$1&amp;"C"&amp;$A71)="N/A",0,RTD("tos.rtd",,CH$2,"."&amp;$A$43&amp;$AW$1&amp;"C"&amp;$A71))</f>
        <v>0.76</v>
      </c>
      <c r="CI71" s="83">
        <f>-IF(RTD("tos.rtd",,CI$2,"."&amp;$A$43&amp;$AW$1&amp;"P"&amp;$A71)="N/A",0,RTD("tos.rtd",,CI$2,"."&amp;$A$43&amp;$AW$1&amp;"P"&amp;$A71))</f>
        <v>0.23</v>
      </c>
      <c r="CK71" s="83">
        <f t="shared" si="284"/>
        <v>105300</v>
      </c>
      <c r="CL71" s="83"/>
      <c r="CM71" s="83">
        <f t="shared" si="285"/>
        <v>71082</v>
      </c>
      <c r="CN71" s="83"/>
      <c r="CO71" s="83">
        <f t="shared" si="286"/>
        <v>-4990</v>
      </c>
      <c r="CP71" s="83">
        <f t="shared" si="233"/>
        <v>171392</v>
      </c>
      <c r="CQ71" s="83">
        <f t="shared" si="247"/>
        <v>0</v>
      </c>
      <c r="CR71" s="83"/>
      <c r="CS71" s="83">
        <f t="shared" si="248"/>
        <v>-2554</v>
      </c>
      <c r="CT71" s="83"/>
      <c r="CU71" s="83">
        <f t="shared" si="249"/>
        <v>-1678</v>
      </c>
      <c r="CV71" s="83"/>
      <c r="CW71" s="83" t="e">
        <f t="shared" ca="1" si="250"/>
        <v>#NUM!</v>
      </c>
      <c r="CY71" s="83" t="e">
        <f t="shared" ca="1" si="251"/>
        <v>#NUM!</v>
      </c>
      <c r="CZ71" s="70" t="e">
        <f t="shared" ca="1" si="293"/>
        <v>#NUM!</v>
      </c>
      <c r="DA71" s="83">
        <f>IF(RTD("tos.rtd",,DA$43,"."&amp;$A$43&amp;$AS$42&amp;"C"&amp;$A71)="N/A",0,RTD("tos.rtd",,DA$43,"."&amp;$A$43&amp;$AS$42&amp;"C"&amp;$A71))</f>
        <v>9.52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10.69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9.1</v>
      </c>
      <c r="DF71" s="83">
        <f>IF(RTD("tos.rtd",,DF$43,"."&amp;$A$43&amp;$AS$42&amp;"P"&amp;$A71)="N/A",0,RTD("tos.rtd",,DF$43,"."&amp;$A$43&amp;$AS$42&amp;"P"&amp;$A71))</f>
        <v>0</v>
      </c>
      <c r="DG71" s="86">
        <f t="shared" si="287"/>
        <v>-11.920000000000016</v>
      </c>
      <c r="DH71" s="83">
        <f t="shared" si="252"/>
        <v>-40.415094339622641</v>
      </c>
      <c r="DI71" s="83">
        <f t="shared" si="253"/>
        <v>6835</v>
      </c>
      <c r="DJ71" s="83">
        <f t="shared" si="254"/>
        <v>153</v>
      </c>
      <c r="DK71" s="83">
        <f t="shared" si="255"/>
        <v>6835</v>
      </c>
      <c r="DL71" s="83">
        <f t="shared" si="256"/>
        <v>6794.5849056603774</v>
      </c>
      <c r="DM71" s="83">
        <f t="shared" si="257"/>
        <v>6988</v>
      </c>
      <c r="DN71" s="64" t="str">
        <f t="shared" si="258"/>
        <v>UNKNOWN</v>
      </c>
      <c r="DO71" s="64" t="str">
        <f t="shared" si="259"/>
        <v>UNKNOWN</v>
      </c>
      <c r="DP71" s="83">
        <f t="shared" si="260"/>
        <v>-316.40169811320754</v>
      </c>
      <c r="DQ71" s="83">
        <f t="shared" si="261"/>
        <v>1524.9099999999999</v>
      </c>
      <c r="DR71" s="83" t="e">
        <f t="shared" ca="1" si="262"/>
        <v>#NUM!</v>
      </c>
      <c r="DS71" s="83">
        <f t="shared" si="263"/>
        <v>153</v>
      </c>
      <c r="DT71" s="83">
        <f t="shared" si="288"/>
        <v>-153</v>
      </c>
      <c r="DU71" s="83">
        <f t="shared" si="289"/>
        <v>6835</v>
      </c>
      <c r="DV71" s="83">
        <f t="shared" si="264"/>
        <v>32</v>
      </c>
      <c r="DW71" s="83">
        <f t="shared" si="265"/>
        <v>-2679</v>
      </c>
      <c r="DX71" s="83" t="e">
        <f t="shared" ca="1" si="402"/>
        <v>#NUM!</v>
      </c>
      <c r="DY71" s="83" t="e">
        <f t="shared" ca="1" si="403"/>
        <v>#NUM!</v>
      </c>
      <c r="DZ71" s="83" t="e">
        <f t="shared" ca="1" si="404"/>
        <v>#NUM!</v>
      </c>
      <c r="EA71" s="83" t="e">
        <f t="shared" ca="1" si="405"/>
        <v>#NUM!</v>
      </c>
      <c r="EB71" s="83" t="e">
        <f t="shared" ca="1" si="406"/>
        <v>#NUM!</v>
      </c>
      <c r="EC71" s="83" t="e">
        <f t="shared" ca="1" si="407"/>
        <v>#NUM!</v>
      </c>
      <c r="EE71" s="84">
        <f t="shared" si="266"/>
        <v>0.25</v>
      </c>
      <c r="EF71" s="84">
        <f t="shared" si="267"/>
        <v>1.2212000000000001</v>
      </c>
      <c r="EG71" s="84">
        <f t="shared" si="268"/>
        <v>1.5102</v>
      </c>
      <c r="EH71" s="84">
        <f t="shared" si="269"/>
        <v>1.2212000000000001</v>
      </c>
      <c r="EI71" s="84">
        <f t="shared" si="270"/>
        <v>0.31109999999999999</v>
      </c>
      <c r="EJ71" s="84">
        <f t="shared" si="271"/>
        <v>0.30320000000000003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122.12%</v>
      </c>
      <c r="EN71" s="83" t="str">
        <f>RTD("tos.rtd",,EN$2,"."&amp;$A$43&amp;$AU$1&amp;"C"&amp;$A71)</f>
        <v>151.02%</v>
      </c>
      <c r="EO71" s="83" t="str">
        <f>RTD("tos.rtd",,EO$2,"."&amp;$A$43&amp;$AU$1&amp;"P"&amp;$A71)</f>
        <v>122.12%</v>
      </c>
      <c r="EP71" s="83" t="str">
        <f>RTD("tos.rtd",,EP$2,"."&amp;$A$43&amp;$AW$1&amp;"C"&amp;$A71)</f>
        <v>31.11%</v>
      </c>
      <c r="EQ71" s="83" t="str">
        <f>RTD("tos.rtd",,EQ$2,"."&amp;$A$43&amp;$AW$1&amp;"P"&amp;$A71)</f>
        <v>30.32%</v>
      </c>
      <c r="ES71" s="63" t="str">
        <f t="shared" si="272"/>
        <v>476,-2647.00</v>
      </c>
      <c r="ET71" s="64" t="str">
        <f t="shared" ca="1" si="273"/>
        <v>476,00.00</v>
      </c>
      <c r="EU71" s="68">
        <v>563.15</v>
      </c>
      <c r="EV71" s="68" t="s">
        <v>587</v>
      </c>
      <c r="EW71" s="68">
        <v>485.54</v>
      </c>
      <c r="EX71" s="68" t="s">
        <v>588</v>
      </c>
      <c r="EY71" s="68">
        <v>5645.25</v>
      </c>
      <c r="EZ71" s="68" t="s">
        <v>589</v>
      </c>
      <c r="FA71" s="68">
        <v>19946.25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90"/>
        <v>475</v>
      </c>
      <c r="B72" s="3">
        <f t="shared" si="239"/>
        <v>15891</v>
      </c>
      <c r="C72" s="3">
        <f t="shared" ref="C72:C79" si="408">+IF($A$1="ABS",AU72-AV72,AU72+AV72)</f>
        <v>10563</v>
      </c>
      <c r="D72" s="3">
        <f t="shared" si="241"/>
        <v>49928</v>
      </c>
      <c r="E72" s="3">
        <f t="shared" si="242"/>
        <v>76382</v>
      </c>
      <c r="F72" s="4">
        <f t="shared" si="294"/>
        <v>19613.025700934581</v>
      </c>
      <c r="AM72" s="1">
        <v>85</v>
      </c>
      <c r="AN72" s="1">
        <v>1781</v>
      </c>
      <c r="AO72" s="1">
        <v>475</v>
      </c>
      <c r="AP72" s="1">
        <v>776</v>
      </c>
      <c r="AQ72" s="1">
        <v>-7395</v>
      </c>
      <c r="AS72" s="6">
        <f>IF(RTD("tos.rtd",,AS$43,"."&amp;$A$43&amp;$AS$42&amp;"C"&amp;$A72)="N/A",0,RTD("tos.rtd",,AS$43,"."&amp;$A$43&amp;$AS$42&amp;"C"&amp;$A72))</f>
        <v>6654</v>
      </c>
      <c r="AT72" s="7">
        <f>-IF(RTD("tos.rtd",,AT$43,"."&amp;$A$43&amp;$AS$42&amp;"P"&amp;$A72)="N/A",0,RTD("tos.rtd",,AT$43,"."&amp;$A$43&amp;$AS$42&amp;"P"&amp;$A72))</f>
        <v>-9237</v>
      </c>
      <c r="AU72" s="6">
        <f>IF(RTD("tos.rtd",,AU$2,"."&amp;$A$43&amp;$AU$1&amp;"C"&amp;$A72)="N/A",0,RTD("tos.rtd",,AU$2,"."&amp;$A$43&amp;$AU$1&amp;"C"&amp;$A72))</f>
        <v>3656</v>
      </c>
      <c r="AV72" s="7">
        <f>-IF(RTD("tos.rtd",,AV$2,"."&amp;$A$43&amp;$AU$1&amp;"P"&amp;$A72)="N/A",0,RTD("tos.rtd",,AV$2,"."&amp;$A$43&amp;$AU$1&amp;"P"&amp;$A72))</f>
        <v>-6907</v>
      </c>
      <c r="AW72" s="6">
        <f>IF(RTD("tos.rtd",,AW$2,"."&amp;$A$43&amp;$AW$1&amp;"C"&amp;$A72)="N/A",0,RTD("tos.rtd",,AW$2,"."&amp;$A$43&amp;$AW$1&amp;"C"&amp;$A72))</f>
        <v>28347</v>
      </c>
      <c r="AX72" s="7">
        <f>-IF(RTD("tos.rtd",,AX$2,"."&amp;$A$43&amp;$AW$1&amp;"P"&amp;$A72)="N/A",0,RTD("tos.rtd",,AX$2,"."&amp;$A$43&amp;$AW$1&amp;"P"&amp;$A72))</f>
        <v>-21581</v>
      </c>
      <c r="AY72" s="7">
        <f t="shared" si="274"/>
        <v>932</v>
      </c>
      <c r="AZ72" s="8">
        <f t="shared" si="243"/>
        <v>475</v>
      </c>
      <c r="BA72" s="6">
        <f>IF(RTD("tos.rtd",,BA$43,"."&amp;$A$43&amp;$AS$42&amp;"C"&amp;$A72)="N/A",0,RTD("tos.rtd",,BA$43,"."&amp;$A$43&amp;$AS$42&amp;"C"&amp;$A72))</f>
        <v>0</v>
      </c>
      <c r="BB72" s="7">
        <f>-IF(RTD("tos.rtd",,BB$43,"."&amp;$A$43&amp;$AS$42&amp;"P"&amp;$A72)="N/A",0,RTD("tos.rtd",,BB$43,"."&amp;$A$43&amp;$AS$42&amp;"P"&amp;$A72))</f>
        <v>0</v>
      </c>
      <c r="BC72" s="6">
        <f>IF(RTD("tos.rtd",,BC$2,"."&amp;$A$43&amp;$AU$1&amp;"C"&amp;$A72)="N/A",0,RTD("tos.rtd",,BC$2,"."&amp;$A$43&amp;$AU$1&amp;"C"&amp;$A72))</f>
        <v>481</v>
      </c>
      <c r="BD72" s="7">
        <f>-IF(RTD("tos.rtd",,BD$2,"."&amp;$A$43&amp;$AU$1&amp;"P"&amp;$A72)="N/A",0,RTD("tos.rtd",,BD$2,"."&amp;$A$43&amp;$AU$1&amp;"P"&amp;$A72))</f>
        <v>-5526</v>
      </c>
      <c r="BE72" s="6">
        <f>IF(RTD("tos.rtd",,BE$2,"."&amp;$A$43&amp;$AW$1&amp;"C"&amp;$A72)="N/A",0,RTD("tos.rtd",,BE$2,"."&amp;$A$43&amp;$AW$1&amp;"C"&amp;$A72))</f>
        <v>2178</v>
      </c>
      <c r="BF72" s="7">
        <f>-IF(RTD("tos.rtd",,BF$2,"."&amp;$A$43&amp;$AW$1&amp;"P"&amp;$A72)="N/A",0,RTD("tos.rtd",,BF$2,"."&amp;$A$43&amp;$AW$1&amp;"P"&amp;$A72))</f>
        <v>-12613</v>
      </c>
      <c r="BG72" s="32">
        <f ca="1">+Hoja2!Y73</f>
        <v>-15432</v>
      </c>
      <c r="BH72" s="7">
        <f t="shared" ca="1" si="275"/>
        <v>-30912</v>
      </c>
      <c r="BI72" s="8" t="str">
        <f t="shared" ca="1" si="291"/>
        <v/>
      </c>
      <c r="BJ72" s="83" t="e">
        <f ca="1">IF($BP$1=1,DX72,IF(RTD("tos.rtd",,BJ$43,"."&amp;$A$43&amp;$AS$42&amp;"C"&amp;$A72)="N/A",0,RTD("tos.rtd",,BJ$43,"."&amp;$A$43&amp;$AS$42&amp;"C"&amp;$A72)))</f>
        <v>#NUM!</v>
      </c>
      <c r="BK72" s="83" t="e">
        <f ca="1">IF($BP$1=1,DY72,-IF(RTD("tos.rtd",,BK$43,"."&amp;$A$43&amp;$AS$42&amp;"P"&amp;$A72)="N/A",0,RTD("tos.rtd",,BK$43,"."&amp;$A$43&amp;$AS$42&amp;"P"&amp;$A72)))</f>
        <v>#NUM!</v>
      </c>
      <c r="BL72" s="83" t="e">
        <f ca="1">IF($BP$1=1,DZ72,IF(RTD("tos.rtd",,BL$2,"."&amp;$A$43&amp;$AU$1&amp;"C"&amp;$A72)="N/A",0,RTD("tos.rtd",,BL$2,"."&amp;$A$43&amp;$AU$1&amp;"C"&amp;$A72)))</f>
        <v>#NUM!</v>
      </c>
      <c r="BM72" s="83" t="e">
        <f ca="1">IF($BP$1=1,EA72,-IF(RTD("tos.rtd",,BM$2,"."&amp;$A$43&amp;$AU$1&amp;"P"&amp;$A72)="N/A",0,RTD("tos.rtd",,BM$2,"."&amp;$A$43&amp;$AU$1&amp;"P"&amp;$A72)))</f>
        <v>#NUM!</v>
      </c>
      <c r="BN72" s="83" t="e">
        <f ca="1">IF($BP$1=1,EB72,IF(RTD("tos.rtd",,BN$2,"."&amp;$A$43&amp;$AW$1&amp;"C"&amp;$A72)="N/A",0,RTD("tos.rtd",,BN$2,"."&amp;$A$43&amp;$AW$1&amp;"C"&amp;$A72)))</f>
        <v>#NUM!</v>
      </c>
      <c r="BO72" s="83" t="e">
        <f ca="1">IF($BP$1=1,EC72,-IF(RTD("tos.rtd",,BO$2,"."&amp;$A$43&amp;$AW$1&amp;"P"&amp;$A72)="N/A",0,RTD("tos.rtd",,BO$2,"."&amp;$A$43&amp;$AW$1&amp;"P"&amp;$A72)))</f>
        <v>#NUM!</v>
      </c>
      <c r="BQ72" s="83" t="e">
        <f t="shared" ca="1" si="276"/>
        <v>#NUM!</v>
      </c>
      <c r="BR72" s="3" t="e">
        <f t="shared" ca="1" si="277"/>
        <v>#NUM!</v>
      </c>
      <c r="BS72" s="83" t="e">
        <f t="shared" ca="1" si="278"/>
        <v>#NUM!</v>
      </c>
      <c r="BT72" s="3" t="e">
        <f t="shared" ca="1" si="279"/>
        <v>#NUM!</v>
      </c>
      <c r="BU72" s="83" t="e">
        <f t="shared" ca="1" si="280"/>
        <v>#NUM!</v>
      </c>
      <c r="BV72" s="83"/>
      <c r="BX72" s="83" t="e">
        <f t="shared" ca="1" si="281"/>
        <v>#NUM!</v>
      </c>
      <c r="BY72" s="83" t="e">
        <f t="shared" ca="1" si="292"/>
        <v>#NUM!</v>
      </c>
      <c r="BZ72" s="83" t="e">
        <f t="shared" ca="1" si="282"/>
        <v>#NUM!</v>
      </c>
      <c r="CA72" s="83" t="e">
        <f t="shared" ca="1" si="292"/>
        <v>#NUM!</v>
      </c>
      <c r="CB72" s="83" t="e">
        <f t="shared" ca="1" si="283"/>
        <v>#NUM!</v>
      </c>
      <c r="CC72" s="83" t="e">
        <f t="shared" ca="1" si="292"/>
        <v>#NUM!</v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0.99</v>
      </c>
      <c r="CG72" s="83">
        <f>-IF(RTD("tos.rtd",,CG$2,"."&amp;$A$43&amp;$AU$1&amp;"P"&amp;$A72)="N/A",0,RTD("tos.rtd",,CG$2,"."&amp;$A$43&amp;$AU$1&amp;"P"&amp;$A72))</f>
        <v>0</v>
      </c>
      <c r="CH72" s="83">
        <f>IF(RTD("tos.rtd",,CH$2,"."&amp;$A$43&amp;$AW$1&amp;"C"&amp;$A72)="N/A",0,RTD("tos.rtd",,CH$2,"."&amp;$A$43&amp;$AW$1&amp;"C"&amp;$A72))</f>
        <v>0.78</v>
      </c>
      <c r="CI72" s="83">
        <f>-IF(RTD("tos.rtd",,CI$2,"."&amp;$A$43&amp;$AW$1&amp;"P"&amp;$A72)="N/A",0,RTD("tos.rtd",,CI$2,"."&amp;$A$43&amp;$AW$1&amp;"P"&amp;$A72))</f>
        <v>0.22</v>
      </c>
      <c r="CK72" s="83">
        <f t="shared" si="284"/>
        <v>665400</v>
      </c>
      <c r="CL72" s="83"/>
      <c r="CM72" s="83">
        <f t="shared" si="285"/>
        <v>361944</v>
      </c>
      <c r="CN72" s="83"/>
      <c r="CO72" s="83">
        <f t="shared" si="286"/>
        <v>1736284</v>
      </c>
      <c r="CP72" s="83">
        <f t="shared" si="233"/>
        <v>2763628</v>
      </c>
      <c r="CQ72" s="83">
        <f t="shared" si="247"/>
        <v>0</v>
      </c>
      <c r="CR72" s="83"/>
      <c r="CS72" s="83">
        <f t="shared" si="248"/>
        <v>-5045</v>
      </c>
      <c r="CT72" s="83"/>
      <c r="CU72" s="83">
        <f t="shared" si="249"/>
        <v>-10435</v>
      </c>
      <c r="CV72" s="83"/>
      <c r="CW72" s="83" t="e">
        <f t="shared" ca="1" si="250"/>
        <v>#NUM!</v>
      </c>
      <c r="CY72" s="83" t="e">
        <f t="shared" ca="1" si="251"/>
        <v>#NUM!</v>
      </c>
      <c r="CZ72" s="70" t="e">
        <f t="shared" ca="1" si="293"/>
        <v>#NUM!</v>
      </c>
      <c r="DA72" s="83">
        <f>IF(RTD("tos.rtd",,DA$43,"."&amp;$A$43&amp;$AS$42&amp;"C"&amp;$A72)="N/A",0,RTD("tos.rtd",,DA$43,"."&amp;$A$43&amp;$AS$42&amp;"C"&amp;$A72))</f>
        <v>10.1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12.22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10.1</v>
      </c>
      <c r="DF72" s="83">
        <f>IF(RTD("tos.rtd",,DF$43,"."&amp;$A$43&amp;$AS$42&amp;"P"&amp;$A72)="N/A",0,RTD("tos.rtd",,DF$43,"."&amp;$A$43&amp;$AS$42&amp;"P"&amp;$A72))</f>
        <v>0</v>
      </c>
      <c r="DG72" s="86">
        <f t="shared" si="287"/>
        <v>-12.920000000000016</v>
      </c>
      <c r="DH72" s="83">
        <f t="shared" si="252"/>
        <v>0</v>
      </c>
      <c r="DI72" s="83">
        <f t="shared" si="253"/>
        <v>7395</v>
      </c>
      <c r="DJ72" s="83">
        <f t="shared" si="254"/>
        <v>776</v>
      </c>
      <c r="DK72" s="83">
        <f t="shared" si="255"/>
        <v>7395</v>
      </c>
      <c r="DL72" s="83">
        <f t="shared" si="256"/>
        <v>7395</v>
      </c>
      <c r="DM72" s="83">
        <f t="shared" si="257"/>
        <v>8171</v>
      </c>
      <c r="DN72" s="64" t="str">
        <f t="shared" si="258"/>
        <v>UNKNOWN</v>
      </c>
      <c r="DO72" s="64" t="str">
        <f t="shared" si="259"/>
        <v>UNKNOWN</v>
      </c>
      <c r="DP72" s="83">
        <f t="shared" si="260"/>
        <v>73.95</v>
      </c>
      <c r="DQ72" s="83">
        <f t="shared" si="261"/>
        <v>7911.5499999999993</v>
      </c>
      <c r="DR72" s="83" t="e">
        <f t="shared" ca="1" si="262"/>
        <v>#NUM!</v>
      </c>
      <c r="DS72" s="83">
        <f t="shared" si="263"/>
        <v>776</v>
      </c>
      <c r="DT72" s="83">
        <f t="shared" si="288"/>
        <v>-776</v>
      </c>
      <c r="DU72" s="83">
        <f t="shared" si="289"/>
        <v>7395</v>
      </c>
      <c r="DV72" s="83">
        <f t="shared" si="264"/>
        <v>85</v>
      </c>
      <c r="DW72" s="83">
        <f t="shared" si="265"/>
        <v>1781</v>
      </c>
      <c r="DX72" s="83" t="e">
        <f t="shared" ca="1" si="402"/>
        <v>#NUM!</v>
      </c>
      <c r="DY72" s="83" t="e">
        <f t="shared" ca="1" si="403"/>
        <v>#NUM!</v>
      </c>
      <c r="DZ72" s="83" t="e">
        <f t="shared" ca="1" si="404"/>
        <v>#NUM!</v>
      </c>
      <c r="EA72" s="83" t="e">
        <f t="shared" ca="1" si="405"/>
        <v>#NUM!</v>
      </c>
      <c r="EB72" s="83" t="e">
        <f t="shared" ca="1" si="406"/>
        <v>#NUM!</v>
      </c>
      <c r="EC72" s="83" t="e">
        <f t="shared" ca="1" si="407"/>
        <v>#NUM!</v>
      </c>
      <c r="EE72" s="84">
        <f t="shared" si="266"/>
        <v>0.25</v>
      </c>
      <c r="EF72" s="84">
        <f t="shared" si="267"/>
        <v>1.3142</v>
      </c>
      <c r="EG72" s="84">
        <f t="shared" si="268"/>
        <v>1.6206</v>
      </c>
      <c r="EH72" s="84">
        <f t="shared" si="269"/>
        <v>1.3142</v>
      </c>
      <c r="EI72" s="84">
        <f t="shared" si="270"/>
        <v>0.31090000000000001</v>
      </c>
      <c r="EJ72" s="84">
        <f t="shared" si="271"/>
        <v>0.30470000000000003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131.42%</v>
      </c>
      <c r="EN72" s="83" t="str">
        <f>RTD("tos.rtd",,EN$2,"."&amp;$A$43&amp;$AU$1&amp;"C"&amp;$A72)</f>
        <v>162.06%</v>
      </c>
      <c r="EO72" s="83" t="str">
        <f>RTD("tos.rtd",,EO$2,"."&amp;$A$43&amp;$AU$1&amp;"P"&amp;$A72)</f>
        <v>131.42%</v>
      </c>
      <c r="EP72" s="83" t="str">
        <f>RTD("tos.rtd",,EP$2,"."&amp;$A$43&amp;$AW$1&amp;"C"&amp;$A72)</f>
        <v>31.09%</v>
      </c>
      <c r="EQ72" s="83" t="str">
        <f>RTD("tos.rtd",,EQ$2,"."&amp;$A$43&amp;$AW$1&amp;"P"&amp;$A72)</f>
        <v>30.47%</v>
      </c>
      <c r="ES72" s="63" t="str">
        <f t="shared" si="272"/>
        <v>475,1866.00</v>
      </c>
      <c r="ET72" s="64" t="str">
        <f t="shared" ca="1" si="273"/>
        <v>475,00.00</v>
      </c>
      <c r="EU72" s="68">
        <v>563.09</v>
      </c>
      <c r="EV72" s="68" t="s">
        <v>595</v>
      </c>
      <c r="EW72" s="68">
        <v>485.49</v>
      </c>
      <c r="EX72" s="68" t="s">
        <v>596</v>
      </c>
      <c r="EY72" s="68">
        <v>5644.5</v>
      </c>
      <c r="EZ72" s="68" t="s">
        <v>597</v>
      </c>
      <c r="FA72" s="68">
        <v>19943.25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90"/>
        <v>474</v>
      </c>
      <c r="B73" s="3">
        <f t="shared" si="239"/>
        <v>1775</v>
      </c>
      <c r="C73" s="3">
        <f t="shared" si="408"/>
        <v>2963</v>
      </c>
      <c r="D73" s="3">
        <f t="shared" si="241"/>
        <v>484</v>
      </c>
      <c r="E73" s="3">
        <f t="shared" si="242"/>
        <v>5222</v>
      </c>
      <c r="F73" s="4">
        <f t="shared" si="294"/>
        <v>19571.735120511559</v>
      </c>
      <c r="AM73" s="1">
        <v>21</v>
      </c>
      <c r="AN73" s="1">
        <v>-623</v>
      </c>
      <c r="AO73" s="1">
        <v>474</v>
      </c>
      <c r="AP73" s="1">
        <v>146</v>
      </c>
      <c r="AQ73" s="1">
        <v>-3004</v>
      </c>
      <c r="AS73" s="6">
        <f>IF(RTD("tos.rtd",,AS$43,"."&amp;$A$43&amp;$AS$42&amp;"C"&amp;$A73)="N/A",0,RTD("tos.rtd",,AS$43,"."&amp;$A$43&amp;$AS$42&amp;"C"&amp;$A73))</f>
        <v>688</v>
      </c>
      <c r="AT73" s="7">
        <f>-IF(RTD("tos.rtd",,AT$43,"."&amp;$A$43&amp;$AS$42&amp;"P"&amp;$A73)="N/A",0,RTD("tos.rtd",,AT$43,"."&amp;$A$43&amp;$AS$42&amp;"P"&amp;$A73))</f>
        <v>-1087</v>
      </c>
      <c r="AU73" s="6">
        <f>IF(RTD("tos.rtd",,AU$2,"."&amp;$A$43&amp;$AU$1&amp;"C"&amp;$A73)="N/A",0,RTD("tos.rtd",,AU$2,"."&amp;$A$43&amp;$AU$1&amp;"C"&amp;$A73))</f>
        <v>448</v>
      </c>
      <c r="AV73" s="7">
        <f>-IF(RTD("tos.rtd",,AV$2,"."&amp;$A$43&amp;$AU$1&amp;"P"&amp;$A73)="N/A",0,RTD("tos.rtd",,AV$2,"."&amp;$A$43&amp;$AU$1&amp;"P"&amp;$A73))</f>
        <v>-2515</v>
      </c>
      <c r="AW73" s="6">
        <f>IF(RTD("tos.rtd",,AW$2,"."&amp;$A$43&amp;$AW$1&amp;"C"&amp;$A73)="N/A",0,RTD("tos.rtd",,AW$2,"."&amp;$A$43&amp;$AW$1&amp;"C"&amp;$A73))</f>
        <v>96</v>
      </c>
      <c r="AX73" s="7">
        <f>-IF(RTD("tos.rtd",,AX$2,"."&amp;$A$43&amp;$AW$1&amp;"P"&amp;$A73)="N/A",0,RTD("tos.rtd",,AX$2,"."&amp;$A$43&amp;$AW$1&amp;"P"&amp;$A73))</f>
        <v>-388</v>
      </c>
      <c r="AY73" s="7">
        <f t="shared" si="274"/>
        <v>-2758</v>
      </c>
      <c r="AZ73" s="8">
        <f t="shared" si="243"/>
        <v>474</v>
      </c>
      <c r="BA73" s="6">
        <f>IF(RTD("tos.rtd",,BA$43,"."&amp;$A$43&amp;$AS$42&amp;"C"&amp;$A73)="N/A",0,RTD("tos.rtd",,BA$43,"."&amp;$A$43&amp;$AS$42&amp;"C"&amp;$A73))</f>
        <v>0</v>
      </c>
      <c r="BB73" s="7">
        <f>-IF(RTD("tos.rtd",,BB$43,"."&amp;$A$43&amp;$AS$42&amp;"P"&amp;$A73)="N/A",0,RTD("tos.rtd",,BB$43,"."&amp;$A$43&amp;$AS$42&amp;"P"&amp;$A73))</f>
        <v>0</v>
      </c>
      <c r="BC73" s="6">
        <f>IF(RTD("tos.rtd",,BC$2,"."&amp;$A$43&amp;$AU$1&amp;"C"&amp;$A73)="N/A",0,RTD("tos.rtd",,BC$2,"."&amp;$A$43&amp;$AU$1&amp;"C"&amp;$A73))</f>
        <v>71</v>
      </c>
      <c r="BD73" s="7">
        <f>-IF(RTD("tos.rtd",,BD$2,"."&amp;$A$43&amp;$AU$1&amp;"P"&amp;$A73)="N/A",0,RTD("tos.rtd",,BD$2,"."&amp;$A$43&amp;$AU$1&amp;"P"&amp;$A73))</f>
        <v>-3131</v>
      </c>
      <c r="BE73" s="6">
        <f>IF(RTD("tos.rtd",,BE$2,"."&amp;$A$43&amp;$AW$1&amp;"C"&amp;$A73)="N/A",0,RTD("tos.rtd",,BE$2,"."&amp;$A$43&amp;$AW$1&amp;"C"&amp;$A73))</f>
        <v>18</v>
      </c>
      <c r="BF73" s="7">
        <f>-IF(RTD("tos.rtd",,BF$2,"."&amp;$A$43&amp;$AW$1&amp;"P"&amp;$A73)="N/A",0,RTD("tos.rtd",,BF$2,"."&amp;$A$43&amp;$AW$1&amp;"P"&amp;$A73))</f>
        <v>-4010</v>
      </c>
      <c r="BG73" s="32">
        <f ca="1">+Hoja2!Y74</f>
        <v>-231</v>
      </c>
      <c r="BH73" s="7">
        <f t="shared" ca="1" si="275"/>
        <v>-7283</v>
      </c>
      <c r="BI73" s="8" t="str">
        <f t="shared" ca="1" si="291"/>
        <v/>
      </c>
      <c r="BJ73" s="83" t="e">
        <f ca="1">IF($BP$1=1,DX73,IF(RTD("tos.rtd",,BJ$43,"."&amp;$A$43&amp;$AS$42&amp;"C"&amp;$A73)="N/A",0,RTD("tos.rtd",,BJ$43,"."&amp;$A$43&amp;$AS$42&amp;"C"&amp;$A73)))</f>
        <v>#NUM!</v>
      </c>
      <c r="BK73" s="83" t="e">
        <f ca="1">IF($BP$1=1,DY73,-IF(RTD("tos.rtd",,BK$43,"."&amp;$A$43&amp;$AS$42&amp;"P"&amp;$A73)="N/A",0,RTD("tos.rtd",,BK$43,"."&amp;$A$43&amp;$AS$42&amp;"P"&amp;$A73)))</f>
        <v>#NUM!</v>
      </c>
      <c r="BL73" s="83" t="e">
        <f ca="1">IF($BP$1=1,DZ73,IF(RTD("tos.rtd",,BL$2,"."&amp;$A$43&amp;$AU$1&amp;"C"&amp;$A73)="N/A",0,RTD("tos.rtd",,BL$2,"."&amp;$A$43&amp;$AU$1&amp;"C"&amp;$A73)))</f>
        <v>#NUM!</v>
      </c>
      <c r="BM73" s="83" t="e">
        <f ca="1">IF($BP$1=1,EA73,-IF(RTD("tos.rtd",,BM$2,"."&amp;$A$43&amp;$AU$1&amp;"P"&amp;$A73)="N/A",0,RTD("tos.rtd",,BM$2,"."&amp;$A$43&amp;$AU$1&amp;"P"&amp;$A73)))</f>
        <v>#NUM!</v>
      </c>
      <c r="BN73" s="83" t="e">
        <f ca="1">IF($BP$1=1,EB73,IF(RTD("tos.rtd",,BN$2,"."&amp;$A$43&amp;$AW$1&amp;"C"&amp;$A73)="N/A",0,RTD("tos.rtd",,BN$2,"."&amp;$A$43&amp;$AW$1&amp;"C"&amp;$A73)))</f>
        <v>#NUM!</v>
      </c>
      <c r="BO73" s="83" t="e">
        <f ca="1">IF($BP$1=1,EC73,-IF(RTD("tos.rtd",,BO$2,"."&amp;$A$43&amp;$AW$1&amp;"P"&amp;$A73)="N/A",0,RTD("tos.rtd",,BO$2,"."&amp;$A$43&amp;$AW$1&amp;"P"&amp;$A73)))</f>
        <v>#NUM!</v>
      </c>
      <c r="BQ73" s="83" t="e">
        <f t="shared" ca="1" si="276"/>
        <v>#NUM!</v>
      </c>
      <c r="BR73" s="3" t="e">
        <f t="shared" ca="1" si="277"/>
        <v>#NUM!</v>
      </c>
      <c r="BS73" s="83" t="e">
        <f t="shared" ca="1" si="278"/>
        <v>#NUM!</v>
      </c>
      <c r="BT73" s="3" t="e">
        <f t="shared" ca="1" si="279"/>
        <v>#NUM!</v>
      </c>
      <c r="BU73" s="83" t="e">
        <f t="shared" ca="1" si="280"/>
        <v>#NUM!</v>
      </c>
      <c r="BV73" s="83"/>
      <c r="BX73" s="83" t="e">
        <f t="shared" ca="1" si="281"/>
        <v>#NUM!</v>
      </c>
      <c r="BY73" s="83" t="e">
        <f t="shared" ca="1" si="292"/>
        <v>#NUM!</v>
      </c>
      <c r="BZ73" s="83" t="e">
        <f t="shared" ca="1" si="282"/>
        <v>#NUM!</v>
      </c>
      <c r="CA73" s="83" t="e">
        <f t="shared" ca="1" si="292"/>
        <v>#NUM!</v>
      </c>
      <c r="CB73" s="83" t="e">
        <f t="shared" ca="1" si="283"/>
        <v>#NUM!</v>
      </c>
      <c r="CC73" s="83" t="e">
        <f t="shared" ca="1" si="292"/>
        <v>#NUM!</v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0.99</v>
      </c>
      <c r="CG73" s="83">
        <f>-IF(RTD("tos.rtd",,CG$2,"."&amp;$A$43&amp;$AU$1&amp;"P"&amp;$A73)="N/A",0,RTD("tos.rtd",,CG$2,"."&amp;$A$43&amp;$AU$1&amp;"P"&amp;$A73))</f>
        <v>0</v>
      </c>
      <c r="CH73" s="83">
        <f>IF(RTD("tos.rtd",,CH$2,"."&amp;$A$43&amp;$AW$1&amp;"C"&amp;$A73)="N/A",0,RTD("tos.rtd",,CH$2,"."&amp;$A$43&amp;$AW$1&amp;"C"&amp;$A73))</f>
        <v>0.79</v>
      </c>
      <c r="CI73" s="83">
        <f>-IF(RTD("tos.rtd",,CI$2,"."&amp;$A$43&amp;$AW$1&amp;"P"&amp;$A73)="N/A",0,RTD("tos.rtd",,CI$2,"."&amp;$A$43&amp;$AW$1&amp;"P"&amp;$A73))</f>
        <v>0.2</v>
      </c>
      <c r="CK73" s="83">
        <f t="shared" si="284"/>
        <v>68800</v>
      </c>
      <c r="CL73" s="83"/>
      <c r="CM73" s="83">
        <f t="shared" si="285"/>
        <v>44352</v>
      </c>
      <c r="CN73" s="83"/>
      <c r="CO73" s="83">
        <f t="shared" si="286"/>
        <v>-176.00000000000091</v>
      </c>
      <c r="CP73" s="83">
        <f t="shared" si="233"/>
        <v>112976</v>
      </c>
      <c r="CQ73" s="83">
        <f t="shared" si="247"/>
        <v>0</v>
      </c>
      <c r="CR73" s="83"/>
      <c r="CS73" s="83">
        <f t="shared" si="248"/>
        <v>-3060</v>
      </c>
      <c r="CT73" s="83"/>
      <c r="CU73" s="83">
        <f t="shared" si="249"/>
        <v>-3992</v>
      </c>
      <c r="CV73" s="83"/>
      <c r="CW73" s="83" t="e">
        <f t="shared" ca="1" si="250"/>
        <v>#NUM!</v>
      </c>
      <c r="CY73" s="83" t="e">
        <f t="shared" ca="1" si="251"/>
        <v>#NUM!</v>
      </c>
      <c r="CZ73" s="70" t="e">
        <f t="shared" ca="1" si="293"/>
        <v>#NUM!</v>
      </c>
      <c r="DA73" s="83">
        <f>IF(RTD("tos.rtd",,DA$43,"."&amp;$A$43&amp;$AS$42&amp;"C"&amp;$A73)="N/A",0,RTD("tos.rtd",,DA$43,"."&amp;$A$43&amp;$AS$42&amp;"C"&amp;$A73))</f>
        <v>11.29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13.44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11.1</v>
      </c>
      <c r="DF73" s="83">
        <f>IF(RTD("tos.rtd",,DF$43,"."&amp;$A$43&amp;$AS$42&amp;"P"&amp;$A73)="N/A",0,RTD("tos.rtd",,DF$43,"."&amp;$A$43&amp;$AS$42&amp;"P"&amp;$A73))</f>
        <v>0</v>
      </c>
      <c r="DG73" s="86">
        <f t="shared" si="287"/>
        <v>-13.920000000000016</v>
      </c>
      <c r="DH73" s="83">
        <f t="shared" si="252"/>
        <v>-11.854700854700825</v>
      </c>
      <c r="DI73" s="83">
        <f t="shared" si="253"/>
        <v>3004</v>
      </c>
      <c r="DJ73" s="83">
        <f t="shared" si="254"/>
        <v>146</v>
      </c>
      <c r="DK73" s="83">
        <f t="shared" si="255"/>
        <v>3004</v>
      </c>
      <c r="DL73" s="83">
        <f t="shared" si="256"/>
        <v>2992.1452991452993</v>
      </c>
      <c r="DM73" s="83">
        <f t="shared" si="257"/>
        <v>3150</v>
      </c>
      <c r="DN73" s="64" t="str">
        <f t="shared" si="258"/>
        <v>UNKNOWN</v>
      </c>
      <c r="DO73" s="64" t="str">
        <f t="shared" si="259"/>
        <v>UNKNOWN</v>
      </c>
      <c r="DP73" s="83">
        <f t="shared" si="260"/>
        <v>-103.79957264957233</v>
      </c>
      <c r="DQ73" s="83">
        <f t="shared" si="261"/>
        <v>1678.3799999999999</v>
      </c>
      <c r="DR73" s="83" t="e">
        <f t="shared" ca="1" si="262"/>
        <v>#NUM!</v>
      </c>
      <c r="DS73" s="83">
        <f t="shared" si="263"/>
        <v>146</v>
      </c>
      <c r="DT73" s="83">
        <f t="shared" si="288"/>
        <v>-146</v>
      </c>
      <c r="DU73" s="83">
        <f t="shared" si="289"/>
        <v>3004</v>
      </c>
      <c r="DV73" s="83">
        <f t="shared" si="264"/>
        <v>21</v>
      </c>
      <c r="DW73" s="83">
        <f t="shared" si="265"/>
        <v>-623</v>
      </c>
      <c r="DX73" s="83" t="e">
        <f t="shared" ca="1" si="402"/>
        <v>#NUM!</v>
      </c>
      <c r="DY73" s="83" t="e">
        <f t="shared" ca="1" si="403"/>
        <v>#NUM!</v>
      </c>
      <c r="DZ73" s="83" t="e">
        <f t="shared" ca="1" si="404"/>
        <v>#NUM!</v>
      </c>
      <c r="EA73" s="83" t="e">
        <f t="shared" ca="1" si="405"/>
        <v>#NUM!</v>
      </c>
      <c r="EB73" s="83" t="e">
        <f t="shared" ca="1" si="406"/>
        <v>#NUM!</v>
      </c>
      <c r="EC73" s="83" t="e">
        <f t="shared" ca="1" si="407"/>
        <v>#NUM!</v>
      </c>
      <c r="EE73" s="84">
        <f t="shared" si="266"/>
        <v>0.25</v>
      </c>
      <c r="EF73" s="84">
        <f t="shared" si="267"/>
        <v>1.4067000000000001</v>
      </c>
      <c r="EG73" s="84">
        <f t="shared" si="268"/>
        <v>1.6813</v>
      </c>
      <c r="EH73" s="84">
        <f t="shared" si="269"/>
        <v>1.4067000000000001</v>
      </c>
      <c r="EI73" s="84">
        <f t="shared" si="270"/>
        <v>0.31419999999999998</v>
      </c>
      <c r="EJ73" s="84">
        <f t="shared" si="271"/>
        <v>0.30559999999999998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140.67%</v>
      </c>
      <c r="EN73" s="83" t="str">
        <f>RTD("tos.rtd",,EN$2,"."&amp;$A$43&amp;$AU$1&amp;"C"&amp;$A73)</f>
        <v>168.13%</v>
      </c>
      <c r="EO73" s="83" t="str">
        <f>RTD("tos.rtd",,EO$2,"."&amp;$A$43&amp;$AU$1&amp;"P"&amp;$A73)</f>
        <v>140.67%</v>
      </c>
      <c r="EP73" s="83" t="str">
        <f>RTD("tos.rtd",,EP$2,"."&amp;$A$43&amp;$AW$1&amp;"C"&amp;$A73)</f>
        <v>31.42%</v>
      </c>
      <c r="EQ73" s="83" t="str">
        <f>RTD("tos.rtd",,EQ$2,"."&amp;$A$43&amp;$AW$1&amp;"P"&amp;$A73)</f>
        <v>30.56%</v>
      </c>
      <c r="ES73" s="63" t="str">
        <f t="shared" si="272"/>
        <v>474,-602.00</v>
      </c>
      <c r="ET73" s="64" t="str">
        <f t="shared" ca="1" si="273"/>
        <v>474,00.00</v>
      </c>
      <c r="EU73" s="68">
        <v>563.09</v>
      </c>
      <c r="EV73" s="68" t="s">
        <v>603</v>
      </c>
      <c r="EW73" s="68">
        <v>485.45</v>
      </c>
      <c r="EX73" s="68" t="s">
        <v>604</v>
      </c>
      <c r="EY73" s="68">
        <v>5644.5</v>
      </c>
      <c r="EZ73" s="68" t="s">
        <v>605</v>
      </c>
      <c r="FA73" s="68">
        <v>19942.5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90"/>
        <v>473</v>
      </c>
      <c r="B74" s="3">
        <f t="shared" si="239"/>
        <v>2693</v>
      </c>
      <c r="C74" s="3">
        <f t="shared" si="408"/>
        <v>4997</v>
      </c>
      <c r="D74" s="3">
        <f t="shared" si="241"/>
        <v>1090</v>
      </c>
      <c r="E74" s="3">
        <f>SUM(B74:D74)</f>
        <v>8780</v>
      </c>
      <c r="F74" s="4">
        <f>+$F$44/$A$44*A74</f>
        <v>19530.444540088538</v>
      </c>
      <c r="AM74" s="1">
        <v>-15</v>
      </c>
      <c r="AN74" s="1">
        <v>146</v>
      </c>
      <c r="AO74" s="1">
        <v>473</v>
      </c>
      <c r="AP74" s="1">
        <v>262</v>
      </c>
      <c r="AQ74" s="1">
        <v>-2321</v>
      </c>
      <c r="AS74" s="6">
        <f>IF(RTD("tos.rtd",,AS$43,"."&amp;$A$43&amp;$AS$42&amp;"C"&amp;$A74)="N/A",0,RTD("tos.rtd",,AS$43,"."&amp;$A$43&amp;$AS$42&amp;"C"&amp;$A74))</f>
        <v>519</v>
      </c>
      <c r="AT74" s="7">
        <f>-IF(RTD("tos.rtd",,AT$43,"."&amp;$A$43&amp;$AS$42&amp;"P"&amp;$A74)="N/A",0,RTD("tos.rtd",,AT$43,"."&amp;$A$43&amp;$AS$42&amp;"P"&amp;$A74))</f>
        <v>-2174</v>
      </c>
      <c r="AU74" s="6">
        <f>IF(RTD("tos.rtd",,AU$2,"."&amp;$A$43&amp;$AU$1&amp;"C"&amp;$A74)="N/A",0,RTD("tos.rtd",,AU$2,"."&amp;$A$43&amp;$AU$1&amp;"C"&amp;$A74))</f>
        <v>1362</v>
      </c>
      <c r="AV74" s="7">
        <f>-IF(RTD("tos.rtd",,AV$2,"."&amp;$A$43&amp;$AU$1&amp;"P"&amp;$A74)="N/A",0,RTD("tos.rtd",,AV$2,"."&amp;$A$43&amp;$AU$1&amp;"P"&amp;$A74))</f>
        <v>-3635</v>
      </c>
      <c r="AW74" s="6">
        <f>IF(RTD("tos.rtd",,AW$2,"."&amp;$A$43&amp;$AW$1&amp;"C"&amp;$A74)="N/A",0,RTD("tos.rtd",,AW$2,"."&amp;$A$43&amp;$AW$1&amp;"C"&amp;$A74))</f>
        <v>21</v>
      </c>
      <c r="AX74" s="7">
        <f>-IF(RTD("tos.rtd",,AX$2,"."&amp;$A$43&amp;$AW$1&amp;"P"&amp;$A74)="N/A",0,RTD("tos.rtd",,AX$2,"."&amp;$A$43&amp;$AW$1&amp;"P"&amp;$A74))</f>
        <v>-1069</v>
      </c>
      <c r="AY74" s="7">
        <f>SUM(AS74:AX74)</f>
        <v>-4976</v>
      </c>
      <c r="AZ74" s="8">
        <f t="shared" si="243"/>
        <v>473</v>
      </c>
      <c r="BA74" s="6">
        <f>IF(RTD("tos.rtd",,BA$43,"."&amp;$A$43&amp;$AS$42&amp;"C"&amp;$A74)="N/A",0,RTD("tos.rtd",,BA$43,"."&amp;$A$43&amp;$AS$42&amp;"C"&amp;$A74))</f>
        <v>0</v>
      </c>
      <c r="BB74" s="7">
        <f>-IF(RTD("tos.rtd",,BB$43,"."&amp;$A$43&amp;$AS$42&amp;"P"&amp;$A74)="N/A",0,RTD("tos.rtd",,BB$43,"."&amp;$A$43&amp;$AS$42&amp;"P"&amp;$A74))</f>
        <v>0</v>
      </c>
      <c r="BC74" s="6">
        <f>IF(RTD("tos.rtd",,BC$2,"."&amp;$A$43&amp;$AU$1&amp;"C"&amp;$A74)="N/A",0,RTD("tos.rtd",,BC$2,"."&amp;$A$43&amp;$AU$1&amp;"C"&amp;$A74))</f>
        <v>198</v>
      </c>
      <c r="BD74" s="7">
        <f>-IF(RTD("tos.rtd",,BD$2,"."&amp;$A$43&amp;$AU$1&amp;"P"&amp;$A74)="N/A",0,RTD("tos.rtd",,BD$2,"."&amp;$A$43&amp;$AU$1&amp;"P"&amp;$A74))</f>
        <v>-2788</v>
      </c>
      <c r="BE74" s="6">
        <f>IF(RTD("tos.rtd",,BE$2,"."&amp;$A$43&amp;$AW$1&amp;"C"&amp;$A74)="N/A",0,RTD("tos.rtd",,BE$2,"."&amp;$A$43&amp;$AW$1&amp;"C"&amp;$A74))</f>
        <v>45</v>
      </c>
      <c r="BF74" s="7">
        <f>-IF(RTD("tos.rtd",,BF$2,"."&amp;$A$43&amp;$AW$1&amp;"P"&amp;$A74)="N/A",0,RTD("tos.rtd",,BF$2,"."&amp;$A$43&amp;$AW$1&amp;"P"&amp;$A74))</f>
        <v>-1917</v>
      </c>
      <c r="BG74" s="32">
        <f ca="1">+Hoja2!Y75</f>
        <v>-158</v>
      </c>
      <c r="BH74" s="7">
        <f t="shared" ca="1" si="275"/>
        <v>-4620</v>
      </c>
      <c r="BI74" s="8" t="str">
        <f t="shared" ca="1" si="291"/>
        <v/>
      </c>
      <c r="BJ74" s="83" t="e">
        <f ca="1">IF($BP$1=1,DX74,IF(RTD("tos.rtd",,BJ$43,"."&amp;$A$43&amp;$AS$42&amp;"C"&amp;$A74)="N/A",0,RTD("tos.rtd",,BJ$43,"."&amp;$A$43&amp;$AS$42&amp;"C"&amp;$A74)))</f>
        <v>#NUM!</v>
      </c>
      <c r="BK74" s="83" t="e">
        <f ca="1">IF($BP$1=1,DY74,-IF(RTD("tos.rtd",,BK$43,"."&amp;$A$43&amp;$AS$42&amp;"P"&amp;$A74)="N/A",0,RTD("tos.rtd",,BK$43,"."&amp;$A$43&amp;$AS$42&amp;"P"&amp;$A74)))</f>
        <v>#NUM!</v>
      </c>
      <c r="BL74" s="83" t="e">
        <f ca="1">IF($BP$1=1,DZ74,IF(RTD("tos.rtd",,BL$2,"."&amp;$A$43&amp;$AU$1&amp;"C"&amp;$A74)="N/A",0,RTD("tos.rtd",,BL$2,"."&amp;$A$43&amp;$AU$1&amp;"C"&amp;$A74)))</f>
        <v>#NUM!</v>
      </c>
      <c r="BM74" s="83" t="e">
        <f ca="1">IF($BP$1=1,EA74,-IF(RTD("tos.rtd",,BM$2,"."&amp;$A$43&amp;$AU$1&amp;"P"&amp;$A74)="N/A",0,RTD("tos.rtd",,BM$2,"."&amp;$A$43&amp;$AU$1&amp;"P"&amp;$A74)))</f>
        <v>#NUM!</v>
      </c>
      <c r="BN74" s="83" t="e">
        <f ca="1">IF($BP$1=1,EB74,IF(RTD("tos.rtd",,BN$2,"."&amp;$A$43&amp;$AW$1&amp;"C"&amp;$A74)="N/A",0,RTD("tos.rtd",,BN$2,"."&amp;$A$43&amp;$AW$1&amp;"C"&amp;$A74)))</f>
        <v>#NUM!</v>
      </c>
      <c r="BO74" s="83" t="e">
        <f ca="1">IF($BP$1=1,EC74,-IF(RTD("tos.rtd",,BO$2,"."&amp;$A$43&amp;$AW$1&amp;"P"&amp;$A74)="N/A",0,RTD("tos.rtd",,BO$2,"."&amp;$A$43&amp;$AW$1&amp;"P"&amp;$A74)))</f>
        <v>#NUM!</v>
      </c>
      <c r="BQ74" s="83" t="e">
        <f t="shared" ca="1" si="276"/>
        <v>#NUM!</v>
      </c>
      <c r="BR74" s="3" t="e">
        <f t="shared" ca="1" si="277"/>
        <v>#NUM!</v>
      </c>
      <c r="BS74" s="83" t="e">
        <f t="shared" ca="1" si="278"/>
        <v>#NUM!</v>
      </c>
      <c r="BT74" s="3" t="e">
        <f t="shared" ca="1" si="279"/>
        <v>#NUM!</v>
      </c>
      <c r="BU74" s="83" t="e">
        <f t="shared" ca="1" si="280"/>
        <v>#NUM!</v>
      </c>
      <c r="BV74" s="83"/>
      <c r="BX74" s="83" t="e">
        <f t="shared" ca="1" si="281"/>
        <v>#NUM!</v>
      </c>
      <c r="BY74" s="83" t="e">
        <f t="shared" ca="1" si="292"/>
        <v>#NUM!</v>
      </c>
      <c r="BZ74" s="83" t="e">
        <f t="shared" ca="1" si="282"/>
        <v>#NUM!</v>
      </c>
      <c r="CA74" s="83" t="e">
        <f t="shared" ca="1" si="292"/>
        <v>#NUM!</v>
      </c>
      <c r="CB74" s="83" t="e">
        <f t="shared" ca="1" si="283"/>
        <v>#NUM!</v>
      </c>
      <c r="CC74" s="83" t="e">
        <f t="shared" ca="1" si="292"/>
        <v>#NUM!</v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0.99</v>
      </c>
      <c r="CG74" s="83">
        <f>-IF(RTD("tos.rtd",,CG$2,"."&amp;$A$43&amp;$AU$1&amp;"P"&amp;$A74)="N/A",0,RTD("tos.rtd",,CG$2,"."&amp;$A$43&amp;$AU$1&amp;"P"&amp;$A74))</f>
        <v>0</v>
      </c>
      <c r="CH74" s="83">
        <f>IF(RTD("tos.rtd",,CH$2,"."&amp;$A$43&amp;$AW$1&amp;"C"&amp;$A74)="N/A",0,RTD("tos.rtd",,CH$2,"."&amp;$A$43&amp;$AW$1&amp;"C"&amp;$A74))</f>
        <v>0.81</v>
      </c>
      <c r="CI74" s="83">
        <f>-IF(RTD("tos.rtd",,CI$2,"."&amp;$A$43&amp;$AW$1&amp;"P"&amp;$A74)="N/A",0,RTD("tos.rtd",,CI$2,"."&amp;$A$43&amp;$AW$1&amp;"P"&amp;$A74))</f>
        <v>0.19</v>
      </c>
      <c r="CK74" s="83">
        <f t="shared" si="284"/>
        <v>51900</v>
      </c>
      <c r="CL74" s="83"/>
      <c r="CM74" s="83">
        <f t="shared" si="285"/>
        <v>134838</v>
      </c>
      <c r="CN74" s="83"/>
      <c r="CO74" s="83">
        <f t="shared" si="286"/>
        <v>-18610</v>
      </c>
      <c r="CP74" s="83">
        <f t="shared" si="233"/>
        <v>168128</v>
      </c>
      <c r="CQ74" s="83">
        <f t="shared" si="247"/>
        <v>0</v>
      </c>
      <c r="CR74" s="83"/>
      <c r="CS74" s="83">
        <f t="shared" si="248"/>
        <v>-2590</v>
      </c>
      <c r="CT74" s="83"/>
      <c r="CU74" s="83">
        <f t="shared" si="249"/>
        <v>-1872</v>
      </c>
      <c r="CV74" s="83"/>
      <c r="CW74" s="83" t="e">
        <f ca="1">+BQ74+BS74+BU74</f>
        <v>#NUM!</v>
      </c>
      <c r="CY74" s="83" t="e">
        <f t="shared" ca="1" si="251"/>
        <v>#NUM!</v>
      </c>
      <c r="CZ74" s="70" t="e">
        <f t="shared" ca="1" si="293"/>
        <v>#NUM!</v>
      </c>
      <c r="DA74" s="83">
        <f>IF(RTD("tos.rtd",,DA$43,"."&amp;$A$43&amp;$AS$42&amp;"C"&amp;$A74)="N/A",0,RTD("tos.rtd",,DA$43,"."&amp;$A$43&amp;$AS$42&amp;"C"&amp;$A74))</f>
        <v>13.27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14.42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12.1</v>
      </c>
      <c r="DF74" s="83">
        <f>IF(RTD("tos.rtd",,DF$43,"."&amp;$A$43&amp;$AS$42&amp;"P"&amp;$A74)="N/A",0,RTD("tos.rtd",,DF$43,"."&amp;$A$43&amp;$AS$42&amp;"P"&amp;$A74))</f>
        <v>0</v>
      </c>
      <c r="DG74" s="86">
        <f t="shared" si="287"/>
        <v>-14.920000000000016</v>
      </c>
      <c r="DH74" s="83">
        <f t="shared" si="252"/>
        <v>-132.12931034482756</v>
      </c>
      <c r="DI74" s="83">
        <f t="shared" si="253"/>
        <v>2321</v>
      </c>
      <c r="DJ74" s="83">
        <f t="shared" si="254"/>
        <v>0</v>
      </c>
      <c r="DK74" s="83">
        <f t="shared" si="255"/>
        <v>2321</v>
      </c>
      <c r="DL74" s="83">
        <f t="shared" si="256"/>
        <v>2188.8706896551726</v>
      </c>
      <c r="DM74" s="83">
        <f t="shared" si="257"/>
        <v>2321</v>
      </c>
      <c r="DN74" s="64" t="str">
        <f t="shared" si="258"/>
        <v>UNKNOWN</v>
      </c>
      <c r="DO74" s="64" t="str">
        <f t="shared" si="259"/>
        <v>UNKNOWN</v>
      </c>
      <c r="DP74" s="83">
        <f t="shared" si="260"/>
        <v>-1730.1459482758617</v>
      </c>
      <c r="DQ74" s="83">
        <f t="shared" si="261"/>
        <v>23.21</v>
      </c>
      <c r="DR74" s="83" t="e">
        <f t="shared" ca="1" si="262"/>
        <v>#NUM!</v>
      </c>
      <c r="DS74" s="83">
        <f t="shared" si="263"/>
        <v>0</v>
      </c>
      <c r="DT74" s="83">
        <f t="shared" si="288"/>
        <v>-262</v>
      </c>
      <c r="DU74" s="83">
        <f t="shared" si="289"/>
        <v>2321</v>
      </c>
      <c r="DV74" s="83">
        <f t="shared" si="264"/>
        <v>-15</v>
      </c>
      <c r="DW74" s="83">
        <f t="shared" si="265"/>
        <v>146</v>
      </c>
      <c r="DX74" s="83" t="e">
        <f t="shared" ca="1" si="402"/>
        <v>#NUM!</v>
      </c>
      <c r="DY74" s="83" t="e">
        <f t="shared" ca="1" si="403"/>
        <v>#NUM!</v>
      </c>
      <c r="DZ74" s="83" t="e">
        <f t="shared" ca="1" si="404"/>
        <v>#NUM!</v>
      </c>
      <c r="EA74" s="83" t="e">
        <f t="shared" ca="1" si="405"/>
        <v>#NUM!</v>
      </c>
      <c r="EB74" s="83" t="e">
        <f t="shared" ca="1" si="406"/>
        <v>#NUM!</v>
      </c>
      <c r="EC74" s="83" t="e">
        <f t="shared" ca="1" si="407"/>
        <v>#NUM!</v>
      </c>
      <c r="EE74" s="84">
        <f t="shared" si="266"/>
        <v>0.25</v>
      </c>
      <c r="EF74" s="84">
        <f t="shared" si="267"/>
        <v>1.4990000000000001</v>
      </c>
      <c r="EG74" s="84">
        <f t="shared" si="268"/>
        <v>1.7876000000000001</v>
      </c>
      <c r="EH74" s="84">
        <f t="shared" si="269"/>
        <v>1.4990000000000001</v>
      </c>
      <c r="EI74" s="84">
        <f t="shared" si="270"/>
        <v>0.31809999999999999</v>
      </c>
      <c r="EJ74" s="84">
        <f t="shared" si="271"/>
        <v>0.30709999999999998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149.90%</v>
      </c>
      <c r="EN74" s="83" t="str">
        <f>RTD("tos.rtd",,EN$2,"."&amp;$A$43&amp;$AU$1&amp;"C"&amp;$A74)</f>
        <v>178.76%</v>
      </c>
      <c r="EO74" s="83" t="str">
        <f>RTD("tos.rtd",,EO$2,"."&amp;$A$43&amp;$AU$1&amp;"P"&amp;$A74)</f>
        <v>149.90%</v>
      </c>
      <c r="EP74" s="83" t="str">
        <f>RTD("tos.rtd",,EP$2,"."&amp;$A$43&amp;$AW$1&amp;"C"&amp;$A74)</f>
        <v>31.81%</v>
      </c>
      <c r="EQ74" s="83" t="str">
        <f>RTD("tos.rtd",,EQ$2,"."&amp;$A$43&amp;$AW$1&amp;"P"&amp;$A74)</f>
        <v>30.71%</v>
      </c>
      <c r="ES74" s="63" t="str">
        <f t="shared" si="272"/>
        <v>473,131.00</v>
      </c>
      <c r="ET74" s="64" t="str">
        <f t="shared" ca="1" si="273"/>
        <v>473,00.00</v>
      </c>
      <c r="EU74" s="68">
        <v>562.99</v>
      </c>
      <c r="EV74" s="68" t="s">
        <v>611</v>
      </c>
      <c r="EW74" s="68">
        <v>485.36</v>
      </c>
      <c r="EX74" s="68" t="s">
        <v>612</v>
      </c>
      <c r="EY74" s="68">
        <v>5643.5</v>
      </c>
      <c r="EZ74" s="68" t="s">
        <v>613</v>
      </c>
      <c r="FA74" s="68">
        <v>19938.5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90"/>
        <v>472</v>
      </c>
      <c r="B75" s="3">
        <f t="shared" si="239"/>
        <v>2092</v>
      </c>
      <c r="C75" s="3">
        <f t="shared" si="408"/>
        <v>3303</v>
      </c>
      <c r="D75" s="3">
        <f t="shared" si="241"/>
        <v>1373</v>
      </c>
      <c r="E75" s="3">
        <f t="shared" si="242"/>
        <v>6768</v>
      </c>
      <c r="F75" s="4">
        <f t="shared" si="294"/>
        <v>19489.15395966552</v>
      </c>
      <c r="AM75" s="1">
        <v>-88</v>
      </c>
      <c r="AN75" s="1">
        <v>-726</v>
      </c>
      <c r="AO75" s="1">
        <v>472</v>
      </c>
      <c r="AP75" s="1">
        <v>105</v>
      </c>
      <c r="AQ75" s="1">
        <v>-3528</v>
      </c>
      <c r="AS75" s="6">
        <f>IF(RTD("tos.rtd",,AS$43,"."&amp;$A$43&amp;$AS$42&amp;"C"&amp;$A75)="N/A",0,RTD("tos.rtd",,AS$43,"."&amp;$A$43&amp;$AS$42&amp;"C"&amp;$A75))</f>
        <v>454</v>
      </c>
      <c r="AT75" s="7">
        <f>-IF(RTD("tos.rtd",,AT$43,"."&amp;$A$43&amp;$AS$42&amp;"P"&amp;$A75)="N/A",0,RTD("tos.rtd",,AT$43,"."&amp;$A$43&amp;$AS$42&amp;"P"&amp;$A75))</f>
        <v>-1638</v>
      </c>
      <c r="AU75" s="6">
        <f>IF(RTD("tos.rtd",,AU$2,"."&amp;$A$43&amp;$AU$1&amp;"C"&amp;$A75)="N/A",0,RTD("tos.rtd",,AU$2,"."&amp;$A$43&amp;$AU$1&amp;"C"&amp;$A75))</f>
        <v>1137</v>
      </c>
      <c r="AV75" s="7">
        <f>-IF(RTD("tos.rtd",,AV$2,"."&amp;$A$43&amp;$AU$1&amp;"P"&amp;$A75)="N/A",0,RTD("tos.rtd",,AV$2,"."&amp;$A$43&amp;$AU$1&amp;"P"&amp;$A75))</f>
        <v>-2166</v>
      </c>
      <c r="AW75" s="6">
        <f>IF(RTD("tos.rtd",,AW$2,"."&amp;$A$43&amp;$AW$1&amp;"C"&amp;$A75)="N/A",0,RTD("tos.rtd",,AW$2,"."&amp;$A$43&amp;$AW$1&amp;"C"&amp;$A75))</f>
        <v>122</v>
      </c>
      <c r="AX75" s="7">
        <f>-IF(RTD("tos.rtd",,AX$2,"."&amp;$A$43&amp;$AW$1&amp;"P"&amp;$A75)="N/A",0,RTD("tos.rtd",,AX$2,"."&amp;$A$43&amp;$AW$1&amp;"P"&amp;$A75))</f>
        <v>-1251</v>
      </c>
      <c r="AY75" s="7">
        <f t="shared" si="274"/>
        <v>-3342</v>
      </c>
      <c r="AZ75" s="8">
        <f t="shared" si="243"/>
        <v>472</v>
      </c>
      <c r="BA75" s="6">
        <f>IF(RTD("tos.rtd",,BA$43,"."&amp;$A$43&amp;$AS$42&amp;"C"&amp;$A75)="N/A",0,RTD("tos.rtd",,BA$43,"."&amp;$A$43&amp;$AS$42&amp;"C"&amp;$A75))</f>
        <v>0</v>
      </c>
      <c r="BB75" s="7">
        <f>-IF(RTD("tos.rtd",,BB$43,"."&amp;$A$43&amp;$AS$42&amp;"P"&amp;$A75)="N/A",0,RTD("tos.rtd",,BB$43,"."&amp;$A$43&amp;$AS$42&amp;"P"&amp;$A75))</f>
        <v>0</v>
      </c>
      <c r="BC75" s="6">
        <f>IF(RTD("tos.rtd",,BC$2,"."&amp;$A$43&amp;$AU$1&amp;"C"&amp;$A75)="N/A",0,RTD("tos.rtd",,BC$2,"."&amp;$A$43&amp;$AU$1&amp;"C"&amp;$A75))</f>
        <v>291</v>
      </c>
      <c r="BD75" s="7">
        <f>-IF(RTD("tos.rtd",,BD$2,"."&amp;$A$43&amp;$AU$1&amp;"P"&amp;$A75)="N/A",0,RTD("tos.rtd",,BD$2,"."&amp;$A$43&amp;$AU$1&amp;"P"&amp;$A75))</f>
        <v>-601</v>
      </c>
      <c r="BE75" s="6">
        <f>IF(RTD("tos.rtd",,BE$2,"."&amp;$A$43&amp;$AW$1&amp;"C"&amp;$A75)="N/A",0,RTD("tos.rtd",,BE$2,"."&amp;$A$43&amp;$AW$1&amp;"C"&amp;$A75))</f>
        <v>18</v>
      </c>
      <c r="BF75" s="7">
        <f>-IF(RTD("tos.rtd",,BF$2,"."&amp;$A$43&amp;$AW$1&amp;"P"&amp;$A75)="N/A",0,RTD("tos.rtd",,BF$2,"."&amp;$A$43&amp;$AW$1&amp;"P"&amp;$A75))</f>
        <v>-487</v>
      </c>
      <c r="BG75" s="32">
        <f ca="1">+Hoja2!Y76</f>
        <v>-817</v>
      </c>
      <c r="BH75" s="7">
        <f t="shared" ca="1" si="275"/>
        <v>-1596</v>
      </c>
      <c r="BI75" s="8" t="str">
        <f t="shared" ca="1" si="291"/>
        <v/>
      </c>
      <c r="BJ75" s="83" t="e">
        <f ca="1">IF($BP$1=1,DX75,IF(RTD("tos.rtd",,BJ$43,"."&amp;$A$43&amp;$AS$42&amp;"C"&amp;$A75)="N/A",0,RTD("tos.rtd",,BJ$43,"."&amp;$A$43&amp;$AS$42&amp;"C"&amp;$A75)))</f>
        <v>#NUM!</v>
      </c>
      <c r="BK75" s="83" t="e">
        <f ca="1">IF($BP$1=1,DY75,-IF(RTD("tos.rtd",,BK$43,"."&amp;$A$43&amp;$AS$42&amp;"P"&amp;$A75)="N/A",0,RTD("tos.rtd",,BK$43,"."&amp;$A$43&amp;$AS$42&amp;"P"&amp;$A75)))</f>
        <v>#NUM!</v>
      </c>
      <c r="BL75" s="83" t="e">
        <f ca="1">IF($BP$1=1,DZ75,IF(RTD("tos.rtd",,BL$2,"."&amp;$A$43&amp;$AU$1&amp;"C"&amp;$A75)="N/A",0,RTD("tos.rtd",,BL$2,"."&amp;$A$43&amp;$AU$1&amp;"C"&amp;$A75)))</f>
        <v>#NUM!</v>
      </c>
      <c r="BM75" s="83" t="e">
        <f ca="1">IF($BP$1=1,EA75,-IF(RTD("tos.rtd",,BM$2,"."&amp;$A$43&amp;$AU$1&amp;"P"&amp;$A75)="N/A",0,RTD("tos.rtd",,BM$2,"."&amp;$A$43&amp;$AU$1&amp;"P"&amp;$A75)))</f>
        <v>#NUM!</v>
      </c>
      <c r="BN75" s="83" t="e">
        <f ca="1">IF($BP$1=1,EB75,IF(RTD("tos.rtd",,BN$2,"."&amp;$A$43&amp;$AW$1&amp;"C"&amp;$A75)="N/A",0,RTD("tos.rtd",,BN$2,"."&amp;$A$43&amp;$AW$1&amp;"C"&amp;$A75)))</f>
        <v>#NUM!</v>
      </c>
      <c r="BO75" s="83" t="e">
        <f ca="1">IF($BP$1=1,EC75,-IF(RTD("tos.rtd",,BO$2,"."&amp;$A$43&amp;$AW$1&amp;"P"&amp;$A75)="N/A",0,RTD("tos.rtd",,BO$2,"."&amp;$A$43&amp;$AW$1&amp;"P"&amp;$A75)))</f>
        <v>#NUM!</v>
      </c>
      <c r="BQ75" s="83" t="e">
        <f t="shared" ca="1" si="276"/>
        <v>#NUM!</v>
      </c>
      <c r="BR75" s="3" t="e">
        <f t="shared" ca="1" si="277"/>
        <v>#NUM!</v>
      </c>
      <c r="BS75" s="83" t="e">
        <f t="shared" ca="1" si="278"/>
        <v>#NUM!</v>
      </c>
      <c r="BT75" s="3" t="e">
        <f t="shared" ca="1" si="279"/>
        <v>#NUM!</v>
      </c>
      <c r="BU75" s="83" t="e">
        <f t="shared" ca="1" si="280"/>
        <v>#NUM!</v>
      </c>
      <c r="BV75" s="83"/>
      <c r="BX75" s="83" t="e">
        <f t="shared" ca="1" si="281"/>
        <v>#NUM!</v>
      </c>
      <c r="BY75" s="83" t="e">
        <f t="shared" ca="1" si="292"/>
        <v>#NUM!</v>
      </c>
      <c r="BZ75" s="83" t="e">
        <f t="shared" ca="1" si="282"/>
        <v>#NUM!</v>
      </c>
      <c r="CA75" s="83" t="e">
        <f t="shared" ca="1" si="292"/>
        <v>#NUM!</v>
      </c>
      <c r="CB75" s="83" t="e">
        <f t="shared" ca="1" si="283"/>
        <v>#NUM!</v>
      </c>
      <c r="CC75" s="83" t="e">
        <f t="shared" ca="1" si="292"/>
        <v>#NUM!</v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0.99</v>
      </c>
      <c r="CG75" s="83">
        <f>-IF(RTD("tos.rtd",,CG$2,"."&amp;$A$43&amp;$AU$1&amp;"P"&amp;$A75)="N/A",0,RTD("tos.rtd",,CG$2,"."&amp;$A$43&amp;$AU$1&amp;"P"&amp;$A75))</f>
        <v>0</v>
      </c>
      <c r="CH75" s="83">
        <f>IF(RTD("tos.rtd",,CH$2,"."&amp;$A$43&amp;$AW$1&amp;"C"&amp;$A75)="N/A",0,RTD("tos.rtd",,CH$2,"."&amp;$A$43&amp;$AW$1&amp;"C"&amp;$A75))</f>
        <v>0.85</v>
      </c>
      <c r="CI75" s="83">
        <f>-IF(RTD("tos.rtd",,CI$2,"."&amp;$A$43&amp;$AW$1&amp;"P"&amp;$A75)="N/A",0,RTD("tos.rtd",,CI$2,"."&amp;$A$43&amp;$AW$1&amp;"P"&amp;$A75))</f>
        <v>0.17</v>
      </c>
      <c r="CK75" s="83">
        <f t="shared" si="284"/>
        <v>45400</v>
      </c>
      <c r="CL75" s="83"/>
      <c r="CM75" s="83">
        <f t="shared" si="285"/>
        <v>112562.99999999999</v>
      </c>
      <c r="CN75" s="83"/>
      <c r="CO75" s="83">
        <f t="shared" si="286"/>
        <v>-10897</v>
      </c>
      <c r="CP75" s="83">
        <f t="shared" si="233"/>
        <v>147066</v>
      </c>
      <c r="CQ75" s="83">
        <f t="shared" si="247"/>
        <v>0</v>
      </c>
      <c r="CR75" s="83"/>
      <c r="CS75" s="83">
        <f t="shared" si="248"/>
        <v>-310</v>
      </c>
      <c r="CT75" s="83"/>
      <c r="CU75" s="83">
        <f t="shared" si="249"/>
        <v>-469</v>
      </c>
      <c r="CV75" s="83"/>
      <c r="CW75" s="83" t="e">
        <f t="shared" ca="1" si="250"/>
        <v>#NUM!</v>
      </c>
      <c r="CY75" s="83" t="e">
        <f t="shared" ca="1" si="251"/>
        <v>#NUM!</v>
      </c>
      <c r="CZ75" s="70" t="e">
        <f t="shared" ca="1" si="293"/>
        <v>#NUM!</v>
      </c>
      <c r="DA75" s="83">
        <f>IF(RTD("tos.rtd",,DA$43,"."&amp;$A$43&amp;$AS$42&amp;"C"&amp;$A75)="N/A",0,RTD("tos.rtd",,DA$43,"."&amp;$A$43&amp;$AS$42&amp;"C"&amp;$A75))</f>
        <v>13.11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15.22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13.1</v>
      </c>
      <c r="DF75" s="83">
        <f>IF(RTD("tos.rtd",,DF$43,"."&amp;$A$43&amp;$AS$42&amp;"P"&amp;$A75)="N/A",0,RTD("tos.rtd",,DF$43,"."&amp;$A$43&amp;$AS$42&amp;"P"&amp;$A75))</f>
        <v>0</v>
      </c>
      <c r="DG75" s="86">
        <f t="shared" si="287"/>
        <v>-15.920000000000016</v>
      </c>
      <c r="DH75" s="83">
        <f t="shared" si="252"/>
        <v>-0.49528301886791376</v>
      </c>
      <c r="DI75" s="83">
        <f t="shared" si="253"/>
        <v>3528</v>
      </c>
      <c r="DJ75" s="83">
        <f t="shared" si="254"/>
        <v>105</v>
      </c>
      <c r="DK75" s="83">
        <f t="shared" si="255"/>
        <v>3528</v>
      </c>
      <c r="DL75" s="83">
        <f t="shared" si="256"/>
        <v>3527.5047169811319</v>
      </c>
      <c r="DM75" s="83">
        <f t="shared" si="257"/>
        <v>3633</v>
      </c>
      <c r="DN75" s="64" t="str">
        <f t="shared" si="258"/>
        <v>UNKNOWN</v>
      </c>
      <c r="DO75" s="64" t="str">
        <f t="shared" si="259"/>
        <v>UNKNOWN</v>
      </c>
      <c r="DP75" s="83">
        <f t="shared" si="260"/>
        <v>28.786839622641651</v>
      </c>
      <c r="DQ75" s="83">
        <f t="shared" si="261"/>
        <v>1411.83</v>
      </c>
      <c r="DR75" s="83" t="e">
        <f t="shared" ca="1" si="262"/>
        <v>#NUM!</v>
      </c>
      <c r="DS75" s="83">
        <f t="shared" si="263"/>
        <v>105</v>
      </c>
      <c r="DT75" s="83">
        <f t="shared" si="288"/>
        <v>-105</v>
      </c>
      <c r="DU75" s="83">
        <f t="shared" si="289"/>
        <v>3528</v>
      </c>
      <c r="DV75" s="83">
        <f t="shared" si="264"/>
        <v>-88</v>
      </c>
      <c r="DW75" s="83">
        <f t="shared" si="265"/>
        <v>-726</v>
      </c>
      <c r="DX75" s="83" t="e">
        <f t="shared" ca="1" si="402"/>
        <v>#NUM!</v>
      </c>
      <c r="DY75" s="83" t="e">
        <f t="shared" ca="1" si="403"/>
        <v>#NUM!</v>
      </c>
      <c r="DZ75" s="83" t="e">
        <f t="shared" ca="1" si="404"/>
        <v>#NUM!</v>
      </c>
      <c r="EA75" s="83" t="e">
        <f t="shared" ca="1" si="405"/>
        <v>#NUM!</v>
      </c>
      <c r="EB75" s="83" t="e">
        <f t="shared" ca="1" si="406"/>
        <v>#NUM!</v>
      </c>
      <c r="EC75" s="83" t="e">
        <f t="shared" ca="1" si="407"/>
        <v>#NUM!</v>
      </c>
      <c r="EE75" s="84">
        <f t="shared" si="266"/>
        <v>0.25</v>
      </c>
      <c r="EF75" s="84">
        <f t="shared" si="267"/>
        <v>1.5909</v>
      </c>
      <c r="EG75" s="84">
        <f t="shared" si="268"/>
        <v>1.8935</v>
      </c>
      <c r="EH75" s="84">
        <f t="shared" si="269"/>
        <v>1.5909</v>
      </c>
      <c r="EI75" s="84">
        <f t="shared" si="270"/>
        <v>0.28710000000000002</v>
      </c>
      <c r="EJ75" s="84">
        <f t="shared" si="271"/>
        <v>0.30830000000000002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159.09%</v>
      </c>
      <c r="EN75" s="83" t="str">
        <f>RTD("tos.rtd",,EN$2,"."&amp;$A$43&amp;$AU$1&amp;"C"&amp;$A75)</f>
        <v>189.35%</v>
      </c>
      <c r="EO75" s="83" t="str">
        <f>RTD("tos.rtd",,EO$2,"."&amp;$A$43&amp;$AU$1&amp;"P"&amp;$A75)</f>
        <v>159.09%</v>
      </c>
      <c r="EP75" s="83" t="str">
        <f>RTD("tos.rtd",,EP$2,"."&amp;$A$43&amp;$AW$1&amp;"C"&amp;$A75)</f>
        <v>28.71%</v>
      </c>
      <c r="EQ75" s="83" t="str">
        <f>RTD("tos.rtd",,EQ$2,"."&amp;$A$43&amp;$AW$1&amp;"P"&amp;$A75)</f>
        <v>30.83%</v>
      </c>
      <c r="ES75" s="63" t="str">
        <f t="shared" si="272"/>
        <v>472,-814.00</v>
      </c>
      <c r="ET75" s="64" t="str">
        <f t="shared" ca="1" si="273"/>
        <v>472,00.00</v>
      </c>
      <c r="EU75" s="68">
        <v>562.91999999999996</v>
      </c>
      <c r="EV75" s="68" t="s">
        <v>619</v>
      </c>
      <c r="EW75" s="68">
        <v>485.29</v>
      </c>
      <c r="EX75" s="68" t="s">
        <v>620</v>
      </c>
      <c r="EY75" s="68">
        <v>5642.75</v>
      </c>
      <c r="EZ75" s="68" t="s">
        <v>621</v>
      </c>
      <c r="FA75" s="68">
        <v>19934.75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90"/>
        <v>471</v>
      </c>
      <c r="B76" s="3">
        <f t="shared" si="239"/>
        <v>1593</v>
      </c>
      <c r="C76" s="3">
        <f t="shared" si="408"/>
        <v>3579</v>
      </c>
      <c r="D76" s="3">
        <f t="shared" si="241"/>
        <v>1039</v>
      </c>
      <c r="E76" s="3">
        <f t="shared" si="242"/>
        <v>6211</v>
      </c>
      <c r="F76" s="4">
        <f t="shared" si="294"/>
        <v>19447.863379242499</v>
      </c>
      <c r="AM76" s="1">
        <v>2</v>
      </c>
      <c r="AN76" s="1">
        <v>-109</v>
      </c>
      <c r="AO76" s="1">
        <v>471</v>
      </c>
      <c r="AP76" s="1">
        <v>95</v>
      </c>
      <c r="AQ76" s="1">
        <v>-1549</v>
      </c>
      <c r="AS76" s="6">
        <f>IF(RTD("tos.rtd",,AS$43,"."&amp;$A$43&amp;$AS$42&amp;"C"&amp;$A76)="N/A",0,RTD("tos.rtd",,AS$43,"."&amp;$A$43&amp;$AS$42&amp;"C"&amp;$A76))</f>
        <v>693</v>
      </c>
      <c r="AT76" s="7">
        <f>-IF(RTD("tos.rtd",,AT$43,"."&amp;$A$43&amp;$AS$42&amp;"P"&amp;$A76)="N/A",0,RTD("tos.rtd",,AT$43,"."&amp;$A$43&amp;$AS$42&amp;"P"&amp;$A76))</f>
        <v>-900</v>
      </c>
      <c r="AU76" s="6">
        <f>IF(RTD("tos.rtd",,AU$2,"."&amp;$A$43&amp;$AU$1&amp;"C"&amp;$A76)="N/A",0,RTD("tos.rtd",,AU$2,"."&amp;$A$43&amp;$AU$1&amp;"C"&amp;$A76))</f>
        <v>1098</v>
      </c>
      <c r="AV76" s="7">
        <f>-IF(RTD("tos.rtd",,AV$2,"."&amp;$A$43&amp;$AU$1&amp;"P"&amp;$A76)="N/A",0,RTD("tos.rtd",,AV$2,"."&amp;$A$43&amp;$AU$1&amp;"P"&amp;$A76))</f>
        <v>-2481</v>
      </c>
      <c r="AW76" s="6">
        <f>IF(RTD("tos.rtd",,AW$2,"."&amp;$A$43&amp;$AW$1&amp;"C"&amp;$A76)="N/A",0,RTD("tos.rtd",,AW$2,"."&amp;$A$43&amp;$AW$1&amp;"C"&amp;$A76))</f>
        <v>45</v>
      </c>
      <c r="AX76" s="7">
        <f>-IF(RTD("tos.rtd",,AX$2,"."&amp;$A$43&amp;$AW$1&amp;"P"&amp;$A76)="N/A",0,RTD("tos.rtd",,AX$2,"."&amp;$A$43&amp;$AW$1&amp;"P"&amp;$A76))</f>
        <v>-994</v>
      </c>
      <c r="AY76" s="7">
        <f t="shared" si="274"/>
        <v>-2539</v>
      </c>
      <c r="AZ76" s="8">
        <f t="shared" si="243"/>
        <v>471</v>
      </c>
      <c r="BA76" s="6">
        <f>IF(RTD("tos.rtd",,BA$43,"."&amp;$A$43&amp;$AS$42&amp;"C"&amp;$A76)="N/A",0,RTD("tos.rtd",,BA$43,"."&amp;$A$43&amp;$AS$42&amp;"C"&amp;$A76))</f>
        <v>0</v>
      </c>
      <c r="BB76" s="7">
        <f>-IF(RTD("tos.rtd",,BB$43,"."&amp;$A$43&amp;$AS$42&amp;"P"&amp;$A76)="N/A",0,RTD("tos.rtd",,BB$43,"."&amp;$A$43&amp;$AS$42&amp;"P"&amp;$A76))</f>
        <v>0</v>
      </c>
      <c r="BC76" s="6">
        <f>IF(RTD("tos.rtd",,BC$2,"."&amp;$A$43&amp;$AU$1&amp;"C"&amp;$A76)="N/A",0,RTD("tos.rtd",,BC$2,"."&amp;$A$43&amp;$AU$1&amp;"C"&amp;$A76))</f>
        <v>244</v>
      </c>
      <c r="BD76" s="7">
        <f>-IF(RTD("tos.rtd",,BD$2,"."&amp;$A$43&amp;$AU$1&amp;"P"&amp;$A76)="N/A",0,RTD("tos.rtd",,BD$2,"."&amp;$A$43&amp;$AU$1&amp;"P"&amp;$A76))</f>
        <v>-2303</v>
      </c>
      <c r="BE76" s="6">
        <f>IF(RTD("tos.rtd",,BE$2,"."&amp;$A$43&amp;$AW$1&amp;"C"&amp;$A76)="N/A",0,RTD("tos.rtd",,BE$2,"."&amp;$A$43&amp;$AW$1&amp;"C"&amp;$A76))</f>
        <v>19</v>
      </c>
      <c r="BF76" s="7">
        <f>-IF(RTD("tos.rtd",,BF$2,"."&amp;$A$43&amp;$AW$1&amp;"P"&amp;$A76)="N/A",0,RTD("tos.rtd",,BF$2,"."&amp;$A$43&amp;$AW$1&amp;"P"&amp;$A76))</f>
        <v>-906</v>
      </c>
      <c r="BG76" s="32">
        <f ca="1">+Hoja2!Y77</f>
        <v>-173</v>
      </c>
      <c r="BH76" s="7">
        <f t="shared" ca="1" si="275"/>
        <v>-3119</v>
      </c>
      <c r="BI76" s="8" t="str">
        <f t="shared" ca="1" si="291"/>
        <v/>
      </c>
      <c r="BJ76" s="83" t="e">
        <f ca="1">IF($BP$1=1,DX76,IF(RTD("tos.rtd",,BJ$43,"."&amp;$A$43&amp;$AS$42&amp;"C"&amp;$A76)="N/A",0,RTD("tos.rtd",,BJ$43,"."&amp;$A$43&amp;$AS$42&amp;"C"&amp;$A76)))</f>
        <v>#NUM!</v>
      </c>
      <c r="BK76" s="83" t="e">
        <f ca="1">IF($BP$1=1,DY76,-IF(RTD("tos.rtd",,BK$43,"."&amp;$A$43&amp;$AS$42&amp;"P"&amp;$A76)="N/A",0,RTD("tos.rtd",,BK$43,"."&amp;$A$43&amp;$AS$42&amp;"P"&amp;$A76)))</f>
        <v>#NUM!</v>
      </c>
      <c r="BL76" s="83" t="e">
        <f ca="1">IF($BP$1=1,DZ76,IF(RTD("tos.rtd",,BL$2,"."&amp;$A$43&amp;$AU$1&amp;"C"&amp;$A76)="N/A",0,RTD("tos.rtd",,BL$2,"."&amp;$A$43&amp;$AU$1&amp;"C"&amp;$A76)))</f>
        <v>#NUM!</v>
      </c>
      <c r="BM76" s="83" t="e">
        <f ca="1">IF($BP$1=1,EA76,-IF(RTD("tos.rtd",,BM$2,"."&amp;$A$43&amp;$AU$1&amp;"P"&amp;$A76)="N/A",0,RTD("tos.rtd",,BM$2,"."&amp;$A$43&amp;$AU$1&amp;"P"&amp;$A76)))</f>
        <v>#NUM!</v>
      </c>
      <c r="BN76" s="83" t="e">
        <f ca="1">IF($BP$1=1,EB76,IF(RTD("tos.rtd",,BN$2,"."&amp;$A$43&amp;$AW$1&amp;"C"&amp;$A76)="N/A",0,RTD("tos.rtd",,BN$2,"."&amp;$A$43&amp;$AW$1&amp;"C"&amp;$A76)))</f>
        <v>#NUM!</v>
      </c>
      <c r="BO76" s="83" t="e">
        <f ca="1">IF($BP$1=1,EC76,-IF(RTD("tos.rtd",,BO$2,"."&amp;$A$43&amp;$AW$1&amp;"P"&amp;$A76)="N/A",0,RTD("tos.rtd",,BO$2,"."&amp;$A$43&amp;$AW$1&amp;"P"&amp;$A76)))</f>
        <v>#NUM!</v>
      </c>
      <c r="BQ76" s="83" t="e">
        <f t="shared" ca="1" si="276"/>
        <v>#NUM!</v>
      </c>
      <c r="BR76" s="3" t="e">
        <f t="shared" ca="1" si="277"/>
        <v>#NUM!</v>
      </c>
      <c r="BS76" s="83" t="e">
        <f t="shared" ca="1" si="278"/>
        <v>#NUM!</v>
      </c>
      <c r="BT76" s="3" t="e">
        <f t="shared" ca="1" si="279"/>
        <v>#NUM!</v>
      </c>
      <c r="BU76" s="83" t="e">
        <f t="shared" ca="1" si="280"/>
        <v>#NUM!</v>
      </c>
      <c r="BV76" s="83"/>
      <c r="BX76" s="83" t="e">
        <f t="shared" ca="1" si="281"/>
        <v>#NUM!</v>
      </c>
      <c r="BY76" s="83" t="e">
        <f t="shared" ca="1" si="292"/>
        <v>#NUM!</v>
      </c>
      <c r="BZ76" s="83" t="e">
        <f t="shared" ca="1" si="282"/>
        <v>#NUM!</v>
      </c>
      <c r="CA76" s="83" t="e">
        <f t="shared" ca="1" si="292"/>
        <v>#NUM!</v>
      </c>
      <c r="CB76" s="83" t="e">
        <f t="shared" ca="1" si="283"/>
        <v>#NUM!</v>
      </c>
      <c r="CC76" s="83" t="e">
        <f t="shared" ca="1" si="292"/>
        <v>#NUM!</v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0.99</v>
      </c>
      <c r="CG76" s="83">
        <f>-IF(RTD("tos.rtd",,CG$2,"."&amp;$A$43&amp;$AU$1&amp;"P"&amp;$A76)="N/A",0,RTD("tos.rtd",,CG$2,"."&amp;$A$43&amp;$AU$1&amp;"P"&amp;$A76))</f>
        <v>0</v>
      </c>
      <c r="CH76" s="83">
        <f>IF(RTD("tos.rtd",,CH$2,"."&amp;$A$43&amp;$AW$1&amp;"C"&amp;$A76)="N/A",0,RTD("tos.rtd",,CH$2,"."&amp;$A$43&amp;$AW$1&amp;"C"&amp;$A76))</f>
        <v>0.84</v>
      </c>
      <c r="CI76" s="83">
        <f>-IF(RTD("tos.rtd",,CI$2,"."&amp;$A$43&amp;$AW$1&amp;"P"&amp;$A76)="N/A",0,RTD("tos.rtd",,CI$2,"."&amp;$A$43&amp;$AW$1&amp;"P"&amp;$A76))</f>
        <v>0.16</v>
      </c>
      <c r="CK76" s="83">
        <f t="shared" si="284"/>
        <v>69300</v>
      </c>
      <c r="CL76" s="83"/>
      <c r="CM76" s="83">
        <f t="shared" si="285"/>
        <v>108702</v>
      </c>
      <c r="CN76" s="83"/>
      <c r="CO76" s="83">
        <f t="shared" si="286"/>
        <v>-12124</v>
      </c>
      <c r="CP76" s="83">
        <f t="shared" si="233"/>
        <v>165878</v>
      </c>
      <c r="CQ76" s="83">
        <f t="shared" si="247"/>
        <v>0</v>
      </c>
      <c r="CR76" s="83"/>
      <c r="CS76" s="83">
        <f t="shared" si="248"/>
        <v>-2059</v>
      </c>
      <c r="CT76" s="83"/>
      <c r="CU76" s="83">
        <f t="shared" si="249"/>
        <v>-887</v>
      </c>
      <c r="CV76" s="83"/>
      <c r="CW76" s="83" t="e">
        <f t="shared" ca="1" si="250"/>
        <v>#NUM!</v>
      </c>
      <c r="CY76" s="83" t="e">
        <f t="shared" ca="1" si="251"/>
        <v>#NUM!</v>
      </c>
      <c r="CZ76" s="70" t="e">
        <f t="shared" ca="1" si="293"/>
        <v>#NUM!</v>
      </c>
      <c r="DA76" s="83">
        <f>IF(RTD("tos.rtd",,DA$43,"."&amp;$A$43&amp;$AS$42&amp;"C"&amp;$A76)="N/A",0,RTD("tos.rtd",,DA$43,"."&amp;$A$43&amp;$AS$42&amp;"C"&amp;$A76))</f>
        <v>14.25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16.14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14.1</v>
      </c>
      <c r="DF76" s="83">
        <f>IF(RTD("tos.rtd",,DF$43,"."&amp;$A$43&amp;$AS$42&amp;"P"&amp;$A76)="N/A",0,RTD("tos.rtd",,DF$43,"."&amp;$A$43&amp;$AS$42&amp;"P"&amp;$A76))</f>
        <v>0</v>
      </c>
      <c r="DG76" s="86">
        <f t="shared" si="287"/>
        <v>-16.920000000000016</v>
      </c>
      <c r="DH76" s="83">
        <f t="shared" si="252"/>
        <v>-6.9852941176470722</v>
      </c>
      <c r="DI76" s="83">
        <f t="shared" si="253"/>
        <v>1549</v>
      </c>
      <c r="DJ76" s="83">
        <f t="shared" si="254"/>
        <v>95</v>
      </c>
      <c r="DK76" s="83">
        <f t="shared" si="255"/>
        <v>1549</v>
      </c>
      <c r="DL76" s="83">
        <f t="shared" si="256"/>
        <v>1542.0147058823529</v>
      </c>
      <c r="DM76" s="83">
        <f t="shared" si="257"/>
        <v>1644</v>
      </c>
      <c r="DN76" s="64" t="str">
        <f t="shared" si="258"/>
        <v>UNKNOWN</v>
      </c>
      <c r="DO76" s="64" t="str">
        <f t="shared" si="259"/>
        <v>UNKNOWN</v>
      </c>
      <c r="DP76" s="83">
        <f t="shared" si="260"/>
        <v>-84.050441176470784</v>
      </c>
      <c r="DQ76" s="83">
        <f t="shared" si="261"/>
        <v>1369.24</v>
      </c>
      <c r="DR76" s="83" t="e">
        <f t="shared" ca="1" si="262"/>
        <v>#NUM!</v>
      </c>
      <c r="DS76" s="83">
        <f t="shared" si="263"/>
        <v>95</v>
      </c>
      <c r="DT76" s="83">
        <f t="shared" si="288"/>
        <v>-95</v>
      </c>
      <c r="DU76" s="83">
        <f t="shared" si="289"/>
        <v>1549</v>
      </c>
      <c r="DV76" s="83">
        <f t="shared" si="264"/>
        <v>2</v>
      </c>
      <c r="DW76" s="83">
        <f t="shared" si="265"/>
        <v>-109</v>
      </c>
      <c r="DX76" s="83" t="e">
        <f t="shared" ca="1" si="402"/>
        <v>#NUM!</v>
      </c>
      <c r="DY76" s="83" t="e">
        <f t="shared" ca="1" si="403"/>
        <v>#NUM!</v>
      </c>
      <c r="DZ76" s="83" t="e">
        <f t="shared" ca="1" si="404"/>
        <v>#NUM!</v>
      </c>
      <c r="EA76" s="83" t="e">
        <f t="shared" ca="1" si="405"/>
        <v>#NUM!</v>
      </c>
      <c r="EB76" s="83" t="e">
        <f t="shared" ca="1" si="406"/>
        <v>#NUM!</v>
      </c>
      <c r="EC76" s="83" t="e">
        <f t="shared" ca="1" si="407"/>
        <v>#NUM!</v>
      </c>
      <c r="EE76" s="84">
        <f t="shared" si="266"/>
        <v>0.25</v>
      </c>
      <c r="EF76" s="84">
        <f t="shared" si="267"/>
        <v>1.6826000000000001</v>
      </c>
      <c r="EG76" s="84">
        <f t="shared" si="268"/>
        <v>1.9990000000000001</v>
      </c>
      <c r="EH76" s="84">
        <f t="shared" si="269"/>
        <v>1.6826000000000001</v>
      </c>
      <c r="EI76" s="84">
        <f t="shared" si="270"/>
        <v>0.313</v>
      </c>
      <c r="EJ76" s="84">
        <f t="shared" si="271"/>
        <v>0.30959999999999999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168.26%</v>
      </c>
      <c r="EN76" s="83" t="str">
        <f>RTD("tos.rtd",,EN$2,"."&amp;$A$43&amp;$AU$1&amp;"C"&amp;$A76)</f>
        <v>199.90%</v>
      </c>
      <c r="EO76" s="83" t="str">
        <f>RTD("tos.rtd",,EO$2,"."&amp;$A$43&amp;$AU$1&amp;"P"&amp;$A76)</f>
        <v>168.26%</v>
      </c>
      <c r="EP76" s="83" t="str">
        <f>RTD("tos.rtd",,EP$2,"."&amp;$A$43&amp;$AW$1&amp;"C"&amp;$A76)</f>
        <v>31.30%</v>
      </c>
      <c r="EQ76" s="83" t="str">
        <f>RTD("tos.rtd",,EQ$2,"."&amp;$A$43&amp;$AW$1&amp;"P"&amp;$A76)</f>
        <v>30.96%</v>
      </c>
      <c r="ES76" s="63" t="str">
        <f t="shared" si="272"/>
        <v>471,-107.00</v>
      </c>
      <c r="ET76" s="64" t="str">
        <f t="shared" ca="1" si="273"/>
        <v>471,00.00</v>
      </c>
      <c r="EU76" s="68">
        <v>562.86</v>
      </c>
      <c r="EV76" s="68" t="s">
        <v>627</v>
      </c>
      <c r="EW76" s="68">
        <v>485.21</v>
      </c>
      <c r="EX76" s="68" t="s">
        <v>628</v>
      </c>
      <c r="EY76" s="68">
        <v>5642.5</v>
      </c>
      <c r="EZ76" s="68" t="s">
        <v>629</v>
      </c>
      <c r="FA76" s="68">
        <v>19932.5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90"/>
        <v>470</v>
      </c>
      <c r="B77" s="3">
        <f t="shared" si="239"/>
        <v>17477</v>
      </c>
      <c r="C77" s="3">
        <f t="shared" si="408"/>
        <v>14148</v>
      </c>
      <c r="D77" s="3">
        <f t="shared" si="241"/>
        <v>65170</v>
      </c>
      <c r="E77" s="3">
        <f t="shared" si="242"/>
        <v>96795</v>
      </c>
      <c r="F77" s="4">
        <f t="shared" si="294"/>
        <v>19406.572798819478</v>
      </c>
      <c r="AM77" s="1">
        <v>-17</v>
      </c>
      <c r="AN77" s="1">
        <v>1027</v>
      </c>
      <c r="AO77" s="1">
        <v>470</v>
      </c>
      <c r="AP77" s="1">
        <v>133</v>
      </c>
      <c r="AQ77" s="1">
        <v>-4227</v>
      </c>
      <c r="AS77" s="6">
        <f>IF(RTD("tos.rtd",,AS$43,"."&amp;$A$43&amp;$AS$42&amp;"C"&amp;$A77)="N/A",0,RTD("tos.rtd",,AS$43,"."&amp;$A$43&amp;$AS$42&amp;"C"&amp;$A77))</f>
        <v>3358</v>
      </c>
      <c r="AT77" s="7">
        <f>-IF(RTD("tos.rtd",,AT$43,"."&amp;$A$43&amp;$AS$42&amp;"P"&amp;$A77)="N/A",0,RTD("tos.rtd",,AT$43,"."&amp;$A$43&amp;$AS$42&amp;"P"&amp;$A77))</f>
        <v>-14119</v>
      </c>
      <c r="AU77" s="6">
        <f>IF(RTD("tos.rtd",,AU$2,"."&amp;$A$43&amp;$AU$1&amp;"C"&amp;$A77)="N/A",0,RTD("tos.rtd",,AU$2,"."&amp;$A$43&amp;$AU$1&amp;"C"&amp;$A77))</f>
        <v>3191</v>
      </c>
      <c r="AV77" s="7">
        <f>-IF(RTD("tos.rtd",,AV$2,"."&amp;$A$43&amp;$AU$1&amp;"P"&amp;$A77)="N/A",0,RTD("tos.rtd",,AV$2,"."&amp;$A$43&amp;$AU$1&amp;"P"&amp;$A77))</f>
        <v>-10957</v>
      </c>
      <c r="AW77" s="6">
        <f>IF(RTD("tos.rtd",,AW$2,"."&amp;$A$43&amp;$AW$1&amp;"C"&amp;$A77)="N/A",0,RTD("tos.rtd",,AW$2,"."&amp;$A$43&amp;$AW$1&amp;"C"&amp;$A77))</f>
        <v>34931</v>
      </c>
      <c r="AX77" s="7">
        <f>-IF(RTD("tos.rtd",,AX$2,"."&amp;$A$43&amp;$AW$1&amp;"P"&amp;$A77)="N/A",0,RTD("tos.rtd",,AX$2,"."&amp;$A$43&amp;$AW$1&amp;"P"&amp;$A77))</f>
        <v>-30239</v>
      </c>
      <c r="AY77" s="7">
        <f t="shared" si="274"/>
        <v>-13835</v>
      </c>
      <c r="AZ77" s="8">
        <f t="shared" si="243"/>
        <v>470</v>
      </c>
      <c r="BA77" s="6">
        <f>IF(RTD("tos.rtd",,BA$43,"."&amp;$A$43&amp;$AS$42&amp;"C"&amp;$A77)="N/A",0,RTD("tos.rtd",,BA$43,"."&amp;$A$43&amp;$AS$42&amp;"C"&amp;$A77))</f>
        <v>0</v>
      </c>
      <c r="BB77" s="7">
        <f>-IF(RTD("tos.rtd",,BB$43,"."&amp;$A$43&amp;$AS$42&amp;"P"&amp;$A77)="N/A",0,RTD("tos.rtd",,BB$43,"."&amp;$A$43&amp;$AS$42&amp;"P"&amp;$A77))</f>
        <v>0</v>
      </c>
      <c r="BC77" s="6">
        <f>IF(RTD("tos.rtd",,BC$2,"."&amp;$A$43&amp;$AU$1&amp;"C"&amp;$A77)="N/A",0,RTD("tos.rtd",,BC$2,"."&amp;$A$43&amp;$AU$1&amp;"C"&amp;$A77))</f>
        <v>494</v>
      </c>
      <c r="BD77" s="7">
        <f>-IF(RTD("tos.rtd",,BD$2,"."&amp;$A$43&amp;$AU$1&amp;"P"&amp;$A77)="N/A",0,RTD("tos.rtd",,BD$2,"."&amp;$A$43&amp;$AU$1&amp;"P"&amp;$A77))</f>
        <v>-6582</v>
      </c>
      <c r="BE77" s="6">
        <f>IF(RTD("tos.rtd",,BE$2,"."&amp;$A$43&amp;$AW$1&amp;"C"&amp;$A77)="N/A",0,RTD("tos.rtd",,BE$2,"."&amp;$A$43&amp;$AW$1&amp;"C"&amp;$A77))</f>
        <v>430</v>
      </c>
      <c r="BF77" s="7">
        <f>-IF(RTD("tos.rtd",,BF$2,"."&amp;$A$43&amp;$AW$1&amp;"P"&amp;$A77)="N/A",0,RTD("tos.rtd",,BF$2,"."&amp;$A$43&amp;$AW$1&amp;"P"&amp;$A77))</f>
        <v>-6592</v>
      </c>
      <c r="BG77" s="32">
        <f ca="1">+Hoja2!Y78</f>
        <v>-14350</v>
      </c>
      <c r="BH77" s="7">
        <f t="shared" ca="1" si="275"/>
        <v>-26600</v>
      </c>
      <c r="BI77" s="8" t="str">
        <f t="shared" ca="1" si="291"/>
        <v/>
      </c>
      <c r="BJ77" s="83" t="e">
        <f ca="1">IF($BP$1=1,DX77,IF(RTD("tos.rtd",,BJ$43,"."&amp;$A$43&amp;$AS$42&amp;"C"&amp;$A77)="N/A",0,RTD("tos.rtd",,BJ$43,"."&amp;$A$43&amp;$AS$42&amp;"C"&amp;$A77)))</f>
        <v>#NUM!</v>
      </c>
      <c r="BK77" s="83" t="e">
        <f ca="1">IF($BP$1=1,DY77,-IF(RTD("tos.rtd",,BK$43,"."&amp;$A$43&amp;$AS$42&amp;"P"&amp;$A77)="N/A",0,RTD("tos.rtd",,BK$43,"."&amp;$A$43&amp;$AS$42&amp;"P"&amp;$A77)))</f>
        <v>#NUM!</v>
      </c>
      <c r="BL77" s="83" t="e">
        <f ca="1">IF($BP$1=1,DZ77,IF(RTD("tos.rtd",,BL$2,"."&amp;$A$43&amp;$AU$1&amp;"C"&amp;$A77)="N/A",0,RTD("tos.rtd",,BL$2,"."&amp;$A$43&amp;$AU$1&amp;"C"&amp;$A77)))</f>
        <v>#NUM!</v>
      </c>
      <c r="BM77" s="83" t="e">
        <f ca="1">IF($BP$1=1,EA77,-IF(RTD("tos.rtd",,BM$2,"."&amp;$A$43&amp;$AU$1&amp;"P"&amp;$A77)="N/A",0,RTD("tos.rtd",,BM$2,"."&amp;$A$43&amp;$AU$1&amp;"P"&amp;$A77)))</f>
        <v>#NUM!</v>
      </c>
      <c r="BN77" s="83" t="e">
        <f ca="1">IF($BP$1=1,EB77,IF(RTD("tos.rtd",,BN$2,"."&amp;$A$43&amp;$AW$1&amp;"C"&amp;$A77)="N/A",0,RTD("tos.rtd",,BN$2,"."&amp;$A$43&amp;$AW$1&amp;"C"&amp;$A77)))</f>
        <v>#NUM!</v>
      </c>
      <c r="BO77" s="83" t="e">
        <f ca="1">IF($BP$1=1,EC77,-IF(RTD("tos.rtd",,BO$2,"."&amp;$A$43&amp;$AW$1&amp;"P"&amp;$A77)="N/A",0,RTD("tos.rtd",,BO$2,"."&amp;$A$43&amp;$AW$1&amp;"P"&amp;$A77)))</f>
        <v>#NUM!</v>
      </c>
      <c r="BQ77" s="83" t="e">
        <f t="shared" ca="1" si="276"/>
        <v>#NUM!</v>
      </c>
      <c r="BR77" s="3" t="e">
        <f t="shared" ca="1" si="277"/>
        <v>#NUM!</v>
      </c>
      <c r="BS77" s="83" t="e">
        <f t="shared" ca="1" si="278"/>
        <v>#NUM!</v>
      </c>
      <c r="BT77" s="3" t="e">
        <f t="shared" ca="1" si="279"/>
        <v>#NUM!</v>
      </c>
      <c r="BU77" s="83" t="e">
        <f t="shared" ca="1" si="280"/>
        <v>#NUM!</v>
      </c>
      <c r="BV77" s="83"/>
      <c r="BX77" s="83" t="e">
        <f t="shared" ca="1" si="281"/>
        <v>#NUM!</v>
      </c>
      <c r="BY77" s="83" t="e">
        <f t="shared" ca="1" si="292"/>
        <v>#NUM!</v>
      </c>
      <c r="BZ77" s="83" t="e">
        <f t="shared" ca="1" si="282"/>
        <v>#NUM!</v>
      </c>
      <c r="CA77" s="83" t="e">
        <f t="shared" ca="1" si="292"/>
        <v>#NUM!</v>
      </c>
      <c r="CB77" s="83" t="e">
        <f t="shared" ca="1" si="283"/>
        <v>#NUM!</v>
      </c>
      <c r="CC77" s="83" t="e">
        <f t="shared" ca="1" si="292"/>
        <v>#NUM!</v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0.99</v>
      </c>
      <c r="CG77" s="83">
        <f>-IF(RTD("tos.rtd",,CG$2,"."&amp;$A$43&amp;$AU$1&amp;"P"&amp;$A77)="N/A",0,RTD("tos.rtd",,CG$2,"."&amp;$A$43&amp;$AU$1&amp;"P"&amp;$A77))</f>
        <v>0</v>
      </c>
      <c r="CH77" s="83">
        <f>IF(RTD("tos.rtd",,CH$2,"."&amp;$A$43&amp;$AW$1&amp;"C"&amp;$A77)="N/A",0,RTD("tos.rtd",,CH$2,"."&amp;$A$43&amp;$AW$1&amp;"C"&amp;$A77))</f>
        <v>0.82</v>
      </c>
      <c r="CI77" s="83">
        <f>-IF(RTD("tos.rtd",,CI$2,"."&amp;$A$43&amp;$AW$1&amp;"P"&amp;$A77)="N/A",0,RTD("tos.rtd",,CI$2,"."&amp;$A$43&amp;$AW$1&amp;"P"&amp;$A77))</f>
        <v>0.15</v>
      </c>
      <c r="CK77" s="83">
        <f t="shared" si="284"/>
        <v>335800</v>
      </c>
      <c r="CL77" s="83"/>
      <c r="CM77" s="83">
        <f t="shared" si="285"/>
        <v>315909</v>
      </c>
      <c r="CN77" s="83"/>
      <c r="CO77" s="83">
        <f t="shared" si="286"/>
        <v>2410757</v>
      </c>
      <c r="CP77" s="83">
        <f t="shared" si="233"/>
        <v>3062466</v>
      </c>
      <c r="CQ77" s="83">
        <f t="shared" si="247"/>
        <v>0</v>
      </c>
      <c r="CR77" s="83"/>
      <c r="CS77" s="83">
        <f t="shared" si="248"/>
        <v>-6088</v>
      </c>
      <c r="CT77" s="83"/>
      <c r="CU77" s="83">
        <f t="shared" si="249"/>
        <v>-6162</v>
      </c>
      <c r="CV77" s="83"/>
      <c r="CW77" s="83" t="e">
        <f t="shared" ca="1" si="250"/>
        <v>#NUM!</v>
      </c>
      <c r="CY77" s="83" t="e">
        <f t="shared" ca="1" si="251"/>
        <v>#NUM!</v>
      </c>
      <c r="CZ77" s="70" t="e">
        <f t="shared" ca="1" si="293"/>
        <v>#NUM!</v>
      </c>
      <c r="DA77" s="83">
        <f>IF(RTD("tos.rtd",,DA$43,"."&amp;$A$43&amp;$AS$42&amp;"C"&amp;$A77)="N/A",0,RTD("tos.rtd",,DA$43,"."&amp;$A$43&amp;$AS$42&amp;"C"&amp;$A77))</f>
        <v>15.25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15.5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15.1</v>
      </c>
      <c r="DF77" s="83">
        <f>IF(RTD("tos.rtd",,DF$43,"."&amp;$A$43&amp;$AS$42&amp;"P"&amp;$A77)="N/A",0,RTD("tos.rtd",,DF$43,"."&amp;$A$43&amp;$AS$42&amp;"P"&amp;$A77))</f>
        <v>0</v>
      </c>
      <c r="DG77" s="86">
        <f t="shared" si="287"/>
        <v>-17.920000000000016</v>
      </c>
      <c r="DH77" s="83">
        <f t="shared" si="252"/>
        <v>-49.875000000000071</v>
      </c>
      <c r="DI77" s="83">
        <f t="shared" si="253"/>
        <v>4227</v>
      </c>
      <c r="DJ77" s="83">
        <f t="shared" si="254"/>
        <v>133</v>
      </c>
      <c r="DK77" s="83">
        <f t="shared" si="255"/>
        <v>4227</v>
      </c>
      <c r="DL77" s="83">
        <f t="shared" si="256"/>
        <v>4177.125</v>
      </c>
      <c r="DM77" s="83">
        <f t="shared" si="257"/>
        <v>4360</v>
      </c>
      <c r="DN77" s="64" t="str">
        <f t="shared" si="258"/>
        <v>UNKNOWN</v>
      </c>
      <c r="DO77" s="64" t="str">
        <f t="shared" si="259"/>
        <v>UNKNOWN</v>
      </c>
      <c r="DP77" s="83">
        <f t="shared" si="260"/>
        <v>-718.32375000000116</v>
      </c>
      <c r="DQ77" s="83">
        <f t="shared" si="261"/>
        <v>2070.52</v>
      </c>
      <c r="DR77" s="83" t="e">
        <f t="shared" ca="1" si="262"/>
        <v>#NUM!</v>
      </c>
      <c r="DS77" s="83">
        <f t="shared" si="263"/>
        <v>133</v>
      </c>
      <c r="DT77" s="83">
        <f t="shared" si="288"/>
        <v>-133</v>
      </c>
      <c r="DU77" s="83">
        <f t="shared" si="289"/>
        <v>4227</v>
      </c>
      <c r="DV77" s="83">
        <f t="shared" si="264"/>
        <v>-17</v>
      </c>
      <c r="DW77" s="83">
        <f t="shared" si="265"/>
        <v>1027</v>
      </c>
      <c r="DX77" s="83" t="e">
        <f t="shared" ca="1" si="402"/>
        <v>#NUM!</v>
      </c>
      <c r="DY77" s="83" t="e">
        <f t="shared" ca="1" si="403"/>
        <v>#NUM!</v>
      </c>
      <c r="DZ77" s="83" t="e">
        <f t="shared" ca="1" si="404"/>
        <v>#NUM!</v>
      </c>
      <c r="EA77" s="83" t="e">
        <f t="shared" ca="1" si="405"/>
        <v>#NUM!</v>
      </c>
      <c r="EB77" s="83" t="e">
        <f t="shared" ca="1" si="406"/>
        <v>#NUM!</v>
      </c>
      <c r="EC77" s="83" t="e">
        <f t="shared" ca="1" si="407"/>
        <v>#NUM!</v>
      </c>
      <c r="EE77" s="84">
        <f t="shared" si="266"/>
        <v>0.25</v>
      </c>
      <c r="EF77" s="84">
        <f t="shared" si="267"/>
        <v>1.774</v>
      </c>
      <c r="EG77" s="84">
        <f t="shared" si="268"/>
        <v>2.1042000000000001</v>
      </c>
      <c r="EH77" s="84">
        <f t="shared" si="269"/>
        <v>1.774</v>
      </c>
      <c r="EI77" s="84">
        <f t="shared" si="270"/>
        <v>0.35949999999999999</v>
      </c>
      <c r="EJ77" s="84">
        <f t="shared" si="271"/>
        <v>0.31069999999999998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177.40%</v>
      </c>
      <c r="EN77" s="83" t="str">
        <f>RTD("tos.rtd",,EN$2,"."&amp;$A$43&amp;$AU$1&amp;"C"&amp;$A77)</f>
        <v>210.42%</v>
      </c>
      <c r="EO77" s="83" t="str">
        <f>RTD("tos.rtd",,EO$2,"."&amp;$A$43&amp;$AU$1&amp;"P"&amp;$A77)</f>
        <v>177.40%</v>
      </c>
      <c r="EP77" s="83" t="str">
        <f>RTD("tos.rtd",,EP$2,"."&amp;$A$43&amp;$AW$1&amp;"C"&amp;$A77)</f>
        <v>35.95%</v>
      </c>
      <c r="EQ77" s="83" t="str">
        <f>RTD("tos.rtd",,EQ$2,"."&amp;$A$43&amp;$AW$1&amp;"P"&amp;$A77)</f>
        <v>31.07%</v>
      </c>
      <c r="ES77" s="63" t="str">
        <f t="shared" si="272"/>
        <v>470,1010.00</v>
      </c>
      <c r="ET77" s="64" t="str">
        <f t="shared" ca="1" si="273"/>
        <v>470,00.00</v>
      </c>
      <c r="EU77" s="68">
        <v>562.80999999999995</v>
      </c>
      <c r="EV77" s="68" t="s">
        <v>635</v>
      </c>
      <c r="EW77" s="68">
        <v>485.15</v>
      </c>
      <c r="EX77" s="68" t="s">
        <v>636</v>
      </c>
      <c r="EY77" s="68">
        <v>5641.75</v>
      </c>
      <c r="EZ77" s="68" t="s">
        <v>637</v>
      </c>
      <c r="FA77" s="68">
        <v>19930.75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90"/>
        <v>469</v>
      </c>
      <c r="B78" s="3">
        <f t="shared" si="239"/>
        <v>895</v>
      </c>
      <c r="C78" s="3">
        <f t="shared" si="408"/>
        <v>3118</v>
      </c>
      <c r="D78" s="3">
        <f t="shared" si="241"/>
        <v>2935</v>
      </c>
      <c r="E78" s="3">
        <f t="shared" si="242"/>
        <v>6948</v>
      </c>
      <c r="F78" s="4">
        <f t="shared" si="294"/>
        <v>19365.28221839646</v>
      </c>
      <c r="AM78" s="1">
        <v>4</v>
      </c>
      <c r="AN78" s="1">
        <v>-3427</v>
      </c>
      <c r="AO78" s="1">
        <v>469</v>
      </c>
      <c r="AP78" s="1">
        <v>19</v>
      </c>
      <c r="AQ78" s="1">
        <v>-4961</v>
      </c>
      <c r="AS78" s="6">
        <f>IF(RTD("tos.rtd",,AS$43,"."&amp;$A$43&amp;$AS$42&amp;"C"&amp;$A78)="N/A",0,RTD("tos.rtd",,AS$43,"."&amp;$A$43&amp;$AS$42&amp;"C"&amp;$A78))</f>
        <v>273</v>
      </c>
      <c r="AT78" s="7">
        <f>-IF(RTD("tos.rtd",,AT$43,"."&amp;$A$43&amp;$AS$42&amp;"P"&amp;$A78)="N/A",0,RTD("tos.rtd",,AT$43,"."&amp;$A$43&amp;$AS$42&amp;"P"&amp;$A78))</f>
        <v>-622</v>
      </c>
      <c r="AU78" s="6">
        <f>IF(RTD("tos.rtd",,AU$2,"."&amp;$A$43&amp;$AU$1&amp;"C"&amp;$A78)="N/A",0,RTD("tos.rtd",,AU$2,"."&amp;$A$43&amp;$AU$1&amp;"C"&amp;$A78))</f>
        <v>665</v>
      </c>
      <c r="AV78" s="7">
        <f>-IF(RTD("tos.rtd",,AV$2,"."&amp;$A$43&amp;$AU$1&amp;"P"&amp;$A78)="N/A",0,RTD("tos.rtd",,AV$2,"."&amp;$A$43&amp;$AU$1&amp;"P"&amp;$A78))</f>
        <v>-2453</v>
      </c>
      <c r="AW78" s="6">
        <f>IF(RTD("tos.rtd",,AW$2,"."&amp;$A$43&amp;$AW$1&amp;"C"&amp;$A78)="N/A",0,RTD("tos.rtd",,AW$2,"."&amp;$A$43&amp;$AW$1&amp;"C"&amp;$A78))</f>
        <v>967</v>
      </c>
      <c r="AX78" s="7">
        <f>-IF(RTD("tos.rtd",,AX$2,"."&amp;$A$43&amp;$AW$1&amp;"P"&amp;$A78)="N/A",0,RTD("tos.rtd",,AX$2,"."&amp;$A$43&amp;$AW$1&amp;"P"&amp;$A78))</f>
        <v>-1968</v>
      </c>
      <c r="AY78" s="7">
        <f t="shared" si="274"/>
        <v>-3138</v>
      </c>
      <c r="AZ78" s="8">
        <f t="shared" si="243"/>
        <v>469</v>
      </c>
      <c r="BA78" s="6">
        <f>IF(RTD("tos.rtd",,BA$43,"."&amp;$A$43&amp;$AS$42&amp;"C"&amp;$A78)="N/A",0,RTD("tos.rtd",,BA$43,"."&amp;$A$43&amp;$AS$42&amp;"C"&amp;$A78))</f>
        <v>0</v>
      </c>
      <c r="BB78" s="7">
        <f>-IF(RTD("tos.rtd",,BB$43,"."&amp;$A$43&amp;$AS$42&amp;"P"&amp;$A78)="N/A",0,RTD("tos.rtd",,BB$43,"."&amp;$A$43&amp;$AS$42&amp;"P"&amp;$A78))</f>
        <v>0</v>
      </c>
      <c r="BC78" s="6">
        <f>IF(RTD("tos.rtd",,BC$2,"."&amp;$A$43&amp;$AU$1&amp;"C"&amp;$A78)="N/A",0,RTD("tos.rtd",,BC$2,"."&amp;$A$43&amp;$AU$1&amp;"C"&amp;$A78))</f>
        <v>155</v>
      </c>
      <c r="BD78" s="7">
        <f>-IF(RTD("tos.rtd",,BD$2,"."&amp;$A$43&amp;$AU$1&amp;"P"&amp;$A78)="N/A",0,RTD("tos.rtd",,BD$2,"."&amp;$A$43&amp;$AU$1&amp;"P"&amp;$A78))</f>
        <v>-2200</v>
      </c>
      <c r="BE78" s="6">
        <f>IF(RTD("tos.rtd",,BE$2,"."&amp;$A$43&amp;$AW$1&amp;"C"&amp;$A78)="N/A",0,RTD("tos.rtd",,BE$2,"."&amp;$A$43&amp;$AW$1&amp;"C"&amp;$A78))</f>
        <v>168</v>
      </c>
      <c r="BF78" s="7">
        <f>-IF(RTD("tos.rtd",,BF$2,"."&amp;$A$43&amp;$AW$1&amp;"P"&amp;$A78)="N/A",0,RTD("tos.rtd",,BF$2,"."&amp;$A$43&amp;$AW$1&amp;"P"&amp;$A78))</f>
        <v>-2335</v>
      </c>
      <c r="BG78" s="32">
        <f ca="1">+Hoja2!Y79</f>
        <v>-194</v>
      </c>
      <c r="BH78" s="7">
        <f t="shared" ca="1" si="275"/>
        <v>-4406</v>
      </c>
      <c r="BI78" s="8" t="str">
        <f t="shared" ca="1" si="291"/>
        <v/>
      </c>
      <c r="BJ78" s="83" t="e">
        <f ca="1">IF($BP$1=1,DX78,IF(RTD("tos.rtd",,BJ$43,"."&amp;$A$43&amp;$AS$42&amp;"C"&amp;$A78)="N/A",0,RTD("tos.rtd",,BJ$43,"."&amp;$A$43&amp;$AS$42&amp;"C"&amp;$A78)))</f>
        <v>#NUM!</v>
      </c>
      <c r="BK78" s="83" t="e">
        <f ca="1">IF($BP$1=1,DY78,-IF(RTD("tos.rtd",,BK$43,"."&amp;$A$43&amp;$AS$42&amp;"P"&amp;$A78)="N/A",0,RTD("tos.rtd",,BK$43,"."&amp;$A$43&amp;$AS$42&amp;"P"&amp;$A78)))</f>
        <v>#NUM!</v>
      </c>
      <c r="BL78" s="83" t="e">
        <f ca="1">IF($BP$1=1,DZ78,IF(RTD("tos.rtd",,BL$2,"."&amp;$A$43&amp;$AU$1&amp;"C"&amp;$A78)="N/A",0,RTD("tos.rtd",,BL$2,"."&amp;$A$43&amp;$AU$1&amp;"C"&amp;$A78)))</f>
        <v>#NUM!</v>
      </c>
      <c r="BM78" s="83" t="e">
        <f ca="1">IF($BP$1=1,EA78,-IF(RTD("tos.rtd",,BM$2,"."&amp;$A$43&amp;$AU$1&amp;"P"&amp;$A78)="N/A",0,RTD("tos.rtd",,BM$2,"."&amp;$A$43&amp;$AU$1&amp;"P"&amp;$A78)))</f>
        <v>#NUM!</v>
      </c>
      <c r="BN78" s="83" t="e">
        <f ca="1">IF($BP$1=1,EB78,IF(RTD("tos.rtd",,BN$2,"."&amp;$A$43&amp;$AW$1&amp;"C"&amp;$A78)="N/A",0,RTD("tos.rtd",,BN$2,"."&amp;$A$43&amp;$AW$1&amp;"C"&amp;$A78)))</f>
        <v>#NUM!</v>
      </c>
      <c r="BO78" s="83" t="e">
        <f ca="1">IF($BP$1=1,EC78,-IF(RTD("tos.rtd",,BO$2,"."&amp;$A$43&amp;$AW$1&amp;"P"&amp;$A78)="N/A",0,RTD("tos.rtd",,BO$2,"."&amp;$A$43&amp;$AW$1&amp;"P"&amp;$A78)))</f>
        <v>#NUM!</v>
      </c>
      <c r="BQ78" s="83" t="e">
        <f t="shared" ca="1" si="276"/>
        <v>#NUM!</v>
      </c>
      <c r="BR78" s="3" t="e">
        <f t="shared" ca="1" si="277"/>
        <v>#NUM!</v>
      </c>
      <c r="BS78" s="83" t="e">
        <f t="shared" ca="1" si="278"/>
        <v>#NUM!</v>
      </c>
      <c r="BT78" s="3" t="e">
        <f t="shared" ca="1" si="279"/>
        <v>#NUM!</v>
      </c>
      <c r="BU78" s="83" t="e">
        <f t="shared" ca="1" si="280"/>
        <v>#NUM!</v>
      </c>
      <c r="BV78" s="83"/>
      <c r="BX78" s="83" t="e">
        <f t="shared" ca="1" si="281"/>
        <v>#NUM!</v>
      </c>
      <c r="BY78" s="83" t="e">
        <f t="shared" ca="1" si="292"/>
        <v>#NUM!</v>
      </c>
      <c r="BZ78" s="83" t="e">
        <f t="shared" ca="1" si="282"/>
        <v>#NUM!</v>
      </c>
      <c r="CA78" s="83" t="e">
        <f t="shared" ca="1" si="292"/>
        <v>#NUM!</v>
      </c>
      <c r="CB78" s="83" t="e">
        <f t="shared" ca="1" si="283"/>
        <v>#NUM!</v>
      </c>
      <c r="CC78" s="83" t="e">
        <f t="shared" ca="1" si="292"/>
        <v>#NUM!</v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0.99</v>
      </c>
      <c r="CG78" s="83">
        <f>-IF(RTD("tos.rtd",,CG$2,"."&amp;$A$43&amp;$AU$1&amp;"P"&amp;$A78)="N/A",0,RTD("tos.rtd",,CG$2,"."&amp;$A$43&amp;$AU$1&amp;"P"&amp;$A78))</f>
        <v>0</v>
      </c>
      <c r="CH78" s="83">
        <f>IF(RTD("tos.rtd",,CH$2,"."&amp;$A$43&amp;$AW$1&amp;"C"&amp;$A78)="N/A",0,RTD("tos.rtd",,CH$2,"."&amp;$A$43&amp;$AW$1&amp;"C"&amp;$A78))</f>
        <v>0.85</v>
      </c>
      <c r="CI78" s="83">
        <f>-IF(RTD("tos.rtd",,CI$2,"."&amp;$A$43&amp;$AW$1&amp;"P"&amp;$A78)="N/A",0,RTD("tos.rtd",,CI$2,"."&amp;$A$43&amp;$AW$1&amp;"P"&amp;$A78))</f>
        <v>0.13</v>
      </c>
      <c r="CK78" s="83">
        <f t="shared" si="284"/>
        <v>27300</v>
      </c>
      <c r="CL78" s="83"/>
      <c r="CM78" s="83">
        <f t="shared" si="285"/>
        <v>65835</v>
      </c>
      <c r="CN78" s="83"/>
      <c r="CO78" s="83">
        <f t="shared" si="286"/>
        <v>56611</v>
      </c>
      <c r="CP78" s="83">
        <f t="shared" si="233"/>
        <v>149746</v>
      </c>
      <c r="CQ78" s="83">
        <f t="shared" si="247"/>
        <v>0</v>
      </c>
      <c r="CR78" s="83"/>
      <c r="CS78" s="83">
        <f t="shared" si="248"/>
        <v>-2045</v>
      </c>
      <c r="CT78" s="83"/>
      <c r="CU78" s="83">
        <f t="shared" si="249"/>
        <v>-2167</v>
      </c>
      <c r="CV78" s="83"/>
      <c r="CW78" s="83" t="e">
        <f t="shared" ca="1" si="250"/>
        <v>#NUM!</v>
      </c>
      <c r="CY78" s="83" t="e">
        <f t="shared" ca="1" si="251"/>
        <v>#NUM!</v>
      </c>
      <c r="CZ78" s="70" t="e">
        <f t="shared" ca="1" si="293"/>
        <v>#NUM!</v>
      </c>
      <c r="DA78" s="83">
        <f>IF(RTD("tos.rtd",,DA$43,"."&amp;$A$43&amp;$AS$42&amp;"C"&amp;$A78)="N/A",0,RTD("tos.rtd",,DA$43,"."&amp;$A$43&amp;$AS$42&amp;"C"&amp;$A78))</f>
        <v>17.920000000000002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16.5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16.100000000000001</v>
      </c>
      <c r="DF78" s="83">
        <f>IF(RTD("tos.rtd",,DF$43,"."&amp;$A$43&amp;$AS$42&amp;"P"&amp;$A78)="N/A",0,RTD("tos.rtd",,DF$43,"."&amp;$A$43&amp;$AS$42&amp;"P"&amp;$A78))</f>
        <v>0</v>
      </c>
      <c r="DG78" s="86">
        <f t="shared" si="287"/>
        <v>-18.920000000000016</v>
      </c>
      <c r="DH78" s="83">
        <f t="shared" si="252"/>
        <v>-86.450000000000315</v>
      </c>
      <c r="DI78" s="83">
        <f t="shared" si="253"/>
        <v>4961</v>
      </c>
      <c r="DJ78" s="83">
        <f t="shared" si="254"/>
        <v>-19</v>
      </c>
      <c r="DK78" s="83">
        <f t="shared" si="255"/>
        <v>4961</v>
      </c>
      <c r="DL78" s="83">
        <f t="shared" si="256"/>
        <v>4874.5499999999993</v>
      </c>
      <c r="DM78" s="83">
        <f t="shared" si="257"/>
        <v>4942</v>
      </c>
      <c r="DN78" s="64" t="str">
        <f t="shared" si="258"/>
        <v>UNKNOWN</v>
      </c>
      <c r="DO78" s="64" t="str">
        <f t="shared" si="259"/>
        <v>UNKNOWN</v>
      </c>
      <c r="DP78" s="83">
        <f t="shared" si="260"/>
        <v>-1499.574000000006</v>
      </c>
      <c r="DQ78" s="83">
        <f t="shared" si="261"/>
        <v>-290.87</v>
      </c>
      <c r="DR78" s="83" t="e">
        <f t="shared" ca="1" si="262"/>
        <v>#NUM!</v>
      </c>
      <c r="DS78" s="83">
        <f t="shared" si="263"/>
        <v>-19</v>
      </c>
      <c r="DT78" s="83">
        <f t="shared" si="288"/>
        <v>-19</v>
      </c>
      <c r="DU78" s="83">
        <f t="shared" si="289"/>
        <v>4961</v>
      </c>
      <c r="DV78" s="83">
        <f t="shared" si="264"/>
        <v>4</v>
      </c>
      <c r="DW78" s="83">
        <f t="shared" si="265"/>
        <v>-3427</v>
      </c>
      <c r="DX78" s="83" t="e">
        <f t="shared" ca="1" si="402"/>
        <v>#NUM!</v>
      </c>
      <c r="DY78" s="83" t="e">
        <f t="shared" ca="1" si="403"/>
        <v>#NUM!</v>
      </c>
      <c r="DZ78" s="83" t="e">
        <f t="shared" ca="1" si="404"/>
        <v>#NUM!</v>
      </c>
      <c r="EA78" s="83" t="e">
        <f t="shared" ca="1" si="405"/>
        <v>#NUM!</v>
      </c>
      <c r="EB78" s="83" t="e">
        <f t="shared" ca="1" si="406"/>
        <v>#NUM!</v>
      </c>
      <c r="EC78" s="83" t="e">
        <f t="shared" ca="1" si="407"/>
        <v>#NUM!</v>
      </c>
      <c r="EE78" s="84">
        <f t="shared" si="266"/>
        <v>0.25</v>
      </c>
      <c r="EF78" s="84">
        <f t="shared" si="267"/>
        <v>1.8652</v>
      </c>
      <c r="EG78" s="84">
        <f t="shared" si="268"/>
        <v>2.2090000000000001</v>
      </c>
      <c r="EH78" s="84">
        <f t="shared" si="269"/>
        <v>1.8652</v>
      </c>
      <c r="EI78" s="84">
        <f t="shared" si="270"/>
        <v>0.33560000000000001</v>
      </c>
      <c r="EJ78" s="84">
        <f t="shared" si="271"/>
        <v>0.31209999999999999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186.52%</v>
      </c>
      <c r="EN78" s="83" t="str">
        <f>RTD("tos.rtd",,EN$2,"."&amp;$A$43&amp;$AU$1&amp;"C"&amp;$A78)</f>
        <v>220.90%</v>
      </c>
      <c r="EO78" s="83" t="str">
        <f>RTD("tos.rtd",,EO$2,"."&amp;$A$43&amp;$AU$1&amp;"P"&amp;$A78)</f>
        <v>186.52%</v>
      </c>
      <c r="EP78" s="83" t="str">
        <f>RTD("tos.rtd",,EP$2,"."&amp;$A$43&amp;$AW$1&amp;"C"&amp;$A78)</f>
        <v>33.56%</v>
      </c>
      <c r="EQ78" s="83" t="str">
        <f>RTD("tos.rtd",,EQ$2,"."&amp;$A$43&amp;$AW$1&amp;"P"&amp;$A78)</f>
        <v>31.21%</v>
      </c>
      <c r="ES78" s="63" t="str">
        <f t="shared" si="272"/>
        <v>469,-3423.00</v>
      </c>
      <c r="ET78" s="64" t="str">
        <f t="shared" ca="1" si="273"/>
        <v>469,00.00</v>
      </c>
      <c r="EU78" s="68">
        <v>562.79</v>
      </c>
      <c r="EV78" s="68" t="s">
        <v>643</v>
      </c>
      <c r="EW78" s="68">
        <v>485.13</v>
      </c>
      <c r="EX78" s="68" t="s">
        <v>644</v>
      </c>
      <c r="EY78" s="68">
        <v>5641.5</v>
      </c>
      <c r="EZ78" s="68" t="s">
        <v>645</v>
      </c>
      <c r="FA78" s="68">
        <v>19929.25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90"/>
        <v>468</v>
      </c>
      <c r="B79" s="35">
        <f t="shared" si="239"/>
        <v>1408</v>
      </c>
      <c r="C79" s="35">
        <f t="shared" si="408"/>
        <v>3195</v>
      </c>
      <c r="D79" s="35">
        <f t="shared" si="241"/>
        <v>3585</v>
      </c>
      <c r="E79" s="35">
        <f t="shared" si="242"/>
        <v>8188</v>
      </c>
      <c r="F79" s="11">
        <f t="shared" si="294"/>
        <v>19323.991637973439</v>
      </c>
      <c r="AM79" s="1">
        <v>-3</v>
      </c>
      <c r="AN79" s="1">
        <v>121</v>
      </c>
      <c r="AO79" s="1">
        <v>468</v>
      </c>
      <c r="AP79" s="1">
        <v>39</v>
      </c>
      <c r="AQ79" s="1">
        <v>-689</v>
      </c>
      <c r="AS79" s="15">
        <f>IF(RTD("tos.rtd",,AS$43,"."&amp;$A$43&amp;$AS$42&amp;"C"&amp;$A79)="N/A",0,RTD("tos.rtd",,AS$43,"."&amp;$A$43&amp;$AS$42&amp;"C"&amp;$A79))</f>
        <v>552</v>
      </c>
      <c r="AT79" s="36">
        <f>-IF(RTD("tos.rtd",,AT$43,"."&amp;$A$43&amp;$AS$42&amp;"P"&amp;$A79)="N/A",0,RTD("tos.rtd",,AT$43,"."&amp;$A$43&amp;$AS$42&amp;"P"&amp;$A79))</f>
        <v>-856</v>
      </c>
      <c r="AU79" s="15">
        <f>IF(RTD("tos.rtd",,AU$2,"."&amp;$A$43&amp;$AU$1&amp;"C"&amp;$A79)="N/A",0,RTD("tos.rtd",,AU$2,"."&amp;$A$43&amp;$AU$1&amp;"C"&amp;$A79))</f>
        <v>980</v>
      </c>
      <c r="AV79" s="36">
        <f>-IF(RTD("tos.rtd",,AV$2,"."&amp;$A$43&amp;$AU$1&amp;"P"&amp;$A79)="N/A",0,RTD("tos.rtd",,AV$2,"."&amp;$A$43&amp;$AU$1&amp;"P"&amp;$A79))</f>
        <v>-2215</v>
      </c>
      <c r="AW79" s="15">
        <f>IF(RTD("tos.rtd",,AW$2,"."&amp;$A$43&amp;$AW$1&amp;"C"&amp;$A79)="N/A",0,RTD("tos.rtd",,AW$2,"."&amp;$A$43&amp;$AW$1&amp;"C"&amp;$A79))</f>
        <v>1737</v>
      </c>
      <c r="AX79" s="36">
        <f>-IF(RTD("tos.rtd",,AX$2,"."&amp;$A$43&amp;$AW$1&amp;"P"&amp;$A79)="N/A",0,RTD("tos.rtd",,AX$2,"."&amp;$A$43&amp;$AW$1&amp;"P"&amp;$A79))</f>
        <v>-1848</v>
      </c>
      <c r="AY79" s="36">
        <f t="shared" si="274"/>
        <v>-1650</v>
      </c>
      <c r="AZ79" s="8">
        <f t="shared" si="243"/>
        <v>468</v>
      </c>
      <c r="BA79" s="15">
        <f>IF(RTD("tos.rtd",,BA$43,"."&amp;$A$43&amp;$AS$42&amp;"C"&amp;$A79)="N/A",0,RTD("tos.rtd",,BA$43,"."&amp;$A$43&amp;$AS$42&amp;"C"&amp;$A79))</f>
        <v>0</v>
      </c>
      <c r="BB79" s="36">
        <f>-IF(RTD("tos.rtd",,BB$43,"."&amp;$A$43&amp;$AS$42&amp;"P"&amp;$A79)="N/A",0,RTD("tos.rtd",,BB$43,"."&amp;$A$43&amp;$AS$42&amp;"P"&amp;$A79))</f>
        <v>0</v>
      </c>
      <c r="BC79" s="15">
        <f>IF(RTD("tos.rtd",,BC$2,"."&amp;$A$43&amp;$AU$1&amp;"C"&amp;$A79)="N/A",0,RTD("tos.rtd",,BC$2,"."&amp;$A$43&amp;$AU$1&amp;"C"&amp;$A79))</f>
        <v>164</v>
      </c>
      <c r="BD79" s="36">
        <f>-IF(RTD("tos.rtd",,BD$2,"."&amp;$A$43&amp;$AU$1&amp;"P"&amp;$A79)="N/A",0,RTD("tos.rtd",,BD$2,"."&amp;$A$43&amp;$AU$1&amp;"P"&amp;$A79))</f>
        <v>-1290</v>
      </c>
      <c r="BE79" s="15">
        <f>IF(RTD("tos.rtd",,BE$2,"."&amp;$A$43&amp;$AW$1&amp;"C"&amp;$A79)="N/A",0,RTD("tos.rtd",,BE$2,"."&amp;$A$43&amp;$AW$1&amp;"C"&amp;$A79))</f>
        <v>29</v>
      </c>
      <c r="BF79" s="36">
        <f>-IF(RTD("tos.rtd",,BF$2,"."&amp;$A$43&amp;$AW$1&amp;"P"&amp;$A79)="N/A",0,RTD("tos.rtd",,BF$2,"."&amp;$A$43&amp;$AW$1&amp;"P"&amp;$A79))</f>
        <v>-1220</v>
      </c>
      <c r="BG79" s="32">
        <f ca="1">+Hoja2!Y80</f>
        <v>-379</v>
      </c>
      <c r="BH79" s="36">
        <f t="shared" ca="1" si="275"/>
        <v>-2696</v>
      </c>
      <c r="BI79" s="8" t="str">
        <f t="shared" ca="1" si="291"/>
        <v/>
      </c>
      <c r="BJ79" s="83" t="e">
        <f ca="1">IF($BP$1=1,DX79,IF(RTD("tos.rtd",,BJ$43,"."&amp;$A$43&amp;$AS$42&amp;"C"&amp;$A79)="N/A",0,RTD("tos.rtd",,BJ$43,"."&amp;$A$43&amp;$AS$42&amp;"C"&amp;$A79)))</f>
        <v>#NUM!</v>
      </c>
      <c r="BK79" s="83" t="e">
        <f ca="1">IF($BP$1=1,DY79,-IF(RTD("tos.rtd",,BK$43,"."&amp;$A$43&amp;$AS$42&amp;"P"&amp;$A79)="N/A",0,RTD("tos.rtd",,BK$43,"."&amp;$A$43&amp;$AS$42&amp;"P"&amp;$A79)))</f>
        <v>#NUM!</v>
      </c>
      <c r="BL79" s="83" t="e">
        <f ca="1">IF($BP$1=1,DZ79,IF(RTD("tos.rtd",,BL$2,"."&amp;$A$43&amp;$AU$1&amp;"C"&amp;$A79)="N/A",0,RTD("tos.rtd",,BL$2,"."&amp;$A$43&amp;$AU$1&amp;"C"&amp;$A79)))</f>
        <v>#NUM!</v>
      </c>
      <c r="BM79" s="83" t="e">
        <f ca="1">IF($BP$1=1,EA79,-IF(RTD("tos.rtd",,BM$2,"."&amp;$A$43&amp;$AU$1&amp;"P"&amp;$A79)="N/A",0,RTD("tos.rtd",,BM$2,"."&amp;$A$43&amp;$AU$1&amp;"P"&amp;$A79)))</f>
        <v>#NUM!</v>
      </c>
      <c r="BN79" s="83" t="e">
        <f ca="1">IF($BP$1=1,EB79,IF(RTD("tos.rtd",,BN$2,"."&amp;$A$43&amp;$AW$1&amp;"C"&amp;$A79)="N/A",0,RTD("tos.rtd",,BN$2,"."&amp;$A$43&amp;$AW$1&amp;"C"&amp;$A79)))</f>
        <v>#NUM!</v>
      </c>
      <c r="BO79" s="83" t="e">
        <f ca="1">IF($BP$1=1,EC79,-IF(RTD("tos.rtd",,BO$2,"."&amp;$A$43&amp;$AW$1&amp;"P"&amp;$A79)="N/A",0,RTD("tos.rtd",,BO$2,"."&amp;$A$43&amp;$AW$1&amp;"P"&amp;$A79)))</f>
        <v>#NUM!</v>
      </c>
      <c r="BQ79" s="83" t="e">
        <f t="shared" ca="1" si="276"/>
        <v>#NUM!</v>
      </c>
      <c r="BR79" s="3" t="e">
        <f t="shared" ca="1" si="277"/>
        <v>#NUM!</v>
      </c>
      <c r="BS79" s="83" t="e">
        <f t="shared" ca="1" si="278"/>
        <v>#NUM!</v>
      </c>
      <c r="BT79" s="3" t="e">
        <f t="shared" ca="1" si="279"/>
        <v>#NUM!</v>
      </c>
      <c r="BU79" s="83" t="e">
        <f t="shared" ca="1" si="280"/>
        <v>#NUM!</v>
      </c>
      <c r="BV79" s="83"/>
      <c r="BX79" s="83" t="e">
        <f t="shared" ca="1" si="281"/>
        <v>#NUM!</v>
      </c>
      <c r="BY79" s="83" t="e">
        <f t="shared" ca="1" si="292"/>
        <v>#NUM!</v>
      </c>
      <c r="BZ79" s="83" t="e">
        <f t="shared" ca="1" si="282"/>
        <v>#NUM!</v>
      </c>
      <c r="CA79" s="83" t="e">
        <f t="shared" ca="1" si="292"/>
        <v>#NUM!</v>
      </c>
      <c r="CB79" s="83" t="e">
        <f t="shared" ca="1" si="283"/>
        <v>#NUM!</v>
      </c>
      <c r="CC79" s="83" t="e">
        <f t="shared" ca="1" si="292"/>
        <v>#NUM!</v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0.99</v>
      </c>
      <c r="CG79" s="83">
        <f>-IF(RTD("tos.rtd",,CG$2,"."&amp;$A$43&amp;$AU$1&amp;"P"&amp;$A79)="N/A",0,RTD("tos.rtd",,CG$2,"."&amp;$A$43&amp;$AU$1&amp;"P"&amp;$A79))</f>
        <v>0</v>
      </c>
      <c r="CH79" s="83">
        <f>IF(RTD("tos.rtd",,CH$2,"."&amp;$A$43&amp;$AW$1&amp;"C"&amp;$A79)="N/A",0,RTD("tos.rtd",,CH$2,"."&amp;$A$43&amp;$AW$1&amp;"C"&amp;$A79))</f>
        <v>0.87</v>
      </c>
      <c r="CI79" s="83">
        <f>-IF(RTD("tos.rtd",,CI$2,"."&amp;$A$43&amp;$AW$1&amp;"P"&amp;$A79)="N/A",0,RTD("tos.rtd",,CI$2,"."&amp;$A$43&amp;$AW$1&amp;"P"&amp;$A79))</f>
        <v>0.12</v>
      </c>
      <c r="CK79" s="83">
        <f t="shared" si="284"/>
        <v>55200</v>
      </c>
      <c r="CL79" s="83"/>
      <c r="CM79" s="83">
        <f t="shared" si="285"/>
        <v>97020</v>
      </c>
      <c r="CN79" s="83"/>
      <c r="CO79" s="83">
        <f t="shared" si="286"/>
        <v>128943</v>
      </c>
      <c r="CP79" s="83">
        <f t="shared" si="233"/>
        <v>281163</v>
      </c>
      <c r="CQ79" s="83">
        <f t="shared" si="247"/>
        <v>0</v>
      </c>
      <c r="CR79" s="83"/>
      <c r="CS79" s="83">
        <f t="shared" si="248"/>
        <v>-1126</v>
      </c>
      <c r="CT79" s="83"/>
      <c r="CU79" s="83">
        <f t="shared" si="249"/>
        <v>-1191</v>
      </c>
      <c r="CV79" s="83"/>
      <c r="CW79" s="83" t="e">
        <f t="shared" ca="1" si="250"/>
        <v>#NUM!</v>
      </c>
      <c r="CY79" s="83" t="e">
        <f t="shared" ca="1" si="251"/>
        <v>#NUM!</v>
      </c>
      <c r="CZ79" s="70" t="e">
        <f t="shared" ca="1" si="293"/>
        <v>#NUM!</v>
      </c>
      <c r="DA79" s="83">
        <f>IF(RTD("tos.rtd",,DA$43,"."&amp;$A$43&amp;$AS$42&amp;"C"&amp;$A79)="N/A",0,RTD("tos.rtd",,DA$43,"."&amp;$A$43&amp;$AS$42&amp;"C"&amp;$A79))</f>
        <v>17.7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17.5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17.100000000000001</v>
      </c>
      <c r="DF79" s="83">
        <f>IF(RTD("tos.rtd",,DF$43,"."&amp;$A$43&amp;$AS$42&amp;"P"&amp;$A79)="N/A",0,RTD("tos.rtd",,DF$43,"."&amp;$A$43&amp;$AS$42&amp;"P"&amp;$A79))</f>
        <v>0</v>
      </c>
      <c r="DG79" s="86">
        <f t="shared" si="287"/>
        <v>-19.920000000000016</v>
      </c>
      <c r="DH79" s="83">
        <f t="shared" si="252"/>
        <v>-58.5</v>
      </c>
      <c r="DI79" s="83">
        <f t="shared" si="253"/>
        <v>689</v>
      </c>
      <c r="DJ79" s="83">
        <f t="shared" si="254"/>
        <v>-39</v>
      </c>
      <c r="DK79" s="83">
        <f t="shared" si="255"/>
        <v>689</v>
      </c>
      <c r="DL79" s="83">
        <f t="shared" si="256"/>
        <v>630.5</v>
      </c>
      <c r="DM79" s="83">
        <f t="shared" si="257"/>
        <v>650</v>
      </c>
      <c r="DN79" s="64" t="str">
        <f t="shared" si="258"/>
        <v>UNKNOWN</v>
      </c>
      <c r="DO79" s="64" t="str">
        <f t="shared" si="259"/>
        <v>UNKNOWN</v>
      </c>
      <c r="DP79" s="83">
        <f t="shared" si="260"/>
        <v>-1028.56</v>
      </c>
      <c r="DQ79" s="83">
        <f t="shared" si="261"/>
        <v>-683.41</v>
      </c>
      <c r="DR79" s="83" t="e">
        <f t="shared" ca="1" si="262"/>
        <v>#NUM!</v>
      </c>
      <c r="DS79" s="83">
        <f t="shared" si="263"/>
        <v>-39</v>
      </c>
      <c r="DT79" s="83">
        <f t="shared" si="288"/>
        <v>-39</v>
      </c>
      <c r="DU79" s="83">
        <f t="shared" si="289"/>
        <v>689</v>
      </c>
      <c r="DV79" s="83">
        <f t="shared" si="264"/>
        <v>-3</v>
      </c>
      <c r="DW79" s="83">
        <f t="shared" si="265"/>
        <v>121</v>
      </c>
      <c r="DX79" s="83" t="e">
        <f t="shared" ca="1" si="402"/>
        <v>#NUM!</v>
      </c>
      <c r="DY79" s="83" t="e">
        <f t="shared" ca="1" si="403"/>
        <v>#NUM!</v>
      </c>
      <c r="DZ79" s="83" t="e">
        <f t="shared" ca="1" si="404"/>
        <v>#NUM!</v>
      </c>
      <c r="EA79" s="83" t="e">
        <f t="shared" ca="1" si="405"/>
        <v>#NUM!</v>
      </c>
      <c r="EB79" s="83" t="e">
        <f t="shared" ca="1" si="406"/>
        <v>#NUM!</v>
      </c>
      <c r="EC79" s="83" t="e">
        <f t="shared" ca="1" si="407"/>
        <v>#NUM!</v>
      </c>
      <c r="EE79" s="84">
        <f t="shared" si="266"/>
        <v>0.25</v>
      </c>
      <c r="EF79" s="84">
        <f t="shared" si="267"/>
        <v>1.9561999999999999</v>
      </c>
      <c r="EG79" s="84">
        <f t="shared" si="268"/>
        <v>2.3134999999999999</v>
      </c>
      <c r="EH79" s="84">
        <f t="shared" si="269"/>
        <v>1.9561999999999999</v>
      </c>
      <c r="EI79" s="84">
        <f t="shared" si="270"/>
        <v>0.33110000000000001</v>
      </c>
      <c r="EJ79" s="84">
        <f t="shared" si="271"/>
        <v>0.31330000000000002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195.62%</v>
      </c>
      <c r="EN79" s="83" t="str">
        <f>RTD("tos.rtd",,EN$2,"."&amp;$A$43&amp;$AU$1&amp;"C"&amp;$A79)</f>
        <v>231.35%</v>
      </c>
      <c r="EO79" s="83" t="str">
        <f>RTD("tos.rtd",,EO$2,"."&amp;$A$43&amp;$AU$1&amp;"P"&amp;$A79)</f>
        <v>195.62%</v>
      </c>
      <c r="EP79" s="83" t="str">
        <f>RTD("tos.rtd",,EP$2,"."&amp;$A$43&amp;$AW$1&amp;"C"&amp;$A79)</f>
        <v>33.11%</v>
      </c>
      <c r="EQ79" s="83" t="str">
        <f>RTD("tos.rtd",,EQ$2,"."&amp;$A$43&amp;$AW$1&amp;"P"&amp;$A79)</f>
        <v>31.33%</v>
      </c>
      <c r="ES79" s="63" t="str">
        <f t="shared" si="272"/>
        <v>468,118.00</v>
      </c>
      <c r="ET79" s="64" t="str">
        <f t="shared" ca="1" si="273"/>
        <v>468,00.00</v>
      </c>
      <c r="EU79" s="68">
        <v>562.70000000000005</v>
      </c>
      <c r="EV79" s="68" t="s">
        <v>651</v>
      </c>
      <c r="EW79" s="68">
        <v>485.08</v>
      </c>
      <c r="EX79" s="68" t="s">
        <v>652</v>
      </c>
      <c r="EY79" s="68">
        <v>5640.75</v>
      </c>
      <c r="EZ79" s="68" t="s">
        <v>653</v>
      </c>
      <c r="FA79" s="68">
        <v>19926.5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-99862</v>
      </c>
      <c r="BI80" s="1">
        <f ca="1">IFERROR(IF(MIN(BH45:BH79)&lt;&gt;0,INDEX(A45:A79,MATCH(MIN(BH45:BH79),BH45:BH79,0)),""),"")</f>
        <v>485</v>
      </c>
      <c r="BJ80" s="42"/>
      <c r="BK80" s="42"/>
      <c r="BL80" s="42"/>
      <c r="BM80" s="42"/>
      <c r="BN80" s="42"/>
      <c r="BO80" s="42"/>
      <c r="BP80" s="64" t="e">
        <f ca="1">INDEX(BQ80:BU80,MATCH(MAX(BQ44:BU44),BQ44:BU44,0))</f>
        <v>#NUM!</v>
      </c>
      <c r="BQ80" s="42" t="e">
        <f ca="1">IF(AND(BQ44&gt;0,ABS(MAX(BQ45:BQ79))&gt;ABS(MIN(BQ45:BQ79))),IF(MAX(BQ45:BQ79)&lt;&gt;0,INDEX($A45:$A79,MATCH(MAX(BQ45:BQ79),BQ45:BQ79,0)),""),"")</f>
        <v>#NUM!</v>
      </c>
      <c r="BR80" s="42"/>
      <c r="BS80" s="42" t="e">
        <f ca="1">IF(AND(BS44&gt;0,ABS(MAX(BS45:BS79))&gt;ABS(MIN(BS45:BS79))),IF(MAX(BS45:BS79)&lt;&gt;0,INDEX($A45:$A79,MATCH(MAX(BS45:BS79),BS45:BS79,0)),""),"")</f>
        <v>#NUM!</v>
      </c>
      <c r="BT80" s="42"/>
      <c r="BU80" s="42" t="e">
        <f ca="1">IF(AND(BU44&gt;0,ABS(MAX(BU45:BU79))&gt;ABS(MIN(BU45:BU79))),IF(MAX(BU45:BU79)&lt;&gt;0,INDEX($A45:$A79,MATCH(MAX(BU45:BU79),BU45:BU79,0)),""),"")</f>
        <v>#NUM!</v>
      </c>
      <c r="BV80" s="42"/>
      <c r="BW80" s="64" t="e">
        <f ca="1">INDEX(BX80:CB80,MATCH(MAX(BX44:CB44),BX44:CB44,0))</f>
        <v>#NUM!</v>
      </c>
      <c r="BX80" s="42" t="e">
        <f ca="1">IF(AND(BX44&gt;0,ABS(MAX(BX45:BX79))&gt;ABS(MIN(BX45:BX79))),IF(MAX(BX45:BX79)&lt;&gt;0,INDEX($A45:$A79,MATCH(MAX(BX45:BX79),BX45:BX79,0)),""),"")</f>
        <v>#NUM!</v>
      </c>
      <c r="BY80" s="42" t="e">
        <f ca="1">INDEX($A$45:$A$79,MATCH("Cruce -",BY45:BY79,)+1)</f>
        <v>#N/A</v>
      </c>
      <c r="BZ80" s="42" t="e">
        <f ca="1">IF(AND(BZ44&gt;0,ABS(MAX(BZ45:BZ79))&gt;ABS(MIN(BZ45:BZ79))),IF(MAX(BZ45:BZ79)&lt;&gt;0,INDEX($A45:$A79,MATCH(MAX(BZ45:BZ79),BZ45:BZ79,0)),""),"")</f>
        <v>#NUM!</v>
      </c>
      <c r="CA80" s="42"/>
      <c r="CB80" s="42" t="e">
        <f ca="1">IF(AND(CB44&gt;0,ABS(MAX(CB45:CB79))&gt;ABS(MIN(CB45:CB79))),IF(MAX(CB45:CB79)&lt;&gt;0,INDEX($A45:$A79,MATCH(MAX(CB45:CB79),CB45:CB79,0)),""),"")</f>
        <v>#NUM!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470</v>
      </c>
      <c r="CK80" s="42">
        <f>IF(AND(CK44&gt;0,ABS(MAX(CK45:CK79))&gt;ABS(MIN(CK45:CK79))),IF(MAX(CK45:CK79)&lt;&gt;0,INDEX($A45:$A79,MATCH(MAX(CK45:CK79),CK45:CK79,0)),""),"")</f>
        <v>485</v>
      </c>
      <c r="CL80" s="42"/>
      <c r="CM80" s="42">
        <f>IF(AND(CM44&gt;0,ABS(MAX(CM45:CM79))&gt;ABS(MIN(CM45:CM79))),IF(MAX(CM45:CM79)&lt;&gt;0,INDEX($A45:$A79,MATCH(MAX(CM45:CM79),CM45:CM79,0)),""),"")</f>
        <v>485</v>
      </c>
      <c r="CN80" s="42"/>
      <c r="CO80" s="42">
        <f>IF(AND(CO44&gt;0,ABS(MAX(CO45:CO79))&gt;ABS(MIN(CO45:CO79))),IF(MAX(CO45:CO79)&lt;&gt;0,INDEX($A45:$A79,MATCH(MAX(CO45:CO79),CO45:CO79,0)),""),"")</f>
        <v>470</v>
      </c>
      <c r="CP80" s="42">
        <f>IF(ABS(MAX(CP45:CP79))&gt;ABS(MIN(CP45:CP79)),IF(MAX(CP45:CP79)&lt;&gt;0,INDEX($A45:$A79,MATCH(MAX(CP45:CP79),CP45:CP79,0)),""),"")</f>
        <v>485</v>
      </c>
      <c r="CQ80" s="42"/>
      <c r="CR80" s="42"/>
      <c r="CS80" s="42"/>
      <c r="CT80" s="42"/>
      <c r="CU80" s="42"/>
      <c r="CV80" s="42"/>
      <c r="CW80" s="42" t="e">
        <f ca="1">IF(ABS(MAX(CW45:CW79))&gt;ABS(MIN(CW45:CW79)),IF(MAX(CW45:CW79)&lt;&gt;0,INDEX($A45:$A79,MATCH(MAX(CW45:CW79),CW45:CW79,0)),""),"")</f>
        <v>#NUM!</v>
      </c>
      <c r="CY80" s="42" t="e">
        <f ca="1">IF(ABS(MAX(CY45:CY79))&gt;ABS(MIN(CY45:CY79)),IF(MAX(CY45:CY79)&lt;&gt;0,INDEX($A45:$A79,MATCH(MAX(CY45:CY79),CY45:CY79,0)),""),"")</f>
        <v>#NUM!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 t="str">
        <f t="shared" ref="DH80:DM80" si="409">IF(AND(DH44&gt;0,ABS(MAX(DH45:DH79))&gt;ABS(MIN(DH45:DH79))),IF(MAX(DH45:DH79)&lt;&gt;0,INDEX($A45:$A79,MATCH(MAX(DH45:DH79),DH45:DH79,0)),""),"")</f>
        <v/>
      </c>
      <c r="DI80" s="42">
        <f t="shared" si="409"/>
        <v>486</v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409"/>
        <v/>
      </c>
      <c r="DM80" s="42" t="str">
        <f t="shared" si="409"/>
        <v/>
      </c>
      <c r="DN80" s="64" t="str">
        <f>DJ80&amp;","&amp;DJ81&amp;","&amp;DK80&amp;","&amp;DK81</f>
        <v>,488,,</v>
      </c>
      <c r="DP80" s="42">
        <f>IF(AND(DP44&gt;0,ABS(MAX(DP45:DP79))&gt;ABS(MIN(DP45:DP79))),IF(MAX(DP45:DP79)&lt;&gt;0,INDEX($A45:$A79,MATCH(MAX(DP45:DP79),DP45:DP79,0)),""),"")</f>
        <v>488</v>
      </c>
      <c r="DQ80" s="42">
        <f>IF(AND(DQ44&gt;0,ABS(MAX(DQ45:DQ79))&gt;ABS(MIN(DQ45:DQ79))),IF(MAX(DQ45:DQ79)&lt;&gt;0,INDEX($A45:$A79,MATCH(MAX(DQ45:DQ79),DQ45:DQ79,0)),""),"")</f>
        <v>488</v>
      </c>
      <c r="DR80" s="42" t="e">
        <f ca="1">IF(AND(DR44&gt;0,ABS(MAX(DR45:DR79))&gt;ABS(MIN(DR45:DR79))),IF(MAX(DR45:DR79)&lt;&gt;0,INDEX($A45:$A79,MATCH(MAX(DR45:DR79),DR45:DR79,0)),""),"")</f>
        <v>#NUM!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562.91</v>
      </c>
      <c r="EV80" s="68" t="s">
        <v>659</v>
      </c>
      <c r="EW80" s="68">
        <v>485.3</v>
      </c>
      <c r="EX80" s="68" t="s">
        <v>660</v>
      </c>
      <c r="EY80" s="68">
        <v>5642.25</v>
      </c>
      <c r="EZ80" s="68" t="s">
        <v>661</v>
      </c>
      <c r="FA80" s="68">
        <v>19936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5660</v>
      </c>
      <c r="E81" s="82">
        <v>5650</v>
      </c>
      <c r="BP81" s="64" t="e">
        <f ca="1">INDEX(BQ81:BU81,MATCH(MIN(BQ44:BU44),BQ44:BU44,0))</f>
        <v>#NUM!</v>
      </c>
      <c r="BQ81" s="1" t="e">
        <f ca="1">IF(AND(BQ44&lt;0,ABS(MIN(BQ45:BQ79))&gt;ABS(MAX(BQ45:BQ79))),IF(MIN(BQ45:BQ79)&lt;&gt;0,INDEX($A45:$A79,MATCH(MIN(BQ45:BQ79),BQ45:BQ79,0)),""),"")</f>
        <v>#NUM!</v>
      </c>
      <c r="BS81" s="1" t="e">
        <f ca="1">IF(AND(BS44&lt;0,ABS(MIN(BS45:BS79))&gt;ABS(MAX(BS45:BS79))),IF(MIN(BS45:BS79)&lt;&gt;0,INDEX($A45:$A79,MATCH(MIN(BS45:BS79),BS45:BS79,0)),""),"")</f>
        <v>#NUM!</v>
      </c>
      <c r="BU81" s="1" t="e">
        <f ca="1">IF(AND(BU44&lt;0,ABS(MIN(BU45:BU79))&gt;ABS(MAX(BU45:BU79))),IF(MIN(BU45:BU79)&lt;&gt;0,INDEX($A45:$A79,MATCH(MIN(BU45:BU79),BU45:BU79,0)),""),"")</f>
        <v>#NUM!</v>
      </c>
      <c r="BW81" s="64" t="e">
        <f ca="1">INDEX(BX81:CB81,MATCH(MIN(BX44:CB44),BX44:CB44,0))</f>
        <v>#NUM!</v>
      </c>
      <c r="BX81" s="1" t="e">
        <f ca="1">IF(AND(BX44&lt;0,ABS(MIN(BX45:BX79))&gt;ABS(MAX(BX45:BX79))),IF(MIN(BX45:BX79)&lt;&gt;0,INDEX($A45:$A79,MATCH(MIN(BX45:BX79),BX45:BX79,0)),""),"")</f>
        <v>#NUM!</v>
      </c>
      <c r="BY81" s="1" t="e">
        <f ca="1">INDEX($A$45:$A$79,MATCH("Cruce -",BY45:BY79,)-1)</f>
        <v>#N/A</v>
      </c>
      <c r="BZ81" s="1" t="e">
        <f ca="1">IF(AND(BZ44&lt;0,ABS(MIN(BZ45:BZ79))&gt;ABS(MAX(BZ45:BZ79))),IF(MIN(BZ45:BZ79)&lt;&gt;0,INDEX($A45:$A79,MATCH(MIN(BZ45:BZ79),BZ45:BZ79,0)),""),"")</f>
        <v>#NUM!</v>
      </c>
      <c r="CB81" s="1" t="e">
        <f ca="1">IF(AND(CB44&lt;0,ABS(MIN(CB45:CB79))&gt;ABS(MAX(CB45:CB79))),IF(MIN(CB45:CB79)&lt;&gt;0,INDEX($A45:$A79,MATCH(MIN(CB45:CB79),CB45:CB79,0)),""),"")</f>
        <v>#NUM!</v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e">
        <f ca="1">IF(ABS(MIN(CW45:CW79))&gt;ABS(MAX(CW45:CW79)),IF(MIN(CW45:CW79)&lt;&gt;0,INDEX($A45:$A79,MATCH(MIN(CW45:CW79),CW45:CW79,0)),""),"")</f>
        <v>#NUM!</v>
      </c>
      <c r="CY81" s="1" t="e">
        <f ca="1">IF(ABS(MIN(CY45:CY79))&gt;ABS(MAX(CY45:CY79)),IF(MIN(CY45:CY79)&lt;&gt;0,INDEX($A45:$A79,MATCH(MIN(CY45:CY79),CY45:CY79,0)),""),"")</f>
        <v>#NUM!</v>
      </c>
      <c r="DH81" s="1">
        <f t="shared" ref="DH81:DM81" si="410">IF(AND(DH44&lt;0,ABS(MIN(DH45:DH79))&gt;ABS(MAX(DH45:DH79))),IF(MIN(DH45:DH79)&lt;&gt;0,INDEX($A45:$A79,MATCH(MIN(DH45:DH79),DH45:DH79,0)),""),"")</f>
        <v>488</v>
      </c>
      <c r="DI81" s="1" t="str">
        <f t="shared" si="410"/>
        <v/>
      </c>
      <c r="DJ81" s="89">
        <f>IFERROR(IF(AND(ABS(MIN(DJ45:DJ79))&gt;$DG$44,ABS(INDEX($DG$45:$DG$79,MATCH(MIN(DJ45:DJ79),DJ45:DJ79,0)))&lt;0.5,1),IF(MIN(DJ45:DJ79)&lt;&gt;0,INDEX($A45:$A79,MATCH(MIN(DJ45:DJ79),DJ45:DJ79,0)),""),""),"")</f>
        <v>488</v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410"/>
        <v>488</v>
      </c>
      <c r="DM81" s="1" t="str">
        <f t="shared" si="410"/>
        <v/>
      </c>
      <c r="DN81" s="64" t="str">
        <f ca="1">BI42&amp;","&amp;BI80</f>
        <v>491,485</v>
      </c>
      <c r="DP81" s="1" t="str">
        <f>IF(AND(DP44&lt;0,ABS(MIN(DP45:DP79))&gt;ABS(MAX(DP45:DP79))),IF(MIN(DP45:DP79)&lt;&gt;0,INDEX($A45:$A79,MATCH(MIN(DP45:DP79),DP45:DP79,0)),""),"")</f>
        <v/>
      </c>
      <c r="DQ81" s="1" t="str">
        <f>IF(AND(DQ44&lt;0,ABS(MIN(DQ45:DQ79))&gt;ABS(MAX(DQ45:DQ79))),IF(MIN(DQ45:DQ79)&lt;&gt;0,INDEX($A45:$A79,MATCH(MIN(DQ45:DQ79),DQ45:DQ79,0)),""),"")</f>
        <v/>
      </c>
      <c r="DR81" s="1" t="e">
        <f ca="1">IF(AND(DR44&lt;0,ABS(MIN(DR45:DR79))&gt;ABS(MAX(DR45:DR79))),IF(MIN(DR45:DR79)&lt;&gt;0,INDEX($A45:$A79,MATCH(MIN(DR45:DR79),DR45:DR79,0)),""),"")</f>
        <v>#NUM!</v>
      </c>
      <c r="EU81" s="67">
        <v>562.97</v>
      </c>
      <c r="EV81" s="67" t="s">
        <v>667</v>
      </c>
      <c r="EW81" s="67">
        <v>485.42</v>
      </c>
      <c r="EX81" s="67" t="s">
        <v>668</v>
      </c>
      <c r="EY81" s="67">
        <v>5643.5</v>
      </c>
      <c r="EZ81" s="67" t="s">
        <v>669</v>
      </c>
      <c r="FA81" s="67">
        <v>19940.75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10</v>
      </c>
      <c r="D82" s="45" t="s">
        <v>10</v>
      </c>
      <c r="E82" s="20">
        <f>RTD("tos.rtd", ,"MARK", A83)</f>
        <v>5659.91</v>
      </c>
      <c r="F82" s="20">
        <f>+[3]Sheet1!$AD$2</f>
        <v>5826.8235213891576</v>
      </c>
      <c r="AS82" s="22" t="str">
        <f>+B83</f>
        <v>250505</v>
      </c>
      <c r="AT82" s="22"/>
      <c r="AU82" s="22" t="str">
        <f>+C83</f>
        <v>250509</v>
      </c>
      <c r="AV82" s="22"/>
      <c r="AW82" s="22" t="str">
        <f>+D83</f>
        <v>250516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80384</v>
      </c>
      <c r="BI82" s="1">
        <f ca="1">IFERROR(IF(MAX(BH85:BH130)&lt;&gt;0,INDEX(A85:A130,MATCH(MAX(BH85:BH130),BH85:BH130,0)),""),"")</f>
        <v>5700</v>
      </c>
      <c r="BJ82" s="22"/>
      <c r="BK82" s="22"/>
      <c r="BL82" s="22"/>
      <c r="BM82" s="22"/>
      <c r="BN82" s="22"/>
      <c r="BO82" s="22"/>
      <c r="BQ82" s="22" t="e">
        <f ca="1">IF(BR82&gt;BS82,IF(MAX(BQ85:BQ130)&lt;&gt;0,INDEX(A85:A130,MATCH(MAX(BQ85:BQ130),BQ85:BQ130,0)),A84),IF(MIN(BQ85:BQ130)&lt;&gt;0,INDEX(A85:A130,MATCH(MIN(BQ85:BQ130),BQ85:BQ130,0))))</f>
        <v>#NUM!</v>
      </c>
      <c r="BR82" s="22" t="e">
        <f ca="1">+MAX(BQ85:BQ130)</f>
        <v>#NUM!</v>
      </c>
      <c r="BS82" s="22" t="e">
        <f ca="1">ABS(MIN(BQ85:BQ130))</f>
        <v>#NUM!</v>
      </c>
      <c r="BT82" s="22"/>
      <c r="BU82" s="22"/>
      <c r="BV82" s="22"/>
      <c r="BX82" s="22" t="e">
        <f ca="1">IF(BY82&gt;BZ82,IF(MAX(BX85:BX130)&lt;&gt;0,INDEX(G85:G130,MATCH(MAX(BX85:BX130),BX85:BX130,0)),G84),IF(MIN(BX85:BX130)&lt;&gt;0,INDEX(G85:G130,MATCH(MIN(BX85:BX130),BX85:BX130,0))))</f>
        <v>#NUM!</v>
      </c>
      <c r="BY82" s="22" t="e">
        <f ca="1">+MAX(BX85:BX130)</f>
        <v>#NUM!</v>
      </c>
      <c r="BZ82" s="22" t="e">
        <f ca="1">ABS(MIN(BX85:BX130))</f>
        <v>#NUM!</v>
      </c>
      <c r="CA82" s="22"/>
      <c r="CB82" s="22"/>
      <c r="CC82" s="22" t="e">
        <f ca="1">+AVERAGE(BY131:BY132,CA131:CA132,CC131:CC132)</f>
        <v>#N/A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214500</v>
      </c>
      <c r="CM82" s="22">
        <f>ABS(MIN(CK85:CK130))</f>
        <v>81302</v>
      </c>
      <c r="CN82" s="22"/>
      <c r="CO82" s="22"/>
      <c r="CP82" s="22"/>
      <c r="CQ82" s="22" t="b">
        <f>IF(CR82&gt;CS82,IF(MAX(CQ85:CQ130)&lt;&gt;0,INDEX(G85:G130,MATCH(MAX(CQ85:CQ130),CQ85:CQ130,0)),G84),IF(MIN(CQ85:CQ130)&lt;&gt;0,INDEX(G85:G130,MATCH(MIN(CQ85:CQ130),CQ85:CQ130,0))))</f>
        <v>0</v>
      </c>
      <c r="CR82" s="22">
        <f>+MAX(CQ85:CQ130)</f>
        <v>0</v>
      </c>
      <c r="CS82" s="22">
        <f>ABS(MIN(CQ85:CQ130))</f>
        <v>0</v>
      </c>
      <c r="CT82" s="22"/>
      <c r="CU82" s="22"/>
      <c r="CV82" s="22"/>
      <c r="CW82" s="22" t="e">
        <f ca="1">IF(CX82&gt;CY82,IF(MAX(CW85:CW130)&lt;&gt;0,INDEX(M85:M130,MATCH(MAX(CW85:CW130),CW85:CW130,0)),M84),IF(MIN(CW85:CW130)&lt;&gt;0,INDEX(M85:M130,MATCH(MIN(CW85:CW130),CW85:CW130,0))))</f>
        <v>#NUM!</v>
      </c>
      <c r="CX82" s="61" t="e">
        <f ca="1">+MAX(CW85:CW130)</f>
        <v>#NUM!</v>
      </c>
      <c r="CY82" s="22" t="e">
        <f ca="1">ABS(MIN(CW85:CW130))</f>
        <v>#NUM!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562.91999999999996</v>
      </c>
      <c r="EV82" s="67" t="s">
        <v>675</v>
      </c>
      <c r="EW82" s="67">
        <v>485.37</v>
      </c>
      <c r="EX82" s="67" t="s">
        <v>676</v>
      </c>
      <c r="EY82" s="67">
        <v>5643</v>
      </c>
      <c r="EZ82" s="67" t="s">
        <v>677</v>
      </c>
      <c r="FA82" s="67">
        <v>19939.25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250505</v>
      </c>
      <c r="C83" s="45" t="str">
        <f>+C2</f>
        <v>250509</v>
      </c>
      <c r="D83" s="45" t="str">
        <f>+D2</f>
        <v>250516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562.79999999999995</v>
      </c>
      <c r="EV83" s="67" t="s">
        <v>683</v>
      </c>
      <c r="EW83" s="67">
        <v>485.24</v>
      </c>
      <c r="EX83" s="67" t="s">
        <v>684</v>
      </c>
      <c r="EY83" s="67">
        <v>5641.75</v>
      </c>
      <c r="EZ83" s="67" t="s">
        <v>685</v>
      </c>
      <c r="FA83" s="67">
        <v>19933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+D81</f>
        <v>5660</v>
      </c>
      <c r="B84" s="27">
        <f>+AS84/AT84</f>
        <v>-1.0711401281586266</v>
      </c>
      <c r="C84" s="27">
        <f>+AU84/AV84</f>
        <v>-1.1399319596893254</v>
      </c>
      <c r="D84" s="27">
        <f>+AW84/AX84</f>
        <v>-1.2528155607037181</v>
      </c>
      <c r="E84" s="28">
        <v>0</v>
      </c>
      <c r="F84" s="47">
        <f>RTD("tos.rtd", ,"MARK", F83)</f>
        <v>5684</v>
      </c>
      <c r="G84" s="47">
        <f>RTD("tos.rtd", ,"MARK", G83)</f>
        <v>564.79999999999995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501683</v>
      </c>
      <c r="AQ84" s="20">
        <v>-524310</v>
      </c>
      <c r="AR84" s="20"/>
      <c r="AS84" s="52">
        <f t="shared" ref="AS84:AX84" si="411">SUM(AS85:AS130)</f>
        <v>44297</v>
      </c>
      <c r="AT84" s="53">
        <f t="shared" si="411"/>
        <v>-41355</v>
      </c>
      <c r="AU84" s="52">
        <f t="shared" si="411"/>
        <v>71036</v>
      </c>
      <c r="AV84" s="53">
        <f t="shared" si="411"/>
        <v>-62316</v>
      </c>
      <c r="AW84" s="52">
        <f t="shared" si="411"/>
        <v>54619</v>
      </c>
      <c r="AX84" s="53">
        <f t="shared" si="411"/>
        <v>-43597</v>
      </c>
      <c r="AY84" s="53">
        <f>SUM(AY85:AY130)</f>
        <v>22684</v>
      </c>
      <c r="AZ84" s="20">
        <v>0</v>
      </c>
      <c r="BA84" s="52">
        <f t="shared" ref="BA84:BF84" si="412">SUM(BA85:BA130)</f>
        <v>0</v>
      </c>
      <c r="BB84" s="53">
        <f t="shared" si="412"/>
        <v>0</v>
      </c>
      <c r="BC84" s="52">
        <f t="shared" si="412"/>
        <v>561120</v>
      </c>
      <c r="BD84" s="53">
        <f t="shared" si="412"/>
        <v>-599922</v>
      </c>
      <c r="BE84" s="52">
        <f t="shared" si="412"/>
        <v>18029</v>
      </c>
      <c r="BF84" s="53">
        <f t="shared" si="412"/>
        <v>-15003</v>
      </c>
      <c r="BG84" s="53"/>
      <c r="BH84" s="53">
        <f ca="1">SUM(BH85:BH130)</f>
        <v>-44831</v>
      </c>
      <c r="BI84" s="20"/>
      <c r="BJ84" s="73" t="e">
        <f t="shared" ref="BJ84:BU84" ca="1" si="413">SUM(BJ85:BJ130)</f>
        <v>#NUM!</v>
      </c>
      <c r="BK84" s="74" t="e">
        <f t="shared" ref="BK84" ca="1" si="414">SUM(BK85:BK130)</f>
        <v>#NUM!</v>
      </c>
      <c r="BL84" s="73" t="e">
        <f t="shared" ref="BL84" ca="1" si="415">SUM(BL85:BL130)</f>
        <v>#NUM!</v>
      </c>
      <c r="BM84" s="74" t="e">
        <f t="shared" ref="BM84" ca="1" si="416">SUM(BM85:BM130)</f>
        <v>#NUM!</v>
      </c>
      <c r="BN84" s="73" t="e">
        <f t="shared" ref="BN84" ca="1" si="417">SUM(BN85:BN130)</f>
        <v>#NUM!</v>
      </c>
      <c r="BO84" s="74" t="e">
        <f t="shared" ref="BO84" ca="1" si="418">SUM(BO85:BO130)</f>
        <v>#NUM!</v>
      </c>
      <c r="BQ84" s="73" t="e">
        <f t="shared" ca="1" si="413"/>
        <v>#NUM!</v>
      </c>
      <c r="BR84" s="74"/>
      <c r="BS84" s="73" t="e">
        <f t="shared" ca="1" si="413"/>
        <v>#NUM!</v>
      </c>
      <c r="BT84" s="74"/>
      <c r="BU84" s="73" t="e">
        <f t="shared" ca="1" si="413"/>
        <v>#NUM!</v>
      </c>
      <c r="BV84" s="74"/>
      <c r="BX84" s="73" t="e">
        <f t="shared" ref="BX84" ca="1" si="419">SUM(BX85:BX130)</f>
        <v>#NUM!</v>
      </c>
      <c r="BY84" s="74"/>
      <c r="BZ84" s="73" t="e">
        <f t="shared" ref="BZ84" ca="1" si="420">SUM(BZ85:BZ130)</f>
        <v>#NUM!</v>
      </c>
      <c r="CA84" s="74"/>
      <c r="CB84" s="73" t="e">
        <f t="shared" ref="CB84" ca="1" si="421">SUM(CB85:CB130)</f>
        <v>#NUM!</v>
      </c>
      <c r="CC84" s="74"/>
      <c r="CD84" s="73">
        <f t="shared" ref="CD84:CI84" si="422">SUM(CD85:CD130)</f>
        <v>24.04</v>
      </c>
      <c r="CE84" s="74">
        <f t="shared" si="422"/>
        <v>14.149999999999997</v>
      </c>
      <c r="CF84" s="73">
        <f t="shared" si="422"/>
        <v>24.310000000000002</v>
      </c>
      <c r="CG84" s="74">
        <f t="shared" si="422"/>
        <v>20.000000000000004</v>
      </c>
      <c r="CH84" s="73">
        <f t="shared" si="422"/>
        <v>23.949999999999996</v>
      </c>
      <c r="CI84" s="74">
        <f t="shared" si="422"/>
        <v>22.090000000000007</v>
      </c>
      <c r="CK84" s="73">
        <f t="shared" ref="CK84" si="423">SUM(CK85:CK130)</f>
        <v>948594</v>
      </c>
      <c r="CL84" s="74"/>
      <c r="CM84" s="73">
        <f t="shared" ref="CM84" si="424">SUM(CM85:CM130)</f>
        <v>1290357</v>
      </c>
      <c r="CN84" s="74"/>
      <c r="CO84" s="73">
        <f t="shared" ref="CO84" si="425">SUM(CO85:CO130)</f>
        <v>-161427</v>
      </c>
      <c r="CP84" s="74"/>
      <c r="CQ84" s="73">
        <f t="shared" ref="CQ84" si="426">SUM(CQ85:CQ130)</f>
        <v>0</v>
      </c>
      <c r="CR84" s="74"/>
      <c r="CS84" s="73">
        <f t="shared" ref="CS84" si="427">SUM(CS85:CS130)</f>
        <v>-38802</v>
      </c>
      <c r="CT84" s="74">
        <f t="shared" ref="CT84:CU84" si="428">SUM(CT85:CT130)</f>
        <v>0</v>
      </c>
      <c r="CU84" s="73">
        <f t="shared" si="428"/>
        <v>3026</v>
      </c>
      <c r="CV84" s="74"/>
      <c r="CW84" s="74" t="e">
        <f t="shared" ref="CW84" ca="1" si="429">SUM(CW85:CW130)</f>
        <v>#NUM!</v>
      </c>
      <c r="CY84" s="74" t="e">
        <f t="shared" ref="CY84" ca="1" si="430">SUM(CY85:CY130)</f>
        <v>#NUM!</v>
      </c>
      <c r="DA84" s="73">
        <f t="shared" ref="DA84:DB84" si="431">SUM(DA85:DA130)</f>
        <v>3060.73</v>
      </c>
      <c r="DB84" s="74">
        <f t="shared" si="431"/>
        <v>1533.629999999999</v>
      </c>
      <c r="DC84" s="73">
        <f t="shared" ref="DC84:DF84" si="432">SUM(DC85:DC130)</f>
        <v>2885.9499999999994</v>
      </c>
      <c r="DD84" s="74">
        <f t="shared" si="432"/>
        <v>1793.6999999999994</v>
      </c>
      <c r="DE84" s="73">
        <f t="shared" si="432"/>
        <v>2668.8</v>
      </c>
      <c r="DF84" s="73">
        <f t="shared" si="432"/>
        <v>1655.1000000000001</v>
      </c>
      <c r="DH84" s="73" t="e">
        <f t="shared" ref="DH84:DM84" si="433">SUM(DH85:DH130)</f>
        <v>#DIV/0!</v>
      </c>
      <c r="DI84" s="74" t="e">
        <f t="shared" si="433"/>
        <v>#DIV/0!</v>
      </c>
      <c r="DJ84" s="73">
        <f t="shared" si="433"/>
        <v>-302633</v>
      </c>
      <c r="DK84" s="74">
        <f t="shared" si="433"/>
        <v>314226</v>
      </c>
      <c r="DL84" s="73" t="e">
        <f t="shared" si="433"/>
        <v>#DIV/0!</v>
      </c>
      <c r="DM84" s="73">
        <f t="shared" si="433"/>
        <v>11593</v>
      </c>
      <c r="DP84" s="73" t="e">
        <f t="shared" ref="DP84:DS84" si="434">SUM(DP85:DP130)</f>
        <v>#DIV/0!</v>
      </c>
      <c r="DQ84" s="74">
        <f t="shared" si="434"/>
        <v>1713753.2400000002</v>
      </c>
      <c r="DR84" s="73" t="e">
        <f t="shared" ca="1" si="434"/>
        <v>#NUM!</v>
      </c>
      <c r="DS84" s="74">
        <f t="shared" si="434"/>
        <v>36064.57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5">SUM(EE85:EE130)</f>
        <v>19.6752</v>
      </c>
      <c r="EF84" s="74">
        <f t="shared" ref="EF84" si="436">SUM(EF85:EF130)</f>
        <v>64.262200000000007</v>
      </c>
      <c r="EG84" s="73">
        <f t="shared" ref="EG84" si="437">SUM(EG85:EG130)</f>
        <v>31.692</v>
      </c>
      <c r="EH84" s="74">
        <f t="shared" ref="EH84" si="438">SUM(EH85:EH130)</f>
        <v>48.866500000000009</v>
      </c>
      <c r="EI84" s="73">
        <f t="shared" ref="EI84" si="439">SUM(EI85:EI130)</f>
        <v>11.433400000000001</v>
      </c>
      <c r="EJ84" s="73">
        <f t="shared" ref="EJ84" si="440">SUM(EJ85:EJ130)</f>
        <v>10.694199999999997</v>
      </c>
      <c r="EL84" s="73">
        <f t="shared" ref="EL84" si="441">SUM(EL85:EL130)</f>
        <v>0</v>
      </c>
      <c r="EM84" s="74">
        <f t="shared" ref="EM84" si="442">SUM(EM85:EM130)</f>
        <v>0</v>
      </c>
      <c r="EN84" s="73">
        <f t="shared" ref="EN84" si="443">SUM(EN85:EN130)</f>
        <v>0</v>
      </c>
      <c r="EO84" s="74">
        <f t="shared" ref="EO84" si="444">SUM(EO85:EO130)</f>
        <v>0</v>
      </c>
      <c r="EP84" s="73">
        <f t="shared" ref="EP84" si="445">SUM(EP85:EP130)</f>
        <v>0</v>
      </c>
      <c r="EQ84" s="73">
        <f t="shared" ref="EQ84" si="446">SUM(EQ85:EQ130)</f>
        <v>0</v>
      </c>
      <c r="EU84" s="67">
        <v>562.6</v>
      </c>
      <c r="EV84" s="67" t="s">
        <v>691</v>
      </c>
      <c r="EW84" s="67">
        <v>485.02</v>
      </c>
      <c r="EX84" s="67" t="s">
        <v>692</v>
      </c>
      <c r="EY84" s="67">
        <v>5639.5</v>
      </c>
      <c r="EZ84" s="67" t="s">
        <v>693</v>
      </c>
      <c r="FA84" s="67">
        <v>19926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47">+IF($A$1="ABS",AS85-AT85,AS85+AT85)</f>
        <v>0</v>
      </c>
      <c r="C85" s="3">
        <f t="shared" ref="C85:C130" si="448">+IF($A$1="ABS",AU85-AV85,AU85+AV85)</f>
        <v>900</v>
      </c>
      <c r="D85" s="3">
        <f t="shared" ref="D85:D130" si="449">+IF($A$1="ABS",AW85-AX85,AW85+AX85)</f>
        <v>432</v>
      </c>
      <c r="E85" s="3">
        <f t="shared" ref="E85:E96" si="450">SUM(B85:D85)</f>
        <v>1332</v>
      </c>
      <c r="F85" s="4">
        <f>+$F$84/$A$84*A85</f>
        <v>5894.8904593639572</v>
      </c>
      <c r="G85" s="4">
        <f>+$G$84/$A$84*A85</f>
        <v>585.75547703180212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0</v>
      </c>
      <c r="AN85" s="20">
        <v>0</v>
      </c>
      <c r="AO85" s="20">
        <v>5870</v>
      </c>
      <c r="AP85" s="20">
        <v>0</v>
      </c>
      <c r="AQ85" s="20">
        <v>0</v>
      </c>
      <c r="AR85" s="20"/>
      <c r="AS85" s="73">
        <f>IF(RTD("tos.rtd",,AS$83,"."&amp;$B$82&amp;$AS$82&amp;"C"&amp;$A85)="N/A",0,RTD("tos.rtd",,AS$83,"."&amp;$B$82&amp;$AS$82&amp;"C"&amp;$A85))</f>
        <v>0</v>
      </c>
      <c r="AT85" s="28">
        <f>-IF(RTD("tos.rtd",,AT$83,"."&amp;$B$82&amp;$AS$82&amp;"P"&amp;$A85)="N/A",0,RTD("tos.rtd",,AT$83,"."&amp;$B$82&amp;$AS$82&amp;"P"&amp;$A85))</f>
        <v>0</v>
      </c>
      <c r="AU85" s="73">
        <f>IF(RTD("tos.rtd",,AU$83,"."&amp;$C$82&amp;$AU$82&amp;"C"&amp;$A85)="N/A",0,RTD("tos.rtd",,AU$83,"."&amp;$C$82&amp;$AU$82&amp;"C"&amp;$A85))</f>
        <v>899</v>
      </c>
      <c r="AV85" s="28">
        <f>-IF(RTD("tos.rtd",,AV$83,"."&amp;$C$82&amp;$AU$82&amp;"P"&amp;$A85)="N/A",0,RTD("tos.rtd",,AV$83,"."&amp;$C$82&amp;$AU$82&amp;"P"&amp;$A85))</f>
        <v>-1</v>
      </c>
      <c r="AW85" s="73">
        <f>IF(RTD("tos.rtd",,AW$83,"."&amp;$D$82&amp;$AW$82&amp;"C"&amp;$A85)="N/A",0,RTD("tos.rtd",,AW$83,"."&amp;$D$82&amp;$AW$82&amp;"C"&amp;$A85))</f>
        <v>275</v>
      </c>
      <c r="AX85" s="28">
        <f>-IF(RTD("tos.rtd",,AX$83,"."&amp;$D$82&amp;$AW$82&amp;"P"&amp;$A85)="N/A",0,RTD("tos.rtd",,AX$83,"."&amp;$D$82&amp;$AW$82&amp;"P"&amp;$A85))</f>
        <v>-157</v>
      </c>
      <c r="AY85" s="78">
        <f>SUM(AS85:AX85)</f>
        <v>1016</v>
      </c>
      <c r="AZ85" s="8">
        <f t="shared" ref="AZ85:AZ130" si="451">+A85</f>
        <v>5870</v>
      </c>
      <c r="BA85" s="73">
        <f>IF(RTD("tos.rtd",,BA$83,"."&amp;$B$82&amp;$AS$82&amp;"C"&amp;$A85)="N/A",0,RTD("tos.rtd",,BA$83,"."&amp;$B$82&amp;$AS$82&amp;"C"&amp;$A85))</f>
        <v>0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1442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138</v>
      </c>
      <c r="BF85" s="28">
        <f>-IF(RTD("tos.rtd",,BF$83,"."&amp;$D$82&amp;$AW$82&amp;"P"&amp;$A85)="N/A",0,RTD("tos.rtd",,BF$83,"."&amp;$D$82&amp;$AW$82&amp;"P"&amp;$A85))</f>
        <v>-15</v>
      </c>
      <c r="BG85" s="28">
        <f ca="1">+Hoja2!Y86</f>
        <v>59</v>
      </c>
      <c r="BH85" s="74">
        <f>SUM(BA85:BF85)</f>
        <v>1565</v>
      </c>
      <c r="BI85" s="1"/>
      <c r="BJ85" s="3" t="e">
        <f ca="1">IF($BP$1=1,DX85,IF(RTD("tos.rtd",,BJ$83,"."&amp;$B$82&amp;$AS$82&amp;"C"&amp;$A85)="N/A",0,RTD("tos.rtd",,BJ$83,"."&amp;$B$82&amp;$AS$82&amp;"C"&amp;$A85)))</f>
        <v>#NUM!</v>
      </c>
      <c r="BK85" s="3" t="e">
        <f ca="1">IF($BP$1=1,DY85,-IF(RTD("tos.rtd",,BK$83,"."&amp;$B$82&amp;$AS$82&amp;"P"&amp;$A85)="N/A",0,RTD("tos.rtd",,BK$83,"."&amp;$B$82&amp;$AS$82&amp;"P"&amp;$A85)))</f>
        <v>#NUM!</v>
      </c>
      <c r="BL85" s="3" t="e">
        <f ca="1">IF($BP$1=1,DZ85,IF(RTD("tos.rtd",,BL$83,"."&amp;$C$82&amp;$AU$82&amp;"C"&amp;$A85)="N/A",0,RTD("tos.rtd",,BL$83,"."&amp;$C$82&amp;$AU$82&amp;"C"&amp;$A85)))</f>
        <v>#NUM!</v>
      </c>
      <c r="BM85" s="3" t="e">
        <f ca="1">IF($BP$1=1,EA85,-IF(RTD("tos.rtd",,BM$83,"."&amp;$C$82&amp;$AU$82&amp;"P"&amp;$A85)="N/A",0,RTD("tos.rtd",,BM$83,"."&amp;$C$82&amp;$AU$82&amp;"P"&amp;$A85)))</f>
        <v>#NUM!</v>
      </c>
      <c r="BN85" s="3" t="e">
        <f ca="1">IF($BP$1=1,EB85,IF(RTD("tos.rtd",,BN$83,"."&amp;$D$82&amp;$AW$82&amp;"C"&amp;$A85)="N/A",0,RTD("tos.rtd",,BN$83,"."&amp;$D$82&amp;$AW$82&amp;"C"&amp;$A85)))</f>
        <v>#NUM!</v>
      </c>
      <c r="BO85" s="3" t="e">
        <f ca="1">IF($BP$1=1,EC85,-IF(RTD("tos.rtd",,BO$83,"."&amp;$D$82&amp;$AW$82&amp;"P"&amp;$A85)="N/A",0,RTD("tos.rtd",,BO$83,"."&amp;$D$82&amp;$AW$82&amp;"P"&amp;$A85)))</f>
        <v>#NUM!</v>
      </c>
      <c r="BQ85" s="3" t="e">
        <f t="shared" ref="BQ85:BQ130" ca="1" si="452">+$A$44*$A$44*AS85*BJ85-$A$44*$A$44*AT85*BK85</f>
        <v>#NUM!</v>
      </c>
      <c r="BR85" s="3"/>
      <c r="BS85" s="3" t="e">
        <f t="shared" ref="BS85:BS130" ca="1" si="453">+$A$44*$A$44*AU85*BL85-$A$44*$A$44*AV85*BM85</f>
        <v>#NUM!</v>
      </c>
      <c r="BT85" s="3"/>
      <c r="BU85" s="3" t="e">
        <f t="shared" ref="BU85:BU130" ca="1" si="454">+$A$44*$A$44*AW85*BN85-$A$44*$A$44*AX85*BO85</f>
        <v>#NUM!</v>
      </c>
      <c r="BV85" s="3"/>
      <c r="BX85" s="3" t="e">
        <f t="shared" ref="BX85:BX130" ca="1" si="455">+$A$44*$A$44*BA85*BJ85-$A$44*$A$44*BB85*BK85</f>
        <v>#NUM!</v>
      </c>
      <c r="BY85" s="3"/>
      <c r="BZ85" s="3" t="e">
        <f t="shared" ref="BZ85:BZ130" ca="1" si="456">+$A$44*$A$44*BC85*BL85-$A$44*$A$44*BD85*BM85</f>
        <v>#NUM!</v>
      </c>
      <c r="CA85" s="3"/>
      <c r="CB85" s="3" t="e">
        <f t="shared" ref="CB85:CB130" ca="1" si="457">+$A$44*$A$44*BE85*BN85-$A$44*$A$44*BF85*BO85</f>
        <v>#NUM!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</v>
      </c>
      <c r="CF85" s="3">
        <f>IF(RTD("tos.rtd",,CF$83,"."&amp;$C$82&amp;$AU$82&amp;"C"&amp;$A85)="N/A",0,RTD("tos.rtd",,CF$83,"."&amp;$C$82&amp;$AU$82&amp;"C"&amp;$A85))</f>
        <v>0</v>
      </c>
      <c r="CG85" s="3">
        <f>-IF(RTD("tos.rtd",,CG$83,"."&amp;$C$82&amp;$AU$82&amp;"P"&amp;$A85)="N/A",0,RTD("tos.rtd",,CG$83,"."&amp;$C$82&amp;$AU$82&amp;"P"&amp;$A85))</f>
        <v>0.98</v>
      </c>
      <c r="CH85" s="3">
        <f>IF(RTD("tos.rtd",,CH$83,"."&amp;$D$82&amp;$AW$82&amp;"C"&amp;$A85)="N/A",0,RTD("tos.rtd",,CH$83,"."&amp;$D$82&amp;$AW$82&amp;"C"&amp;$A85))</f>
        <v>0.08</v>
      </c>
      <c r="CI85" s="3">
        <f>-IF(RTD("tos.rtd",,CI$83,"."&amp;$D$82&amp;$AW$82&amp;"P"&amp;$A85)="N/A",0,RTD("tos.rtd",,CI$83,"."&amp;$D$82&amp;$AW$82&amp;"P"&amp;$A85))</f>
        <v>0.96</v>
      </c>
      <c r="CK85" s="3">
        <f>+AS85*CD85*100+AT85*CE85*100</f>
        <v>0</v>
      </c>
      <c r="CL85" s="3"/>
      <c r="CM85" s="3">
        <f>+AU85*CF85*100+AV85*CG85*100</f>
        <v>-98</v>
      </c>
      <c r="CN85" s="3"/>
      <c r="CO85" s="3">
        <f>+AW85*CH85*100+AX85*CI85*100</f>
        <v>-12872</v>
      </c>
      <c r="CP85" s="3">
        <f t="shared" ref="CP85:CP130" si="458">+CK85+CM85+CO85</f>
        <v>-12970</v>
      </c>
      <c r="CQ85" s="3">
        <f t="shared" ref="CQ85:CQ130" si="459">+BA85+BB85</f>
        <v>0</v>
      </c>
      <c r="CR85" s="3"/>
      <c r="CS85" s="3">
        <f t="shared" ref="CS85:CS130" si="460">+BC85+BD85</f>
        <v>1442</v>
      </c>
      <c r="CT85" s="3"/>
      <c r="CU85" s="3">
        <f t="shared" ref="CU85:CU130" si="461">+BE85+BF85</f>
        <v>123</v>
      </c>
      <c r="CV85" s="3"/>
      <c r="CW85" s="3" t="e">
        <f t="shared" ref="CW85:CW130" ca="1" si="462">+BQ85+BS85+BU85</f>
        <v>#NUM!</v>
      </c>
      <c r="CY85" s="3" t="e">
        <f t="shared" ref="CY85:CY130" ca="1" si="463">+BX85+BZ85+CB85</f>
        <v>#NUM!</v>
      </c>
      <c r="CZ85" s="70"/>
      <c r="DA85" s="3">
        <f>IF(RTD("tos.rtd",,DA$83,"."&amp;$B$82&amp;$AS$82&amp;"C"&amp;$A85)="N/A",0,RTD("tos.rtd",,DA$83,"."&amp;$B$82&amp;$AS$82&amp;"C"&amp;$A85))</f>
        <v>0</v>
      </c>
      <c r="DB85" s="3">
        <f>IF(RTD("tos.rtd",,DB$83,"."&amp;$B$82&amp;$AS$82&amp;"P"&amp;$A85)="N/A",0,RTD("tos.rtd",,DB$83,"."&amp;$B$82&amp;$AS$82&amp;"P"&amp;$A85))</f>
        <v>0</v>
      </c>
      <c r="DC85" s="3">
        <f>IF(RTD("tos.rtd",,DC$83,"."&amp;$B$82&amp;$AS$82&amp;"C"&amp;$A85)="N/A",0,RTD("tos.rtd",,DC$83,"."&amp;$B$82&amp;$AS$82&amp;"C"&amp;$A85))</f>
        <v>0</v>
      </c>
      <c r="DD85" s="3">
        <f>IF(RTD("tos.rtd",,DD$83,"."&amp;$B$82&amp;$AS$82&amp;"P"&amp;$A85)="N/A",0,RTD("tos.rtd",,DD$83,"."&amp;$B$82&amp;$AS$82&amp;"P"&amp;$A85))</f>
        <v>0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0</v>
      </c>
      <c r="DG85" s="86">
        <f>+$A85-$A$84</f>
        <v>210</v>
      </c>
      <c r="DH85" s="3" t="e">
        <f t="shared" ref="DH85:DH130" si="464">((DA85-DE85)/(DC85-DE85))*(BA85-AP85)</f>
        <v>#DIV/0!</v>
      </c>
      <c r="DI85" s="3" t="e">
        <f t="shared" ref="DI85:DI130" si="465">((DB85-DF85)/(DD85-DF85))*(BB85-AQ85)</f>
        <v>#DIV/0!</v>
      </c>
      <c r="DJ85" s="3">
        <f t="shared" ref="DJ85:DJ130" si="466">IF(DA85&gt;=(DE85+(DC85-DE85)*0.6),(BA85-AP85),IF(DA85&lt;=(DE85+(DC85-DE85)*0.4),-(BA85-AP85),0))</f>
        <v>0</v>
      </c>
      <c r="DK85" s="3">
        <f t="shared" ref="DK85:DK130" si="467">IF(DB85&lt;=(DF85+(DD85-DF85)*0.4),-(BB85-AQ85),IF(DB85&gt;=(DF85+(DD85-DF85)*0.6),(BB85-AQ85),0))</f>
        <v>0</v>
      </c>
      <c r="DL85" s="3" t="e">
        <f t="shared" ref="DL85:DL130" si="468">+DH85+DI85</f>
        <v>#DIV/0!</v>
      </c>
      <c r="DM85" s="3">
        <f t="shared" ref="DM85:DM130" si="469">+DJ85+DK85</f>
        <v>0</v>
      </c>
      <c r="DN85" s="64" t="str">
        <f t="shared" ref="DN85:DN130" si="470">IF(AND(DA85&gt;=(DE85+(DC85-DE85)*0.6),BA85&gt;AP85),"BUY",IF(AND(DA85&lt;=(DE85+(DC85-DE85)*0.4),BA85&gt;AP85),"SELL","UNKNOWN"))</f>
        <v>UNKNOWN</v>
      </c>
      <c r="DO85" s="64" t="str">
        <f t="shared" ref="DO85:DO130" si="471">IF(AND(DB85&gt;=(DF85+(DD85-DF85)*0.6),ABS(BB85)&gt;ABS(AQ85)),"BUY",IF(AND(DB85&lt;=(DF85+(DD85-DF85)*0.4),ABS(BB85)&gt;ABS(AQ85)),"SELL","UNKNOWN"))</f>
        <v>UNKNOWN</v>
      </c>
      <c r="DP85" s="3" t="e">
        <f t="shared" ref="DP85:DP130" si="472">+DH85*DA85+DI85*DB85</f>
        <v>#DIV/0!</v>
      </c>
      <c r="DQ85" s="3">
        <f t="shared" ref="DQ85:DQ130" si="473">+DA85*DJ85+DB85*DK85</f>
        <v>0</v>
      </c>
      <c r="DR85" s="3" t="e">
        <f t="shared" ref="DR85:DR130" ca="1" si="474">+BJ85*DJ85+BK85*DK85</f>
        <v>#NUM!</v>
      </c>
      <c r="DS85" s="3">
        <f t="shared" ref="DS85:DS130" si="475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0</v>
      </c>
      <c r="DW85" s="3">
        <f>AN85+IF(DO85="BUY",DU85,IF(DO85="SELL",-DU85,0))</f>
        <v>0</v>
      </c>
      <c r="DX85" s="3" t="e">
        <f ca="1">(EXP(-POWER((LN($A$84/$A85)+($EC$1+POWER($EE85,2)/2)*($EM$1/$DY$1))/($EE85*SQRT($EM$1/$DY$1)),2)/2)/SQRT(2*PI())/($A$84*$EE85*SQRT($EM$1/$DY$1)))</f>
        <v>#NUM!</v>
      </c>
      <c r="DY85" s="3" t="e">
        <f t="shared" ref="DY85:DY130" ca="1" si="476">-(EXP(-POWER((LN($A$84/$A85)+($EC$1+POWER($EF85,2)/2)*($EM$1/$DY$1))/($EF85*SQRT($EM$1/$DY$1)),2)/2)/SQRT(2*PI())/($A$84*$EF85*SQRT($EM$1/$DY$1)))</f>
        <v>#NUM!</v>
      </c>
      <c r="DZ85" s="3" t="e">
        <f t="shared" ref="DZ85:DZ130" ca="1" si="477">(EXP(-POWER((LN($A$84/$A85)+($EC$1+POWER($EG85,2)/2)*($EO$1/$DY$1))/($EG85*SQRT($EO$1/$DY$1)),2)/2)/SQRT(2*PI())/($A$44*$EG85*SQRT($EO$1/$DY$1)))</f>
        <v>#NUM!</v>
      </c>
      <c r="EA85" s="3" t="e">
        <f t="shared" ref="EA85:EA130" ca="1" si="478">-(EXP(-POWER((LN($A$84/$A85)+($EC$1+POWER($EH85,2)/2)*($EO$1/$DY$1))/($EH85*SQRT($EO$1/$DY$1)),2)/2)/SQRT(2*PI())/($A$84*$EH85*SQRT($EO$1/$DY$1)))</f>
        <v>#NUM!</v>
      </c>
      <c r="EB85" s="3" t="e">
        <f t="shared" ref="EB85:EB130" ca="1" si="479">(EXP(-POWER((LN($A$84/$A85)+($EC$1+POWER($EI85,2)/2)*($EO$1/$DY$1))/($EI85*SQRT($EO$1/$DY$1)),2)/2)/SQRT(2*PI())/($A$84*$EI85*SQRT($EO$1/$DY$1)))</f>
        <v>#NUM!</v>
      </c>
      <c r="EC85" s="3" t="e">
        <f t="shared" ref="EC85:EC130" ca="1" si="480">-(EXP(-POWER((LN($A$84/$A85)+($EC$1+POWER($EJ85,2)/2)*($EO$1/$DY$1))/($EJ85*SQRT($EO$1/$DY$1)),2)/2)/SQRT(2*PI())/($A$84*$EJ85*SQRT($EO$1/$DY$1)))</f>
        <v>#NUM!</v>
      </c>
      <c r="EE85" s="59">
        <f t="shared" ref="EE85:EE130" si="481">IFERROR(VALUE(IF(OR(EL85="--",EL85="0.00%"),$EE$1,EL85)),$EE$1)</f>
        <v>0.25</v>
      </c>
      <c r="EF85" s="59">
        <f t="shared" ref="EF85:EF130" si="482">IFERROR(VALUE(IF(OR(EM85="--",EM85="0.00%"),$EE$1,EM85)),$EE$1)</f>
        <v>0.25</v>
      </c>
      <c r="EG85" s="59">
        <f t="shared" ref="EG85:EG130" si="483">IFERROR(VALUE(IF(OR(EN85="--",EN85="0.00%"),$EE$1,EN85)),$EE$1)</f>
        <v>1.5992</v>
      </c>
      <c r="EH85" s="59">
        <f t="shared" ref="EH85:EH130" si="484">IFERROR(VALUE(IF(OR(EO85="--",EO85="0.00%"),$EE$1,EO85)),$EE$1)</f>
        <v>2.3123</v>
      </c>
      <c r="EI85" s="59">
        <f t="shared" ref="EI85:EI130" si="485">IFERROR(VALUE(IF(OR(EP85="--",EP85="0.00%"),$EE$1,EP85)),$EE$1)</f>
        <v>0.21049999999999999</v>
      </c>
      <c r="EJ85" s="59">
        <f t="shared" ref="EJ85:EJ130" si="486">IFERROR(VALUE(IF(OR(EQ85="--",EQ85="0.00%"),$EE$1,EQ85)),$EE$1)</f>
        <v>0.16969999999999999</v>
      </c>
      <c r="EL85" s="3" t="str">
        <f>RTD("tos.rtd",,EL$83,"."&amp;$B$82&amp;$AS$82&amp;"C"&amp;$A85)</f>
        <v>N/A</v>
      </c>
      <c r="EM85" s="3" t="str">
        <f>RTD("tos.rtd",,EM$83,"."&amp;$B$82&amp;$AS$82&amp;"P"&amp;$A85)</f>
        <v>N/A</v>
      </c>
      <c r="EN85" s="3" t="str">
        <f>RTD("tos.rtd",,EN$83,"."&amp;$C$82&amp;$AU$82&amp;"C"&amp;$A85)</f>
        <v>159.92%</v>
      </c>
      <c r="EO85" s="3" t="str">
        <f>RTD("tos.rtd",,EO$83,"."&amp;$C$82&amp;$AU$82&amp;"P"&amp;$A85)</f>
        <v>231.23%</v>
      </c>
      <c r="EP85" s="3" t="str">
        <f>RTD("tos.rtd",,EP$83,"."&amp;$D$82&amp;$AW$82&amp;"C"&amp;$A85)</f>
        <v>21.05%</v>
      </c>
      <c r="EQ85" s="3" t="str">
        <f>RTD("tos.rtd",,EQ$83,"."&amp;$D$82&amp;$AW$82&amp;"P"&amp;$A85)</f>
        <v>16.97%</v>
      </c>
      <c r="ES85" s="63" t="str">
        <f t="shared" ref="ES85:ES130" si="487">IFERROR(
    A85 &amp; "," &amp; TEXT(IF(ISNUMBER(DV85+DW85), DV85+DW85, 0), "00.00"),    "Error"
)</f>
        <v>5870,00.00</v>
      </c>
      <c r="ET85" s="64" t="str">
        <f t="shared" ref="ET85:ET130" ca="1" si="488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IF(ISNUMBER(DV85+DW85), (DV85+DW85),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IF(ISNUMBER(DV85+DW85), (DV85+DW85), 0)
        )))),
    "00.00")
)</f>
        <v>5870,00.00</v>
      </c>
      <c r="EU85" s="67">
        <v>562.6</v>
      </c>
      <c r="EV85" s="67" t="s">
        <v>699</v>
      </c>
      <c r="EW85" s="67">
        <v>485.05</v>
      </c>
      <c r="EX85" s="67" t="s">
        <v>700</v>
      </c>
      <c r="EY85" s="67">
        <v>5639.5</v>
      </c>
      <c r="EZ85" s="67" t="s">
        <v>701</v>
      </c>
      <c r="FA85" s="67">
        <v>19925.5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5860</v>
      </c>
      <c r="B86" s="3">
        <f t="shared" si="447"/>
        <v>0</v>
      </c>
      <c r="C86" s="3">
        <f t="shared" si="448"/>
        <v>436</v>
      </c>
      <c r="D86" s="3">
        <f t="shared" si="449"/>
        <v>1164</v>
      </c>
      <c r="E86" s="3">
        <f t="shared" si="450"/>
        <v>1600</v>
      </c>
      <c r="F86" s="4">
        <f>+$F$84/$A$84*A86</f>
        <v>5884.8480565371028</v>
      </c>
      <c r="G86" s="4">
        <f t="shared" ref="G86:G98" si="489">+$G$84/$A$84*A86</f>
        <v>584.75759717314486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0</v>
      </c>
      <c r="AN86" s="20">
        <v>0</v>
      </c>
      <c r="AO86" s="20">
        <v>5860</v>
      </c>
      <c r="AP86" s="20">
        <v>0</v>
      </c>
      <c r="AQ86" s="20">
        <v>0</v>
      </c>
      <c r="AR86" s="20"/>
      <c r="AS86" s="54">
        <f>IF(RTD("tos.rtd",,AS$83,"."&amp;$B$82&amp;$AS$82&amp;"C"&amp;$A86)="N/A",0,RTD("tos.rtd",,AS$83,"."&amp;$B$82&amp;$AS$82&amp;"C"&amp;$A86))</f>
        <v>0</v>
      </c>
      <c r="AT86" s="3">
        <f>-IF(RTD("tos.rtd",,AT$83,"."&amp;$B$82&amp;$AS$82&amp;"P"&amp;$A86)="N/A",0,RTD("tos.rtd",,AT$83,"."&amp;$B$82&amp;$AS$82&amp;"P"&amp;$A86))</f>
        <v>0</v>
      </c>
      <c r="AU86" s="54">
        <f>IF(RTD("tos.rtd",,AU$83,"."&amp;$C$82&amp;$AU$82&amp;"C"&amp;$A86)="N/A",0,RTD("tos.rtd",,AU$83,"."&amp;$C$82&amp;$AU$82&amp;"C"&amp;$A86))</f>
        <v>434</v>
      </c>
      <c r="AV86" s="3">
        <f>-IF(RTD("tos.rtd",,AV$83,"."&amp;$C$82&amp;$AU$82&amp;"P"&amp;$A86)="N/A",0,RTD("tos.rtd",,AV$83,"."&amp;$C$82&amp;$AU$82&amp;"P"&amp;$A86))</f>
        <v>-2</v>
      </c>
      <c r="AW86" s="54">
        <f>IF(RTD("tos.rtd",,AW$83,"."&amp;$D$82&amp;$AW$82&amp;"C"&amp;$A86)="N/A",0,RTD("tos.rtd",,AW$83,"."&amp;$D$82&amp;$AW$82&amp;"C"&amp;$A86))</f>
        <v>921</v>
      </c>
      <c r="AX86" s="3">
        <f>-IF(RTD("tos.rtd",,AX$83,"."&amp;$D$82&amp;$AW$82&amp;"P"&amp;$A86)="N/A",0,RTD("tos.rtd",,AX$83,"."&amp;$D$82&amp;$AW$82&amp;"P"&amp;$A86))</f>
        <v>-243</v>
      </c>
      <c r="AY86" s="79">
        <f t="shared" ref="AY86:AY98" si="490">SUM(AS86:AX86)</f>
        <v>1110</v>
      </c>
      <c r="AZ86" s="8">
        <f t="shared" si="451"/>
        <v>5860</v>
      </c>
      <c r="BA86" s="54">
        <f>IF(RTD("tos.rtd",,BA$83,"."&amp;$B$82&amp;$AS$82&amp;"C"&amp;$A86)="N/A",0,RTD("tos.rtd",,BA$83,"."&amp;$B$82&amp;$AS$82&amp;"C"&amp;$A86))</f>
        <v>0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1920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204</v>
      </c>
      <c r="BF86" s="3">
        <f>-IF(RTD("tos.rtd",,BF$83,"."&amp;$D$82&amp;$AW$82&amp;"P"&amp;$A86)="N/A",0,RTD("tos.rtd",,BF$83,"."&amp;$D$82&amp;$AW$82&amp;"P"&amp;$A86))</f>
        <v>0</v>
      </c>
      <c r="BG86" s="3">
        <f ca="1">+Hoja2!Y87</f>
        <v>115</v>
      </c>
      <c r="BH86" s="55">
        <f t="shared" ref="BH86:BH130" ca="1" si="491">SUM(BA86:BG86)</f>
        <v>2239</v>
      </c>
      <c r="BI86" s="32"/>
      <c r="BJ86" s="3" t="e">
        <f ca="1">IF($BP$1=1,DX86,IF(RTD("tos.rtd",,BJ$83,"."&amp;$B$82&amp;$AS$82&amp;"C"&amp;$A86)="N/A",0,RTD("tos.rtd",,BJ$83,"."&amp;$B$82&amp;$AS$82&amp;"C"&amp;$A86)))</f>
        <v>#NUM!</v>
      </c>
      <c r="BK86" s="3" t="e">
        <f ca="1">IF($BP$1=1,DY86,-IF(RTD("tos.rtd",,BK$83,"."&amp;$B$82&amp;$AS$82&amp;"P"&amp;$A86)="N/A",0,RTD("tos.rtd",,BK$83,"."&amp;$B$82&amp;$AS$82&amp;"P"&amp;$A86)))</f>
        <v>#NUM!</v>
      </c>
      <c r="BL86" s="3" t="e">
        <f ca="1">IF($BP$1=1,DZ86,IF(RTD("tos.rtd",,BL$83,"."&amp;$C$82&amp;$AU$82&amp;"C"&amp;$A86)="N/A",0,RTD("tos.rtd",,BL$83,"."&amp;$C$82&amp;$AU$82&amp;"C"&amp;$A86)))</f>
        <v>#NUM!</v>
      </c>
      <c r="BM86" s="3" t="e">
        <f ca="1">IF($BP$1=1,EA86,-IF(RTD("tos.rtd",,BM$83,"."&amp;$C$82&amp;$AU$82&amp;"P"&amp;$A86)="N/A",0,RTD("tos.rtd",,BM$83,"."&amp;$C$82&amp;$AU$82&amp;"P"&amp;$A86)))</f>
        <v>#NUM!</v>
      </c>
      <c r="BN86" s="3" t="e">
        <f ca="1">IF($BP$1=1,EB86,IF(RTD("tos.rtd",,BN$83,"."&amp;$D$82&amp;$AW$82&amp;"C"&amp;$A86)="N/A",0,RTD("tos.rtd",,BN$83,"."&amp;$D$82&amp;$AW$82&amp;"C"&amp;$A86)))</f>
        <v>#NUM!</v>
      </c>
      <c r="BO86" s="3" t="e">
        <f ca="1">IF($BP$1=1,EC86,-IF(RTD("tos.rtd",,BO$83,"."&amp;$D$82&amp;$AW$82&amp;"P"&amp;$A86)="N/A",0,RTD("tos.rtd",,BO$83,"."&amp;$D$82&amp;$AW$82&amp;"P"&amp;$A86)))</f>
        <v>#NUM!</v>
      </c>
      <c r="BQ86" s="3" t="e">
        <f t="shared" ca="1" si="452"/>
        <v>#NUM!</v>
      </c>
      <c r="BR86" s="3" t="e">
        <f t="shared" ref="BR86:BV130" ca="1" si="492">IF(AND(BQ86&lt;0,BQ85&gt;0), "Cruce -", IF(AND(BQ86&gt;0,BQ85&lt;0),"Cruce +", ""))</f>
        <v>#NUM!</v>
      </c>
      <c r="BS86" s="3" t="e">
        <f t="shared" ca="1" si="453"/>
        <v>#NUM!</v>
      </c>
      <c r="BT86" s="3" t="e">
        <f t="shared" ca="1" si="492"/>
        <v>#NUM!</v>
      </c>
      <c r="BU86" s="3" t="e">
        <f t="shared" ca="1" si="454"/>
        <v>#NUM!</v>
      </c>
      <c r="BV86" s="3" t="e">
        <f t="shared" ca="1" si="492"/>
        <v>#NUM!</v>
      </c>
      <c r="BX86" s="3" t="e">
        <f t="shared" ca="1" si="455"/>
        <v>#NUM!</v>
      </c>
      <c r="BY86" s="3" t="e">
        <f ca="1">IF(AND(BX86&lt;0,BX85&gt;0), "Cruce -", IF(AND(BX86&gt;0,BX85&lt;0),"Cruce +", ""))</f>
        <v>#NUM!</v>
      </c>
      <c r="BZ86" s="3" t="e">
        <f t="shared" ca="1" si="456"/>
        <v>#NUM!</v>
      </c>
      <c r="CA86" s="3" t="e">
        <f ca="1">IF(AND(BZ86&lt;0,BZ85&gt;0), "Cruce -", IF(AND(BZ86&gt;0,BZ85&lt;0),"Cruce +", ""))</f>
        <v>#NUM!</v>
      </c>
      <c r="CB86" s="3" t="e">
        <f t="shared" ca="1" si="457"/>
        <v>#NUM!</v>
      </c>
      <c r="CC86" s="3" t="e">
        <f ca="1">IF(AND(CB86&lt;0,CB85&gt;0), "Cruce -", IF(AND(CB86&gt;0,CB85&lt;0),"Cruce +", ""))</f>
        <v>#NUM!</v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</v>
      </c>
      <c r="CF86" s="3">
        <f>IF(RTD("tos.rtd",,CF$83,"."&amp;$C$82&amp;$AU$82&amp;"C"&amp;$A86)="N/A",0,RTD("tos.rtd",,CF$83,"."&amp;$C$82&amp;$AU$82&amp;"C"&amp;$A86))</f>
        <v>0</v>
      </c>
      <c r="CG86" s="3">
        <f>-IF(RTD("tos.rtd",,CG$83,"."&amp;$C$82&amp;$AU$82&amp;"P"&amp;$A86)="N/A",0,RTD("tos.rtd",,CG$83,"."&amp;$C$82&amp;$AU$82&amp;"P"&amp;$A86))</f>
        <v>0.98</v>
      </c>
      <c r="CH86" s="3">
        <f>IF(RTD("tos.rtd",,CH$83,"."&amp;$D$82&amp;$AW$82&amp;"C"&amp;$A86)="N/A",0,RTD("tos.rtd",,CH$83,"."&amp;$D$82&amp;$AW$82&amp;"C"&amp;$A86))</f>
        <v>0.09</v>
      </c>
      <c r="CI86" s="3">
        <f>-IF(RTD("tos.rtd",,CI$83,"."&amp;$D$82&amp;$AW$82&amp;"P"&amp;$A86)="N/A",0,RTD("tos.rtd",,CI$83,"."&amp;$D$82&amp;$AW$82&amp;"P"&amp;$A86))</f>
        <v>0.94</v>
      </c>
      <c r="CK86" s="3">
        <f t="shared" ref="CK86:CK130" si="493">+AS86*CD86*100+AT86*CE86*100</f>
        <v>0</v>
      </c>
      <c r="CL86" s="3"/>
      <c r="CM86" s="3">
        <f t="shared" ref="CM86:CM130" si="494">+AU86*CF86*100+AV86*CG86*100</f>
        <v>-196</v>
      </c>
      <c r="CN86" s="3"/>
      <c r="CO86" s="3">
        <f t="shared" ref="CO86:CO130" si="495">+AW86*CH86*100+AX86*CI86*100</f>
        <v>-14553</v>
      </c>
      <c r="CP86" s="3">
        <f t="shared" si="458"/>
        <v>-14749</v>
      </c>
      <c r="CQ86" s="3">
        <f t="shared" si="459"/>
        <v>0</v>
      </c>
      <c r="CR86" s="3"/>
      <c r="CS86" s="3">
        <f t="shared" si="460"/>
        <v>1920</v>
      </c>
      <c r="CT86" s="3"/>
      <c r="CU86" s="3">
        <f t="shared" si="461"/>
        <v>204</v>
      </c>
      <c r="CV86" s="3"/>
      <c r="CW86" s="3" t="e">
        <f t="shared" ref="CW86:CW98" ca="1" si="496">+BQ86+BS86+BU86</f>
        <v>#NUM!</v>
      </c>
      <c r="CY86" s="3" t="e">
        <f t="shared" ca="1" si="463"/>
        <v>#NUM!</v>
      </c>
      <c r="CZ86" s="70" t="e">
        <f ca="1">IF(AND(CY86&lt;0,CY85&gt;0), "Cruce -", IF(AND(CY86&gt;0,CY85&lt;0),"Cruce +", ""))</f>
        <v>#NUM!</v>
      </c>
      <c r="DA86" s="3">
        <f>IF(RTD("tos.rtd",,DA$83,"."&amp;$B$82&amp;$AS$82&amp;"C"&amp;$A86)="N/A",0,RTD("tos.rtd",,DA$83,"."&amp;$B$82&amp;$AS$82&amp;"C"&amp;$A86))</f>
        <v>0</v>
      </c>
      <c r="DB86" s="3">
        <f>IF(RTD("tos.rtd",,DB$83,"."&amp;$B$82&amp;$AS$82&amp;"P"&amp;$A86)="N/A",0,RTD("tos.rtd",,DB$83,"."&amp;$B$82&amp;$AS$82&amp;"P"&amp;$A86))</f>
        <v>0</v>
      </c>
      <c r="DC86" s="3">
        <f>IF(RTD("tos.rtd",,DC$83,"."&amp;$B$82&amp;$AS$82&amp;"C"&amp;$A86)="N/A",0,RTD("tos.rtd",,DC$83,"."&amp;$B$82&amp;$AS$82&amp;"C"&amp;$A86))</f>
        <v>0</v>
      </c>
      <c r="DD86" s="3">
        <f>IF(RTD("tos.rtd",,DD$83,"."&amp;$B$82&amp;$AS$82&amp;"P"&amp;$A86)="N/A",0,RTD("tos.rtd",,DD$83,"."&amp;$B$82&amp;$AS$82&amp;"P"&amp;$A86))</f>
        <v>0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0</v>
      </c>
      <c r="DG86" s="86">
        <f t="shared" ref="DG86:DG130" si="497">+$A86-$A$84</f>
        <v>200</v>
      </c>
      <c r="DH86" s="3" t="e">
        <f t="shared" si="464"/>
        <v>#DIV/0!</v>
      </c>
      <c r="DI86" s="3" t="e">
        <f t="shared" si="465"/>
        <v>#DIV/0!</v>
      </c>
      <c r="DJ86" s="3">
        <f t="shared" si="466"/>
        <v>0</v>
      </c>
      <c r="DK86" s="3">
        <f t="shared" si="467"/>
        <v>0</v>
      </c>
      <c r="DL86" s="3" t="e">
        <f t="shared" si="468"/>
        <v>#DIV/0!</v>
      </c>
      <c r="DM86" s="3">
        <f t="shared" si="469"/>
        <v>0</v>
      </c>
      <c r="DN86" s="64" t="str">
        <f t="shared" si="470"/>
        <v>UNKNOWN</v>
      </c>
      <c r="DO86" s="64" t="str">
        <f t="shared" si="471"/>
        <v>UNKNOWN</v>
      </c>
      <c r="DP86" s="3" t="e">
        <f t="shared" si="472"/>
        <v>#DIV/0!</v>
      </c>
      <c r="DQ86" s="3">
        <f t="shared" si="473"/>
        <v>0</v>
      </c>
      <c r="DR86" s="3" t="e">
        <f t="shared" ca="1" si="474"/>
        <v>#NUM!</v>
      </c>
      <c r="DS86" s="3">
        <f t="shared" si="475"/>
        <v>0</v>
      </c>
      <c r="DT86" s="3">
        <f t="shared" ref="DT86:DT130" si="498">BA86-VLOOKUP(AZ86,$AO$85:$AQ$130,2,FALSE)</f>
        <v>0</v>
      </c>
      <c r="DU86" s="3">
        <f t="shared" ref="DU86:DU130" si="499">BB86-VLOOKUP(AZ86,$AO$85:$AQ$130,3,FALSE)</f>
        <v>0</v>
      </c>
      <c r="DV86" s="3">
        <f t="shared" ref="DV86:DV130" si="500">AM86+IF(DN86="BUY",DT86,IF(DN86="SELL",-DT86,0))</f>
        <v>0</v>
      </c>
      <c r="DW86" s="3">
        <f t="shared" ref="DW86:DW130" si="501">AN86+IF(DO86="BUY",DU86,IF(DO86="SELL",-DU86,0))</f>
        <v>0</v>
      </c>
      <c r="DX86" s="3" t="e">
        <f ca="1">(EXP(-POWER((LN($A$84/$A86)+($EC$1+POWER($EE86,2)/2)*($EM$1/$DY$1))/($EE86*SQRT($EM$1/$DY$1)),2)/2)/SQRT(2*PI())/($A$84*$EE86*SQRT($EM$1/$DY$1)))</f>
        <v>#NUM!</v>
      </c>
      <c r="DY86" s="3" t="e">
        <f t="shared" ca="1" si="476"/>
        <v>#NUM!</v>
      </c>
      <c r="DZ86" s="3" t="e">
        <f t="shared" ca="1" si="477"/>
        <v>#NUM!</v>
      </c>
      <c r="EA86" s="3" t="e">
        <f t="shared" ca="1" si="478"/>
        <v>#NUM!</v>
      </c>
      <c r="EB86" s="3" t="e">
        <f t="shared" ca="1" si="479"/>
        <v>#NUM!</v>
      </c>
      <c r="EC86" s="3" t="e">
        <f t="shared" ca="1" si="480"/>
        <v>#NUM!</v>
      </c>
      <c r="EE86" s="59">
        <f t="shared" si="481"/>
        <v>0.25</v>
      </c>
      <c r="EF86" s="59">
        <f t="shared" si="482"/>
        <v>0.25</v>
      </c>
      <c r="EG86" s="59">
        <f t="shared" si="483"/>
        <v>1.5307999999999999</v>
      </c>
      <c r="EH86" s="59">
        <f t="shared" si="484"/>
        <v>2.2202000000000002</v>
      </c>
      <c r="EI86" s="59">
        <f t="shared" si="485"/>
        <v>0.21179999999999999</v>
      </c>
      <c r="EJ86" s="59">
        <f t="shared" si="486"/>
        <v>0.18140000000000001</v>
      </c>
      <c r="EL86" s="3" t="str">
        <f>RTD("tos.rtd",,EL$83,"."&amp;$B$82&amp;$AS$82&amp;"C"&amp;$A86)</f>
        <v>N/A</v>
      </c>
      <c r="EM86" s="3" t="str">
        <f>RTD("tos.rtd",,EM$83,"."&amp;$B$82&amp;$AS$82&amp;"P"&amp;$A86)</f>
        <v>N/A</v>
      </c>
      <c r="EN86" s="3" t="str">
        <f>RTD("tos.rtd",,EN$83,"."&amp;$C$82&amp;$AU$82&amp;"C"&amp;$A86)</f>
        <v>153.08%</v>
      </c>
      <c r="EO86" s="3" t="str">
        <f>RTD("tos.rtd",,EO$83,"."&amp;$C$82&amp;$AU$82&amp;"P"&amp;$A86)</f>
        <v>222.02%</v>
      </c>
      <c r="EP86" s="3" t="str">
        <f>RTD("tos.rtd",,EP$83,"."&amp;$D$82&amp;$AW$82&amp;"C"&amp;$A86)</f>
        <v>21.18%</v>
      </c>
      <c r="EQ86" s="3" t="str">
        <f>RTD("tos.rtd",,EQ$83,"."&amp;$D$82&amp;$AW$82&amp;"P"&amp;$A86)</f>
        <v>18.14%</v>
      </c>
      <c r="ES86" s="63" t="str">
        <f t="shared" si="487"/>
        <v>5860,00.00</v>
      </c>
      <c r="ET86" s="64" t="str">
        <f t="shared" ca="1" si="488"/>
        <v>5860,00.00</v>
      </c>
      <c r="EU86" s="67">
        <v>562.67999999999995</v>
      </c>
      <c r="EV86" s="67" t="s">
        <v>707</v>
      </c>
      <c r="EW86" s="67">
        <v>485.12</v>
      </c>
      <c r="EX86" s="67" t="s">
        <v>708</v>
      </c>
      <c r="EY86" s="67">
        <v>5640.5</v>
      </c>
      <c r="EZ86" s="67" t="s">
        <v>709</v>
      </c>
      <c r="FA86" s="67">
        <v>19929.75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502">+A86-$A$81</f>
        <v>5850</v>
      </c>
      <c r="B87" s="3">
        <f t="shared" si="447"/>
        <v>2475</v>
      </c>
      <c r="C87" s="3">
        <f t="shared" si="448"/>
        <v>8668</v>
      </c>
      <c r="D87" s="3">
        <f t="shared" si="449"/>
        <v>3715</v>
      </c>
      <c r="E87" s="3">
        <f t="shared" si="450"/>
        <v>14858</v>
      </c>
      <c r="F87" s="4">
        <f t="shared" ref="F87:F92" si="503">+$F$84/$A$84*A87</f>
        <v>5874.8056537102475</v>
      </c>
      <c r="G87" s="4">
        <f t="shared" si="489"/>
        <v>583.7597173144876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681</v>
      </c>
      <c r="AN87" s="20">
        <v>-135</v>
      </c>
      <c r="AO87" s="20">
        <v>5850</v>
      </c>
      <c r="AP87" s="20">
        <v>1188</v>
      </c>
      <c r="AQ87" s="20">
        <v>-163</v>
      </c>
      <c r="AR87" s="20"/>
      <c r="AS87" s="54">
        <f>IF(RTD("tos.rtd",,AS$83,"."&amp;$B$82&amp;$AS$82&amp;"C"&amp;$A87)="N/A",0,RTD("tos.rtd",,AS$83,"."&amp;$B$82&amp;$AS$82&amp;"C"&amp;$A87))</f>
        <v>2326</v>
      </c>
      <c r="AT87" s="3">
        <f>-IF(RTD("tos.rtd",,AT$83,"."&amp;$B$82&amp;$AS$82&amp;"P"&amp;$A87)="N/A",0,RTD("tos.rtd",,AT$83,"."&amp;$B$82&amp;$AS$82&amp;"P"&amp;$A87))</f>
        <v>-149</v>
      </c>
      <c r="AU87" s="54">
        <f>IF(RTD("tos.rtd",,AU$83,"."&amp;$C$82&amp;$AU$82&amp;"C"&amp;$A87)="N/A",0,RTD("tos.rtd",,AU$83,"."&amp;$C$82&amp;$AU$82&amp;"C"&amp;$A87))</f>
        <v>8457</v>
      </c>
      <c r="AV87" s="3">
        <f>-IF(RTD("tos.rtd",,AV$83,"."&amp;$C$82&amp;$AU$82&amp;"P"&amp;$A87)="N/A",0,RTD("tos.rtd",,AV$83,"."&amp;$C$82&amp;$AU$82&amp;"P"&amp;$A87))</f>
        <v>-211</v>
      </c>
      <c r="AW87" s="54">
        <f>IF(RTD("tos.rtd",,AW$83,"."&amp;$D$82&amp;$AW$82&amp;"C"&amp;$A87)="N/A",0,RTD("tos.rtd",,AW$83,"."&amp;$D$82&amp;$AW$82&amp;"C"&amp;$A87))</f>
        <v>2908</v>
      </c>
      <c r="AX87" s="3">
        <f>-IF(RTD("tos.rtd",,AX$83,"."&amp;$D$82&amp;$AW$82&amp;"P"&amp;$A87)="N/A",0,RTD("tos.rtd",,AX$83,"."&amp;$D$82&amp;$AW$82&amp;"P"&amp;$A87))</f>
        <v>-807</v>
      </c>
      <c r="AY87" s="79">
        <f t="shared" si="490"/>
        <v>12524</v>
      </c>
      <c r="AZ87" s="8">
        <f t="shared" si="451"/>
        <v>5850</v>
      </c>
      <c r="BA87" s="54">
        <f>IF(RTD("tos.rtd",,BA$83,"."&amp;$B$82&amp;$AS$82&amp;"C"&amp;$A87)="N/A",0,RTD("tos.rtd",,BA$83,"."&amp;$B$82&amp;$AS$82&amp;"C"&amp;$A87))</f>
        <v>0</v>
      </c>
      <c r="BB87" s="3">
        <f>-IF(RTD("tos.rtd",,BB$83,"."&amp;$B$82&amp;$AS$82&amp;"P"&amp;$A87)="N/A",0,RTD("tos.rtd",,BB$83,"."&amp;$B$82&amp;$AS$82&amp;"P"&amp;$A87))</f>
        <v>0</v>
      </c>
      <c r="BC87" s="54">
        <f>IF(RTD("tos.rtd",,BC$83,"."&amp;$C$82&amp;$AU$82&amp;"C"&amp;$A87)="N/A",0,RTD("tos.rtd",,BC$83,"."&amp;$C$82&amp;$AU$82&amp;"C"&amp;$A87))</f>
        <v>2180</v>
      </c>
      <c r="BD87" s="3">
        <f>-IF(RTD("tos.rtd",,BD$83,"."&amp;$C$82&amp;$AU$82&amp;"P"&amp;$A87)="N/A",0,RTD("tos.rtd",,BD$83,"."&amp;$C$82&amp;$AU$82&amp;"P"&amp;$A87))</f>
        <v>-174</v>
      </c>
      <c r="BE87" s="54">
        <f>IF(RTD("tos.rtd",,BE$83,"."&amp;$D$82&amp;$AW$82&amp;"C"&amp;$A87)="N/A",0,RTD("tos.rtd",,BE$83,"."&amp;$D$82&amp;$AW$82&amp;"C"&amp;$A87))</f>
        <v>1725</v>
      </c>
      <c r="BF87" s="3">
        <f>-IF(RTD("tos.rtd",,BF$83,"."&amp;$D$82&amp;$AW$82&amp;"P"&amp;$A87)="N/A",0,RTD("tos.rtd",,BF$83,"."&amp;$D$82&amp;$AW$82&amp;"P"&amp;$A87))</f>
        <v>-13</v>
      </c>
      <c r="BG87" s="3">
        <f ca="1">+Hoja2!Y88</f>
        <v>1216</v>
      </c>
      <c r="BH87" s="55">
        <f t="shared" ca="1" si="491"/>
        <v>4934</v>
      </c>
      <c r="BI87" s="32" t="str">
        <f ca="1">IF(AND(BH87&lt;0,BH86&gt;0), "Cruce -", IF(AND(BH87&gt;0,BH86&lt;0),"Cruce +", ""))</f>
        <v/>
      </c>
      <c r="BJ87" s="3" t="e">
        <f ca="1">IF($BP$1=1,DX87,IF(RTD("tos.rtd",,BJ$83,"."&amp;$B$82&amp;$AS$82&amp;"C"&amp;$A87)="N/A",0,RTD("tos.rtd",,BJ$83,"."&amp;$B$82&amp;$AS$82&amp;"C"&amp;$A87)))</f>
        <v>#NUM!</v>
      </c>
      <c r="BK87" s="3" t="e">
        <f ca="1">IF($BP$1=1,DY87,-IF(RTD("tos.rtd",,BK$83,"."&amp;$B$82&amp;$AS$82&amp;"P"&amp;$A87)="N/A",0,RTD("tos.rtd",,BK$83,"."&amp;$B$82&amp;$AS$82&amp;"P"&amp;$A87)))</f>
        <v>#NUM!</v>
      </c>
      <c r="BL87" s="3" t="e">
        <f ca="1">IF($BP$1=1,DZ87,IF(RTD("tos.rtd",,BL$83,"."&amp;$C$82&amp;$AU$82&amp;"C"&amp;$A87)="N/A",0,RTD("tos.rtd",,BL$83,"."&amp;$C$82&amp;$AU$82&amp;"C"&amp;$A87)))</f>
        <v>#NUM!</v>
      </c>
      <c r="BM87" s="3" t="e">
        <f ca="1">IF($BP$1=1,EA87,-IF(RTD("tos.rtd",,BM$83,"."&amp;$C$82&amp;$AU$82&amp;"P"&amp;$A87)="N/A",0,RTD("tos.rtd",,BM$83,"."&amp;$C$82&amp;$AU$82&amp;"P"&amp;$A87)))</f>
        <v>#NUM!</v>
      </c>
      <c r="BN87" s="3" t="e">
        <f ca="1">IF($BP$1=1,EB87,IF(RTD("tos.rtd",,BN$83,"."&amp;$D$82&amp;$AW$82&amp;"C"&amp;$A87)="N/A",0,RTD("tos.rtd",,BN$83,"."&amp;$D$82&amp;$AW$82&amp;"C"&amp;$A87)))</f>
        <v>#NUM!</v>
      </c>
      <c r="BO87" s="3" t="e">
        <f ca="1">IF($BP$1=1,EC87,-IF(RTD("tos.rtd",,BO$83,"."&amp;$D$82&amp;$AW$82&amp;"P"&amp;$A87)="N/A",0,RTD("tos.rtd",,BO$83,"."&amp;$D$82&amp;$AW$82&amp;"P"&amp;$A87)))</f>
        <v>#NUM!</v>
      </c>
      <c r="BQ87" s="3" t="e">
        <f t="shared" ca="1" si="452"/>
        <v>#NUM!</v>
      </c>
      <c r="BR87" s="3" t="e">
        <f t="shared" ca="1" si="492"/>
        <v>#NUM!</v>
      </c>
      <c r="BS87" s="3" t="e">
        <f t="shared" ca="1" si="453"/>
        <v>#NUM!</v>
      </c>
      <c r="BT87" s="3" t="e">
        <f t="shared" ca="1" si="492"/>
        <v>#NUM!</v>
      </c>
      <c r="BU87" s="3" t="e">
        <f t="shared" ca="1" si="454"/>
        <v>#NUM!</v>
      </c>
      <c r="BV87" s="3" t="e">
        <f t="shared" ca="1" si="492"/>
        <v>#NUM!</v>
      </c>
      <c r="BX87" s="3" t="e">
        <f t="shared" ca="1" si="455"/>
        <v>#NUM!</v>
      </c>
      <c r="BY87" s="3" t="e">
        <f t="shared" ref="BY87:CC130" ca="1" si="504">IF(AND(BX87&lt;0,BX86&gt;0), "Cruce -", IF(AND(BX87&gt;0,BX86&lt;0),"Cruce +", ""))</f>
        <v>#NUM!</v>
      </c>
      <c r="BZ87" s="3" t="e">
        <f t="shared" ca="1" si="456"/>
        <v>#NUM!</v>
      </c>
      <c r="CA87" s="3" t="e">
        <f t="shared" ca="1" si="504"/>
        <v>#NUM!</v>
      </c>
      <c r="CB87" s="3" t="e">
        <f t="shared" ca="1" si="457"/>
        <v>#NUM!</v>
      </c>
      <c r="CC87" s="3" t="e">
        <f t="shared" ca="1" si="504"/>
        <v>#NUM!</v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0.87</v>
      </c>
      <c r="CF87" s="3">
        <f>IF(RTD("tos.rtd",,CF$83,"."&amp;$C$82&amp;$AU$82&amp;"C"&amp;$A87)="N/A",0,RTD("tos.rtd",,CF$83,"."&amp;$C$82&amp;$AU$82&amp;"C"&amp;$A87))</f>
        <v>0</v>
      </c>
      <c r="CG87" s="3">
        <f>-IF(RTD("tos.rtd",,CG$83,"."&amp;$C$82&amp;$AU$82&amp;"P"&amp;$A87)="N/A",0,RTD("tos.rtd",,CG$83,"."&amp;$C$82&amp;$AU$82&amp;"P"&amp;$A87))</f>
        <v>0.98</v>
      </c>
      <c r="CH87" s="3">
        <f>IF(RTD("tos.rtd",,CH$83,"."&amp;$D$82&amp;$AW$82&amp;"C"&amp;$A87)="N/A",0,RTD("tos.rtd",,CH$83,"."&amp;$D$82&amp;$AW$82&amp;"C"&amp;$A87))</f>
        <v>0.1</v>
      </c>
      <c r="CI87" s="3">
        <f>-IF(RTD("tos.rtd",,CI$83,"."&amp;$D$82&amp;$AW$82&amp;"P"&amp;$A87)="N/A",0,RTD("tos.rtd",,CI$83,"."&amp;$D$82&amp;$AW$82&amp;"P"&amp;$A87))</f>
        <v>0.93</v>
      </c>
      <c r="CK87" s="3">
        <f t="shared" si="493"/>
        <v>-12963</v>
      </c>
      <c r="CL87" s="3"/>
      <c r="CM87" s="3">
        <f t="shared" si="494"/>
        <v>-20678</v>
      </c>
      <c r="CN87" s="3"/>
      <c r="CO87" s="3">
        <f t="shared" si="495"/>
        <v>-45971</v>
      </c>
      <c r="CP87" s="3">
        <f t="shared" si="458"/>
        <v>-79612</v>
      </c>
      <c r="CQ87" s="3">
        <f t="shared" si="459"/>
        <v>0</v>
      </c>
      <c r="CR87" s="3"/>
      <c r="CS87" s="3">
        <f t="shared" si="460"/>
        <v>2006</v>
      </c>
      <c r="CT87" s="3"/>
      <c r="CU87" s="3">
        <f t="shared" si="461"/>
        <v>1712</v>
      </c>
      <c r="CV87" s="3"/>
      <c r="CW87" s="3" t="e">
        <f t="shared" ca="1" si="496"/>
        <v>#NUM!</v>
      </c>
      <c r="CY87" s="3" t="e">
        <f t="shared" ca="1" si="463"/>
        <v>#NUM!</v>
      </c>
      <c r="CZ87" s="70" t="e">
        <f t="shared" ref="CZ87:CZ130" ca="1" si="505">IF(AND(CY87&lt;0,CY86&gt;0), "Cruce -", IF(AND(CY87&gt;0,CY86&lt;0),"Cruce +", ""))</f>
        <v>#NUM!</v>
      </c>
      <c r="DA87" s="3">
        <f>IF(RTD("tos.rtd",,DA$83,"."&amp;$B$82&amp;$AS$82&amp;"C"&amp;$A87)="N/A",0,RTD("tos.rtd",,DA$83,"."&amp;$B$82&amp;$AS$82&amp;"C"&amp;$A87))</f>
        <v>0.03</v>
      </c>
      <c r="DB87" s="3">
        <f>IF(RTD("tos.rtd",,DB$83,"."&amp;$B$82&amp;$AS$82&amp;"P"&amp;$A87)="N/A",0,RTD("tos.rtd",,DB$83,"."&amp;$B$82&amp;$AS$82&amp;"P"&amp;$A87))</f>
        <v>185.23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208.3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191.9</v>
      </c>
      <c r="DG87" s="86">
        <f t="shared" si="497"/>
        <v>190</v>
      </c>
      <c r="DH87" s="3">
        <f t="shared" si="464"/>
        <v>-712.8</v>
      </c>
      <c r="DI87" s="3">
        <f t="shared" si="465"/>
        <v>-66.29329268292696</v>
      </c>
      <c r="DJ87" s="3">
        <f t="shared" si="466"/>
        <v>-1188</v>
      </c>
      <c r="DK87" s="3">
        <f t="shared" si="467"/>
        <v>-163</v>
      </c>
      <c r="DL87" s="3">
        <f t="shared" si="468"/>
        <v>-779.09329268292686</v>
      </c>
      <c r="DM87" s="3">
        <f t="shared" si="469"/>
        <v>-1351</v>
      </c>
      <c r="DN87" s="64" t="str">
        <f t="shared" si="470"/>
        <v>UNKNOWN</v>
      </c>
      <c r="DO87" s="64" t="str">
        <f t="shared" si="471"/>
        <v>UNKNOWN</v>
      </c>
      <c r="DP87" s="3">
        <f t="shared" si="472"/>
        <v>-12300.890603658559</v>
      </c>
      <c r="DQ87" s="3">
        <f t="shared" si="473"/>
        <v>-30228.129999999997</v>
      </c>
      <c r="DR87" s="3" t="e">
        <f t="shared" ca="1" si="474"/>
        <v>#NUM!</v>
      </c>
      <c r="DS87" s="3">
        <f t="shared" si="475"/>
        <v>-141.81</v>
      </c>
      <c r="DT87" s="3">
        <f t="shared" si="498"/>
        <v>-1188</v>
      </c>
      <c r="DU87" s="3">
        <f t="shared" si="499"/>
        <v>163</v>
      </c>
      <c r="DV87" s="3">
        <f t="shared" si="500"/>
        <v>681</v>
      </c>
      <c r="DW87" s="3">
        <f t="shared" si="501"/>
        <v>-135</v>
      </c>
      <c r="DX87" s="3" t="e">
        <f t="shared" ref="DX87:DX130" ca="1" si="506">(EXP(-POWER((LN($A$84/$A87)+($EC$1+POWER($EE87,2)/2)*($EM$1/$DY$1))/($EE87*SQRT($EM$1/$DY$1)),2)/2)/SQRT(2*PI())/($A$84*$EE87*SQRT($EM$1/$DY$1)))</f>
        <v>#NUM!</v>
      </c>
      <c r="DY87" s="3" t="e">
        <f t="shared" ca="1" si="476"/>
        <v>#NUM!</v>
      </c>
      <c r="DZ87" s="3" t="e">
        <f t="shared" ca="1" si="477"/>
        <v>#NUM!</v>
      </c>
      <c r="EA87" s="3" t="e">
        <f t="shared" ca="1" si="478"/>
        <v>#NUM!</v>
      </c>
      <c r="EB87" s="3" t="e">
        <f t="shared" ca="1" si="479"/>
        <v>#NUM!</v>
      </c>
      <c r="EC87" s="3" t="e">
        <f t="shared" ca="1" si="480"/>
        <v>#NUM!</v>
      </c>
      <c r="EE87" s="59">
        <f t="shared" si="481"/>
        <v>1.4619</v>
      </c>
      <c r="EF87" s="59">
        <f t="shared" si="482"/>
        <v>3.7763</v>
      </c>
      <c r="EG87" s="59">
        <f t="shared" si="483"/>
        <v>1.4619</v>
      </c>
      <c r="EH87" s="59">
        <f t="shared" si="484"/>
        <v>2.1507000000000001</v>
      </c>
      <c r="EI87" s="59">
        <f t="shared" si="485"/>
        <v>0.2127</v>
      </c>
      <c r="EJ87" s="59">
        <f t="shared" si="486"/>
        <v>0.18609999999999999</v>
      </c>
      <c r="EL87" s="3" t="str">
        <f>RTD("tos.rtd",,EL$83,"."&amp;$B$82&amp;$AS$82&amp;"C"&amp;$A87)</f>
        <v>146.19%</v>
      </c>
      <c r="EM87" s="3" t="str">
        <f>RTD("tos.rtd",,EM$83,"."&amp;$B$82&amp;$AS$82&amp;"P"&amp;$A87)</f>
        <v>377.63%</v>
      </c>
      <c r="EN87" s="3" t="str">
        <f>RTD("tos.rtd",,EN$83,"."&amp;$C$82&amp;$AU$82&amp;"C"&amp;$A87)</f>
        <v>146.19%</v>
      </c>
      <c r="EO87" s="3" t="str">
        <f>RTD("tos.rtd",,EO$83,"."&amp;$C$82&amp;$AU$82&amp;"P"&amp;$A87)</f>
        <v>215.07%</v>
      </c>
      <c r="EP87" s="3" t="str">
        <f>RTD("tos.rtd",,EP$83,"."&amp;$D$82&amp;$AW$82&amp;"C"&amp;$A87)</f>
        <v>21.27%</v>
      </c>
      <c r="EQ87" s="3" t="str">
        <f>RTD("tos.rtd",,EQ$83,"."&amp;$D$82&amp;$AW$82&amp;"P"&amp;$A87)</f>
        <v>18.61%</v>
      </c>
      <c r="ES87" s="63" t="str">
        <f t="shared" si="487"/>
        <v>5850,546.00</v>
      </c>
      <c r="ET87" s="64" t="str">
        <f t="shared" ca="1" si="488"/>
        <v>5850,00.00</v>
      </c>
      <c r="EU87" s="67">
        <v>562.63</v>
      </c>
      <c r="EV87" s="67" t="s">
        <v>715</v>
      </c>
      <c r="EW87" s="67">
        <v>485.08</v>
      </c>
      <c r="EX87" s="67" t="s">
        <v>716</v>
      </c>
      <c r="EY87" s="67">
        <v>5639.75</v>
      </c>
      <c r="EZ87" s="67" t="s">
        <v>717</v>
      </c>
      <c r="FA87" s="67">
        <v>19927.25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502"/>
        <v>5840</v>
      </c>
      <c r="B88" s="3">
        <f t="shared" si="447"/>
        <v>0</v>
      </c>
      <c r="C88" s="3">
        <f t="shared" si="448"/>
        <v>1485</v>
      </c>
      <c r="D88" s="3">
        <f t="shared" si="449"/>
        <v>495</v>
      </c>
      <c r="E88" s="3">
        <f t="shared" si="450"/>
        <v>1980</v>
      </c>
      <c r="F88" s="4">
        <f t="shared" si="503"/>
        <v>5864.7632508833922</v>
      </c>
      <c r="G88" s="4">
        <f t="shared" si="489"/>
        <v>582.76183745583035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0</v>
      </c>
      <c r="AN88" s="20">
        <v>0</v>
      </c>
      <c r="AO88" s="20">
        <v>5840</v>
      </c>
      <c r="AP88" s="20">
        <v>0</v>
      </c>
      <c r="AQ88" s="20">
        <v>0</v>
      </c>
      <c r="AR88" s="20"/>
      <c r="AS88" s="54">
        <f>IF(RTD("tos.rtd",,AS$83,"."&amp;$B$82&amp;$AS$82&amp;"C"&amp;$A88)="N/A",0,RTD("tos.rtd",,AS$83,"."&amp;$B$82&amp;$AS$82&amp;"C"&amp;$A88))</f>
        <v>0</v>
      </c>
      <c r="AT88" s="3">
        <f>-IF(RTD("tos.rtd",,AT$83,"."&amp;$B$82&amp;$AS$82&amp;"P"&amp;$A88)="N/A",0,RTD("tos.rtd",,AT$83,"."&amp;$B$82&amp;$AS$82&amp;"P"&amp;$A88))</f>
        <v>0</v>
      </c>
      <c r="AU88" s="54">
        <f>IF(RTD("tos.rtd",,AU$83,"."&amp;$C$82&amp;$AU$82&amp;"C"&amp;$A88)="N/A",0,RTD("tos.rtd",,AU$83,"."&amp;$C$82&amp;$AU$82&amp;"C"&amp;$A88))</f>
        <v>1471</v>
      </c>
      <c r="AV88" s="3">
        <f>-IF(RTD("tos.rtd",,AV$83,"."&amp;$C$82&amp;$AU$82&amp;"P"&amp;$A88)="N/A",0,RTD("tos.rtd",,AV$83,"."&amp;$C$82&amp;$AU$82&amp;"P"&amp;$A88))</f>
        <v>-14</v>
      </c>
      <c r="AW88" s="54">
        <f>IF(RTD("tos.rtd",,AW$83,"."&amp;$D$82&amp;$AW$82&amp;"C"&amp;$A88)="N/A",0,RTD("tos.rtd",,AW$83,"."&amp;$D$82&amp;$AW$82&amp;"C"&amp;$A88))</f>
        <v>359</v>
      </c>
      <c r="AX88" s="3">
        <f>-IF(RTD("tos.rtd",,AX$83,"."&amp;$D$82&amp;$AW$82&amp;"P"&amp;$A88)="N/A",0,RTD("tos.rtd",,AX$83,"."&amp;$D$82&amp;$AW$82&amp;"P"&amp;$A88))</f>
        <v>-136</v>
      </c>
      <c r="AY88" s="79">
        <f t="shared" si="490"/>
        <v>1680</v>
      </c>
      <c r="AZ88" s="8">
        <f t="shared" si="451"/>
        <v>5840</v>
      </c>
      <c r="BA88" s="54">
        <f>IF(RTD("tos.rtd",,BA$83,"."&amp;$B$82&amp;$AS$82&amp;"C"&amp;$A88)="N/A",0,RTD("tos.rtd",,BA$83,"."&amp;$B$82&amp;$AS$82&amp;"C"&amp;$A88))</f>
        <v>0</v>
      </c>
      <c r="BB88" s="3">
        <f>-IF(RTD("tos.rtd",,BB$83,"."&amp;$B$82&amp;$AS$82&amp;"P"&amp;$A88)="N/A",0,RTD("tos.rtd",,BB$83,"."&amp;$B$82&amp;$AS$82&amp;"P"&amp;$A88))</f>
        <v>0</v>
      </c>
      <c r="BC88" s="54">
        <f>IF(RTD("tos.rtd",,BC$83,"."&amp;$C$82&amp;$AU$82&amp;"C"&amp;$A88)="N/A",0,RTD("tos.rtd",,BC$83,"."&amp;$C$82&amp;$AU$82&amp;"C"&amp;$A88))</f>
        <v>1796</v>
      </c>
      <c r="BD88" s="3">
        <f>-IF(RTD("tos.rtd",,BD$83,"."&amp;$C$82&amp;$AU$82&amp;"P"&amp;$A88)="N/A",0,RTD("tos.rtd",,BD$83,"."&amp;$C$82&amp;$AU$82&amp;"P"&amp;$A88))</f>
        <v>-16</v>
      </c>
      <c r="BE88" s="54">
        <f>IF(RTD("tos.rtd",,BE$83,"."&amp;$D$82&amp;$AW$82&amp;"C"&amp;$A88)="N/A",0,RTD("tos.rtd",,BE$83,"."&amp;$D$82&amp;$AW$82&amp;"C"&amp;$A88))</f>
        <v>308</v>
      </c>
      <c r="BF88" s="3">
        <f>-IF(RTD("tos.rtd",,BF$83,"."&amp;$D$82&amp;$AW$82&amp;"P"&amp;$A88)="N/A",0,RTD("tos.rtd",,BF$83,"."&amp;$D$82&amp;$AW$82&amp;"P"&amp;$A88))</f>
        <v>-25</v>
      </c>
      <c r="BG88" s="3">
        <f ca="1">+Hoja2!Y89</f>
        <v>234</v>
      </c>
      <c r="BH88" s="55">
        <f t="shared" ca="1" si="491"/>
        <v>2297</v>
      </c>
      <c r="BI88" s="32" t="str">
        <f t="shared" ref="BI88:BI130" ca="1" si="507">IF(AND(BH88&lt;0,BH87&gt;0), "Cruce -", IF(AND(BH88&gt;0,BH87&lt;0),"Cruce +", ""))</f>
        <v/>
      </c>
      <c r="BJ88" s="3" t="e">
        <f ca="1">IF($BP$1=1,DX88,IF(RTD("tos.rtd",,BJ$83,"."&amp;$B$82&amp;$AS$82&amp;"C"&amp;$A88)="N/A",0,RTD("tos.rtd",,BJ$83,"."&amp;$B$82&amp;$AS$82&amp;"C"&amp;$A88)))</f>
        <v>#NUM!</v>
      </c>
      <c r="BK88" s="3" t="e">
        <f ca="1">IF($BP$1=1,DY88,-IF(RTD("tos.rtd",,BK$83,"."&amp;$B$82&amp;$AS$82&amp;"P"&amp;$A88)="N/A",0,RTD("tos.rtd",,BK$83,"."&amp;$B$82&amp;$AS$82&amp;"P"&amp;$A88)))</f>
        <v>#NUM!</v>
      </c>
      <c r="BL88" s="3" t="e">
        <f ca="1">IF($BP$1=1,DZ88,IF(RTD("tos.rtd",,BL$83,"."&amp;$C$82&amp;$AU$82&amp;"C"&amp;$A88)="N/A",0,RTD("tos.rtd",,BL$83,"."&amp;$C$82&amp;$AU$82&amp;"C"&amp;$A88)))</f>
        <v>#NUM!</v>
      </c>
      <c r="BM88" s="3" t="e">
        <f ca="1">IF($BP$1=1,EA88,-IF(RTD("tos.rtd",,BM$83,"."&amp;$C$82&amp;$AU$82&amp;"P"&amp;$A88)="N/A",0,RTD("tos.rtd",,BM$83,"."&amp;$C$82&amp;$AU$82&amp;"P"&amp;$A88)))</f>
        <v>#NUM!</v>
      </c>
      <c r="BN88" s="3" t="e">
        <f ca="1">IF($BP$1=1,EB88,IF(RTD("tos.rtd",,BN$83,"."&amp;$D$82&amp;$AW$82&amp;"C"&amp;$A88)="N/A",0,RTD("tos.rtd",,BN$83,"."&amp;$D$82&amp;$AW$82&amp;"C"&amp;$A88)))</f>
        <v>#NUM!</v>
      </c>
      <c r="BO88" s="3" t="e">
        <f ca="1">IF($BP$1=1,EC88,-IF(RTD("tos.rtd",,BO$83,"."&amp;$D$82&amp;$AW$82&amp;"P"&amp;$A88)="N/A",0,RTD("tos.rtd",,BO$83,"."&amp;$D$82&amp;$AW$82&amp;"P"&amp;$A88)))</f>
        <v>#NUM!</v>
      </c>
      <c r="BQ88" s="3" t="e">
        <f t="shared" ca="1" si="452"/>
        <v>#NUM!</v>
      </c>
      <c r="BR88" s="3" t="e">
        <f t="shared" ca="1" si="492"/>
        <v>#NUM!</v>
      </c>
      <c r="BS88" s="3" t="e">
        <f t="shared" ca="1" si="453"/>
        <v>#NUM!</v>
      </c>
      <c r="BT88" s="3" t="e">
        <f t="shared" ca="1" si="492"/>
        <v>#NUM!</v>
      </c>
      <c r="BU88" s="3" t="e">
        <f t="shared" ca="1" si="454"/>
        <v>#NUM!</v>
      </c>
      <c r="BV88" s="3" t="e">
        <f t="shared" ca="1" si="492"/>
        <v>#NUM!</v>
      </c>
      <c r="BX88" s="3" t="e">
        <f t="shared" ca="1" si="455"/>
        <v>#NUM!</v>
      </c>
      <c r="BY88" s="3" t="e">
        <f t="shared" ca="1" si="504"/>
        <v>#NUM!</v>
      </c>
      <c r="BZ88" s="3" t="e">
        <f t="shared" ca="1" si="456"/>
        <v>#NUM!</v>
      </c>
      <c r="CA88" s="3" t="e">
        <f t="shared" ca="1" si="504"/>
        <v>#NUM!</v>
      </c>
      <c r="CB88" s="3" t="e">
        <f t="shared" ca="1" si="457"/>
        <v>#NUM!</v>
      </c>
      <c r="CC88" s="3" t="e">
        <f t="shared" ca="1" si="504"/>
        <v>#NUM!</v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</v>
      </c>
      <c r="CF88" s="3">
        <f>IF(RTD("tos.rtd",,CF$83,"."&amp;$C$82&amp;$AU$82&amp;"C"&amp;$A88)="N/A",0,RTD("tos.rtd",,CF$83,"."&amp;$C$82&amp;$AU$82&amp;"C"&amp;$A88))</f>
        <v>0</v>
      </c>
      <c r="CG88" s="3">
        <f>-IF(RTD("tos.rtd",,CG$83,"."&amp;$C$82&amp;$AU$82&amp;"P"&amp;$A88)="N/A",0,RTD("tos.rtd",,CG$83,"."&amp;$C$82&amp;$AU$82&amp;"P"&amp;$A88))</f>
        <v>0.98</v>
      </c>
      <c r="CH88" s="3">
        <f>IF(RTD("tos.rtd",,CH$83,"."&amp;$D$82&amp;$AW$82&amp;"C"&amp;$A88)="N/A",0,RTD("tos.rtd",,CH$83,"."&amp;$D$82&amp;$AW$82&amp;"C"&amp;$A88))</f>
        <v>0.11</v>
      </c>
      <c r="CI88" s="3">
        <f>-IF(RTD("tos.rtd",,CI$83,"."&amp;$D$82&amp;$AW$82&amp;"P"&amp;$A88)="N/A",0,RTD("tos.rtd",,CI$83,"."&amp;$D$82&amp;$AW$82&amp;"P"&amp;$A88))</f>
        <v>0.91</v>
      </c>
      <c r="CK88" s="3">
        <f t="shared" si="493"/>
        <v>0</v>
      </c>
      <c r="CL88" s="3"/>
      <c r="CM88" s="3">
        <f t="shared" si="494"/>
        <v>-1372</v>
      </c>
      <c r="CN88" s="3"/>
      <c r="CO88" s="3">
        <f t="shared" si="495"/>
        <v>-8427</v>
      </c>
      <c r="CP88" s="3">
        <f t="shared" si="458"/>
        <v>-9799</v>
      </c>
      <c r="CQ88" s="3">
        <f t="shared" si="459"/>
        <v>0</v>
      </c>
      <c r="CR88" s="3"/>
      <c r="CS88" s="3">
        <f t="shared" si="460"/>
        <v>1780</v>
      </c>
      <c r="CT88" s="3"/>
      <c r="CU88" s="3">
        <f t="shared" si="461"/>
        <v>283</v>
      </c>
      <c r="CV88" s="3"/>
      <c r="CW88" s="3" t="e">
        <f t="shared" ca="1" si="496"/>
        <v>#NUM!</v>
      </c>
      <c r="CY88" s="3" t="e">
        <f t="shared" ca="1" si="463"/>
        <v>#NUM!</v>
      </c>
      <c r="CZ88" s="70" t="e">
        <f t="shared" ca="1" si="505"/>
        <v>#NUM!</v>
      </c>
      <c r="DA88" s="3">
        <f>IF(RTD("tos.rtd",,DA$83,"."&amp;$B$82&amp;$AS$82&amp;"C"&amp;$A88)="N/A",0,RTD("tos.rtd",,DA$83,"."&amp;$B$82&amp;$AS$82&amp;"C"&amp;$A88))</f>
        <v>0</v>
      </c>
      <c r="DB88" s="3">
        <f>IF(RTD("tos.rtd",,DB$83,"."&amp;$B$82&amp;$AS$82&amp;"P"&amp;$A88)="N/A",0,RTD("tos.rtd",,DB$83,"."&amp;$B$82&amp;$AS$82&amp;"P"&amp;$A88))</f>
        <v>0</v>
      </c>
      <c r="DC88" s="3">
        <f>IF(RTD("tos.rtd",,DC$83,"."&amp;$B$82&amp;$AS$82&amp;"C"&amp;$A88)="N/A",0,RTD("tos.rtd",,DC$83,"."&amp;$B$82&amp;$AS$82&amp;"C"&amp;$A88))</f>
        <v>0</v>
      </c>
      <c r="DD88" s="3">
        <f>IF(RTD("tos.rtd",,DD$83,"."&amp;$B$82&amp;$AS$82&amp;"P"&amp;$A88)="N/A",0,RTD("tos.rtd",,DD$83,"."&amp;$B$82&amp;$AS$82&amp;"P"&amp;$A88))</f>
        <v>0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0</v>
      </c>
      <c r="DG88" s="86">
        <f t="shared" si="497"/>
        <v>180</v>
      </c>
      <c r="DH88" s="3" t="e">
        <f t="shared" si="464"/>
        <v>#DIV/0!</v>
      </c>
      <c r="DI88" s="3" t="e">
        <f t="shared" si="465"/>
        <v>#DIV/0!</v>
      </c>
      <c r="DJ88" s="3">
        <f t="shared" si="466"/>
        <v>0</v>
      </c>
      <c r="DK88" s="3">
        <f t="shared" si="467"/>
        <v>0</v>
      </c>
      <c r="DL88" s="3" t="e">
        <f t="shared" si="468"/>
        <v>#DIV/0!</v>
      </c>
      <c r="DM88" s="3">
        <f t="shared" si="469"/>
        <v>0</v>
      </c>
      <c r="DN88" s="64" t="str">
        <f t="shared" si="470"/>
        <v>UNKNOWN</v>
      </c>
      <c r="DO88" s="64" t="str">
        <f t="shared" si="471"/>
        <v>UNKNOWN</v>
      </c>
      <c r="DP88" s="3" t="e">
        <f t="shared" si="472"/>
        <v>#DIV/0!</v>
      </c>
      <c r="DQ88" s="3">
        <f t="shared" si="473"/>
        <v>0</v>
      </c>
      <c r="DR88" s="3" t="e">
        <f t="shared" ca="1" si="474"/>
        <v>#NUM!</v>
      </c>
      <c r="DS88" s="3">
        <f t="shared" si="475"/>
        <v>0</v>
      </c>
      <c r="DT88" s="3">
        <f t="shared" si="498"/>
        <v>0</v>
      </c>
      <c r="DU88" s="3">
        <f t="shared" si="499"/>
        <v>0</v>
      </c>
      <c r="DV88" s="3">
        <f t="shared" si="500"/>
        <v>0</v>
      </c>
      <c r="DW88" s="3">
        <f t="shared" si="501"/>
        <v>0</v>
      </c>
      <c r="DX88" s="3" t="e">
        <f t="shared" ca="1" si="506"/>
        <v>#NUM!</v>
      </c>
      <c r="DY88" s="3" t="e">
        <f t="shared" ca="1" si="476"/>
        <v>#NUM!</v>
      </c>
      <c r="DZ88" s="3" t="e">
        <f t="shared" ca="1" si="477"/>
        <v>#NUM!</v>
      </c>
      <c r="EA88" s="3" t="e">
        <f t="shared" ca="1" si="478"/>
        <v>#NUM!</v>
      </c>
      <c r="EB88" s="3" t="e">
        <f t="shared" ca="1" si="479"/>
        <v>#NUM!</v>
      </c>
      <c r="EC88" s="3" t="e">
        <f t="shared" ca="1" si="480"/>
        <v>#NUM!</v>
      </c>
      <c r="EE88" s="59">
        <f t="shared" si="481"/>
        <v>0.25</v>
      </c>
      <c r="EF88" s="59">
        <f t="shared" si="482"/>
        <v>0.25</v>
      </c>
      <c r="EG88" s="59">
        <f t="shared" si="483"/>
        <v>1.3927</v>
      </c>
      <c r="EH88" s="59">
        <f t="shared" si="484"/>
        <v>2.0564</v>
      </c>
      <c r="EI88" s="59">
        <f t="shared" si="485"/>
        <v>0.21379999999999999</v>
      </c>
      <c r="EJ88" s="59">
        <f t="shared" si="486"/>
        <v>0.19059999999999999</v>
      </c>
      <c r="EL88" s="3" t="str">
        <f>RTD("tos.rtd",,EL$83,"."&amp;$B$82&amp;$AS$82&amp;"C"&amp;$A88)</f>
        <v>N/A</v>
      </c>
      <c r="EM88" s="3" t="str">
        <f>RTD("tos.rtd",,EM$83,"."&amp;$B$82&amp;$AS$82&amp;"P"&amp;$A88)</f>
        <v>N/A</v>
      </c>
      <c r="EN88" s="3" t="str">
        <f>RTD("tos.rtd",,EN$83,"."&amp;$C$82&amp;$AU$82&amp;"C"&amp;$A88)</f>
        <v>139.27%</v>
      </c>
      <c r="EO88" s="3" t="str">
        <f>RTD("tos.rtd",,EO$83,"."&amp;$C$82&amp;$AU$82&amp;"P"&amp;$A88)</f>
        <v>205.64%</v>
      </c>
      <c r="EP88" s="3" t="str">
        <f>RTD("tos.rtd",,EP$83,"."&amp;$D$82&amp;$AW$82&amp;"C"&amp;$A88)</f>
        <v>21.38%</v>
      </c>
      <c r="EQ88" s="3" t="str">
        <f>RTD("tos.rtd",,EQ$83,"."&amp;$D$82&amp;$AW$82&amp;"P"&amp;$A88)</f>
        <v>19.06%</v>
      </c>
      <c r="ES88" s="63" t="str">
        <f t="shared" si="487"/>
        <v>5840,00.00</v>
      </c>
      <c r="ET88" s="64" t="str">
        <f t="shared" ca="1" si="488"/>
        <v>5840,00.00</v>
      </c>
      <c r="EU88" s="67">
        <v>562.59</v>
      </c>
      <c r="EV88" s="67" t="s">
        <v>723</v>
      </c>
      <c r="EW88" s="67">
        <v>485.04</v>
      </c>
      <c r="EX88" s="67" t="s">
        <v>724</v>
      </c>
      <c r="EY88" s="67">
        <v>5639.5</v>
      </c>
      <c r="EZ88" s="67" t="s">
        <v>725</v>
      </c>
      <c r="FA88" s="67">
        <v>19925.75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502"/>
        <v>5830</v>
      </c>
      <c r="B89" s="3">
        <f t="shared" si="447"/>
        <v>0</v>
      </c>
      <c r="C89" s="3">
        <f t="shared" si="448"/>
        <v>1838</v>
      </c>
      <c r="D89" s="3">
        <f t="shared" si="449"/>
        <v>440</v>
      </c>
      <c r="E89" s="3">
        <f t="shared" si="450"/>
        <v>2278</v>
      </c>
      <c r="F89" s="4">
        <f t="shared" si="503"/>
        <v>5854.7208480565369</v>
      </c>
      <c r="G89" s="4">
        <f t="shared" si="489"/>
        <v>581.76395759717309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0</v>
      </c>
      <c r="AN89" s="20">
        <v>0</v>
      </c>
      <c r="AO89" s="20">
        <v>5830</v>
      </c>
      <c r="AP89" s="20">
        <v>0</v>
      </c>
      <c r="AQ89" s="20">
        <v>0</v>
      </c>
      <c r="AR89" s="20"/>
      <c r="AS89" s="54">
        <f>IF(RTD("tos.rtd",,AS$83,"."&amp;$B$82&amp;$AS$82&amp;"C"&amp;$A89)="N/A",0,RTD("tos.rtd",,AS$83,"."&amp;$B$82&amp;$AS$82&amp;"C"&amp;$A89))</f>
        <v>0</v>
      </c>
      <c r="AT89" s="3">
        <f>-IF(RTD("tos.rtd",,AT$83,"."&amp;$B$82&amp;$AS$82&amp;"P"&amp;$A89)="N/A",0,RTD("tos.rtd",,AT$83,"."&amp;$B$82&amp;$AS$82&amp;"P"&amp;$A89))</f>
        <v>0</v>
      </c>
      <c r="AU89" s="54">
        <f>IF(RTD("tos.rtd",,AU$83,"."&amp;$C$82&amp;$AU$82&amp;"C"&amp;$A89)="N/A",0,RTD("tos.rtd",,AU$83,"."&amp;$C$82&amp;$AU$82&amp;"C"&amp;$A89))</f>
        <v>1432</v>
      </c>
      <c r="AV89" s="3">
        <f>-IF(RTD("tos.rtd",,AV$83,"."&amp;$C$82&amp;$AU$82&amp;"P"&amp;$A89)="N/A",0,RTD("tos.rtd",,AV$83,"."&amp;$C$82&amp;$AU$82&amp;"P"&amp;$A89))</f>
        <v>-406</v>
      </c>
      <c r="AW89" s="54">
        <f>IF(RTD("tos.rtd",,AW$83,"."&amp;$D$82&amp;$AW$82&amp;"C"&amp;$A89)="N/A",0,RTD("tos.rtd",,AW$83,"."&amp;$D$82&amp;$AW$82&amp;"C"&amp;$A89))</f>
        <v>337</v>
      </c>
      <c r="AX89" s="3">
        <f>-IF(RTD("tos.rtd",,AX$83,"."&amp;$D$82&amp;$AW$82&amp;"P"&amp;$A89)="N/A",0,RTD("tos.rtd",,AX$83,"."&amp;$D$82&amp;$AW$82&amp;"P"&amp;$A89))</f>
        <v>-103</v>
      </c>
      <c r="AY89" s="79">
        <f t="shared" si="490"/>
        <v>1260</v>
      </c>
      <c r="AZ89" s="8">
        <f t="shared" si="451"/>
        <v>5830</v>
      </c>
      <c r="BA89" s="54">
        <f>IF(RTD("tos.rtd",,BA$83,"."&amp;$B$82&amp;$AS$82&amp;"C"&amp;$A89)="N/A",0,RTD("tos.rtd",,BA$83,"."&amp;$B$82&amp;$AS$82&amp;"C"&amp;$A89))</f>
        <v>0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2231</v>
      </c>
      <c r="BD89" s="3">
        <f>-IF(RTD("tos.rtd",,BD$83,"."&amp;$C$82&amp;$AU$82&amp;"P"&amp;$A89)="N/A",0,RTD("tos.rtd",,BD$83,"."&amp;$C$82&amp;$AU$82&amp;"P"&amp;$A89))</f>
        <v>-394</v>
      </c>
      <c r="BE89" s="54">
        <f>IF(RTD("tos.rtd",,BE$83,"."&amp;$D$82&amp;$AW$82&amp;"C"&amp;$A89)="N/A",0,RTD("tos.rtd",,BE$83,"."&amp;$D$82&amp;$AW$82&amp;"C"&amp;$A89))</f>
        <v>178</v>
      </c>
      <c r="BF89" s="3">
        <f>-IF(RTD("tos.rtd",,BF$83,"."&amp;$D$82&amp;$AW$82&amp;"P"&amp;$A89)="N/A",0,RTD("tos.rtd",,BF$83,"."&amp;$D$82&amp;$AW$82&amp;"P"&amp;$A89))</f>
        <v>-105</v>
      </c>
      <c r="BG89" s="3">
        <f ca="1">+Hoja2!Y90</f>
        <v>236</v>
      </c>
      <c r="BH89" s="55">
        <f t="shared" ca="1" si="491"/>
        <v>2146</v>
      </c>
      <c r="BI89" s="32" t="str">
        <f t="shared" ca="1" si="507"/>
        <v/>
      </c>
      <c r="BJ89" s="3" t="e">
        <f ca="1">IF($BP$1=1,DX89,IF(RTD("tos.rtd",,BJ$83,"."&amp;$B$82&amp;$AS$82&amp;"C"&amp;$A89)="N/A",0,RTD("tos.rtd",,BJ$83,"."&amp;$B$82&amp;$AS$82&amp;"C"&amp;$A89)))</f>
        <v>#NUM!</v>
      </c>
      <c r="BK89" s="3" t="e">
        <f ca="1">IF($BP$1=1,DY89,-IF(RTD("tos.rtd",,BK$83,"."&amp;$B$82&amp;$AS$82&amp;"P"&amp;$A89)="N/A",0,RTD("tos.rtd",,BK$83,"."&amp;$B$82&amp;$AS$82&amp;"P"&amp;$A89)))</f>
        <v>#NUM!</v>
      </c>
      <c r="BL89" s="3" t="e">
        <f ca="1">IF($BP$1=1,DZ89,IF(RTD("tos.rtd",,BL$83,"."&amp;$C$82&amp;$AU$82&amp;"C"&amp;$A89)="N/A",0,RTD("tos.rtd",,BL$83,"."&amp;$C$82&amp;$AU$82&amp;"C"&amp;$A89)))</f>
        <v>#NUM!</v>
      </c>
      <c r="BM89" s="3" t="e">
        <f ca="1">IF($BP$1=1,EA89,-IF(RTD("tos.rtd",,BM$83,"."&amp;$C$82&amp;$AU$82&amp;"P"&amp;$A89)="N/A",0,RTD("tos.rtd",,BM$83,"."&amp;$C$82&amp;$AU$82&amp;"P"&amp;$A89)))</f>
        <v>#NUM!</v>
      </c>
      <c r="BN89" s="3" t="e">
        <f ca="1">IF($BP$1=1,EB89,IF(RTD("tos.rtd",,BN$83,"."&amp;$D$82&amp;$AW$82&amp;"C"&amp;$A89)="N/A",0,RTD("tos.rtd",,BN$83,"."&amp;$D$82&amp;$AW$82&amp;"C"&amp;$A89)))</f>
        <v>#NUM!</v>
      </c>
      <c r="BO89" s="3" t="e">
        <f ca="1">IF($BP$1=1,EC89,-IF(RTD("tos.rtd",,BO$83,"."&amp;$D$82&amp;$AW$82&amp;"P"&amp;$A89)="N/A",0,RTD("tos.rtd",,BO$83,"."&amp;$D$82&amp;$AW$82&amp;"P"&amp;$A89)))</f>
        <v>#NUM!</v>
      </c>
      <c r="BQ89" s="3" t="e">
        <f t="shared" ca="1" si="452"/>
        <v>#NUM!</v>
      </c>
      <c r="BR89" s="3" t="e">
        <f t="shared" ca="1" si="492"/>
        <v>#NUM!</v>
      </c>
      <c r="BS89" s="3" t="e">
        <f t="shared" ca="1" si="453"/>
        <v>#NUM!</v>
      </c>
      <c r="BT89" s="3" t="e">
        <f t="shared" ca="1" si="492"/>
        <v>#NUM!</v>
      </c>
      <c r="BU89" s="3" t="e">
        <f t="shared" ca="1" si="454"/>
        <v>#NUM!</v>
      </c>
      <c r="BV89" s="3" t="e">
        <f t="shared" ca="1" si="492"/>
        <v>#NUM!</v>
      </c>
      <c r="BX89" s="3" t="e">
        <f t="shared" ca="1" si="455"/>
        <v>#NUM!</v>
      </c>
      <c r="BY89" s="3" t="e">
        <f t="shared" ca="1" si="504"/>
        <v>#NUM!</v>
      </c>
      <c r="BZ89" s="3" t="e">
        <f t="shared" ca="1" si="456"/>
        <v>#NUM!</v>
      </c>
      <c r="CA89" s="3" t="e">
        <f t="shared" ca="1" si="504"/>
        <v>#NUM!</v>
      </c>
      <c r="CB89" s="3" t="e">
        <f t="shared" ca="1" si="457"/>
        <v>#NUM!</v>
      </c>
      <c r="CC89" s="3" t="e">
        <f t="shared" ca="1" si="504"/>
        <v>#NUM!</v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</v>
      </c>
      <c r="CF89" s="3">
        <f>IF(RTD("tos.rtd",,CF$83,"."&amp;$C$82&amp;$AU$82&amp;"C"&amp;$A89)="N/A",0,RTD("tos.rtd",,CF$83,"."&amp;$C$82&amp;$AU$82&amp;"C"&amp;$A89))</f>
        <v>0</v>
      </c>
      <c r="CG89" s="3">
        <f>-IF(RTD("tos.rtd",,CG$83,"."&amp;$C$82&amp;$AU$82&amp;"P"&amp;$A89)="N/A",0,RTD("tos.rtd",,CG$83,"."&amp;$C$82&amp;$AU$82&amp;"P"&amp;$A89))</f>
        <v>1</v>
      </c>
      <c r="CH89" s="3">
        <f>IF(RTD("tos.rtd",,CH$83,"."&amp;$D$82&amp;$AW$82&amp;"C"&amp;$A89)="N/A",0,RTD("tos.rtd",,CH$83,"."&amp;$D$82&amp;$AW$82&amp;"C"&amp;$A89))</f>
        <v>0.13</v>
      </c>
      <c r="CI89" s="3">
        <f>-IF(RTD("tos.rtd",,CI$83,"."&amp;$D$82&amp;$AW$82&amp;"P"&amp;$A89)="N/A",0,RTD("tos.rtd",,CI$83,"."&amp;$D$82&amp;$AW$82&amp;"P"&amp;$A89))</f>
        <v>0.9</v>
      </c>
      <c r="CK89" s="3">
        <f t="shared" si="493"/>
        <v>0</v>
      </c>
      <c r="CL89" s="3"/>
      <c r="CM89" s="3">
        <f t="shared" si="494"/>
        <v>-40600</v>
      </c>
      <c r="CN89" s="3"/>
      <c r="CO89" s="3">
        <f t="shared" si="495"/>
        <v>-4889</v>
      </c>
      <c r="CP89" s="3">
        <f t="shared" si="458"/>
        <v>-45489</v>
      </c>
      <c r="CQ89" s="3">
        <f t="shared" si="459"/>
        <v>0</v>
      </c>
      <c r="CR89" s="3"/>
      <c r="CS89" s="3">
        <f t="shared" si="460"/>
        <v>1837</v>
      </c>
      <c r="CT89" s="3"/>
      <c r="CU89" s="3">
        <f t="shared" si="461"/>
        <v>73</v>
      </c>
      <c r="CV89" s="3"/>
      <c r="CW89" s="3" t="e">
        <f t="shared" ca="1" si="496"/>
        <v>#NUM!</v>
      </c>
      <c r="CY89" s="3" t="e">
        <f t="shared" ca="1" si="463"/>
        <v>#NUM!</v>
      </c>
      <c r="CZ89" s="70" t="e">
        <f t="shared" ca="1" si="505"/>
        <v>#NUM!</v>
      </c>
      <c r="DA89" s="3">
        <f>IF(RTD("tos.rtd",,DA$83,"."&amp;$B$82&amp;$AS$82&amp;"C"&amp;$A89)="N/A",0,RTD("tos.rtd",,DA$83,"."&amp;$B$82&amp;$AS$82&amp;"C"&amp;$A89))</f>
        <v>0</v>
      </c>
      <c r="DB89" s="3">
        <f>IF(RTD("tos.rtd",,DB$83,"."&amp;$B$82&amp;$AS$82&amp;"P"&amp;$A89)="N/A",0,RTD("tos.rtd",,DB$83,"."&amp;$B$82&amp;$AS$82&amp;"P"&amp;$A89))</f>
        <v>0</v>
      </c>
      <c r="DC89" s="3">
        <f>IF(RTD("tos.rtd",,DC$83,"."&amp;$B$82&amp;$AS$82&amp;"C"&amp;$A89)="N/A",0,RTD("tos.rtd",,DC$83,"."&amp;$B$82&amp;$AS$82&amp;"C"&amp;$A89))</f>
        <v>0</v>
      </c>
      <c r="DD89" s="3">
        <f>IF(RTD("tos.rtd",,DD$83,"."&amp;$B$82&amp;$AS$82&amp;"P"&amp;$A89)="N/A",0,RTD("tos.rtd",,DD$83,"."&amp;$B$82&amp;$AS$82&amp;"P"&amp;$A89))</f>
        <v>0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0</v>
      </c>
      <c r="DG89" s="86">
        <f t="shared" si="497"/>
        <v>170</v>
      </c>
      <c r="DH89" s="3" t="e">
        <f t="shared" si="464"/>
        <v>#DIV/0!</v>
      </c>
      <c r="DI89" s="3" t="e">
        <f t="shared" si="465"/>
        <v>#DIV/0!</v>
      </c>
      <c r="DJ89" s="3">
        <f t="shared" si="466"/>
        <v>0</v>
      </c>
      <c r="DK89" s="3">
        <f t="shared" si="467"/>
        <v>0</v>
      </c>
      <c r="DL89" s="3" t="e">
        <f t="shared" si="468"/>
        <v>#DIV/0!</v>
      </c>
      <c r="DM89" s="3">
        <f t="shared" si="469"/>
        <v>0</v>
      </c>
      <c r="DN89" s="64" t="str">
        <f t="shared" si="470"/>
        <v>UNKNOWN</v>
      </c>
      <c r="DO89" s="64" t="str">
        <f t="shared" si="471"/>
        <v>UNKNOWN</v>
      </c>
      <c r="DP89" s="3" t="e">
        <f t="shared" si="472"/>
        <v>#DIV/0!</v>
      </c>
      <c r="DQ89" s="3">
        <f t="shared" si="473"/>
        <v>0</v>
      </c>
      <c r="DR89" s="3" t="e">
        <f t="shared" ca="1" si="474"/>
        <v>#NUM!</v>
      </c>
      <c r="DS89" s="3">
        <f t="shared" si="475"/>
        <v>0</v>
      </c>
      <c r="DT89" s="3">
        <f t="shared" si="498"/>
        <v>0</v>
      </c>
      <c r="DU89" s="3">
        <f t="shared" si="499"/>
        <v>0</v>
      </c>
      <c r="DV89" s="3">
        <f t="shared" si="500"/>
        <v>0</v>
      </c>
      <c r="DW89" s="3">
        <f t="shared" si="501"/>
        <v>0</v>
      </c>
      <c r="DX89" s="3" t="e">
        <f t="shared" ca="1" si="506"/>
        <v>#NUM!</v>
      </c>
      <c r="DY89" s="3" t="e">
        <f t="shared" ca="1" si="476"/>
        <v>#NUM!</v>
      </c>
      <c r="DZ89" s="3" t="e">
        <f t="shared" ca="1" si="477"/>
        <v>#NUM!</v>
      </c>
      <c r="EA89" s="3" t="e">
        <f t="shared" ca="1" si="478"/>
        <v>#NUM!</v>
      </c>
      <c r="EB89" s="3" t="e">
        <f t="shared" ca="1" si="479"/>
        <v>#NUM!</v>
      </c>
      <c r="EC89" s="3" t="e">
        <f t="shared" ca="1" si="480"/>
        <v>#NUM!</v>
      </c>
      <c r="EE89" s="59">
        <f t="shared" si="481"/>
        <v>0.25</v>
      </c>
      <c r="EF89" s="59">
        <f t="shared" si="482"/>
        <v>0.25</v>
      </c>
      <c r="EG89" s="59">
        <f t="shared" si="483"/>
        <v>1.3230999999999999</v>
      </c>
      <c r="EH89" s="59">
        <f t="shared" si="484"/>
        <v>1.323</v>
      </c>
      <c r="EI89" s="59">
        <f t="shared" si="485"/>
        <v>0.21529999999999999</v>
      </c>
      <c r="EJ89" s="59">
        <f t="shared" si="486"/>
        <v>0.19400000000000001</v>
      </c>
      <c r="EL89" s="3" t="str">
        <f>RTD("tos.rtd",,EL$83,"."&amp;$B$82&amp;$AS$82&amp;"C"&amp;$A89)</f>
        <v>N/A</v>
      </c>
      <c r="EM89" s="3" t="str">
        <f>RTD("tos.rtd",,EM$83,"."&amp;$B$82&amp;$AS$82&amp;"P"&amp;$A89)</f>
        <v>N/A</v>
      </c>
      <c r="EN89" s="3" t="str">
        <f>RTD("tos.rtd",,EN$83,"."&amp;$C$82&amp;$AU$82&amp;"C"&amp;$A89)</f>
        <v>132.31%</v>
      </c>
      <c r="EO89" s="3" t="str">
        <f>RTD("tos.rtd",,EO$83,"."&amp;$C$82&amp;$AU$82&amp;"P"&amp;$A89)</f>
        <v>132.30%</v>
      </c>
      <c r="EP89" s="3" t="str">
        <f>RTD("tos.rtd",,EP$83,"."&amp;$D$82&amp;$AW$82&amp;"C"&amp;$A89)</f>
        <v>21.53%</v>
      </c>
      <c r="EQ89" s="3" t="str">
        <f>RTD("tos.rtd",,EQ$83,"."&amp;$D$82&amp;$AW$82&amp;"P"&amp;$A89)</f>
        <v>19.40%</v>
      </c>
      <c r="ES89" s="63" t="str">
        <f t="shared" si="487"/>
        <v>5830,00.00</v>
      </c>
      <c r="ET89" s="64" t="str">
        <f t="shared" ca="1" si="488"/>
        <v>5830,00.00</v>
      </c>
      <c r="EU89" s="67">
        <v>562.6</v>
      </c>
      <c r="EV89" s="67" t="s">
        <v>731</v>
      </c>
      <c r="EW89" s="67">
        <v>485.06</v>
      </c>
      <c r="EX89" s="67" t="s">
        <v>732</v>
      </c>
      <c r="EY89" s="67">
        <v>5639.75</v>
      </c>
      <c r="EZ89" s="67" t="s">
        <v>733</v>
      </c>
      <c r="FA89" s="67">
        <v>19925.5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502"/>
        <v>5820</v>
      </c>
      <c r="B90" s="3">
        <f t="shared" si="447"/>
        <v>797</v>
      </c>
      <c r="C90" s="3">
        <f t="shared" si="448"/>
        <v>1984</v>
      </c>
      <c r="D90" s="3">
        <f t="shared" si="449"/>
        <v>875</v>
      </c>
      <c r="E90" s="3">
        <f t="shared" si="450"/>
        <v>3656</v>
      </c>
      <c r="F90" s="4">
        <f t="shared" si="503"/>
        <v>5844.6784452296815</v>
      </c>
      <c r="G90" s="4">
        <f t="shared" si="489"/>
        <v>580.76607773851583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1305</v>
      </c>
      <c r="AN90" s="20">
        <v>-6</v>
      </c>
      <c r="AO90" s="20">
        <v>5820</v>
      </c>
      <c r="AP90" s="20">
        <v>3218</v>
      </c>
      <c r="AQ90" s="20">
        <v>-16</v>
      </c>
      <c r="AR90" s="20"/>
      <c r="AS90" s="54">
        <f>IF(RTD("tos.rtd",,AS$83,"."&amp;$B$82&amp;$AS$82&amp;"C"&amp;$A90)="N/A",0,RTD("tos.rtd",,AS$83,"."&amp;$B$82&amp;$AS$82&amp;"C"&amp;$A90))</f>
        <v>771</v>
      </c>
      <c r="AT90" s="3">
        <f>-IF(RTD("tos.rtd",,AT$83,"."&amp;$B$82&amp;$AS$82&amp;"P"&amp;$A90)="N/A",0,RTD("tos.rtd",,AT$83,"."&amp;$B$82&amp;$AS$82&amp;"P"&amp;$A90))</f>
        <v>-26</v>
      </c>
      <c r="AU90" s="54">
        <f>IF(RTD("tos.rtd",,AU$83,"."&amp;$C$82&amp;$AU$82&amp;"C"&amp;$A90)="N/A",0,RTD("tos.rtd",,AU$83,"."&amp;$C$82&amp;$AU$82&amp;"C"&amp;$A90))</f>
        <v>1668</v>
      </c>
      <c r="AV90" s="3">
        <f>-IF(RTD("tos.rtd",,AV$83,"."&amp;$C$82&amp;$AU$82&amp;"P"&amp;$A90)="N/A",0,RTD("tos.rtd",,AV$83,"."&amp;$C$82&amp;$AU$82&amp;"P"&amp;$A90))</f>
        <v>-316</v>
      </c>
      <c r="AW90" s="54">
        <f>IF(RTD("tos.rtd",,AW$83,"."&amp;$D$82&amp;$AW$82&amp;"C"&amp;$A90)="N/A",0,RTD("tos.rtd",,AW$83,"."&amp;$D$82&amp;$AW$82&amp;"C"&amp;$A90))</f>
        <v>663</v>
      </c>
      <c r="AX90" s="3">
        <f>-IF(RTD("tos.rtd",,AX$83,"."&amp;$D$82&amp;$AW$82&amp;"P"&amp;$A90)="N/A",0,RTD("tos.rtd",,AX$83,"."&amp;$D$82&amp;$AW$82&amp;"P"&amp;$A90))</f>
        <v>-212</v>
      </c>
      <c r="AY90" s="79">
        <f t="shared" si="490"/>
        <v>2548</v>
      </c>
      <c r="AZ90" s="8">
        <f t="shared" si="451"/>
        <v>5820</v>
      </c>
      <c r="BA90" s="54">
        <f>IF(RTD("tos.rtd",,BA$83,"."&amp;$B$82&amp;$AS$82&amp;"C"&amp;$A90)="N/A",0,RTD("tos.rtd",,BA$83,"."&amp;$B$82&amp;$AS$82&amp;"C"&amp;$A90))</f>
        <v>0</v>
      </c>
      <c r="BB90" s="3">
        <f>-IF(RTD("tos.rtd",,BB$83,"."&amp;$B$82&amp;$AS$82&amp;"P"&amp;$A90)="N/A",0,RTD("tos.rtd",,BB$83,"."&amp;$B$82&amp;$AS$82&amp;"P"&amp;$A90))</f>
        <v>0</v>
      </c>
      <c r="BC90" s="54">
        <f>IF(RTD("tos.rtd",,BC$83,"."&amp;$C$82&amp;$AU$82&amp;"C"&amp;$A90)="N/A",0,RTD("tos.rtd",,BC$83,"."&amp;$C$82&amp;$AU$82&amp;"C"&amp;$A90))</f>
        <v>2986</v>
      </c>
      <c r="BD90" s="3">
        <f>-IF(RTD("tos.rtd",,BD$83,"."&amp;$C$82&amp;$AU$82&amp;"P"&amp;$A90)="N/A",0,RTD("tos.rtd",,BD$83,"."&amp;$C$82&amp;$AU$82&amp;"P"&amp;$A90))</f>
        <v>-300</v>
      </c>
      <c r="BE90" s="54">
        <f>IF(RTD("tos.rtd",,BE$83,"."&amp;$D$82&amp;$AW$82&amp;"C"&amp;$A90)="N/A",0,RTD("tos.rtd",,BE$83,"."&amp;$D$82&amp;$AW$82&amp;"C"&amp;$A90))</f>
        <v>687</v>
      </c>
      <c r="BF90" s="3">
        <f>-IF(RTD("tos.rtd",,BF$83,"."&amp;$D$82&amp;$AW$82&amp;"P"&amp;$A90)="N/A",0,RTD("tos.rtd",,BF$83,"."&amp;$D$82&amp;$AW$82&amp;"P"&amp;$A90))</f>
        <v>-1</v>
      </c>
      <c r="BG90" s="3">
        <f ca="1">+Hoja2!Y91</f>
        <v>93</v>
      </c>
      <c r="BH90" s="55">
        <f t="shared" ca="1" si="491"/>
        <v>3465</v>
      </c>
      <c r="BI90" s="32" t="str">
        <f t="shared" ca="1" si="507"/>
        <v/>
      </c>
      <c r="BJ90" s="3" t="e">
        <f ca="1">IF($BP$1=1,DX90,IF(RTD("tos.rtd",,BJ$83,"."&amp;$B$82&amp;$AS$82&amp;"C"&amp;$A90)="N/A",0,RTD("tos.rtd",,BJ$83,"."&amp;$B$82&amp;$AS$82&amp;"C"&amp;$A90)))</f>
        <v>#NUM!</v>
      </c>
      <c r="BK90" s="3" t="e">
        <f ca="1">IF($BP$1=1,DY90,-IF(RTD("tos.rtd",,BK$83,"."&amp;$B$82&amp;$AS$82&amp;"P"&amp;$A90)="N/A",0,RTD("tos.rtd",,BK$83,"."&amp;$B$82&amp;$AS$82&amp;"P"&amp;$A90)))</f>
        <v>#NUM!</v>
      </c>
      <c r="BL90" s="3" t="e">
        <f ca="1">IF($BP$1=1,DZ90,IF(RTD("tos.rtd",,BL$83,"."&amp;$C$82&amp;$AU$82&amp;"C"&amp;$A90)="N/A",0,RTD("tos.rtd",,BL$83,"."&amp;$C$82&amp;$AU$82&amp;"C"&amp;$A90)))</f>
        <v>#NUM!</v>
      </c>
      <c r="BM90" s="3" t="e">
        <f ca="1">IF($BP$1=1,EA90,-IF(RTD("tos.rtd",,BM$83,"."&amp;$C$82&amp;$AU$82&amp;"P"&amp;$A90)="N/A",0,RTD("tos.rtd",,BM$83,"."&amp;$C$82&amp;$AU$82&amp;"P"&amp;$A90)))</f>
        <v>#NUM!</v>
      </c>
      <c r="BN90" s="3" t="e">
        <f ca="1">IF($BP$1=1,EB90,IF(RTD("tos.rtd",,BN$83,"."&amp;$D$82&amp;$AW$82&amp;"C"&amp;$A90)="N/A",0,RTD("tos.rtd",,BN$83,"."&amp;$D$82&amp;$AW$82&amp;"C"&amp;$A90)))</f>
        <v>#NUM!</v>
      </c>
      <c r="BO90" s="3" t="e">
        <f ca="1">IF($BP$1=1,EC90,-IF(RTD("tos.rtd",,BO$83,"."&amp;$D$82&amp;$AW$82&amp;"P"&amp;$A90)="N/A",0,RTD("tos.rtd",,BO$83,"."&amp;$D$82&amp;$AW$82&amp;"P"&amp;$A90)))</f>
        <v>#NUM!</v>
      </c>
      <c r="BQ90" s="3" t="e">
        <f t="shared" ca="1" si="452"/>
        <v>#NUM!</v>
      </c>
      <c r="BR90" s="3" t="e">
        <f t="shared" ca="1" si="492"/>
        <v>#NUM!</v>
      </c>
      <c r="BS90" s="3" t="e">
        <f t="shared" ca="1" si="453"/>
        <v>#NUM!</v>
      </c>
      <c r="BT90" s="3" t="e">
        <f t="shared" ca="1" si="492"/>
        <v>#NUM!</v>
      </c>
      <c r="BU90" s="3" t="e">
        <f t="shared" ca="1" si="454"/>
        <v>#NUM!</v>
      </c>
      <c r="BV90" s="3" t="e">
        <f t="shared" ca="1" si="492"/>
        <v>#NUM!</v>
      </c>
      <c r="BX90" s="3" t="e">
        <f t="shared" ca="1" si="455"/>
        <v>#NUM!</v>
      </c>
      <c r="BY90" s="3" t="e">
        <f t="shared" ca="1" si="504"/>
        <v>#NUM!</v>
      </c>
      <c r="BZ90" s="3" t="e">
        <f t="shared" ca="1" si="456"/>
        <v>#NUM!</v>
      </c>
      <c r="CA90" s="3" t="e">
        <f t="shared" ca="1" si="504"/>
        <v>#NUM!</v>
      </c>
      <c r="CB90" s="3" t="e">
        <f t="shared" ca="1" si="457"/>
        <v>#NUM!</v>
      </c>
      <c r="CC90" s="3" t="e">
        <f t="shared" ca="1" si="504"/>
        <v>#NUM!</v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0.86</v>
      </c>
      <c r="CF90" s="3">
        <f>IF(RTD("tos.rtd",,CF$83,"."&amp;$C$82&amp;$AU$82&amp;"C"&amp;$A90)="N/A",0,RTD("tos.rtd",,CF$83,"."&amp;$C$82&amp;$AU$82&amp;"C"&amp;$A90))</f>
        <v>0</v>
      </c>
      <c r="CG90" s="3">
        <f>-IF(RTD("tos.rtd",,CG$83,"."&amp;$C$82&amp;$AU$82&amp;"P"&amp;$A90)="N/A",0,RTD("tos.rtd",,CG$83,"."&amp;$C$82&amp;$AU$82&amp;"P"&amp;$A90))</f>
        <v>1</v>
      </c>
      <c r="CH90" s="3">
        <f>IF(RTD("tos.rtd",,CH$83,"."&amp;$D$82&amp;$AW$82&amp;"C"&amp;$A90)="N/A",0,RTD("tos.rtd",,CH$83,"."&amp;$D$82&amp;$AW$82&amp;"C"&amp;$A90))</f>
        <v>0.14000000000000001</v>
      </c>
      <c r="CI90" s="3">
        <f>-IF(RTD("tos.rtd",,CI$83,"."&amp;$D$82&amp;$AW$82&amp;"P"&amp;$A90)="N/A",0,RTD("tos.rtd",,CI$83,"."&amp;$D$82&amp;$AW$82&amp;"P"&amp;$A90))</f>
        <v>0.88</v>
      </c>
      <c r="CK90" s="3">
        <f t="shared" si="493"/>
        <v>-2236</v>
      </c>
      <c r="CL90" s="3"/>
      <c r="CM90" s="3">
        <f t="shared" si="494"/>
        <v>-31600</v>
      </c>
      <c r="CN90" s="3"/>
      <c r="CO90" s="3">
        <f t="shared" si="495"/>
        <v>-9374</v>
      </c>
      <c r="CP90" s="3">
        <f t="shared" si="458"/>
        <v>-43210</v>
      </c>
      <c r="CQ90" s="3">
        <f t="shared" si="459"/>
        <v>0</v>
      </c>
      <c r="CR90" s="3"/>
      <c r="CS90" s="3">
        <f t="shared" si="460"/>
        <v>2686</v>
      </c>
      <c r="CT90" s="3"/>
      <c r="CU90" s="3">
        <f t="shared" si="461"/>
        <v>686</v>
      </c>
      <c r="CV90" s="3"/>
      <c r="CW90" s="3" t="e">
        <f t="shared" ca="1" si="496"/>
        <v>#NUM!</v>
      </c>
      <c r="CY90" s="3" t="e">
        <f t="shared" ca="1" si="463"/>
        <v>#NUM!</v>
      </c>
      <c r="CZ90" s="70" t="e">
        <f t="shared" ca="1" si="505"/>
        <v>#NUM!</v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137.18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178.4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161.9</v>
      </c>
      <c r="DG90" s="86">
        <f t="shared" si="497"/>
        <v>160</v>
      </c>
      <c r="DH90" s="3">
        <f t="shared" si="464"/>
        <v>-1930.8</v>
      </c>
      <c r="DI90" s="3">
        <f t="shared" si="465"/>
        <v>-23.970909090909089</v>
      </c>
      <c r="DJ90" s="3">
        <f t="shared" si="466"/>
        <v>-3218</v>
      </c>
      <c r="DK90" s="3">
        <f t="shared" si="467"/>
        <v>-16</v>
      </c>
      <c r="DL90" s="3">
        <f t="shared" si="468"/>
        <v>-1954.7709090909091</v>
      </c>
      <c r="DM90" s="3">
        <f t="shared" si="469"/>
        <v>-3234</v>
      </c>
      <c r="DN90" s="64" t="str">
        <f t="shared" si="470"/>
        <v>UNKNOWN</v>
      </c>
      <c r="DO90" s="64" t="str">
        <f t="shared" si="471"/>
        <v>UNKNOWN</v>
      </c>
      <c r="DP90" s="3">
        <f t="shared" si="472"/>
        <v>-3346.2533090909092</v>
      </c>
      <c r="DQ90" s="3">
        <f t="shared" si="473"/>
        <v>-2291.42</v>
      </c>
      <c r="DR90" s="3" t="e">
        <f t="shared" ca="1" si="474"/>
        <v>#NUM!</v>
      </c>
      <c r="DS90" s="3">
        <f t="shared" si="475"/>
        <v>-13.76</v>
      </c>
      <c r="DT90" s="3">
        <f t="shared" si="498"/>
        <v>-3218</v>
      </c>
      <c r="DU90" s="3">
        <f t="shared" si="499"/>
        <v>16</v>
      </c>
      <c r="DV90" s="3">
        <f t="shared" si="500"/>
        <v>1305</v>
      </c>
      <c r="DW90" s="3">
        <f t="shared" si="501"/>
        <v>-6</v>
      </c>
      <c r="DX90" s="3" t="e">
        <f t="shared" ca="1" si="506"/>
        <v>#NUM!</v>
      </c>
      <c r="DY90" s="3" t="e">
        <f t="shared" ca="1" si="476"/>
        <v>#NUM!</v>
      </c>
      <c r="DZ90" s="3" t="e">
        <f t="shared" ca="1" si="477"/>
        <v>#NUM!</v>
      </c>
      <c r="EA90" s="3" t="e">
        <f t="shared" ca="1" si="478"/>
        <v>#NUM!</v>
      </c>
      <c r="EB90" s="3" t="e">
        <f t="shared" ca="1" si="479"/>
        <v>#NUM!</v>
      </c>
      <c r="EC90" s="3" t="e">
        <f t="shared" ca="1" si="480"/>
        <v>#NUM!</v>
      </c>
      <c r="EE90" s="59">
        <f t="shared" si="481"/>
        <v>1.2531000000000001</v>
      </c>
      <c r="EF90" s="59">
        <f t="shared" si="482"/>
        <v>3.3666</v>
      </c>
      <c r="EG90" s="59">
        <f t="shared" si="483"/>
        <v>1.2531000000000001</v>
      </c>
      <c r="EH90" s="59">
        <f t="shared" si="484"/>
        <v>1.2527999999999999</v>
      </c>
      <c r="EI90" s="59">
        <f t="shared" si="485"/>
        <v>0.2162</v>
      </c>
      <c r="EJ90" s="59">
        <f t="shared" si="486"/>
        <v>0.19719999999999999</v>
      </c>
      <c r="EL90" s="3" t="str">
        <f>RTD("tos.rtd",,EL$83,"."&amp;$B$82&amp;$AS$82&amp;"C"&amp;$A90)</f>
        <v>125.31%</v>
      </c>
      <c r="EM90" s="3" t="str">
        <f>RTD("tos.rtd",,EM$83,"."&amp;$B$82&amp;$AS$82&amp;"P"&amp;$A90)</f>
        <v>336.66%</v>
      </c>
      <c r="EN90" s="3" t="str">
        <f>RTD("tos.rtd",,EN$83,"."&amp;$C$82&amp;$AU$82&amp;"C"&amp;$A90)</f>
        <v>125.31%</v>
      </c>
      <c r="EO90" s="3" t="str">
        <f>RTD("tos.rtd",,EO$83,"."&amp;$C$82&amp;$AU$82&amp;"P"&amp;$A90)</f>
        <v>125.28%</v>
      </c>
      <c r="EP90" s="3" t="str">
        <f>RTD("tos.rtd",,EP$83,"."&amp;$D$82&amp;$AW$82&amp;"C"&amp;$A90)</f>
        <v>21.62%</v>
      </c>
      <c r="EQ90" s="3" t="str">
        <f>RTD("tos.rtd",,EQ$83,"."&amp;$D$82&amp;$AW$82&amp;"P"&amp;$A90)</f>
        <v>19.72%</v>
      </c>
      <c r="ES90" s="63" t="str">
        <f t="shared" si="487"/>
        <v>5820,1299.00</v>
      </c>
      <c r="ET90" s="64" t="str">
        <f t="shared" ca="1" si="488"/>
        <v>5820,00.00</v>
      </c>
      <c r="EU90" s="67">
        <v>562.61</v>
      </c>
      <c r="EV90" s="67" t="s">
        <v>739</v>
      </c>
      <c r="EW90" s="67">
        <v>485.08</v>
      </c>
      <c r="EX90" s="67" t="s">
        <v>740</v>
      </c>
      <c r="EY90" s="67">
        <v>5639.75</v>
      </c>
      <c r="EZ90" s="67" t="s">
        <v>741</v>
      </c>
      <c r="FA90" s="67">
        <v>19928.25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502"/>
        <v>5810</v>
      </c>
      <c r="B91" s="3">
        <f t="shared" si="447"/>
        <v>571</v>
      </c>
      <c r="C91" s="3">
        <f t="shared" si="448"/>
        <v>1119</v>
      </c>
      <c r="D91" s="3">
        <f t="shared" si="449"/>
        <v>1097</v>
      </c>
      <c r="E91" s="3">
        <f t="shared" si="450"/>
        <v>2787</v>
      </c>
      <c r="F91" s="4">
        <f t="shared" si="503"/>
        <v>5834.6360424028271</v>
      </c>
      <c r="G91" s="4">
        <f t="shared" si="489"/>
        <v>579.76819787985858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-419</v>
      </c>
      <c r="AN91" s="20">
        <v>1</v>
      </c>
      <c r="AO91" s="20">
        <v>5810</v>
      </c>
      <c r="AP91" s="20">
        <v>1963</v>
      </c>
      <c r="AQ91" s="20">
        <v>-48</v>
      </c>
      <c r="AR91" s="20"/>
      <c r="AS91" s="54">
        <f>IF(RTD("tos.rtd",,AS$83,"."&amp;$B$82&amp;$AS$82&amp;"C"&amp;$A91)="N/A",0,RTD("tos.rtd",,AS$83,"."&amp;$B$82&amp;$AS$82&amp;"C"&amp;$A91))</f>
        <v>533</v>
      </c>
      <c r="AT91" s="3">
        <f>-IF(RTD("tos.rtd",,AT$83,"."&amp;$B$82&amp;$AS$82&amp;"P"&amp;$A91)="N/A",0,RTD("tos.rtd",,AT$83,"."&amp;$B$82&amp;$AS$82&amp;"P"&amp;$A91))</f>
        <v>-38</v>
      </c>
      <c r="AU91" s="54">
        <f>IF(RTD("tos.rtd",,AU$83,"."&amp;$C$82&amp;$AU$82&amp;"C"&amp;$A91)="N/A",0,RTD("tos.rtd",,AU$83,"."&amp;$C$82&amp;$AU$82&amp;"C"&amp;$A91))</f>
        <v>1040</v>
      </c>
      <c r="AV91" s="3">
        <f>-IF(RTD("tos.rtd",,AV$83,"."&amp;$C$82&amp;$AU$82&amp;"P"&amp;$A91)="N/A",0,RTD("tos.rtd",,AV$83,"."&amp;$C$82&amp;$AU$82&amp;"P"&amp;$A91))</f>
        <v>-79</v>
      </c>
      <c r="AW91" s="54">
        <f>IF(RTD("tos.rtd",,AW$83,"."&amp;$D$82&amp;$AW$82&amp;"C"&amp;$A91)="N/A",0,RTD("tos.rtd",,AW$83,"."&amp;$D$82&amp;$AW$82&amp;"C"&amp;$A91))</f>
        <v>430</v>
      </c>
      <c r="AX91" s="3">
        <f>-IF(RTD("tos.rtd",,AX$83,"."&amp;$D$82&amp;$AW$82&amp;"P"&amp;$A91)="N/A",0,RTD("tos.rtd",,AX$83,"."&amp;$D$82&amp;$AW$82&amp;"P"&amp;$A91))</f>
        <v>-667</v>
      </c>
      <c r="AY91" s="79">
        <f t="shared" si="490"/>
        <v>1219</v>
      </c>
      <c r="AZ91" s="8">
        <f t="shared" si="451"/>
        <v>5810</v>
      </c>
      <c r="BA91" s="54">
        <f>IF(RTD("tos.rtd",,BA$83,"."&amp;$B$82&amp;$AS$82&amp;"C"&amp;$A91)="N/A",0,RTD("tos.rtd",,BA$83,"."&amp;$B$82&amp;$AS$82&amp;"C"&amp;$A91))</f>
        <v>0</v>
      </c>
      <c r="BB91" s="3">
        <f>-IF(RTD("tos.rtd",,BB$83,"."&amp;$B$82&amp;$AS$82&amp;"P"&amp;$A91)="N/A",0,RTD("tos.rtd",,BB$83,"."&amp;$B$82&amp;$AS$82&amp;"P"&amp;$A91))</f>
        <v>0</v>
      </c>
      <c r="BC91" s="54">
        <f>IF(RTD("tos.rtd",,BC$83,"."&amp;$C$82&amp;$AU$82&amp;"C"&amp;$A91)="N/A",0,RTD("tos.rtd",,BC$83,"."&amp;$C$82&amp;$AU$82&amp;"C"&amp;$A91))</f>
        <v>2890</v>
      </c>
      <c r="BD91" s="3">
        <f>-IF(RTD("tos.rtd",,BD$83,"."&amp;$C$82&amp;$AU$82&amp;"P"&amp;$A91)="N/A",0,RTD("tos.rtd",,BD$83,"."&amp;$C$82&amp;$AU$82&amp;"P"&amp;$A91))</f>
        <v>-103</v>
      </c>
      <c r="BE91" s="54">
        <f>IF(RTD("tos.rtd",,BE$83,"."&amp;$D$82&amp;$AW$82&amp;"C"&amp;$A91)="N/A",0,RTD("tos.rtd",,BE$83,"."&amp;$D$82&amp;$AW$82&amp;"C"&amp;$A91))</f>
        <v>923</v>
      </c>
      <c r="BF91" s="3">
        <f>-IF(RTD("tos.rtd",,BF$83,"."&amp;$D$82&amp;$AW$82&amp;"P"&amp;$A91)="N/A",0,RTD("tos.rtd",,BF$83,"."&amp;$D$82&amp;$AW$82&amp;"P"&amp;$A91))</f>
        <v>-11</v>
      </c>
      <c r="BG91" s="3">
        <f ca="1">+Hoja2!Y92</f>
        <v>328</v>
      </c>
      <c r="BH91" s="55">
        <f t="shared" ca="1" si="491"/>
        <v>4027</v>
      </c>
      <c r="BI91" s="32" t="str">
        <f t="shared" ca="1" si="507"/>
        <v/>
      </c>
      <c r="BJ91" s="3" t="e">
        <f ca="1">IF($BP$1=1,DX91,IF(RTD("tos.rtd",,BJ$83,"."&amp;$B$82&amp;$AS$82&amp;"C"&amp;$A91)="N/A",0,RTD("tos.rtd",,BJ$83,"."&amp;$B$82&amp;$AS$82&amp;"C"&amp;$A91)))</f>
        <v>#NUM!</v>
      </c>
      <c r="BK91" s="3" t="e">
        <f ca="1">IF($BP$1=1,DY91,-IF(RTD("tos.rtd",,BK$83,"."&amp;$B$82&amp;$AS$82&amp;"P"&amp;$A91)="N/A",0,RTD("tos.rtd",,BK$83,"."&amp;$B$82&amp;$AS$82&amp;"P"&amp;$A91)))</f>
        <v>#NUM!</v>
      </c>
      <c r="BL91" s="3" t="e">
        <f ca="1">IF($BP$1=1,DZ91,IF(RTD("tos.rtd",,BL$83,"."&amp;$C$82&amp;$AU$82&amp;"C"&amp;$A91)="N/A",0,RTD("tos.rtd",,BL$83,"."&amp;$C$82&amp;$AU$82&amp;"C"&amp;$A91)))</f>
        <v>#NUM!</v>
      </c>
      <c r="BM91" s="3" t="e">
        <f ca="1">IF($BP$1=1,EA91,-IF(RTD("tos.rtd",,BM$83,"."&amp;$C$82&amp;$AU$82&amp;"P"&amp;$A91)="N/A",0,RTD("tos.rtd",,BM$83,"."&amp;$C$82&amp;$AU$82&amp;"P"&amp;$A91)))</f>
        <v>#NUM!</v>
      </c>
      <c r="BN91" s="3" t="e">
        <f ca="1">IF($BP$1=1,EB91,IF(RTD("tos.rtd",,BN$83,"."&amp;$D$82&amp;$AW$82&amp;"C"&amp;$A91)="N/A",0,RTD("tos.rtd",,BN$83,"."&amp;$D$82&amp;$AW$82&amp;"C"&amp;$A91)))</f>
        <v>#NUM!</v>
      </c>
      <c r="BO91" s="3" t="e">
        <f ca="1">IF($BP$1=1,EC91,-IF(RTD("tos.rtd",,BO$83,"."&amp;$D$82&amp;$AW$82&amp;"P"&amp;$A91)="N/A",0,RTD("tos.rtd",,BO$83,"."&amp;$D$82&amp;$AW$82&amp;"P"&amp;$A91)))</f>
        <v>#NUM!</v>
      </c>
      <c r="BQ91" s="3" t="e">
        <f t="shared" ca="1" si="452"/>
        <v>#NUM!</v>
      </c>
      <c r="BR91" s="3" t="e">
        <f t="shared" ca="1" si="492"/>
        <v>#NUM!</v>
      </c>
      <c r="BS91" s="3" t="e">
        <f t="shared" ca="1" si="453"/>
        <v>#NUM!</v>
      </c>
      <c r="BT91" s="3" t="e">
        <f t="shared" ca="1" si="492"/>
        <v>#NUM!</v>
      </c>
      <c r="BU91" s="3" t="e">
        <f t="shared" ca="1" si="454"/>
        <v>#NUM!</v>
      </c>
      <c r="BV91" s="3" t="e">
        <f t="shared" ca="1" si="492"/>
        <v>#NUM!</v>
      </c>
      <c r="BX91" s="3" t="e">
        <f t="shared" ca="1" si="455"/>
        <v>#NUM!</v>
      </c>
      <c r="BY91" s="3" t="e">
        <f t="shared" ca="1" si="504"/>
        <v>#NUM!</v>
      </c>
      <c r="BZ91" s="3" t="e">
        <f t="shared" ca="1" si="456"/>
        <v>#NUM!</v>
      </c>
      <c r="CA91" s="3" t="e">
        <f t="shared" ca="1" si="504"/>
        <v>#NUM!</v>
      </c>
      <c r="CB91" s="3" t="e">
        <f t="shared" ca="1" si="457"/>
        <v>#NUM!</v>
      </c>
      <c r="CC91" s="3" t="e">
        <f t="shared" ca="1" si="504"/>
        <v>#NUM!</v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0.86</v>
      </c>
      <c r="CF91" s="3">
        <f>IF(RTD("tos.rtd",,CF$83,"."&amp;$C$82&amp;$AU$82&amp;"C"&amp;$A91)="N/A",0,RTD("tos.rtd",,CF$83,"."&amp;$C$82&amp;$AU$82&amp;"C"&amp;$A91))</f>
        <v>0</v>
      </c>
      <c r="CG91" s="3">
        <f>-IF(RTD("tos.rtd",,CG$83,"."&amp;$C$82&amp;$AU$82&amp;"P"&amp;$A91)="N/A",0,RTD("tos.rtd",,CG$83,"."&amp;$C$82&amp;$AU$82&amp;"P"&amp;$A91))</f>
        <v>1</v>
      </c>
      <c r="CH91" s="3">
        <f>IF(RTD("tos.rtd",,CH$83,"."&amp;$D$82&amp;$AW$82&amp;"C"&amp;$A91)="N/A",0,RTD("tos.rtd",,CH$83,"."&amp;$D$82&amp;$AW$82&amp;"C"&amp;$A91))</f>
        <v>0.16</v>
      </c>
      <c r="CI91" s="3">
        <f>-IF(RTD("tos.rtd",,CI$83,"."&amp;$D$82&amp;$AW$82&amp;"P"&amp;$A91)="N/A",0,RTD("tos.rtd",,CI$83,"."&amp;$D$82&amp;$AW$82&amp;"P"&amp;$A91))</f>
        <v>0.86</v>
      </c>
      <c r="CK91" s="3">
        <f t="shared" si="493"/>
        <v>-3268</v>
      </c>
      <c r="CL91" s="3"/>
      <c r="CM91" s="3">
        <f t="shared" si="494"/>
        <v>-7900</v>
      </c>
      <c r="CN91" s="3"/>
      <c r="CO91" s="3">
        <f t="shared" si="495"/>
        <v>-50482</v>
      </c>
      <c r="CP91" s="3">
        <f t="shared" si="458"/>
        <v>-61650</v>
      </c>
      <c r="CQ91" s="3">
        <f t="shared" si="459"/>
        <v>0</v>
      </c>
      <c r="CR91" s="3"/>
      <c r="CS91" s="3">
        <f t="shared" si="460"/>
        <v>2787</v>
      </c>
      <c r="CT91" s="3"/>
      <c r="CU91" s="3">
        <f t="shared" si="461"/>
        <v>912</v>
      </c>
      <c r="CV91" s="3"/>
      <c r="CW91" s="3" t="e">
        <f t="shared" ca="1" si="496"/>
        <v>#NUM!</v>
      </c>
      <c r="CY91" s="3" t="e">
        <f t="shared" ca="1" si="463"/>
        <v>#NUM!</v>
      </c>
      <c r="CZ91" s="70" t="e">
        <f t="shared" ca="1" si="505"/>
        <v>#NUM!</v>
      </c>
      <c r="DA91" s="3">
        <f>IF(RTD("tos.rtd",,DA$83,"."&amp;$B$82&amp;$AS$82&amp;"C"&amp;$A91)="N/A",0,RTD("tos.rtd",,DA$83,"."&amp;$B$82&amp;$AS$82&amp;"C"&amp;$A91))</f>
        <v>0.05</v>
      </c>
      <c r="DB91" s="3">
        <f>IF(RTD("tos.rtd",,DB$83,"."&amp;$B$82&amp;$AS$82&amp;"P"&amp;$A91)="N/A",0,RTD("tos.rtd",,DB$83,"."&amp;$B$82&amp;$AS$82&amp;"P"&amp;$A91))</f>
        <v>131.22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168.3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151.9</v>
      </c>
      <c r="DG91" s="86">
        <f t="shared" si="497"/>
        <v>150</v>
      </c>
      <c r="DH91" s="3">
        <f t="shared" si="464"/>
        <v>-1963</v>
      </c>
      <c r="DI91" s="3">
        <f t="shared" si="465"/>
        <v>-60.526829268292687</v>
      </c>
      <c r="DJ91" s="3">
        <f t="shared" si="466"/>
        <v>-1963</v>
      </c>
      <c r="DK91" s="3">
        <f t="shared" si="467"/>
        <v>-48</v>
      </c>
      <c r="DL91" s="3">
        <f t="shared" si="468"/>
        <v>-2023.5268292682927</v>
      </c>
      <c r="DM91" s="3">
        <f t="shared" si="469"/>
        <v>-2011</v>
      </c>
      <c r="DN91" s="64" t="str">
        <f t="shared" si="470"/>
        <v>UNKNOWN</v>
      </c>
      <c r="DO91" s="64" t="str">
        <f t="shared" si="471"/>
        <v>UNKNOWN</v>
      </c>
      <c r="DP91" s="3">
        <f t="shared" si="472"/>
        <v>-8040.4805365853663</v>
      </c>
      <c r="DQ91" s="3">
        <f t="shared" si="473"/>
        <v>-6396.7099999999991</v>
      </c>
      <c r="DR91" s="3" t="e">
        <f t="shared" ca="1" si="474"/>
        <v>#NUM!</v>
      </c>
      <c r="DS91" s="3">
        <f t="shared" si="475"/>
        <v>-41.28</v>
      </c>
      <c r="DT91" s="3">
        <f t="shared" si="498"/>
        <v>-1963</v>
      </c>
      <c r="DU91" s="3">
        <f t="shared" si="499"/>
        <v>48</v>
      </c>
      <c r="DV91" s="3">
        <f t="shared" si="500"/>
        <v>-419</v>
      </c>
      <c r="DW91" s="3">
        <f t="shared" si="501"/>
        <v>1</v>
      </c>
      <c r="DX91" s="3" t="e">
        <f t="shared" ca="1" si="506"/>
        <v>#NUM!</v>
      </c>
      <c r="DY91" s="3" t="e">
        <f t="shared" ca="1" si="476"/>
        <v>#NUM!</v>
      </c>
      <c r="DZ91" s="3" t="e">
        <f t="shared" ca="1" si="477"/>
        <v>#NUM!</v>
      </c>
      <c r="EA91" s="3" t="e">
        <f t="shared" ca="1" si="478"/>
        <v>#NUM!</v>
      </c>
      <c r="EB91" s="3" t="e">
        <f t="shared" ca="1" si="479"/>
        <v>#NUM!</v>
      </c>
      <c r="EC91" s="3" t="e">
        <f t="shared" ca="1" si="480"/>
        <v>#NUM!</v>
      </c>
      <c r="EE91" s="59">
        <f t="shared" si="481"/>
        <v>1.1805000000000001</v>
      </c>
      <c r="EF91" s="59">
        <f t="shared" si="482"/>
        <v>3.2195</v>
      </c>
      <c r="EG91" s="59">
        <f t="shared" si="483"/>
        <v>1.1805000000000001</v>
      </c>
      <c r="EH91" s="59">
        <f t="shared" si="484"/>
        <v>1.1800999999999999</v>
      </c>
      <c r="EI91" s="59">
        <f t="shared" si="485"/>
        <v>0.2177</v>
      </c>
      <c r="EJ91" s="59">
        <f t="shared" si="486"/>
        <v>0.20019999999999999</v>
      </c>
      <c r="EL91" s="3" t="str">
        <f>RTD("tos.rtd",,EL$83,"."&amp;$B$82&amp;$AS$82&amp;"C"&amp;$A91)</f>
        <v>118.05%</v>
      </c>
      <c r="EM91" s="3" t="str">
        <f>RTD("tos.rtd",,EM$83,"."&amp;$B$82&amp;$AS$82&amp;"P"&amp;$A91)</f>
        <v>321.95%</v>
      </c>
      <c r="EN91" s="3" t="str">
        <f>RTD("tos.rtd",,EN$83,"."&amp;$C$82&amp;$AU$82&amp;"C"&amp;$A91)</f>
        <v>118.05%</v>
      </c>
      <c r="EO91" s="3" t="str">
        <f>RTD("tos.rtd",,EO$83,"."&amp;$C$82&amp;$AU$82&amp;"P"&amp;$A91)</f>
        <v>118.01%</v>
      </c>
      <c r="EP91" s="3" t="str">
        <f>RTD("tos.rtd",,EP$83,"."&amp;$D$82&amp;$AW$82&amp;"C"&amp;$A91)</f>
        <v>21.77%</v>
      </c>
      <c r="EQ91" s="3" t="str">
        <f>RTD("tos.rtd",,EQ$83,"."&amp;$D$82&amp;$AW$82&amp;"P"&amp;$A91)</f>
        <v>20.02%</v>
      </c>
      <c r="ES91" s="63" t="str">
        <f t="shared" si="487"/>
        <v>5810,-418.00</v>
      </c>
      <c r="ET91" s="64" t="str">
        <f t="shared" ca="1" si="488"/>
        <v>5810,00.00</v>
      </c>
      <c r="EU91" s="67">
        <v>562.45000000000005</v>
      </c>
      <c r="EV91" s="67" t="s">
        <v>747</v>
      </c>
      <c r="EW91" s="67">
        <v>485.06</v>
      </c>
      <c r="EX91" s="67" t="s">
        <v>748</v>
      </c>
      <c r="EY91" s="67">
        <v>5639.25</v>
      </c>
      <c r="EZ91" s="67" t="s">
        <v>749</v>
      </c>
      <c r="FA91" s="67">
        <v>19926.5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502"/>
        <v>5800</v>
      </c>
      <c r="B92" s="3">
        <f t="shared" si="447"/>
        <v>5626</v>
      </c>
      <c r="C92" s="3">
        <f t="shared" si="448"/>
        <v>7715</v>
      </c>
      <c r="D92" s="3">
        <f t="shared" si="449"/>
        <v>30422</v>
      </c>
      <c r="E92" s="3">
        <f t="shared" si="450"/>
        <v>43763</v>
      </c>
      <c r="F92" s="4">
        <f t="shared" si="503"/>
        <v>5824.5936395759718</v>
      </c>
      <c r="G92" s="4">
        <f t="shared" si="489"/>
        <v>578.77031802120143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124</v>
      </c>
      <c r="AN92" s="20">
        <v>-38</v>
      </c>
      <c r="AO92" s="20">
        <v>5800</v>
      </c>
      <c r="AP92" s="20">
        <v>3513</v>
      </c>
      <c r="AQ92" s="20">
        <v>-75</v>
      </c>
      <c r="AR92" s="20"/>
      <c r="AS92" s="54">
        <f>IF(RTD("tos.rtd",,AS$83,"."&amp;$B$82&amp;$AS$82&amp;"C"&amp;$A92)="N/A",0,RTD("tos.rtd",,AS$83,"."&amp;$B$82&amp;$AS$82&amp;"C"&amp;$A92))</f>
        <v>5557</v>
      </c>
      <c r="AT92" s="3">
        <f>-IF(RTD("tos.rtd",,AT$83,"."&amp;$B$82&amp;$AS$82&amp;"P"&amp;$A92)="N/A",0,RTD("tos.rtd",,AT$83,"."&amp;$B$82&amp;$AS$82&amp;"P"&amp;$A92))</f>
        <v>-69</v>
      </c>
      <c r="AU92" s="54">
        <f>IF(RTD("tos.rtd",,AU$83,"."&amp;$C$82&amp;$AU$82&amp;"C"&amp;$A92)="N/A",0,RTD("tos.rtd",,AU$83,"."&amp;$C$82&amp;$AU$82&amp;"C"&amp;$A92))</f>
        <v>7493</v>
      </c>
      <c r="AV92" s="3">
        <f>-IF(RTD("tos.rtd",,AV$83,"."&amp;$C$82&amp;$AU$82&amp;"P"&amp;$A92)="N/A",0,RTD("tos.rtd",,AV$83,"."&amp;$C$82&amp;$AU$82&amp;"P"&amp;$A92))</f>
        <v>-222</v>
      </c>
      <c r="AW92" s="54">
        <f>IF(RTD("tos.rtd",,AW$83,"."&amp;$D$82&amp;$AW$82&amp;"C"&amp;$A92)="N/A",0,RTD("tos.rtd",,AW$83,"."&amp;$D$82&amp;$AW$82&amp;"C"&amp;$A92))</f>
        <v>22888</v>
      </c>
      <c r="AX92" s="3">
        <f>-IF(RTD("tos.rtd",,AX$83,"."&amp;$D$82&amp;$AW$82&amp;"P"&amp;$A92)="N/A",0,RTD("tos.rtd",,AX$83,"."&amp;$D$82&amp;$AW$82&amp;"P"&amp;$A92))</f>
        <v>-7534</v>
      </c>
      <c r="AY92" s="79">
        <f t="shared" si="490"/>
        <v>28113</v>
      </c>
      <c r="AZ92" s="8">
        <f t="shared" si="451"/>
        <v>5800</v>
      </c>
      <c r="BA92" s="54">
        <f>IF(RTD("tos.rtd",,BA$83,"."&amp;$B$82&amp;$AS$82&amp;"C"&amp;$A92)="N/A",0,RTD("tos.rtd",,BA$83,"."&amp;$B$82&amp;$AS$82&amp;"C"&amp;$A92))</f>
        <v>0</v>
      </c>
      <c r="BB92" s="3">
        <f>-IF(RTD("tos.rtd",,BB$83,"."&amp;$B$82&amp;$AS$82&amp;"P"&amp;$A92)="N/A",0,RTD("tos.rtd",,BB$83,"."&amp;$B$82&amp;$AS$82&amp;"P"&amp;$A92))</f>
        <v>0</v>
      </c>
      <c r="BC92" s="54">
        <f>IF(RTD("tos.rtd",,BC$83,"."&amp;$C$82&amp;$AU$82&amp;"C"&amp;$A92)="N/A",0,RTD("tos.rtd",,BC$83,"."&amp;$C$82&amp;$AU$82&amp;"C"&amp;$A92))</f>
        <v>19006</v>
      </c>
      <c r="BD92" s="3">
        <f>-IF(RTD("tos.rtd",,BD$83,"."&amp;$C$82&amp;$AU$82&amp;"P"&amp;$A92)="N/A",0,RTD("tos.rtd",,BD$83,"."&amp;$C$82&amp;$AU$82&amp;"P"&amp;$A92))</f>
        <v>-136</v>
      </c>
      <c r="BE92" s="54">
        <f>IF(RTD("tos.rtd",,BE$83,"."&amp;$D$82&amp;$AW$82&amp;"C"&amp;$A92)="N/A",0,RTD("tos.rtd",,BE$83,"."&amp;$D$82&amp;$AW$82&amp;"C"&amp;$A92))</f>
        <v>2957</v>
      </c>
      <c r="BF92" s="3">
        <f>-IF(RTD("tos.rtd",,BF$83,"."&amp;$D$82&amp;$AW$82&amp;"P"&amp;$A92)="N/A",0,RTD("tos.rtd",,BF$83,"."&amp;$D$82&amp;$AW$82&amp;"P"&amp;$A92))</f>
        <v>-44</v>
      </c>
      <c r="BG92" s="3">
        <f ca="1">+Hoja2!Y93</f>
        <v>3599</v>
      </c>
      <c r="BH92" s="55">
        <f t="shared" ca="1" si="491"/>
        <v>25382</v>
      </c>
      <c r="BI92" s="32" t="str">
        <f t="shared" ca="1" si="507"/>
        <v/>
      </c>
      <c r="BJ92" s="3" t="e">
        <f ca="1">IF($BP$1=1,DX92,IF(RTD("tos.rtd",,BJ$83,"."&amp;$B$82&amp;$AS$82&amp;"C"&amp;$A92)="N/A",0,RTD("tos.rtd",,BJ$83,"."&amp;$B$82&amp;$AS$82&amp;"C"&amp;$A92)))</f>
        <v>#NUM!</v>
      </c>
      <c r="BK92" s="3" t="e">
        <f ca="1">IF($BP$1=1,DY92,-IF(RTD("tos.rtd",,BK$83,"."&amp;$B$82&amp;$AS$82&amp;"P"&amp;$A92)="N/A",0,RTD("tos.rtd",,BK$83,"."&amp;$B$82&amp;$AS$82&amp;"P"&amp;$A92)))</f>
        <v>#NUM!</v>
      </c>
      <c r="BL92" s="3" t="e">
        <f ca="1">IF($BP$1=1,DZ92,IF(RTD("tos.rtd",,BL$83,"."&amp;$C$82&amp;$AU$82&amp;"C"&amp;$A92)="N/A",0,RTD("tos.rtd",,BL$83,"."&amp;$C$82&amp;$AU$82&amp;"C"&amp;$A92)))</f>
        <v>#NUM!</v>
      </c>
      <c r="BM92" s="3" t="e">
        <f ca="1">IF($BP$1=1,EA92,-IF(RTD("tos.rtd",,BM$83,"."&amp;$C$82&amp;$AU$82&amp;"P"&amp;$A92)="N/A",0,RTD("tos.rtd",,BM$83,"."&amp;$C$82&amp;$AU$82&amp;"P"&amp;$A92)))</f>
        <v>#NUM!</v>
      </c>
      <c r="BN92" s="3" t="e">
        <f ca="1">IF($BP$1=1,EB92,IF(RTD("tos.rtd",,BN$83,"."&amp;$D$82&amp;$AW$82&amp;"C"&amp;$A92)="N/A",0,RTD("tos.rtd",,BN$83,"."&amp;$D$82&amp;$AW$82&amp;"C"&amp;$A92)))</f>
        <v>#NUM!</v>
      </c>
      <c r="BO92" s="3" t="e">
        <f ca="1">IF($BP$1=1,EC92,-IF(RTD("tos.rtd",,BO$83,"."&amp;$D$82&amp;$AW$82&amp;"P"&amp;$A92)="N/A",0,RTD("tos.rtd",,BO$83,"."&amp;$D$82&amp;$AW$82&amp;"P"&amp;$A92)))</f>
        <v>#NUM!</v>
      </c>
      <c r="BQ92" s="3" t="e">
        <f t="shared" ca="1" si="452"/>
        <v>#NUM!</v>
      </c>
      <c r="BR92" s="3" t="e">
        <f t="shared" ca="1" si="492"/>
        <v>#NUM!</v>
      </c>
      <c r="BS92" s="3" t="e">
        <f t="shared" ca="1" si="453"/>
        <v>#NUM!</v>
      </c>
      <c r="BT92" s="3" t="e">
        <f t="shared" ca="1" si="492"/>
        <v>#NUM!</v>
      </c>
      <c r="BU92" s="3" t="e">
        <f t="shared" ca="1" si="454"/>
        <v>#NUM!</v>
      </c>
      <c r="BV92" s="3" t="e">
        <f t="shared" ca="1" si="492"/>
        <v>#NUM!</v>
      </c>
      <c r="BX92" s="3" t="e">
        <f t="shared" ca="1" si="455"/>
        <v>#NUM!</v>
      </c>
      <c r="BY92" s="3" t="e">
        <f t="shared" ca="1" si="504"/>
        <v>#NUM!</v>
      </c>
      <c r="BZ92" s="3" t="e">
        <f t="shared" ca="1" si="456"/>
        <v>#NUM!</v>
      </c>
      <c r="CA92" s="3" t="e">
        <f t="shared" ca="1" si="504"/>
        <v>#NUM!</v>
      </c>
      <c r="CB92" s="3" t="e">
        <f t="shared" ca="1" si="457"/>
        <v>#NUM!</v>
      </c>
      <c r="CC92" s="3" t="e">
        <f t="shared" ca="1" si="504"/>
        <v>#NUM!</v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0.84</v>
      </c>
      <c r="CF92" s="3">
        <f>IF(RTD("tos.rtd",,CF$83,"."&amp;$C$82&amp;$AU$82&amp;"C"&amp;$A92)="N/A",0,RTD("tos.rtd",,CF$83,"."&amp;$C$82&amp;$AU$82&amp;"C"&amp;$A92))</f>
        <v>0</v>
      </c>
      <c r="CG92" s="3">
        <f>-IF(RTD("tos.rtd",,CG$83,"."&amp;$C$82&amp;$AU$82&amp;"P"&amp;$A92)="N/A",0,RTD("tos.rtd",,CG$83,"."&amp;$C$82&amp;$AU$82&amp;"P"&amp;$A92))</f>
        <v>0.99</v>
      </c>
      <c r="CH92" s="3">
        <f>IF(RTD("tos.rtd",,CH$83,"."&amp;$D$82&amp;$AW$82&amp;"C"&amp;$A92)="N/A",0,RTD("tos.rtd",,CH$83,"."&amp;$D$82&amp;$AW$82&amp;"C"&amp;$A92))</f>
        <v>0.18</v>
      </c>
      <c r="CI92" s="3">
        <f>-IF(RTD("tos.rtd",,CI$83,"."&amp;$D$82&amp;$AW$82&amp;"P"&amp;$A92)="N/A",0,RTD("tos.rtd",,CI$83,"."&amp;$D$82&amp;$AW$82&amp;"P"&amp;$A92))</f>
        <v>0.84</v>
      </c>
      <c r="CK92" s="3">
        <f t="shared" si="493"/>
        <v>-5796</v>
      </c>
      <c r="CL92" s="3"/>
      <c r="CM92" s="3">
        <f t="shared" si="494"/>
        <v>-21978</v>
      </c>
      <c r="CN92" s="3"/>
      <c r="CO92" s="3">
        <f t="shared" si="495"/>
        <v>-220872</v>
      </c>
      <c r="CP92" s="3">
        <f t="shared" si="458"/>
        <v>-248646</v>
      </c>
      <c r="CQ92" s="3">
        <f t="shared" si="459"/>
        <v>0</v>
      </c>
      <c r="CR92" s="3"/>
      <c r="CS92" s="3">
        <f t="shared" si="460"/>
        <v>18870</v>
      </c>
      <c r="CT92" s="3"/>
      <c r="CU92" s="3">
        <f t="shared" si="461"/>
        <v>2913</v>
      </c>
      <c r="CV92" s="3"/>
      <c r="CW92" s="3" t="e">
        <f t="shared" ca="1" si="496"/>
        <v>#NUM!</v>
      </c>
      <c r="CY92" s="3" t="e">
        <f t="shared" ca="1" si="463"/>
        <v>#NUM!</v>
      </c>
      <c r="CZ92" s="70" t="e">
        <f t="shared" ca="1" si="505"/>
        <v>#NUM!</v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130.4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159.9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142.5</v>
      </c>
      <c r="DG92" s="86">
        <f t="shared" si="497"/>
        <v>140</v>
      </c>
      <c r="DH92" s="3">
        <f t="shared" si="464"/>
        <v>-2107.7999999999997</v>
      </c>
      <c r="DI92" s="3">
        <f t="shared" si="465"/>
        <v>-52.155172413793061</v>
      </c>
      <c r="DJ92" s="3">
        <f t="shared" si="466"/>
        <v>-3513</v>
      </c>
      <c r="DK92" s="3">
        <f t="shared" si="467"/>
        <v>-75</v>
      </c>
      <c r="DL92" s="3">
        <f t="shared" si="468"/>
        <v>-2159.9551724137928</v>
      </c>
      <c r="DM92" s="3">
        <f t="shared" si="469"/>
        <v>-3588</v>
      </c>
      <c r="DN92" s="64" t="str">
        <f t="shared" si="470"/>
        <v>UNKNOWN</v>
      </c>
      <c r="DO92" s="64" t="str">
        <f t="shared" si="471"/>
        <v>UNKNOWN</v>
      </c>
      <c r="DP92" s="3">
        <f t="shared" si="472"/>
        <v>-6864.2684827586154</v>
      </c>
      <c r="DQ92" s="3">
        <f t="shared" si="473"/>
        <v>-9885.39</v>
      </c>
      <c r="DR92" s="3" t="e">
        <f t="shared" ca="1" si="474"/>
        <v>#NUM!</v>
      </c>
      <c r="DS92" s="3">
        <f t="shared" si="475"/>
        <v>-63</v>
      </c>
      <c r="DT92" s="3">
        <f t="shared" si="498"/>
        <v>-3513</v>
      </c>
      <c r="DU92" s="3">
        <f t="shared" si="499"/>
        <v>75</v>
      </c>
      <c r="DV92" s="3">
        <f t="shared" si="500"/>
        <v>124</v>
      </c>
      <c r="DW92" s="3">
        <f t="shared" si="501"/>
        <v>-38</v>
      </c>
      <c r="DX92" s="3" t="e">
        <f t="shared" ca="1" si="506"/>
        <v>#NUM!</v>
      </c>
      <c r="DY92" s="3" t="e">
        <f t="shared" ca="1" si="476"/>
        <v>#NUM!</v>
      </c>
      <c r="DZ92" s="3" t="e">
        <f t="shared" ca="1" si="477"/>
        <v>#NUM!</v>
      </c>
      <c r="EA92" s="3" t="e">
        <f t="shared" ca="1" si="478"/>
        <v>#NUM!</v>
      </c>
      <c r="EB92" s="3" t="e">
        <f t="shared" ca="1" si="479"/>
        <v>#NUM!</v>
      </c>
      <c r="EC92" s="3" t="e">
        <f t="shared" ca="1" si="480"/>
        <v>#NUM!</v>
      </c>
      <c r="EE92" s="59">
        <f t="shared" si="481"/>
        <v>1.1097999999999999</v>
      </c>
      <c r="EF92" s="59">
        <f t="shared" si="482"/>
        <v>3.1844999999999999</v>
      </c>
      <c r="EG92" s="59">
        <f t="shared" si="483"/>
        <v>1.1097999999999999</v>
      </c>
      <c r="EH92" s="59">
        <f t="shared" si="484"/>
        <v>1.4089</v>
      </c>
      <c r="EI92" s="59">
        <f t="shared" si="485"/>
        <v>0.21940000000000001</v>
      </c>
      <c r="EJ92" s="59">
        <f t="shared" si="486"/>
        <v>0.2024</v>
      </c>
      <c r="EL92" s="3" t="str">
        <f>RTD("tos.rtd",,EL$83,"."&amp;$B$82&amp;$AS$82&amp;"C"&amp;$A92)</f>
        <v>110.98%</v>
      </c>
      <c r="EM92" s="3" t="str">
        <f>RTD("tos.rtd",,EM$83,"."&amp;$B$82&amp;$AS$82&amp;"P"&amp;$A92)</f>
        <v>318.45%</v>
      </c>
      <c r="EN92" s="3" t="str">
        <f>RTD("tos.rtd",,EN$83,"."&amp;$C$82&amp;$AU$82&amp;"C"&amp;$A92)</f>
        <v>110.98%</v>
      </c>
      <c r="EO92" s="3" t="str">
        <f>RTD("tos.rtd",,EO$83,"."&amp;$C$82&amp;$AU$82&amp;"P"&amp;$A92)</f>
        <v>140.89%</v>
      </c>
      <c r="EP92" s="3" t="str">
        <f>RTD("tos.rtd",,EP$83,"."&amp;$D$82&amp;$AW$82&amp;"C"&amp;$A92)</f>
        <v>21.94%</v>
      </c>
      <c r="EQ92" s="3" t="str">
        <f>RTD("tos.rtd",,EQ$83,"."&amp;$D$82&amp;$AW$82&amp;"P"&amp;$A92)</f>
        <v>20.24%</v>
      </c>
      <c r="ES92" s="63" t="str">
        <f t="shared" si="487"/>
        <v>5800,86.00</v>
      </c>
      <c r="ET92" s="64" t="str">
        <f t="shared" ca="1" si="488"/>
        <v>5800,00.00</v>
      </c>
      <c r="EU92" s="67">
        <v>562.66</v>
      </c>
      <c r="EV92" s="67" t="s">
        <v>755</v>
      </c>
      <c r="EW92" s="67">
        <v>485.16</v>
      </c>
      <c r="EX92" s="67" t="s">
        <v>756</v>
      </c>
      <c r="EY92" s="67">
        <v>5640.5</v>
      </c>
      <c r="EZ92" s="67" t="s">
        <v>757</v>
      </c>
      <c r="FA92" s="67">
        <v>19930.5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502"/>
        <v>5790</v>
      </c>
      <c r="B93" s="3">
        <f t="shared" si="447"/>
        <v>2976</v>
      </c>
      <c r="C93" s="3">
        <f t="shared" si="448"/>
        <v>2415</v>
      </c>
      <c r="D93" s="3">
        <f t="shared" si="449"/>
        <v>884</v>
      </c>
      <c r="E93" s="3">
        <f t="shared" si="450"/>
        <v>6275</v>
      </c>
      <c r="F93" s="4">
        <f>+$F$84/$A$84*A93</f>
        <v>5814.5512367491165</v>
      </c>
      <c r="G93" s="4">
        <f t="shared" si="489"/>
        <v>577.77243816254418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950</v>
      </c>
      <c r="AN93" s="20">
        <v>142</v>
      </c>
      <c r="AO93" s="20">
        <v>5790</v>
      </c>
      <c r="AP93" s="20">
        <v>7455</v>
      </c>
      <c r="AQ93" s="20">
        <v>-387</v>
      </c>
      <c r="AR93" s="20"/>
      <c r="AS93" s="54">
        <f>IF(RTD("tos.rtd",,AS$83,"."&amp;$B$82&amp;$AS$82&amp;"C"&amp;$A93)="N/A",0,RTD("tos.rtd",,AS$83,"."&amp;$B$82&amp;$AS$82&amp;"C"&amp;$A93))</f>
        <v>2637</v>
      </c>
      <c r="AT93" s="3">
        <f>-IF(RTD("tos.rtd",,AT$83,"."&amp;$B$82&amp;$AS$82&amp;"P"&amp;$A93)="N/A",0,RTD("tos.rtd",,AT$83,"."&amp;$B$82&amp;$AS$82&amp;"P"&amp;$A93))</f>
        <v>-339</v>
      </c>
      <c r="AU93" s="54">
        <f>IF(RTD("tos.rtd",,AU$83,"."&amp;$C$82&amp;$AU$82&amp;"C"&amp;$A93)="N/A",0,RTD("tos.rtd",,AU$83,"."&amp;$C$82&amp;$AU$82&amp;"C"&amp;$A93))</f>
        <v>1853</v>
      </c>
      <c r="AV93" s="3">
        <f>-IF(RTD("tos.rtd",,AV$83,"."&amp;$C$82&amp;$AU$82&amp;"P"&amp;$A93)="N/A",0,RTD("tos.rtd",,AV$83,"."&amp;$C$82&amp;$AU$82&amp;"P"&amp;$A93))</f>
        <v>-562</v>
      </c>
      <c r="AW93" s="54">
        <f>IF(RTD("tos.rtd",,AW$83,"."&amp;$D$82&amp;$AW$82&amp;"C"&amp;$A93)="N/A",0,RTD("tos.rtd",,AW$83,"."&amp;$D$82&amp;$AW$82&amp;"C"&amp;$A93))</f>
        <v>676</v>
      </c>
      <c r="AX93" s="3">
        <f>-IF(RTD("tos.rtd",,AX$83,"."&amp;$D$82&amp;$AW$82&amp;"P"&amp;$A93)="N/A",0,RTD("tos.rtd",,AX$83,"."&amp;$D$82&amp;$AW$82&amp;"P"&amp;$A93))</f>
        <v>-208</v>
      </c>
      <c r="AY93" s="79">
        <f t="shared" si="490"/>
        <v>4057</v>
      </c>
      <c r="AZ93" s="8">
        <f t="shared" si="451"/>
        <v>5790</v>
      </c>
      <c r="BA93" s="54">
        <f>IF(RTD("tos.rtd",,BA$83,"."&amp;$B$82&amp;$AS$82&amp;"C"&amp;$A93)="N/A",0,RTD("tos.rtd",,BA$83,"."&amp;$B$82&amp;$AS$82&amp;"C"&amp;$A93))</f>
        <v>0</v>
      </c>
      <c r="BB93" s="3">
        <f>-IF(RTD("tos.rtd",,BB$83,"."&amp;$B$82&amp;$AS$82&amp;"P"&amp;$A93)="N/A",0,RTD("tos.rtd",,BB$83,"."&amp;$B$82&amp;$AS$82&amp;"P"&amp;$A93))</f>
        <v>0</v>
      </c>
      <c r="BC93" s="54">
        <f>IF(RTD("tos.rtd",,BC$83,"."&amp;$C$82&amp;$AU$82&amp;"C"&amp;$A93)="N/A",0,RTD("tos.rtd",,BC$83,"."&amp;$C$82&amp;$AU$82&amp;"C"&amp;$A93))</f>
        <v>3345</v>
      </c>
      <c r="BD93" s="3">
        <f>-IF(RTD("tos.rtd",,BD$83,"."&amp;$C$82&amp;$AU$82&amp;"P"&amp;$A93)="N/A",0,RTD("tos.rtd",,BD$83,"."&amp;$C$82&amp;$AU$82&amp;"P"&amp;$A93))</f>
        <v>-759</v>
      </c>
      <c r="BE93" s="54">
        <f>IF(RTD("tos.rtd",,BE$83,"."&amp;$D$82&amp;$AW$82&amp;"C"&amp;$A93)="N/A",0,RTD("tos.rtd",,BE$83,"."&amp;$D$82&amp;$AW$82&amp;"C"&amp;$A93))</f>
        <v>291</v>
      </c>
      <c r="BF93" s="3">
        <f>-IF(RTD("tos.rtd",,BF$83,"."&amp;$D$82&amp;$AW$82&amp;"P"&amp;$A93)="N/A",0,RTD("tos.rtd",,BF$83,"."&amp;$D$82&amp;$AW$82&amp;"P"&amp;$A93))</f>
        <v>-2</v>
      </c>
      <c r="BG93" s="3">
        <f ca="1">+Hoja2!Y94</f>
        <v>560</v>
      </c>
      <c r="BH93" s="55">
        <f t="shared" ca="1" si="491"/>
        <v>3435</v>
      </c>
      <c r="BI93" s="32" t="str">
        <f t="shared" ca="1" si="507"/>
        <v/>
      </c>
      <c r="BJ93" s="3" t="e">
        <f ca="1">IF($BP$1=1,DX93,IF(RTD("tos.rtd",,BJ$83,"."&amp;$B$82&amp;$AS$82&amp;"C"&amp;$A93)="N/A",0,RTD("tos.rtd",,BJ$83,"."&amp;$B$82&amp;$AS$82&amp;"C"&amp;$A93)))</f>
        <v>#NUM!</v>
      </c>
      <c r="BK93" s="3" t="e">
        <f ca="1">IF($BP$1=1,DY93,-IF(RTD("tos.rtd",,BK$83,"."&amp;$B$82&amp;$AS$82&amp;"P"&amp;$A93)="N/A",0,RTD("tos.rtd",,BK$83,"."&amp;$B$82&amp;$AS$82&amp;"P"&amp;$A93)))</f>
        <v>#NUM!</v>
      </c>
      <c r="BL93" s="3" t="e">
        <f ca="1">IF($BP$1=1,DZ93,IF(RTD("tos.rtd",,BL$83,"."&amp;$C$82&amp;$AU$82&amp;"C"&amp;$A93)="N/A",0,RTD("tos.rtd",,BL$83,"."&amp;$C$82&amp;$AU$82&amp;"C"&amp;$A93)))</f>
        <v>#NUM!</v>
      </c>
      <c r="BM93" s="3" t="e">
        <f ca="1">IF($BP$1=1,EA93,-IF(RTD("tos.rtd",,BM$83,"."&amp;$C$82&amp;$AU$82&amp;"P"&amp;$A93)="N/A",0,RTD("tos.rtd",,BM$83,"."&amp;$C$82&amp;$AU$82&amp;"P"&amp;$A93)))</f>
        <v>#NUM!</v>
      </c>
      <c r="BN93" s="3" t="e">
        <f ca="1">IF($BP$1=1,EB93,IF(RTD("tos.rtd",,BN$83,"."&amp;$D$82&amp;$AW$82&amp;"C"&amp;$A93)="N/A",0,RTD("tos.rtd",,BN$83,"."&amp;$D$82&amp;$AW$82&amp;"C"&amp;$A93)))</f>
        <v>#NUM!</v>
      </c>
      <c r="BO93" s="3" t="e">
        <f ca="1">IF($BP$1=1,EC93,-IF(RTD("tos.rtd",,BO$83,"."&amp;$D$82&amp;$AW$82&amp;"P"&amp;$A93)="N/A",0,RTD("tos.rtd",,BO$83,"."&amp;$D$82&amp;$AW$82&amp;"P"&amp;$A93)))</f>
        <v>#NUM!</v>
      </c>
      <c r="BQ93" s="3" t="e">
        <f t="shared" ca="1" si="452"/>
        <v>#NUM!</v>
      </c>
      <c r="BR93" s="3" t="e">
        <f t="shared" ca="1" si="492"/>
        <v>#NUM!</v>
      </c>
      <c r="BS93" s="3" t="e">
        <f t="shared" ca="1" si="453"/>
        <v>#NUM!</v>
      </c>
      <c r="BT93" s="3" t="e">
        <f t="shared" ca="1" si="492"/>
        <v>#NUM!</v>
      </c>
      <c r="BU93" s="3" t="e">
        <f t="shared" ca="1" si="454"/>
        <v>#NUM!</v>
      </c>
      <c r="BV93" s="3" t="e">
        <f t="shared" ca="1" si="492"/>
        <v>#NUM!</v>
      </c>
      <c r="BX93" s="3" t="e">
        <f t="shared" ca="1" si="455"/>
        <v>#NUM!</v>
      </c>
      <c r="BY93" s="3" t="e">
        <f t="shared" ca="1" si="504"/>
        <v>#NUM!</v>
      </c>
      <c r="BZ93" s="3" t="e">
        <f t="shared" ca="1" si="456"/>
        <v>#NUM!</v>
      </c>
      <c r="CA93" s="3" t="e">
        <f t="shared" ca="1" si="504"/>
        <v>#NUM!</v>
      </c>
      <c r="CB93" s="3" t="e">
        <f t="shared" ca="1" si="457"/>
        <v>#NUM!</v>
      </c>
      <c r="CC93" s="3" t="e">
        <f t="shared" ca="1" si="504"/>
        <v>#NUM!</v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0.85</v>
      </c>
      <c r="CF93" s="3">
        <f>IF(RTD("tos.rtd",,CF$83,"."&amp;$C$82&amp;$AU$82&amp;"C"&amp;$A93)="N/A",0,RTD("tos.rtd",,CF$83,"."&amp;$C$82&amp;$AU$82&amp;"C"&amp;$A93))</f>
        <v>0</v>
      </c>
      <c r="CG93" s="3">
        <f>-IF(RTD("tos.rtd",,CG$83,"."&amp;$C$82&amp;$AU$82&amp;"P"&amp;$A93)="N/A",0,RTD("tos.rtd",,CG$83,"."&amp;$C$82&amp;$AU$82&amp;"P"&amp;$A93))</f>
        <v>0.99</v>
      </c>
      <c r="CH93" s="3">
        <f>IF(RTD("tos.rtd",,CH$83,"."&amp;$D$82&amp;$AW$82&amp;"C"&amp;$A93)="N/A",0,RTD("tos.rtd",,CH$83,"."&amp;$D$82&amp;$AW$82&amp;"C"&amp;$A93))</f>
        <v>0.2</v>
      </c>
      <c r="CI93" s="3">
        <f>-IF(RTD("tos.rtd",,CI$83,"."&amp;$D$82&amp;$AW$82&amp;"P"&amp;$A93)="N/A",0,RTD("tos.rtd",,CI$83,"."&amp;$D$82&amp;$AW$82&amp;"P"&amp;$A93))</f>
        <v>0.82</v>
      </c>
      <c r="CK93" s="3">
        <f t="shared" ref="CK93:CK98" si="508">+AS93*CD93*100+AT93*CE93*100</f>
        <v>-28814.999999999996</v>
      </c>
      <c r="CL93" s="3"/>
      <c r="CM93" s="3">
        <f t="shared" ref="CM93:CM98" si="509">+AU93*CF93*100+AV93*CG93*100</f>
        <v>-55638</v>
      </c>
      <c r="CN93" s="3"/>
      <c r="CO93" s="3">
        <f t="shared" ref="CO93:CO98" si="510">+AW93*CH93*100+AX93*CI93*100</f>
        <v>-3535.9999999999982</v>
      </c>
      <c r="CP93" s="3">
        <f t="shared" si="458"/>
        <v>-87989</v>
      </c>
      <c r="CQ93" s="3">
        <f t="shared" si="459"/>
        <v>0</v>
      </c>
      <c r="CR93" s="3"/>
      <c r="CS93" s="3">
        <f t="shared" si="460"/>
        <v>2586</v>
      </c>
      <c r="CT93" s="3"/>
      <c r="CU93" s="3">
        <f t="shared" si="461"/>
        <v>289</v>
      </c>
      <c r="CV93" s="3"/>
      <c r="CW93" s="3" t="e">
        <f t="shared" ca="1" si="496"/>
        <v>#NUM!</v>
      </c>
      <c r="CY93" s="3" t="e">
        <f t="shared" ca="1" si="463"/>
        <v>#NUM!</v>
      </c>
      <c r="CZ93" s="70" t="e">
        <f t="shared" ca="1" si="505"/>
        <v>#NUM!</v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127.07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142.19999999999999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136.5</v>
      </c>
      <c r="DG93" s="86">
        <f t="shared" si="497"/>
        <v>130</v>
      </c>
      <c r="DH93" s="3">
        <f t="shared" si="464"/>
        <v>-4473</v>
      </c>
      <c r="DI93" s="3">
        <f t="shared" si="465"/>
        <v>-640.24736842105438</v>
      </c>
      <c r="DJ93" s="3">
        <f t="shared" si="466"/>
        <v>-7455</v>
      </c>
      <c r="DK93" s="3">
        <f t="shared" si="467"/>
        <v>-387</v>
      </c>
      <c r="DL93" s="3">
        <f t="shared" si="468"/>
        <v>-5113.2473684210545</v>
      </c>
      <c r="DM93" s="3">
        <f t="shared" si="469"/>
        <v>-7842</v>
      </c>
      <c r="DN93" s="64" t="str">
        <f t="shared" si="470"/>
        <v>UNKNOWN</v>
      </c>
      <c r="DO93" s="64" t="str">
        <f t="shared" si="471"/>
        <v>UNKNOWN</v>
      </c>
      <c r="DP93" s="3">
        <f t="shared" si="472"/>
        <v>-81490.423105263384</v>
      </c>
      <c r="DQ93" s="3">
        <f t="shared" si="473"/>
        <v>-49399.74</v>
      </c>
      <c r="DR93" s="3" t="e">
        <f t="shared" ca="1" si="474"/>
        <v>#NUM!</v>
      </c>
      <c r="DS93" s="3">
        <f t="shared" si="475"/>
        <v>-328.95</v>
      </c>
      <c r="DT93" s="3">
        <f t="shared" si="498"/>
        <v>-7455</v>
      </c>
      <c r="DU93" s="3">
        <f t="shared" si="499"/>
        <v>387</v>
      </c>
      <c r="DV93" s="3">
        <f t="shared" si="500"/>
        <v>950</v>
      </c>
      <c r="DW93" s="3">
        <f t="shared" si="501"/>
        <v>142</v>
      </c>
      <c r="DX93" s="3" t="e">
        <f t="shared" ca="1" si="506"/>
        <v>#NUM!</v>
      </c>
      <c r="DY93" s="3" t="e">
        <f t="shared" ca="1" si="476"/>
        <v>#NUM!</v>
      </c>
      <c r="DZ93" s="3" t="e">
        <f t="shared" ca="1" si="477"/>
        <v>#NUM!</v>
      </c>
      <c r="EA93" s="3" t="e">
        <f t="shared" ca="1" si="478"/>
        <v>#NUM!</v>
      </c>
      <c r="EB93" s="3" t="e">
        <f t="shared" ca="1" si="479"/>
        <v>#NUM!</v>
      </c>
      <c r="EC93" s="3" t="e">
        <f t="shared" ca="1" si="480"/>
        <v>#NUM!</v>
      </c>
      <c r="EE93" s="59">
        <f t="shared" si="481"/>
        <v>1.0386</v>
      </c>
      <c r="EF93" s="59">
        <f t="shared" si="482"/>
        <v>2.8552</v>
      </c>
      <c r="EG93" s="59">
        <f t="shared" si="483"/>
        <v>1.0386</v>
      </c>
      <c r="EH93" s="59">
        <f t="shared" si="484"/>
        <v>1.3222</v>
      </c>
      <c r="EI93" s="59">
        <f t="shared" si="485"/>
        <v>0.22090000000000001</v>
      </c>
      <c r="EJ93" s="59">
        <f t="shared" si="486"/>
        <v>0.20549999999999999</v>
      </c>
      <c r="EL93" s="3" t="str">
        <f>RTD("tos.rtd",,EL$83,"."&amp;$B$82&amp;$AS$82&amp;"C"&amp;$A93)</f>
        <v>103.86%</v>
      </c>
      <c r="EM93" s="3" t="str">
        <f>RTD("tos.rtd",,EM$83,"."&amp;$B$82&amp;$AS$82&amp;"P"&amp;$A93)</f>
        <v>285.52%</v>
      </c>
      <c r="EN93" s="3" t="str">
        <f>RTD("tos.rtd",,EN$83,"."&amp;$C$82&amp;$AU$82&amp;"C"&amp;$A93)</f>
        <v>103.86%</v>
      </c>
      <c r="EO93" s="3" t="str">
        <f>RTD("tos.rtd",,EO$83,"."&amp;$C$82&amp;$AU$82&amp;"P"&amp;$A93)</f>
        <v>132.22%</v>
      </c>
      <c r="EP93" s="3" t="str">
        <f>RTD("tos.rtd",,EP$83,"."&amp;$D$82&amp;$AW$82&amp;"C"&amp;$A93)</f>
        <v>22.09%</v>
      </c>
      <c r="EQ93" s="3" t="str">
        <f>RTD("tos.rtd",,EQ$83,"."&amp;$D$82&amp;$AW$82&amp;"P"&amp;$A93)</f>
        <v>20.55%</v>
      </c>
      <c r="ES93" s="63" t="str">
        <f t="shared" si="487"/>
        <v>5790,1092.00</v>
      </c>
      <c r="ET93" s="64" t="str">
        <f t="shared" ca="1" si="488"/>
        <v>5790,00.00</v>
      </c>
      <c r="EU93" s="67">
        <v>562.61</v>
      </c>
      <c r="EV93" s="67" t="s">
        <v>763</v>
      </c>
      <c r="EW93" s="67">
        <v>485.12</v>
      </c>
      <c r="EX93" s="67" t="s">
        <v>764</v>
      </c>
      <c r="EY93" s="67">
        <v>5640</v>
      </c>
      <c r="EZ93" s="67" t="s">
        <v>765</v>
      </c>
      <c r="FA93" s="67">
        <v>19929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502"/>
        <v>5780</v>
      </c>
      <c r="B94" s="3">
        <f t="shared" si="447"/>
        <v>814</v>
      </c>
      <c r="C94" s="3">
        <f t="shared" si="448"/>
        <v>1092</v>
      </c>
      <c r="D94" s="3">
        <f t="shared" si="449"/>
        <v>879</v>
      </c>
      <c r="E94" s="3">
        <f t="shared" si="450"/>
        <v>2785</v>
      </c>
      <c r="F94" s="4">
        <f t="shared" ref="F94:F98" si="511">+$F$84/$A$84*A94</f>
        <v>5804.5088339222611</v>
      </c>
      <c r="G94" s="4">
        <f t="shared" si="489"/>
        <v>576.77455830388692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-4004</v>
      </c>
      <c r="AN94" s="20">
        <v>14</v>
      </c>
      <c r="AO94" s="20">
        <v>5780</v>
      </c>
      <c r="AP94" s="20">
        <v>7672</v>
      </c>
      <c r="AQ94" s="20">
        <v>-49</v>
      </c>
      <c r="AR94" s="20"/>
      <c r="AS94" s="54">
        <f>IF(RTD("tos.rtd",,AS$83,"."&amp;$B$82&amp;$AS$82&amp;"C"&amp;$A94)="N/A",0,RTD("tos.rtd",,AS$83,"."&amp;$B$82&amp;$AS$82&amp;"C"&amp;$A94))</f>
        <v>713</v>
      </c>
      <c r="AT94" s="3">
        <f>-IF(RTD("tos.rtd",,AT$83,"."&amp;$B$82&amp;$AS$82&amp;"P"&amp;$A94)="N/A",0,RTD("tos.rtd",,AT$83,"."&amp;$B$82&amp;$AS$82&amp;"P"&amp;$A94))</f>
        <v>-101</v>
      </c>
      <c r="AU94" s="54">
        <f>IF(RTD("tos.rtd",,AU$83,"."&amp;$C$82&amp;$AU$82&amp;"C"&amp;$A94)="N/A",0,RTD("tos.rtd",,AU$83,"."&amp;$C$82&amp;$AU$82&amp;"C"&amp;$A94))</f>
        <v>1006</v>
      </c>
      <c r="AV94" s="3">
        <f>-IF(RTD("tos.rtd",,AV$83,"."&amp;$C$82&amp;$AU$82&amp;"P"&amp;$A94)="N/A",0,RTD("tos.rtd",,AV$83,"."&amp;$C$82&amp;$AU$82&amp;"P"&amp;$A94))</f>
        <v>-86</v>
      </c>
      <c r="AW94" s="54">
        <f>IF(RTD("tos.rtd",,AW$83,"."&amp;$D$82&amp;$AW$82&amp;"C"&amp;$A94)="N/A",0,RTD("tos.rtd",,AW$83,"."&amp;$D$82&amp;$AW$82&amp;"C"&amp;$A94))</f>
        <v>428</v>
      </c>
      <c r="AX94" s="3">
        <f>-IF(RTD("tos.rtd",,AX$83,"."&amp;$D$82&amp;$AW$82&amp;"P"&amp;$A94)="N/A",0,RTD("tos.rtd",,AX$83,"."&amp;$D$82&amp;$AW$82&amp;"P"&amp;$A94))</f>
        <v>-451</v>
      </c>
      <c r="AY94" s="79">
        <f t="shared" si="490"/>
        <v>1509</v>
      </c>
      <c r="AZ94" s="8">
        <f t="shared" si="451"/>
        <v>5780</v>
      </c>
      <c r="BA94" s="54">
        <f>IF(RTD("tos.rtd",,BA$83,"."&amp;$B$82&amp;$AS$82&amp;"C"&amp;$A94)="N/A",0,RTD("tos.rtd",,BA$83,"."&amp;$B$82&amp;$AS$82&amp;"C"&amp;$A94))</f>
        <v>0</v>
      </c>
      <c r="BB94" s="3">
        <f>-IF(RTD("tos.rtd",,BB$83,"."&amp;$B$82&amp;$AS$82&amp;"P"&amp;$A94)="N/A",0,RTD("tos.rtd",,BB$83,"."&amp;$B$82&amp;$AS$82&amp;"P"&amp;$A94))</f>
        <v>0</v>
      </c>
      <c r="BC94" s="54">
        <f>IF(RTD("tos.rtd",,BC$83,"."&amp;$C$82&amp;$AU$82&amp;"C"&amp;$A94)="N/A",0,RTD("tos.rtd",,BC$83,"."&amp;$C$82&amp;$AU$82&amp;"C"&amp;$A94))</f>
        <v>4989</v>
      </c>
      <c r="BD94" s="3">
        <f>-IF(RTD("tos.rtd",,BD$83,"."&amp;$C$82&amp;$AU$82&amp;"P"&amp;$A94)="N/A",0,RTD("tos.rtd",,BD$83,"."&amp;$C$82&amp;$AU$82&amp;"P"&amp;$A94))</f>
        <v>-685</v>
      </c>
      <c r="BE94" s="54">
        <f>IF(RTD("tos.rtd",,BE$83,"."&amp;$D$82&amp;$AW$82&amp;"C"&amp;$A94)="N/A",0,RTD("tos.rtd",,BE$83,"."&amp;$D$82&amp;$AW$82&amp;"C"&amp;$A94))</f>
        <v>511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632</v>
      </c>
      <c r="BH94" s="55">
        <f t="shared" ca="1" si="491"/>
        <v>5447</v>
      </c>
      <c r="BI94" s="32" t="str">
        <f t="shared" ca="1" si="507"/>
        <v/>
      </c>
      <c r="BJ94" s="3" t="e">
        <f ca="1">IF($BP$1=1,DX94,IF(RTD("tos.rtd",,BJ$83,"."&amp;$B$82&amp;$AS$82&amp;"C"&amp;$A94)="N/A",0,RTD("tos.rtd",,BJ$83,"."&amp;$B$82&amp;$AS$82&amp;"C"&amp;$A94)))</f>
        <v>#NUM!</v>
      </c>
      <c r="BK94" s="3" t="e">
        <f ca="1">IF($BP$1=1,DY94,-IF(RTD("tos.rtd",,BK$83,"."&amp;$B$82&amp;$AS$82&amp;"P"&amp;$A94)="N/A",0,RTD("tos.rtd",,BK$83,"."&amp;$B$82&amp;$AS$82&amp;"P"&amp;$A94)))</f>
        <v>#NUM!</v>
      </c>
      <c r="BL94" s="3" t="e">
        <f ca="1">IF($BP$1=1,DZ94,IF(RTD("tos.rtd",,BL$83,"."&amp;$C$82&amp;$AU$82&amp;"C"&amp;$A94)="N/A",0,RTD("tos.rtd",,BL$83,"."&amp;$C$82&amp;$AU$82&amp;"C"&amp;$A94)))</f>
        <v>#NUM!</v>
      </c>
      <c r="BM94" s="3" t="e">
        <f ca="1">IF($BP$1=1,EA94,-IF(RTD("tos.rtd",,BM$83,"."&amp;$C$82&amp;$AU$82&amp;"P"&amp;$A94)="N/A",0,RTD("tos.rtd",,BM$83,"."&amp;$C$82&amp;$AU$82&amp;"P"&amp;$A94)))</f>
        <v>#NUM!</v>
      </c>
      <c r="BN94" s="3" t="e">
        <f ca="1">IF($BP$1=1,EB94,IF(RTD("tos.rtd",,BN$83,"."&amp;$D$82&amp;$AW$82&amp;"C"&amp;$A94)="N/A",0,RTD("tos.rtd",,BN$83,"."&amp;$D$82&amp;$AW$82&amp;"C"&amp;$A94)))</f>
        <v>#NUM!</v>
      </c>
      <c r="BO94" s="3" t="e">
        <f ca="1">IF($BP$1=1,EC94,-IF(RTD("tos.rtd",,BO$83,"."&amp;$D$82&amp;$AW$82&amp;"P"&amp;$A94)="N/A",0,RTD("tos.rtd",,BO$83,"."&amp;$D$82&amp;$AW$82&amp;"P"&amp;$A94)))</f>
        <v>#NUM!</v>
      </c>
      <c r="BQ94" s="3" t="e">
        <f t="shared" ca="1" si="452"/>
        <v>#NUM!</v>
      </c>
      <c r="BR94" s="3" t="e">
        <f t="shared" ca="1" si="492"/>
        <v>#NUM!</v>
      </c>
      <c r="BS94" s="3" t="e">
        <f t="shared" ca="1" si="453"/>
        <v>#NUM!</v>
      </c>
      <c r="BT94" s="3" t="e">
        <f t="shared" ca="1" si="492"/>
        <v>#NUM!</v>
      </c>
      <c r="BU94" s="3" t="e">
        <f t="shared" ca="1" si="454"/>
        <v>#NUM!</v>
      </c>
      <c r="BV94" s="3" t="e">
        <f t="shared" ca="1" si="492"/>
        <v>#NUM!</v>
      </c>
      <c r="BX94" s="3" t="e">
        <f t="shared" ca="1" si="455"/>
        <v>#NUM!</v>
      </c>
      <c r="BY94" s="3" t="e">
        <f t="shared" ca="1" si="504"/>
        <v>#NUM!</v>
      </c>
      <c r="BZ94" s="3" t="e">
        <f t="shared" ca="1" si="456"/>
        <v>#NUM!</v>
      </c>
      <c r="CA94" s="3" t="e">
        <f t="shared" ca="1" si="504"/>
        <v>#NUM!</v>
      </c>
      <c r="CB94" s="3" t="e">
        <f t="shared" ca="1" si="457"/>
        <v>#NUM!</v>
      </c>
      <c r="CC94" s="3" t="e">
        <f t="shared" ca="1" si="504"/>
        <v>#NUM!</v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0.85</v>
      </c>
      <c r="CF94" s="3">
        <f>IF(RTD("tos.rtd",,CF$83,"."&amp;$C$82&amp;$AU$82&amp;"C"&amp;$A94)="N/A",0,RTD("tos.rtd",,CF$83,"."&amp;$C$82&amp;$AU$82&amp;"C"&amp;$A94))</f>
        <v>0</v>
      </c>
      <c r="CG94" s="3">
        <f>-IF(RTD("tos.rtd",,CG$83,"."&amp;$C$82&amp;$AU$82&amp;"P"&amp;$A94)="N/A",0,RTD("tos.rtd",,CG$83,"."&amp;$C$82&amp;$AU$82&amp;"P"&amp;$A94))</f>
        <v>0.99</v>
      </c>
      <c r="CH94" s="3">
        <f>IF(RTD("tos.rtd",,CH$83,"."&amp;$D$82&amp;$AW$82&amp;"C"&amp;$A94)="N/A",0,RTD("tos.rtd",,CH$83,"."&amp;$D$82&amp;$AW$82&amp;"C"&amp;$A94))</f>
        <v>0.22</v>
      </c>
      <c r="CI94" s="3">
        <f>-IF(RTD("tos.rtd",,CI$83,"."&amp;$D$82&amp;$AW$82&amp;"P"&amp;$A94)="N/A",0,RTD("tos.rtd",,CI$83,"."&amp;$D$82&amp;$AW$82&amp;"P"&amp;$A94))</f>
        <v>0.79</v>
      </c>
      <c r="CK94" s="3">
        <f t="shared" si="508"/>
        <v>-8585</v>
      </c>
      <c r="CL94" s="3"/>
      <c r="CM94" s="3">
        <f t="shared" si="509"/>
        <v>-8514</v>
      </c>
      <c r="CN94" s="3"/>
      <c r="CO94" s="3">
        <f t="shared" si="510"/>
        <v>-26213</v>
      </c>
      <c r="CP94" s="3">
        <f t="shared" si="458"/>
        <v>-43312</v>
      </c>
      <c r="CQ94" s="3">
        <f t="shared" si="459"/>
        <v>0</v>
      </c>
      <c r="CR94" s="3"/>
      <c r="CS94" s="3">
        <f t="shared" si="460"/>
        <v>4304</v>
      </c>
      <c r="CT94" s="3"/>
      <c r="CU94" s="3">
        <f t="shared" si="461"/>
        <v>511</v>
      </c>
      <c r="CV94" s="3"/>
      <c r="CW94" s="3" t="e">
        <f t="shared" ca="1" si="496"/>
        <v>#NUM!</v>
      </c>
      <c r="CY94" s="3" t="e">
        <f t="shared" ca="1" si="463"/>
        <v>#NUM!</v>
      </c>
      <c r="CZ94" s="70" t="e">
        <f t="shared" ca="1" si="505"/>
        <v>#NUM!</v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98.12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132.19999999999999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126.5</v>
      </c>
      <c r="DG94" s="86">
        <f t="shared" si="497"/>
        <v>120</v>
      </c>
      <c r="DH94" s="3">
        <f t="shared" si="464"/>
        <v>-4603.2</v>
      </c>
      <c r="DI94" s="3">
        <f t="shared" si="465"/>
        <v>-243.96842105263201</v>
      </c>
      <c r="DJ94" s="3">
        <f t="shared" si="466"/>
        <v>-7672</v>
      </c>
      <c r="DK94" s="3">
        <f t="shared" si="467"/>
        <v>-49</v>
      </c>
      <c r="DL94" s="3">
        <f t="shared" si="468"/>
        <v>-4847.1684210526319</v>
      </c>
      <c r="DM94" s="3">
        <f t="shared" si="469"/>
        <v>-7721</v>
      </c>
      <c r="DN94" s="64" t="str">
        <f t="shared" si="470"/>
        <v>UNKNOWN</v>
      </c>
      <c r="DO94" s="64" t="str">
        <f t="shared" si="471"/>
        <v>UNKNOWN</v>
      </c>
      <c r="DP94" s="3">
        <f t="shared" si="472"/>
        <v>-24076.277473684255</v>
      </c>
      <c r="DQ94" s="3">
        <f t="shared" si="473"/>
        <v>-5038.04</v>
      </c>
      <c r="DR94" s="3" t="e">
        <f t="shared" ca="1" si="474"/>
        <v>#NUM!</v>
      </c>
      <c r="DS94" s="3">
        <f t="shared" si="475"/>
        <v>-41.65</v>
      </c>
      <c r="DT94" s="3">
        <f t="shared" si="498"/>
        <v>-7672</v>
      </c>
      <c r="DU94" s="3">
        <f t="shared" si="499"/>
        <v>49</v>
      </c>
      <c r="DV94" s="3">
        <f t="shared" si="500"/>
        <v>-4004</v>
      </c>
      <c r="DW94" s="3">
        <f t="shared" si="501"/>
        <v>14</v>
      </c>
      <c r="DX94" s="3" t="e">
        <f t="shared" ca="1" si="506"/>
        <v>#NUM!</v>
      </c>
      <c r="DY94" s="3" t="e">
        <f t="shared" ca="1" si="476"/>
        <v>#NUM!</v>
      </c>
      <c r="DZ94" s="3" t="e">
        <f t="shared" ca="1" si="477"/>
        <v>#NUM!</v>
      </c>
      <c r="EA94" s="3" t="e">
        <f t="shared" ca="1" si="478"/>
        <v>#NUM!</v>
      </c>
      <c r="EB94" s="3" t="e">
        <f t="shared" ca="1" si="479"/>
        <v>#NUM!</v>
      </c>
      <c r="EC94" s="3" t="e">
        <f t="shared" ca="1" si="480"/>
        <v>#NUM!</v>
      </c>
      <c r="EE94" s="59">
        <f t="shared" si="481"/>
        <v>0.96679999999999999</v>
      </c>
      <c r="EF94" s="59">
        <f t="shared" si="482"/>
        <v>2.7090000000000001</v>
      </c>
      <c r="EG94" s="59">
        <f t="shared" si="483"/>
        <v>0.96679999999999999</v>
      </c>
      <c r="EH94" s="59">
        <f t="shared" si="484"/>
        <v>1.2686999999999999</v>
      </c>
      <c r="EI94" s="59">
        <f t="shared" si="485"/>
        <v>0.2228</v>
      </c>
      <c r="EJ94" s="59">
        <f t="shared" si="486"/>
        <v>0.20830000000000001</v>
      </c>
      <c r="EL94" s="3" t="str">
        <f>RTD("tos.rtd",,EL$83,"."&amp;$B$82&amp;$AS$82&amp;"C"&amp;$A94)</f>
        <v>96.68%</v>
      </c>
      <c r="EM94" s="3" t="str">
        <f>RTD("tos.rtd",,EM$83,"."&amp;$B$82&amp;$AS$82&amp;"P"&amp;$A94)</f>
        <v>270.90%</v>
      </c>
      <c r="EN94" s="3" t="str">
        <f>RTD("tos.rtd",,EN$83,"."&amp;$C$82&amp;$AU$82&amp;"C"&amp;$A94)</f>
        <v>96.68%</v>
      </c>
      <c r="EO94" s="3" t="str">
        <f>RTD("tos.rtd",,EO$83,"."&amp;$C$82&amp;$AU$82&amp;"P"&amp;$A94)</f>
        <v>126.87%</v>
      </c>
      <c r="EP94" s="3" t="str">
        <f>RTD("tos.rtd",,EP$83,"."&amp;$D$82&amp;$AW$82&amp;"C"&amp;$A94)</f>
        <v>22.28%</v>
      </c>
      <c r="EQ94" s="3" t="str">
        <f>RTD("tos.rtd",,EQ$83,"."&amp;$D$82&amp;$AW$82&amp;"P"&amp;$A94)</f>
        <v>20.83%</v>
      </c>
      <c r="ES94" s="63" t="str">
        <f t="shared" si="487"/>
        <v>5780,-3990.00</v>
      </c>
      <c r="ET94" s="64" t="str">
        <f t="shared" ca="1" si="488"/>
        <v>5780,00.00</v>
      </c>
      <c r="EU94" s="67">
        <v>562.66999999999996</v>
      </c>
      <c r="EV94" s="67" t="s">
        <v>771</v>
      </c>
      <c r="EW94" s="67">
        <v>485.19</v>
      </c>
      <c r="EX94" s="67" t="s">
        <v>772</v>
      </c>
      <c r="EY94" s="67">
        <v>5640.25</v>
      </c>
      <c r="EZ94" s="67" t="s">
        <v>773</v>
      </c>
      <c r="FA94" s="67">
        <v>19931.75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502"/>
        <v>5770</v>
      </c>
      <c r="B95" s="3">
        <f t="shared" si="447"/>
        <v>1717</v>
      </c>
      <c r="C95" s="3">
        <f t="shared" si="448"/>
        <v>1760</v>
      </c>
      <c r="D95" s="3">
        <f t="shared" si="449"/>
        <v>612</v>
      </c>
      <c r="E95" s="3">
        <f t="shared" si="450"/>
        <v>4089</v>
      </c>
      <c r="F95" s="4">
        <f t="shared" si="511"/>
        <v>5794.4664310954058</v>
      </c>
      <c r="G95" s="4">
        <f t="shared" si="489"/>
        <v>575.77667844522966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1142</v>
      </c>
      <c r="AN95" s="20">
        <v>189</v>
      </c>
      <c r="AO95" s="20">
        <v>5770</v>
      </c>
      <c r="AP95" s="20">
        <v>3888</v>
      </c>
      <c r="AQ95" s="20">
        <v>-365</v>
      </c>
      <c r="AR95" s="20"/>
      <c r="AS95" s="54">
        <f>IF(RTD("tos.rtd",,AS$83,"."&amp;$B$82&amp;$AS$82&amp;"C"&amp;$A95)="N/A",0,RTD("tos.rtd",,AS$83,"."&amp;$B$82&amp;$AS$82&amp;"C"&amp;$A95))</f>
        <v>1368</v>
      </c>
      <c r="AT95" s="3">
        <f>-IF(RTD("tos.rtd",,AT$83,"."&amp;$B$82&amp;$AS$82&amp;"P"&amp;$A95)="N/A",0,RTD("tos.rtd",,AT$83,"."&amp;$B$82&amp;$AS$82&amp;"P"&amp;$A95))</f>
        <v>-349</v>
      </c>
      <c r="AU95" s="54">
        <f>IF(RTD("tos.rtd",,AU$83,"."&amp;$C$82&amp;$AU$82&amp;"C"&amp;$A95)="N/A",0,RTD("tos.rtd",,AU$83,"."&amp;$C$82&amp;$AU$82&amp;"C"&amp;$A95))</f>
        <v>1391</v>
      </c>
      <c r="AV95" s="3">
        <f>-IF(RTD("tos.rtd",,AV$83,"."&amp;$C$82&amp;$AU$82&amp;"P"&amp;$A95)="N/A",0,RTD("tos.rtd",,AV$83,"."&amp;$C$82&amp;$AU$82&amp;"P"&amp;$A95))</f>
        <v>-369</v>
      </c>
      <c r="AW95" s="54">
        <f>IF(RTD("tos.rtd",,AW$83,"."&amp;$D$82&amp;$AW$82&amp;"C"&amp;$A95)="N/A",0,RTD("tos.rtd",,AW$83,"."&amp;$D$82&amp;$AW$82&amp;"C"&amp;$A95))</f>
        <v>409</v>
      </c>
      <c r="AX95" s="3">
        <f>-IF(RTD("tos.rtd",,AX$83,"."&amp;$D$82&amp;$AW$82&amp;"P"&amp;$A95)="N/A",0,RTD("tos.rtd",,AX$83,"."&amp;$D$82&amp;$AW$82&amp;"P"&amp;$A95))</f>
        <v>-203</v>
      </c>
      <c r="AY95" s="79">
        <f t="shared" si="490"/>
        <v>2247</v>
      </c>
      <c r="AZ95" s="8">
        <f t="shared" si="451"/>
        <v>5770</v>
      </c>
      <c r="BA95" s="54">
        <f>IF(RTD("tos.rtd",,BA$83,"."&amp;$B$82&amp;$AS$82&amp;"C"&amp;$A95)="N/A",0,RTD("tos.rtd",,BA$83,"."&amp;$B$82&amp;$AS$82&amp;"C"&amp;$A95))</f>
        <v>0</v>
      </c>
      <c r="BB95" s="3">
        <f>-IF(RTD("tos.rtd",,BB$83,"."&amp;$B$82&amp;$AS$82&amp;"P"&amp;$A95)="N/A",0,RTD("tos.rtd",,BB$83,"."&amp;$B$82&amp;$AS$82&amp;"P"&amp;$A95))</f>
        <v>0</v>
      </c>
      <c r="BC95" s="54">
        <f>IF(RTD("tos.rtd",,BC$83,"."&amp;$C$82&amp;$AU$82&amp;"C"&amp;$A95)="N/A",0,RTD("tos.rtd",,BC$83,"."&amp;$C$82&amp;$AU$82&amp;"C"&amp;$A95))</f>
        <v>7032</v>
      </c>
      <c r="BD95" s="3">
        <f>-IF(RTD("tos.rtd",,BD$83,"."&amp;$C$82&amp;$AU$82&amp;"P"&amp;$A95)="N/A",0,RTD("tos.rtd",,BD$83,"."&amp;$C$82&amp;$AU$82&amp;"P"&amp;$A95))</f>
        <v>-797</v>
      </c>
      <c r="BE95" s="54">
        <f>IF(RTD("tos.rtd",,BE$83,"."&amp;$D$82&amp;$AW$82&amp;"C"&amp;$A95)="N/A",0,RTD("tos.rtd",,BE$83,"."&amp;$D$82&amp;$AW$82&amp;"C"&amp;$A95))</f>
        <v>952</v>
      </c>
      <c r="BF95" s="3">
        <f>-IF(RTD("tos.rtd",,BF$83,"."&amp;$D$82&amp;$AW$82&amp;"P"&amp;$A95)="N/A",0,RTD("tos.rtd",,BF$83,"."&amp;$D$82&amp;$AW$82&amp;"P"&amp;$A95))</f>
        <v>-11</v>
      </c>
      <c r="BG95" s="3">
        <f ca="1">+Hoja2!Y96</f>
        <v>1051</v>
      </c>
      <c r="BH95" s="55">
        <f t="shared" ca="1" si="491"/>
        <v>8227</v>
      </c>
      <c r="BI95" s="32" t="str">
        <f t="shared" ca="1" si="507"/>
        <v/>
      </c>
      <c r="BJ95" s="3" t="e">
        <f ca="1">IF($BP$1=1,DX95,IF(RTD("tos.rtd",,BJ$83,"."&amp;$B$82&amp;$AS$82&amp;"C"&amp;$A95)="N/A",0,RTD("tos.rtd",,BJ$83,"."&amp;$B$82&amp;$AS$82&amp;"C"&amp;$A95)))</f>
        <v>#NUM!</v>
      </c>
      <c r="BK95" s="3" t="e">
        <f ca="1">IF($BP$1=1,DY95,-IF(RTD("tos.rtd",,BK$83,"."&amp;$B$82&amp;$AS$82&amp;"P"&amp;$A95)="N/A",0,RTD("tos.rtd",,BK$83,"."&amp;$B$82&amp;$AS$82&amp;"P"&amp;$A95)))</f>
        <v>#NUM!</v>
      </c>
      <c r="BL95" s="3" t="e">
        <f ca="1">IF($BP$1=1,DZ95,IF(RTD("tos.rtd",,BL$83,"."&amp;$C$82&amp;$AU$82&amp;"C"&amp;$A95)="N/A",0,RTD("tos.rtd",,BL$83,"."&amp;$C$82&amp;$AU$82&amp;"C"&amp;$A95)))</f>
        <v>#NUM!</v>
      </c>
      <c r="BM95" s="3" t="e">
        <f ca="1">IF($BP$1=1,EA95,-IF(RTD("tos.rtd",,BM$83,"."&amp;$C$82&amp;$AU$82&amp;"P"&amp;$A95)="N/A",0,RTD("tos.rtd",,BM$83,"."&amp;$C$82&amp;$AU$82&amp;"P"&amp;$A95)))</f>
        <v>#NUM!</v>
      </c>
      <c r="BN95" s="3" t="e">
        <f ca="1">IF($BP$1=1,EB95,IF(RTD("tos.rtd",,BN$83,"."&amp;$D$82&amp;$AW$82&amp;"C"&amp;$A95)="N/A",0,RTD("tos.rtd",,BN$83,"."&amp;$D$82&amp;$AW$82&amp;"C"&amp;$A95)))</f>
        <v>#NUM!</v>
      </c>
      <c r="BO95" s="3" t="e">
        <f ca="1">IF($BP$1=1,EC95,-IF(RTD("tos.rtd",,BO$83,"."&amp;$D$82&amp;$AW$82&amp;"P"&amp;$A95)="N/A",0,RTD("tos.rtd",,BO$83,"."&amp;$D$82&amp;$AW$82&amp;"P"&amp;$A95)))</f>
        <v>#NUM!</v>
      </c>
      <c r="BQ95" s="3" t="e">
        <f t="shared" ca="1" si="452"/>
        <v>#NUM!</v>
      </c>
      <c r="BR95" s="3" t="e">
        <f t="shared" ca="1" si="492"/>
        <v>#NUM!</v>
      </c>
      <c r="BS95" s="3" t="e">
        <f t="shared" ca="1" si="453"/>
        <v>#NUM!</v>
      </c>
      <c r="BT95" s="3" t="e">
        <f t="shared" ca="1" si="492"/>
        <v>#NUM!</v>
      </c>
      <c r="BU95" s="3" t="e">
        <f t="shared" ca="1" si="454"/>
        <v>#NUM!</v>
      </c>
      <c r="BV95" s="3" t="e">
        <f t="shared" ca="1" si="492"/>
        <v>#NUM!</v>
      </c>
      <c r="BX95" s="3" t="e">
        <f t="shared" ca="1" si="455"/>
        <v>#NUM!</v>
      </c>
      <c r="BY95" s="3" t="e">
        <f t="shared" ca="1" si="504"/>
        <v>#NUM!</v>
      </c>
      <c r="BZ95" s="3" t="e">
        <f t="shared" ca="1" si="456"/>
        <v>#NUM!</v>
      </c>
      <c r="CA95" s="3" t="e">
        <f t="shared" ca="1" si="504"/>
        <v>#NUM!</v>
      </c>
      <c r="CB95" s="3" t="e">
        <f t="shared" ca="1" si="457"/>
        <v>#NUM!</v>
      </c>
      <c r="CC95" s="3" t="e">
        <f t="shared" ca="1" si="504"/>
        <v>#NUM!</v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0.84</v>
      </c>
      <c r="CF95" s="3">
        <f>IF(RTD("tos.rtd",,CF$83,"."&amp;$C$82&amp;$AU$82&amp;"C"&amp;$A95)="N/A",0,RTD("tos.rtd",,CF$83,"."&amp;$C$82&amp;$AU$82&amp;"C"&amp;$A95))</f>
        <v>0</v>
      </c>
      <c r="CG95" s="3">
        <f>-IF(RTD("tos.rtd",,CG$83,"."&amp;$C$82&amp;$AU$82&amp;"P"&amp;$A95)="N/A",0,RTD("tos.rtd",,CG$83,"."&amp;$C$82&amp;$AU$82&amp;"P"&amp;$A95))</f>
        <v>0.98</v>
      </c>
      <c r="CH95" s="3">
        <f>IF(RTD("tos.rtd",,CH$83,"."&amp;$D$82&amp;$AW$82&amp;"C"&amp;$A95)="N/A",0,RTD("tos.rtd",,CH$83,"."&amp;$D$82&amp;$AW$82&amp;"C"&amp;$A95))</f>
        <v>0.24</v>
      </c>
      <c r="CI95" s="3">
        <f>-IF(RTD("tos.rtd",,CI$83,"."&amp;$D$82&amp;$AW$82&amp;"P"&amp;$A95)="N/A",0,RTD("tos.rtd",,CI$83,"."&amp;$D$82&amp;$AW$82&amp;"P"&amp;$A95))</f>
        <v>0.77</v>
      </c>
      <c r="CK95" s="3">
        <f t="shared" si="508"/>
        <v>-29315.999999999996</v>
      </c>
      <c r="CL95" s="3"/>
      <c r="CM95" s="3">
        <f t="shared" si="509"/>
        <v>-36162</v>
      </c>
      <c r="CN95" s="3"/>
      <c r="CO95" s="3">
        <f t="shared" si="510"/>
        <v>-5815</v>
      </c>
      <c r="CP95" s="3">
        <f t="shared" si="458"/>
        <v>-71293</v>
      </c>
      <c r="CQ95" s="3">
        <f t="shared" si="459"/>
        <v>0</v>
      </c>
      <c r="CR95" s="3"/>
      <c r="CS95" s="3">
        <f t="shared" si="460"/>
        <v>6235</v>
      </c>
      <c r="CT95" s="3"/>
      <c r="CU95" s="3">
        <f t="shared" si="461"/>
        <v>941</v>
      </c>
      <c r="CV95" s="3"/>
      <c r="CW95" s="3" t="e">
        <f t="shared" ca="1" si="496"/>
        <v>#NUM!</v>
      </c>
      <c r="CY95" s="3" t="e">
        <f t="shared" ca="1" si="463"/>
        <v>#NUM!</v>
      </c>
      <c r="CZ95" s="70" t="e">
        <f t="shared" ca="1" si="505"/>
        <v>#NUM!</v>
      </c>
      <c r="DA95" s="3">
        <f>IF(RTD("tos.rtd",,DA$83,"."&amp;$B$82&amp;$AS$82&amp;"C"&amp;$A95)="N/A",0,RTD("tos.rtd",,DA$83,"."&amp;$B$82&amp;$AS$82&amp;"C"&amp;$A95))</f>
        <v>0.03</v>
      </c>
      <c r="DB95" s="3">
        <f>IF(RTD("tos.rtd",,DB$83,"."&amp;$B$82&amp;$AS$82&amp;"P"&amp;$A95)="N/A",0,RTD("tos.rtd",,DB$83,"."&amp;$B$82&amp;$AS$82&amp;"P"&amp;$A95))</f>
        <v>107.04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122.2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116.5</v>
      </c>
      <c r="DG95" s="86">
        <f t="shared" si="497"/>
        <v>110</v>
      </c>
      <c r="DH95" s="3">
        <f t="shared" si="464"/>
        <v>-2332.7999999999997</v>
      </c>
      <c r="DI95" s="3">
        <f t="shared" si="465"/>
        <v>-605.77192982456074</v>
      </c>
      <c r="DJ95" s="3">
        <f t="shared" si="466"/>
        <v>-3888</v>
      </c>
      <c r="DK95" s="3">
        <f t="shared" si="467"/>
        <v>-365</v>
      </c>
      <c r="DL95" s="3">
        <f t="shared" si="468"/>
        <v>-2938.5719298245604</v>
      </c>
      <c r="DM95" s="3">
        <f t="shared" si="469"/>
        <v>-4253</v>
      </c>
      <c r="DN95" s="64" t="str">
        <f t="shared" si="470"/>
        <v>UNKNOWN</v>
      </c>
      <c r="DO95" s="64" t="str">
        <f t="shared" si="471"/>
        <v>UNKNOWN</v>
      </c>
      <c r="DP95" s="3">
        <f t="shared" si="472"/>
        <v>-64911.811368420982</v>
      </c>
      <c r="DQ95" s="3">
        <f t="shared" si="473"/>
        <v>-39186.240000000005</v>
      </c>
      <c r="DR95" s="3" t="e">
        <f t="shared" ca="1" si="474"/>
        <v>#NUM!</v>
      </c>
      <c r="DS95" s="3">
        <f t="shared" si="475"/>
        <v>-306.59999999999997</v>
      </c>
      <c r="DT95" s="3">
        <f t="shared" si="498"/>
        <v>-3888</v>
      </c>
      <c r="DU95" s="3">
        <f t="shared" si="499"/>
        <v>365</v>
      </c>
      <c r="DV95" s="3">
        <f t="shared" si="500"/>
        <v>1142</v>
      </c>
      <c r="DW95" s="3">
        <f t="shared" si="501"/>
        <v>189</v>
      </c>
      <c r="DX95" s="3" t="e">
        <f t="shared" ca="1" si="506"/>
        <v>#NUM!</v>
      </c>
      <c r="DY95" s="3" t="e">
        <f t="shared" ca="1" si="476"/>
        <v>#NUM!</v>
      </c>
      <c r="DZ95" s="3" t="e">
        <f t="shared" ca="1" si="477"/>
        <v>#NUM!</v>
      </c>
      <c r="EA95" s="3" t="e">
        <f t="shared" ca="1" si="478"/>
        <v>#NUM!</v>
      </c>
      <c r="EB95" s="3" t="e">
        <f t="shared" ca="1" si="479"/>
        <v>#NUM!</v>
      </c>
      <c r="EC95" s="3" t="e">
        <f t="shared" ca="1" si="480"/>
        <v>#NUM!</v>
      </c>
      <c r="EE95" s="59">
        <f t="shared" si="481"/>
        <v>0.89439999999999997</v>
      </c>
      <c r="EF95" s="59">
        <f t="shared" si="482"/>
        <v>2.5602999999999998</v>
      </c>
      <c r="EG95" s="59">
        <f t="shared" si="483"/>
        <v>0.89439999999999997</v>
      </c>
      <c r="EH95" s="59">
        <f t="shared" si="484"/>
        <v>1.2565</v>
      </c>
      <c r="EI95" s="59">
        <f t="shared" si="485"/>
        <v>0.22420000000000001</v>
      </c>
      <c r="EJ95" s="59">
        <f t="shared" si="486"/>
        <v>0.21079999999999999</v>
      </c>
      <c r="EL95" s="3" t="str">
        <f>RTD("tos.rtd",,EL$83,"."&amp;$B$82&amp;$AS$82&amp;"C"&amp;$A95)</f>
        <v>89.44%</v>
      </c>
      <c r="EM95" s="3" t="str">
        <f>RTD("tos.rtd",,EM$83,"."&amp;$B$82&amp;$AS$82&amp;"P"&amp;$A95)</f>
        <v>256.03%</v>
      </c>
      <c r="EN95" s="3" t="str">
        <f>RTD("tos.rtd",,EN$83,"."&amp;$C$82&amp;$AU$82&amp;"C"&amp;$A95)</f>
        <v>89.44%</v>
      </c>
      <c r="EO95" s="3" t="str">
        <f>RTD("tos.rtd",,EO$83,"."&amp;$C$82&amp;$AU$82&amp;"P"&amp;$A95)</f>
        <v>125.65%</v>
      </c>
      <c r="EP95" s="3" t="str">
        <f>RTD("tos.rtd",,EP$83,"."&amp;$D$82&amp;$AW$82&amp;"C"&amp;$A95)</f>
        <v>22.42%</v>
      </c>
      <c r="EQ95" s="3" t="str">
        <f>RTD("tos.rtd",,EQ$83,"."&amp;$D$82&amp;$AW$82&amp;"P"&amp;$A95)</f>
        <v>21.08%</v>
      </c>
      <c r="ES95" s="63" t="str">
        <f t="shared" si="487"/>
        <v>5770,1331.00</v>
      </c>
      <c r="ET95" s="64" t="str">
        <f t="shared" ca="1" si="488"/>
        <v>5770,00.00</v>
      </c>
      <c r="EU95" s="67">
        <v>562.66</v>
      </c>
      <c r="EV95" s="67" t="s">
        <v>779</v>
      </c>
      <c r="EW95" s="67">
        <v>485.2</v>
      </c>
      <c r="EX95" s="67" t="s">
        <v>780</v>
      </c>
      <c r="EY95" s="67">
        <v>5640.25</v>
      </c>
      <c r="EZ95" s="67" t="s">
        <v>781</v>
      </c>
      <c r="FA95" s="67">
        <v>19931.75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502"/>
        <v>5760</v>
      </c>
      <c r="B96" s="3">
        <f t="shared" si="447"/>
        <v>1070</v>
      </c>
      <c r="C96" s="3">
        <f t="shared" si="448"/>
        <v>2965</v>
      </c>
      <c r="D96" s="3">
        <f t="shared" si="449"/>
        <v>808</v>
      </c>
      <c r="E96" s="3">
        <f t="shared" si="450"/>
        <v>4843</v>
      </c>
      <c r="F96" s="4">
        <f t="shared" si="511"/>
        <v>5784.4240282685514</v>
      </c>
      <c r="G96" s="4">
        <f t="shared" si="489"/>
        <v>574.77879858657241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517</v>
      </c>
      <c r="AN96" s="20">
        <v>3</v>
      </c>
      <c r="AO96" s="20">
        <v>5760</v>
      </c>
      <c r="AP96" s="20">
        <v>5098</v>
      </c>
      <c r="AQ96" s="20">
        <v>-184</v>
      </c>
      <c r="AR96" s="20"/>
      <c r="AS96" s="54">
        <f>IF(RTD("tos.rtd",,AS$83,"."&amp;$B$82&amp;$AS$82&amp;"C"&amp;$A96)="N/A",0,RTD("tos.rtd",,AS$83,"."&amp;$B$82&amp;$AS$82&amp;"C"&amp;$A96))</f>
        <v>1039</v>
      </c>
      <c r="AT96" s="3">
        <f>-IF(RTD("tos.rtd",,AT$83,"."&amp;$B$82&amp;$AS$82&amp;"P"&amp;$A96)="N/A",0,RTD("tos.rtd",,AT$83,"."&amp;$B$82&amp;$AS$82&amp;"P"&amp;$A96))</f>
        <v>-31</v>
      </c>
      <c r="AU96" s="54">
        <f>IF(RTD("tos.rtd",,AU$83,"."&amp;$C$82&amp;$AU$82&amp;"C"&amp;$A96)="N/A",0,RTD("tos.rtd",,AU$83,"."&amp;$C$82&amp;$AU$82&amp;"C"&amp;$A96))</f>
        <v>2655</v>
      </c>
      <c r="AV96" s="3">
        <f>-IF(RTD("tos.rtd",,AV$83,"."&amp;$C$82&amp;$AU$82&amp;"P"&amp;$A96)="N/A",0,RTD("tos.rtd",,AV$83,"."&amp;$C$82&amp;$AU$82&amp;"P"&amp;$A96))</f>
        <v>-310</v>
      </c>
      <c r="AW96" s="54">
        <f>IF(RTD("tos.rtd",,AW$83,"."&amp;$D$82&amp;$AW$82&amp;"C"&amp;$A96)="N/A",0,RTD("tos.rtd",,AW$83,"."&amp;$D$82&amp;$AW$82&amp;"C"&amp;$A96))</f>
        <v>460</v>
      </c>
      <c r="AX96" s="3">
        <f>-IF(RTD("tos.rtd",,AX$83,"."&amp;$D$82&amp;$AW$82&amp;"P"&amp;$A96)="N/A",0,RTD("tos.rtd",,AX$83,"."&amp;$D$82&amp;$AW$82&amp;"P"&amp;$A96))</f>
        <v>-348</v>
      </c>
      <c r="AY96" s="79">
        <f t="shared" si="490"/>
        <v>3465</v>
      </c>
      <c r="AZ96" s="8">
        <f t="shared" si="451"/>
        <v>5760</v>
      </c>
      <c r="BA96" s="54">
        <f>IF(RTD("tos.rtd",,BA$83,"."&amp;$B$82&amp;$AS$82&amp;"C"&amp;$A96)="N/A",0,RTD("tos.rtd",,BA$83,"."&amp;$B$82&amp;$AS$82&amp;"C"&amp;$A96))</f>
        <v>0</v>
      </c>
      <c r="BB96" s="3">
        <f>-IF(RTD("tos.rtd",,BB$83,"."&amp;$B$82&amp;$AS$82&amp;"P"&amp;$A96)="N/A",0,RTD("tos.rtd",,BB$83,"."&amp;$B$82&amp;$AS$82&amp;"P"&amp;$A96))</f>
        <v>0</v>
      </c>
      <c r="BC96" s="54">
        <f>IF(RTD("tos.rtd",,BC$83,"."&amp;$C$82&amp;$AU$82&amp;"C"&amp;$A96)="N/A",0,RTD("tos.rtd",,BC$83,"."&amp;$C$82&amp;$AU$82&amp;"C"&amp;$A96))</f>
        <v>11802</v>
      </c>
      <c r="BD96" s="3">
        <f>-IF(RTD("tos.rtd",,BD$83,"."&amp;$C$82&amp;$AU$82&amp;"P"&amp;$A96)="N/A",0,RTD("tos.rtd",,BD$83,"."&amp;$C$82&amp;$AU$82&amp;"P"&amp;$A96))</f>
        <v>-521</v>
      </c>
      <c r="BE96" s="54">
        <f>IF(RTD("tos.rtd",,BE$83,"."&amp;$D$82&amp;$AW$82&amp;"C"&amp;$A96)="N/A",0,RTD("tos.rtd",,BE$83,"."&amp;$D$82&amp;$AW$82&amp;"C"&amp;$A96))</f>
        <v>499</v>
      </c>
      <c r="BF96" s="3">
        <f>-IF(RTD("tos.rtd",,BF$83,"."&amp;$D$82&amp;$AW$82&amp;"P"&amp;$A96)="N/A",0,RTD("tos.rtd",,BF$83,"."&amp;$D$82&amp;$AW$82&amp;"P"&amp;$A96))</f>
        <v>-10</v>
      </c>
      <c r="BG96" s="3">
        <f ca="1">+Hoja2!Y97</f>
        <v>593</v>
      </c>
      <c r="BH96" s="55">
        <f t="shared" ca="1" si="491"/>
        <v>12363</v>
      </c>
      <c r="BI96" s="32" t="str">
        <f t="shared" ca="1" si="507"/>
        <v/>
      </c>
      <c r="BJ96" s="3" t="e">
        <f ca="1">IF($BP$1=1,DX96,IF(RTD("tos.rtd",,BJ$83,"."&amp;$B$82&amp;$AS$82&amp;"C"&amp;$A96)="N/A",0,RTD("tos.rtd",,BJ$83,"."&amp;$B$82&amp;$AS$82&amp;"C"&amp;$A96)))</f>
        <v>#NUM!</v>
      </c>
      <c r="BK96" s="3" t="e">
        <f ca="1">IF($BP$1=1,DY96,-IF(RTD("tos.rtd",,BK$83,"."&amp;$B$82&amp;$AS$82&amp;"P"&amp;$A96)="N/A",0,RTD("tos.rtd",,BK$83,"."&amp;$B$82&amp;$AS$82&amp;"P"&amp;$A96)))</f>
        <v>#NUM!</v>
      </c>
      <c r="BL96" s="3" t="e">
        <f ca="1">IF($BP$1=1,DZ96,IF(RTD("tos.rtd",,BL$83,"."&amp;$C$82&amp;$AU$82&amp;"C"&amp;$A96)="N/A",0,RTD("tos.rtd",,BL$83,"."&amp;$C$82&amp;$AU$82&amp;"C"&amp;$A96)))</f>
        <v>#NUM!</v>
      </c>
      <c r="BM96" s="3" t="e">
        <f ca="1">IF($BP$1=1,EA96,-IF(RTD("tos.rtd",,BM$83,"."&amp;$C$82&amp;$AU$82&amp;"P"&amp;$A96)="N/A",0,RTD("tos.rtd",,BM$83,"."&amp;$C$82&amp;$AU$82&amp;"P"&amp;$A96)))</f>
        <v>#NUM!</v>
      </c>
      <c r="BN96" s="3" t="e">
        <f ca="1">IF($BP$1=1,EB96,IF(RTD("tos.rtd",,BN$83,"."&amp;$D$82&amp;$AW$82&amp;"C"&amp;$A96)="N/A",0,RTD("tos.rtd",,BN$83,"."&amp;$D$82&amp;$AW$82&amp;"C"&amp;$A96)))</f>
        <v>#NUM!</v>
      </c>
      <c r="BO96" s="3" t="e">
        <f ca="1">IF($BP$1=1,EC96,-IF(RTD("tos.rtd",,BO$83,"."&amp;$D$82&amp;$AW$82&amp;"P"&amp;$A96)="N/A",0,RTD("tos.rtd",,BO$83,"."&amp;$D$82&amp;$AW$82&amp;"P"&amp;$A96)))</f>
        <v>#NUM!</v>
      </c>
      <c r="BQ96" s="3" t="e">
        <f t="shared" ca="1" si="452"/>
        <v>#NUM!</v>
      </c>
      <c r="BR96" s="3" t="e">
        <f t="shared" ca="1" si="492"/>
        <v>#NUM!</v>
      </c>
      <c r="BS96" s="3" t="e">
        <f t="shared" ca="1" si="453"/>
        <v>#NUM!</v>
      </c>
      <c r="BT96" s="3" t="e">
        <f t="shared" ca="1" si="492"/>
        <v>#NUM!</v>
      </c>
      <c r="BU96" s="3" t="e">
        <f t="shared" ca="1" si="454"/>
        <v>#NUM!</v>
      </c>
      <c r="BV96" s="3" t="e">
        <f t="shared" ca="1" si="492"/>
        <v>#NUM!</v>
      </c>
      <c r="BX96" s="3" t="e">
        <f t="shared" ca="1" si="455"/>
        <v>#NUM!</v>
      </c>
      <c r="BY96" s="3" t="e">
        <f t="shared" ca="1" si="504"/>
        <v>#NUM!</v>
      </c>
      <c r="BZ96" s="3" t="e">
        <f t="shared" ca="1" si="456"/>
        <v>#NUM!</v>
      </c>
      <c r="CA96" s="3" t="e">
        <f t="shared" ca="1" si="504"/>
        <v>#NUM!</v>
      </c>
      <c r="CB96" s="3" t="e">
        <f t="shared" ca="1" si="457"/>
        <v>#NUM!</v>
      </c>
      <c r="CC96" s="3" t="e">
        <f t="shared" ca="1" si="504"/>
        <v>#NUM!</v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0.83</v>
      </c>
      <c r="CF96" s="3">
        <f>IF(RTD("tos.rtd",,CF$83,"."&amp;$C$82&amp;$AU$82&amp;"C"&amp;$A96)="N/A",0,RTD("tos.rtd",,CF$83,"."&amp;$C$82&amp;$AU$82&amp;"C"&amp;$A96))</f>
        <v>0</v>
      </c>
      <c r="CG96" s="3">
        <f>-IF(RTD("tos.rtd",,CG$83,"."&amp;$C$82&amp;$AU$82&amp;"P"&amp;$A96)="N/A",0,RTD("tos.rtd",,CG$83,"."&amp;$C$82&amp;$AU$82&amp;"P"&amp;$A96))</f>
        <v>0.97</v>
      </c>
      <c r="CH96" s="3">
        <f>IF(RTD("tos.rtd",,CH$83,"."&amp;$D$82&amp;$AW$82&amp;"C"&amp;$A96)="N/A",0,RTD("tos.rtd",,CH$83,"."&amp;$D$82&amp;$AW$82&amp;"C"&amp;$A96))</f>
        <v>0.27</v>
      </c>
      <c r="CI96" s="3">
        <f>-IF(RTD("tos.rtd",,CI$83,"."&amp;$D$82&amp;$AW$82&amp;"P"&amp;$A96)="N/A",0,RTD("tos.rtd",,CI$83,"."&amp;$D$82&amp;$AW$82&amp;"P"&amp;$A96))</f>
        <v>0.75</v>
      </c>
      <c r="CK96" s="3">
        <f t="shared" si="508"/>
        <v>-2573</v>
      </c>
      <c r="CL96" s="3"/>
      <c r="CM96" s="3">
        <f t="shared" si="509"/>
        <v>-30070</v>
      </c>
      <c r="CN96" s="3"/>
      <c r="CO96" s="3">
        <f t="shared" si="510"/>
        <v>-13680</v>
      </c>
      <c r="CP96" s="3">
        <f t="shared" si="458"/>
        <v>-46323</v>
      </c>
      <c r="CQ96" s="3">
        <f t="shared" si="459"/>
        <v>0</v>
      </c>
      <c r="CR96" s="3"/>
      <c r="CS96" s="3">
        <f t="shared" si="460"/>
        <v>11281</v>
      </c>
      <c r="CT96" s="3"/>
      <c r="CU96" s="3">
        <f t="shared" si="461"/>
        <v>489</v>
      </c>
      <c r="CV96" s="3"/>
      <c r="CW96" s="3" t="e">
        <f t="shared" ca="1" si="496"/>
        <v>#NUM!</v>
      </c>
      <c r="CY96" s="3" t="e">
        <f t="shared" ca="1" si="463"/>
        <v>#NUM!</v>
      </c>
      <c r="CZ96" s="70" t="e">
        <f t="shared" ca="1" si="505"/>
        <v>#NUM!</v>
      </c>
      <c r="DA96" s="3">
        <f>IF(RTD("tos.rtd",,DA$83,"."&amp;$B$82&amp;$AS$82&amp;"C"&amp;$A96)="N/A",0,RTD("tos.rtd",,DA$83,"."&amp;$B$82&amp;$AS$82&amp;"C"&amp;$A96))</f>
        <v>0.05</v>
      </c>
      <c r="DB96" s="3">
        <f>IF(RTD("tos.rtd",,DB$83,"."&amp;$B$82&amp;$AS$82&amp;"P"&amp;$A96)="N/A",0,RTD("tos.rtd",,DB$83,"."&amp;$B$82&amp;$AS$82&amp;"P"&amp;$A96))</f>
        <v>93.8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112.2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106.5</v>
      </c>
      <c r="DG96" s="86">
        <f t="shared" si="497"/>
        <v>100</v>
      </c>
      <c r="DH96" s="3">
        <f t="shared" si="464"/>
        <v>-5098</v>
      </c>
      <c r="DI96" s="3">
        <f t="shared" si="465"/>
        <v>-409.96491228070164</v>
      </c>
      <c r="DJ96" s="3">
        <f t="shared" si="466"/>
        <v>-5098</v>
      </c>
      <c r="DK96" s="3">
        <f t="shared" si="467"/>
        <v>-184</v>
      </c>
      <c r="DL96" s="3">
        <f t="shared" si="468"/>
        <v>-5507.9649122807014</v>
      </c>
      <c r="DM96" s="3">
        <f t="shared" si="469"/>
        <v>-5282</v>
      </c>
      <c r="DN96" s="64" t="str">
        <f t="shared" si="470"/>
        <v>UNKNOWN</v>
      </c>
      <c r="DO96" s="64" t="str">
        <f t="shared" si="471"/>
        <v>UNKNOWN</v>
      </c>
      <c r="DP96" s="3">
        <f t="shared" si="472"/>
        <v>-38709.608771929816</v>
      </c>
      <c r="DQ96" s="3">
        <f t="shared" si="473"/>
        <v>-17514.100000000002</v>
      </c>
      <c r="DR96" s="3" t="e">
        <f t="shared" ca="1" si="474"/>
        <v>#NUM!</v>
      </c>
      <c r="DS96" s="3">
        <f t="shared" si="475"/>
        <v>-152.72</v>
      </c>
      <c r="DT96" s="3">
        <f t="shared" si="498"/>
        <v>-5098</v>
      </c>
      <c r="DU96" s="3">
        <f t="shared" si="499"/>
        <v>184</v>
      </c>
      <c r="DV96" s="3">
        <f t="shared" si="500"/>
        <v>517</v>
      </c>
      <c r="DW96" s="3">
        <f t="shared" si="501"/>
        <v>3</v>
      </c>
      <c r="DX96" s="3" t="e">
        <f t="shared" ca="1" si="506"/>
        <v>#NUM!</v>
      </c>
      <c r="DY96" s="3" t="e">
        <f t="shared" ca="1" si="476"/>
        <v>#NUM!</v>
      </c>
      <c r="DZ96" s="3" t="e">
        <f t="shared" ca="1" si="477"/>
        <v>#NUM!</v>
      </c>
      <c r="EA96" s="3" t="e">
        <f t="shared" ca="1" si="478"/>
        <v>#NUM!</v>
      </c>
      <c r="EB96" s="3" t="e">
        <f t="shared" ca="1" si="479"/>
        <v>#NUM!</v>
      </c>
      <c r="EC96" s="3" t="e">
        <f t="shared" ca="1" si="480"/>
        <v>#NUM!</v>
      </c>
      <c r="EE96" s="59">
        <f t="shared" si="481"/>
        <v>0.82130000000000003</v>
      </c>
      <c r="EF96" s="59">
        <f t="shared" si="482"/>
        <v>2.4089</v>
      </c>
      <c r="EG96" s="59">
        <f t="shared" si="483"/>
        <v>0.82130000000000003</v>
      </c>
      <c r="EH96" s="59">
        <f t="shared" si="484"/>
        <v>1.2188000000000001</v>
      </c>
      <c r="EI96" s="59">
        <f t="shared" si="485"/>
        <v>0.2261</v>
      </c>
      <c r="EJ96" s="59">
        <f t="shared" si="486"/>
        <v>0.21299999999999999</v>
      </c>
      <c r="EL96" s="3" t="str">
        <f>RTD("tos.rtd",,EL$83,"."&amp;$B$82&amp;$AS$82&amp;"C"&amp;$A96)</f>
        <v>82.13%</v>
      </c>
      <c r="EM96" s="3" t="str">
        <f>RTD("tos.rtd",,EM$83,"."&amp;$B$82&amp;$AS$82&amp;"P"&amp;$A96)</f>
        <v>240.89%</v>
      </c>
      <c r="EN96" s="3" t="str">
        <f>RTD("tos.rtd",,EN$83,"."&amp;$C$82&amp;$AU$82&amp;"C"&amp;$A96)</f>
        <v>82.13%</v>
      </c>
      <c r="EO96" s="3" t="str">
        <f>RTD("tos.rtd",,EO$83,"."&amp;$C$82&amp;$AU$82&amp;"P"&amp;$A96)</f>
        <v>121.88%</v>
      </c>
      <c r="EP96" s="3" t="str">
        <f>RTD("tos.rtd",,EP$83,"."&amp;$D$82&amp;$AW$82&amp;"C"&amp;$A96)</f>
        <v>22.61%</v>
      </c>
      <c r="EQ96" s="3" t="str">
        <f>RTD("tos.rtd",,EQ$83,"."&amp;$D$82&amp;$AW$82&amp;"P"&amp;$A96)</f>
        <v>21.30%</v>
      </c>
      <c r="ES96" s="63" t="str">
        <f t="shared" si="487"/>
        <v>5760,520.00</v>
      </c>
      <c r="ET96" s="64" t="str">
        <f t="shared" ca="1" si="488"/>
        <v>5760,00.00</v>
      </c>
      <c r="EU96" s="67">
        <v>562.79999999999995</v>
      </c>
      <c r="EV96" s="67" t="s">
        <v>787</v>
      </c>
      <c r="EW96" s="67">
        <v>485.29</v>
      </c>
      <c r="EX96" s="67" t="s">
        <v>788</v>
      </c>
      <c r="EY96" s="67">
        <v>5642</v>
      </c>
      <c r="EZ96" s="67" t="s">
        <v>789</v>
      </c>
      <c r="FA96" s="67">
        <v>19935.75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502"/>
        <v>5750</v>
      </c>
      <c r="B97" s="3">
        <f t="shared" si="447"/>
        <v>3181</v>
      </c>
      <c r="C97" s="3">
        <f t="shared" si="448"/>
        <v>4342</v>
      </c>
      <c r="D97" s="3">
        <f t="shared" si="449"/>
        <v>2887</v>
      </c>
      <c r="E97" s="3">
        <f>SUM(B97:D97)</f>
        <v>10410</v>
      </c>
      <c r="F97" s="4">
        <f t="shared" si="511"/>
        <v>5774.3816254416961</v>
      </c>
      <c r="G97" s="4">
        <f t="shared" si="489"/>
        <v>573.78091872791515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-1984</v>
      </c>
      <c r="AN97" s="20">
        <v>5</v>
      </c>
      <c r="AO97" s="20">
        <v>5750</v>
      </c>
      <c r="AP97" s="20">
        <v>7865</v>
      </c>
      <c r="AQ97" s="20">
        <v>-290</v>
      </c>
      <c r="AR97" s="20"/>
      <c r="AS97" s="54">
        <f>IF(RTD("tos.rtd",,AS$83,"."&amp;$B$82&amp;$AS$82&amp;"C"&amp;$A97)="N/A",0,RTD("tos.rtd",,AS$83,"."&amp;$B$82&amp;$AS$82&amp;"C"&amp;$A97))</f>
        <v>3113</v>
      </c>
      <c r="AT97" s="3">
        <f>-IF(RTD("tos.rtd",,AT$83,"."&amp;$B$82&amp;$AS$82&amp;"P"&amp;$A97)="N/A",0,RTD("tos.rtd",,AT$83,"."&amp;$B$82&amp;$AS$82&amp;"P"&amp;$A97))</f>
        <v>-68</v>
      </c>
      <c r="AU97" s="54">
        <f>IF(RTD("tos.rtd",,AU$83,"."&amp;$C$82&amp;$AU$82&amp;"C"&amp;$A97)="N/A",0,RTD("tos.rtd",,AU$83,"."&amp;$C$82&amp;$AU$82&amp;"C"&amp;$A97))</f>
        <v>3846</v>
      </c>
      <c r="AV97" s="3">
        <f>-IF(RTD("tos.rtd",,AV$83,"."&amp;$C$82&amp;$AU$82&amp;"P"&amp;$A97)="N/A",0,RTD("tos.rtd",,AV$83,"."&amp;$C$82&amp;$AU$82&amp;"P"&amp;$A97))</f>
        <v>-496</v>
      </c>
      <c r="AW97" s="54">
        <f>IF(RTD("tos.rtd",,AW$83,"."&amp;$D$82&amp;$AW$82&amp;"C"&amp;$A97)="N/A",0,RTD("tos.rtd",,AW$83,"."&amp;$D$82&amp;$AW$82&amp;"C"&amp;$A97))</f>
        <v>2542</v>
      </c>
      <c r="AX97" s="3">
        <f>-IF(RTD("tos.rtd",,AX$83,"."&amp;$D$82&amp;$AW$82&amp;"P"&amp;$A97)="N/A",0,RTD("tos.rtd",,AX$83,"."&amp;$D$82&amp;$AW$82&amp;"P"&amp;$A97))</f>
        <v>-345</v>
      </c>
      <c r="AY97" s="79">
        <f t="shared" si="490"/>
        <v>8592</v>
      </c>
      <c r="AZ97" s="8">
        <f t="shared" si="451"/>
        <v>5750</v>
      </c>
      <c r="BA97" s="54">
        <f>IF(RTD("tos.rtd",,BA$83,"."&amp;$B$82&amp;$AS$82&amp;"C"&amp;$A97)="N/A",0,RTD("tos.rtd",,BA$83,"."&amp;$B$82&amp;$AS$82&amp;"C"&amp;$A97))</f>
        <v>0</v>
      </c>
      <c r="BB97" s="3">
        <f>-IF(RTD("tos.rtd",,BB$83,"."&amp;$B$82&amp;$AS$82&amp;"P"&amp;$A97)="N/A",0,RTD("tos.rtd",,BB$83,"."&amp;$B$82&amp;$AS$82&amp;"P"&amp;$A97))</f>
        <v>0</v>
      </c>
      <c r="BC97" s="54">
        <f>IF(RTD("tos.rtd",,BC$83,"."&amp;$C$82&amp;$AU$82&amp;"C"&amp;$A97)="N/A",0,RTD("tos.rtd",,BC$83,"."&amp;$C$82&amp;$AU$82&amp;"C"&amp;$A97))</f>
        <v>17502</v>
      </c>
      <c r="BD97" s="3">
        <f>-IF(RTD("tos.rtd",,BD$83,"."&amp;$C$82&amp;$AU$82&amp;"P"&amp;$A97)="N/A",0,RTD("tos.rtd",,BD$83,"."&amp;$C$82&amp;$AU$82&amp;"P"&amp;$A97))</f>
        <v>-752</v>
      </c>
      <c r="BE97" s="54">
        <f>IF(RTD("tos.rtd",,BE$83,"."&amp;$D$82&amp;$AW$82&amp;"C"&amp;$A97)="N/A",0,RTD("tos.rtd",,BE$83,"."&amp;$D$82&amp;$AW$82&amp;"C"&amp;$A97))</f>
        <v>1063</v>
      </c>
      <c r="BF97" s="3">
        <f>-IF(RTD("tos.rtd",,BF$83,"."&amp;$D$82&amp;$AW$82&amp;"P"&amp;$A97)="N/A",0,RTD("tos.rtd",,BF$83,"."&amp;$D$82&amp;$AW$82&amp;"P"&amp;$A97))</f>
        <v>-36</v>
      </c>
      <c r="BG97" s="3">
        <f ca="1">+Hoja2!Y98</f>
        <v>-353</v>
      </c>
      <c r="BH97" s="55">
        <f t="shared" ca="1" si="491"/>
        <v>17424</v>
      </c>
      <c r="BI97" s="32" t="str">
        <f t="shared" ca="1" si="507"/>
        <v/>
      </c>
      <c r="BJ97" s="3" t="e">
        <f ca="1">IF($BP$1=1,DX97,IF(RTD("tos.rtd",,BJ$83,"."&amp;$B$82&amp;$AS$82&amp;"C"&amp;$A97)="N/A",0,RTD("tos.rtd",,BJ$83,"."&amp;$B$82&amp;$AS$82&amp;"C"&amp;$A97)))</f>
        <v>#NUM!</v>
      </c>
      <c r="BK97" s="3" t="e">
        <f ca="1">IF($BP$1=1,DY97,-IF(RTD("tos.rtd",,BK$83,"."&amp;$B$82&amp;$AS$82&amp;"P"&amp;$A97)="N/A",0,RTD("tos.rtd",,BK$83,"."&amp;$B$82&amp;$AS$82&amp;"P"&amp;$A97)))</f>
        <v>#NUM!</v>
      </c>
      <c r="BL97" s="3" t="e">
        <f ca="1">IF($BP$1=1,DZ97,IF(RTD("tos.rtd",,BL$83,"."&amp;$C$82&amp;$AU$82&amp;"C"&amp;$A97)="N/A",0,RTD("tos.rtd",,BL$83,"."&amp;$C$82&amp;$AU$82&amp;"C"&amp;$A97)))</f>
        <v>#NUM!</v>
      </c>
      <c r="BM97" s="3" t="e">
        <f ca="1">IF($BP$1=1,EA97,-IF(RTD("tos.rtd",,BM$83,"."&amp;$C$82&amp;$AU$82&amp;"P"&amp;$A97)="N/A",0,RTD("tos.rtd",,BM$83,"."&amp;$C$82&amp;$AU$82&amp;"P"&amp;$A97)))</f>
        <v>#NUM!</v>
      </c>
      <c r="BN97" s="3" t="e">
        <f ca="1">IF($BP$1=1,EB97,IF(RTD("tos.rtd",,BN$83,"."&amp;$D$82&amp;$AW$82&amp;"C"&amp;$A97)="N/A",0,RTD("tos.rtd",,BN$83,"."&amp;$D$82&amp;$AW$82&amp;"C"&amp;$A97)))</f>
        <v>#NUM!</v>
      </c>
      <c r="BO97" s="3" t="e">
        <f ca="1">IF($BP$1=1,EC97,-IF(RTD("tos.rtd",,BO$83,"."&amp;$D$82&amp;$AW$82&amp;"P"&amp;$A97)="N/A",0,RTD("tos.rtd",,BO$83,"."&amp;$D$82&amp;$AW$82&amp;"P"&amp;$A97)))</f>
        <v>#NUM!</v>
      </c>
      <c r="BQ97" s="3" t="e">
        <f t="shared" ca="1" si="452"/>
        <v>#NUM!</v>
      </c>
      <c r="BR97" s="3" t="e">
        <f t="shared" ca="1" si="492"/>
        <v>#NUM!</v>
      </c>
      <c r="BS97" s="3" t="e">
        <f t="shared" ca="1" si="453"/>
        <v>#NUM!</v>
      </c>
      <c r="BT97" s="3" t="e">
        <f t="shared" ca="1" si="492"/>
        <v>#NUM!</v>
      </c>
      <c r="BU97" s="3" t="e">
        <f t="shared" ca="1" si="454"/>
        <v>#NUM!</v>
      </c>
      <c r="BV97" s="3" t="e">
        <f t="shared" ca="1" si="492"/>
        <v>#NUM!</v>
      </c>
      <c r="BX97" s="3" t="e">
        <f t="shared" ca="1" si="455"/>
        <v>#NUM!</v>
      </c>
      <c r="BY97" s="3" t="e">
        <f t="shared" ca="1" si="504"/>
        <v>#NUM!</v>
      </c>
      <c r="BZ97" s="3" t="e">
        <f t="shared" ca="1" si="456"/>
        <v>#NUM!</v>
      </c>
      <c r="CA97" s="3" t="e">
        <f t="shared" ca="1" si="504"/>
        <v>#NUM!</v>
      </c>
      <c r="CB97" s="3" t="e">
        <f t="shared" ca="1" si="457"/>
        <v>#NUM!</v>
      </c>
      <c r="CC97" s="3" t="e">
        <f t="shared" ca="1" si="504"/>
        <v>#NUM!</v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0.82</v>
      </c>
      <c r="CF97" s="3">
        <f>IF(RTD("tos.rtd",,CF$83,"."&amp;$C$82&amp;$AU$82&amp;"C"&amp;$A97)="N/A",0,RTD("tos.rtd",,CF$83,"."&amp;$C$82&amp;$AU$82&amp;"C"&amp;$A97))</f>
        <v>0</v>
      </c>
      <c r="CG97" s="3">
        <f>-IF(RTD("tos.rtd",,CG$83,"."&amp;$C$82&amp;$AU$82&amp;"P"&amp;$A97)="N/A",0,RTD("tos.rtd",,CG$83,"."&amp;$C$82&amp;$AU$82&amp;"P"&amp;$A97))</f>
        <v>0.97</v>
      </c>
      <c r="CH97" s="3">
        <f>IF(RTD("tos.rtd",,CH$83,"."&amp;$D$82&amp;$AW$82&amp;"C"&amp;$A97)="N/A",0,RTD("tos.rtd",,CH$83,"."&amp;$D$82&amp;$AW$82&amp;"C"&amp;$A97))</f>
        <v>0.28999999999999998</v>
      </c>
      <c r="CI97" s="3">
        <f>-IF(RTD("tos.rtd",,CI$83,"."&amp;$D$82&amp;$AW$82&amp;"P"&amp;$A97)="N/A",0,RTD("tos.rtd",,CI$83,"."&amp;$D$82&amp;$AW$82&amp;"P"&amp;$A97))</f>
        <v>0.72</v>
      </c>
      <c r="CK97" s="3">
        <f t="shared" si="508"/>
        <v>-5576</v>
      </c>
      <c r="CL97" s="3"/>
      <c r="CM97" s="3">
        <f t="shared" si="509"/>
        <v>-48112</v>
      </c>
      <c r="CN97" s="3"/>
      <c r="CO97" s="3">
        <f t="shared" si="510"/>
        <v>48878</v>
      </c>
      <c r="CP97" s="3">
        <f t="shared" si="458"/>
        <v>-4810</v>
      </c>
      <c r="CQ97" s="3">
        <f t="shared" si="459"/>
        <v>0</v>
      </c>
      <c r="CR97" s="3"/>
      <c r="CS97" s="3">
        <f t="shared" si="460"/>
        <v>16750</v>
      </c>
      <c r="CT97" s="3"/>
      <c r="CU97" s="3">
        <f t="shared" si="461"/>
        <v>1027</v>
      </c>
      <c r="CV97" s="3"/>
      <c r="CW97" s="3" t="e">
        <f t="shared" ca="1" si="496"/>
        <v>#NUM!</v>
      </c>
      <c r="CY97" s="3" t="e">
        <f t="shared" ca="1" si="463"/>
        <v>#NUM!</v>
      </c>
      <c r="CZ97" s="70" t="e">
        <f t="shared" ca="1" si="505"/>
        <v>#NUM!</v>
      </c>
      <c r="DA97" s="3">
        <f>IF(RTD("tos.rtd",,DA$83,"."&amp;$B$82&amp;$AS$82&amp;"C"&amp;$A97)="N/A",0,RTD("tos.rtd",,DA$83,"."&amp;$B$82&amp;$AS$82&amp;"C"&amp;$A97))</f>
        <v>0.03</v>
      </c>
      <c r="DB97" s="3">
        <f>IF(RTD("tos.rtd",,DB$83,"."&amp;$B$82&amp;$AS$82&amp;"P"&amp;$A97)="N/A",0,RTD("tos.rtd",,DB$83,"."&amp;$B$82&amp;$AS$82&amp;"P"&amp;$A97))</f>
        <v>90.81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102.2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96.5</v>
      </c>
      <c r="DG97" s="86">
        <f t="shared" si="497"/>
        <v>90</v>
      </c>
      <c r="DH97" s="3">
        <f t="shared" si="464"/>
        <v>-4719</v>
      </c>
      <c r="DI97" s="3">
        <f t="shared" si="465"/>
        <v>-289.49122807017517</v>
      </c>
      <c r="DJ97" s="3">
        <f t="shared" si="466"/>
        <v>-7865</v>
      </c>
      <c r="DK97" s="3">
        <f t="shared" si="467"/>
        <v>-290</v>
      </c>
      <c r="DL97" s="3">
        <f t="shared" si="468"/>
        <v>-5008.4912280701756</v>
      </c>
      <c r="DM97" s="3">
        <f t="shared" si="469"/>
        <v>-8155</v>
      </c>
      <c r="DN97" s="64" t="str">
        <f t="shared" si="470"/>
        <v>UNKNOWN</v>
      </c>
      <c r="DO97" s="64" t="str">
        <f t="shared" si="471"/>
        <v>UNKNOWN</v>
      </c>
      <c r="DP97" s="3">
        <f t="shared" si="472"/>
        <v>-26430.268421052606</v>
      </c>
      <c r="DQ97" s="3">
        <f t="shared" si="473"/>
        <v>-26570.850000000002</v>
      </c>
      <c r="DR97" s="3" t="e">
        <f t="shared" ca="1" si="474"/>
        <v>#NUM!</v>
      </c>
      <c r="DS97" s="3">
        <f t="shared" si="475"/>
        <v>-237.79999999999998</v>
      </c>
      <c r="DT97" s="3">
        <f t="shared" si="498"/>
        <v>-7865</v>
      </c>
      <c r="DU97" s="3">
        <f t="shared" si="499"/>
        <v>290</v>
      </c>
      <c r="DV97" s="3">
        <f t="shared" si="500"/>
        <v>-1984</v>
      </c>
      <c r="DW97" s="3">
        <f t="shared" si="501"/>
        <v>5</v>
      </c>
      <c r="DX97" s="3" t="e">
        <f t="shared" ca="1" si="506"/>
        <v>#NUM!</v>
      </c>
      <c r="DY97" s="3" t="e">
        <f t="shared" ca="1" si="476"/>
        <v>#NUM!</v>
      </c>
      <c r="DZ97" s="3" t="e">
        <f t="shared" ca="1" si="477"/>
        <v>#NUM!</v>
      </c>
      <c r="EA97" s="3" t="e">
        <f t="shared" ca="1" si="478"/>
        <v>#NUM!</v>
      </c>
      <c r="EB97" s="3" t="e">
        <f t="shared" ca="1" si="479"/>
        <v>#NUM!</v>
      </c>
      <c r="EC97" s="3" t="e">
        <f t="shared" ca="1" si="480"/>
        <v>#NUM!</v>
      </c>
      <c r="EE97" s="59">
        <f t="shared" si="481"/>
        <v>0.74809999999999999</v>
      </c>
      <c r="EF97" s="59">
        <f t="shared" si="482"/>
        <v>2.2543000000000002</v>
      </c>
      <c r="EG97" s="59">
        <f t="shared" si="483"/>
        <v>0.74809999999999999</v>
      </c>
      <c r="EH97" s="59">
        <f t="shared" si="484"/>
        <v>1.1177999999999999</v>
      </c>
      <c r="EI97" s="59">
        <f t="shared" si="485"/>
        <v>0.2281</v>
      </c>
      <c r="EJ97" s="59">
        <f t="shared" si="486"/>
        <v>0.21540000000000001</v>
      </c>
      <c r="EL97" s="3" t="str">
        <f>RTD("tos.rtd",,EL$83,"."&amp;$B$82&amp;$AS$82&amp;"C"&amp;$A97)</f>
        <v>74.81%</v>
      </c>
      <c r="EM97" s="3" t="str">
        <f>RTD("tos.rtd",,EM$83,"."&amp;$B$82&amp;$AS$82&amp;"P"&amp;$A97)</f>
        <v>225.43%</v>
      </c>
      <c r="EN97" s="3" t="str">
        <f>RTD("tos.rtd",,EN$83,"."&amp;$C$82&amp;$AU$82&amp;"C"&amp;$A97)</f>
        <v>74.81%</v>
      </c>
      <c r="EO97" s="3" t="str">
        <f>RTD("tos.rtd",,EO$83,"."&amp;$C$82&amp;$AU$82&amp;"P"&amp;$A97)</f>
        <v>111.78%</v>
      </c>
      <c r="EP97" s="3" t="str">
        <f>RTD("tos.rtd",,EP$83,"."&amp;$D$82&amp;$AW$82&amp;"C"&amp;$A97)</f>
        <v>22.81%</v>
      </c>
      <c r="EQ97" s="3" t="str">
        <f>RTD("tos.rtd",,EQ$83,"."&amp;$D$82&amp;$AW$82&amp;"P"&amp;$A97)</f>
        <v>21.54%</v>
      </c>
      <c r="ES97" s="63" t="str">
        <f t="shared" si="487"/>
        <v>5750,-1979.00</v>
      </c>
      <c r="ET97" s="64" t="str">
        <f t="shared" ca="1" si="488"/>
        <v>5750,00.00</v>
      </c>
      <c r="EU97" s="67">
        <v>562.89</v>
      </c>
      <c r="EV97" s="67" t="s">
        <v>795</v>
      </c>
      <c r="EW97" s="67">
        <v>485.43</v>
      </c>
      <c r="EX97" s="67" t="s">
        <v>796</v>
      </c>
      <c r="EY97" s="67">
        <v>5642.75</v>
      </c>
      <c r="EZ97" s="67" t="s">
        <v>797</v>
      </c>
      <c r="FA97" s="67">
        <v>19940.75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502"/>
        <v>5740</v>
      </c>
      <c r="B98" s="3">
        <f t="shared" si="447"/>
        <v>1458</v>
      </c>
      <c r="C98" s="3">
        <f t="shared" si="448"/>
        <v>1741</v>
      </c>
      <c r="D98" s="3">
        <f t="shared" si="449"/>
        <v>551</v>
      </c>
      <c r="E98" s="3">
        <f t="shared" ref="E98" si="512">SUM(B98:D98)</f>
        <v>3750</v>
      </c>
      <c r="F98" s="4">
        <f t="shared" si="511"/>
        <v>5764.3392226148408</v>
      </c>
      <c r="G98" s="4">
        <f t="shared" si="489"/>
        <v>572.78303886925789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-1827</v>
      </c>
      <c r="AN98" s="20">
        <v>-111</v>
      </c>
      <c r="AO98" s="20">
        <v>5740</v>
      </c>
      <c r="AP98" s="20">
        <v>8053</v>
      </c>
      <c r="AQ98" s="20">
        <v>-448</v>
      </c>
      <c r="AR98" s="20"/>
      <c r="AS98" s="54">
        <f>IF(RTD("tos.rtd",,AS$83,"."&amp;$B$82&amp;$AS$82&amp;"C"&amp;$A98)="N/A",0,RTD("tos.rtd",,AS$83,"."&amp;$B$82&amp;$AS$82&amp;"C"&amp;$A98))</f>
        <v>1424</v>
      </c>
      <c r="AT98" s="3">
        <f>-IF(RTD("tos.rtd",,AT$83,"."&amp;$B$82&amp;$AS$82&amp;"P"&amp;$A98)="N/A",0,RTD("tos.rtd",,AT$83,"."&amp;$B$82&amp;$AS$82&amp;"P"&amp;$A98))</f>
        <v>-34</v>
      </c>
      <c r="AU98" s="54">
        <f>IF(RTD("tos.rtd",,AU$83,"."&amp;$C$82&amp;$AU$82&amp;"C"&amp;$A98)="N/A",0,RTD("tos.rtd",,AU$83,"."&amp;$C$82&amp;$AU$82&amp;"C"&amp;$A98))</f>
        <v>1602</v>
      </c>
      <c r="AV98" s="3">
        <f>-IF(RTD("tos.rtd",,AV$83,"."&amp;$C$82&amp;$AU$82&amp;"P"&amp;$A98)="N/A",0,RTD("tos.rtd",,AV$83,"."&amp;$C$82&amp;$AU$82&amp;"P"&amp;$A98))</f>
        <v>-139</v>
      </c>
      <c r="AW98" s="54">
        <f>IF(RTD("tos.rtd",,AW$83,"."&amp;$D$82&amp;$AW$82&amp;"C"&amp;$A98)="N/A",0,RTD("tos.rtd",,AW$83,"."&amp;$D$82&amp;$AW$82&amp;"C"&amp;$A98))</f>
        <v>361</v>
      </c>
      <c r="AX98" s="3">
        <f>-IF(RTD("tos.rtd",,AX$83,"."&amp;$D$82&amp;$AW$82&amp;"P"&amp;$A98)="N/A",0,RTD("tos.rtd",,AX$83,"."&amp;$D$82&amp;$AW$82&amp;"P"&amp;$A98))</f>
        <v>-190</v>
      </c>
      <c r="AY98" s="79">
        <f t="shared" si="490"/>
        <v>3024</v>
      </c>
      <c r="AZ98" s="8">
        <f t="shared" si="451"/>
        <v>5740</v>
      </c>
      <c r="BA98" s="54">
        <f>IF(RTD("tos.rtd",,BA$83,"."&amp;$B$82&amp;$AS$82&amp;"C"&amp;$A98)="N/A",0,RTD("tos.rtd",,BA$83,"."&amp;$B$82&amp;$AS$82&amp;"C"&amp;$A98))</f>
        <v>0</v>
      </c>
      <c r="BB98" s="3">
        <f>-IF(RTD("tos.rtd",,BB$83,"."&amp;$B$82&amp;$AS$82&amp;"P"&amp;$A98)="N/A",0,RTD("tos.rtd",,BB$83,"."&amp;$B$82&amp;$AS$82&amp;"P"&amp;$A98))</f>
        <v>0</v>
      </c>
      <c r="BC98" s="54">
        <f>IF(RTD("tos.rtd",,BC$83,"."&amp;$C$82&amp;$AU$82&amp;"C"&amp;$A98)="N/A",0,RTD("tos.rtd",,BC$83,"."&amp;$C$82&amp;$AU$82&amp;"C"&amp;$A98))</f>
        <v>20166</v>
      </c>
      <c r="BD98" s="3">
        <f>-IF(RTD("tos.rtd",,BD$83,"."&amp;$C$82&amp;$AU$82&amp;"P"&amp;$A98)="N/A",0,RTD("tos.rtd",,BD$83,"."&amp;$C$82&amp;$AU$82&amp;"P"&amp;$A98))</f>
        <v>-499</v>
      </c>
      <c r="BE98" s="54">
        <f>IF(RTD("tos.rtd",,BE$83,"."&amp;$D$82&amp;$AW$82&amp;"C"&amp;$A98)="N/A",0,RTD("tos.rtd",,BE$83,"."&amp;$D$82&amp;$AW$82&amp;"C"&amp;$A98))</f>
        <v>299</v>
      </c>
      <c r="BF98" s="3">
        <f>-IF(RTD("tos.rtd",,BF$83,"."&amp;$D$82&amp;$AW$82&amp;"P"&amp;$A98)="N/A",0,RTD("tos.rtd",,BF$83,"."&amp;$D$82&amp;$AW$82&amp;"P"&amp;$A98))</f>
        <v>-160</v>
      </c>
      <c r="BG98" s="3">
        <f ca="1">+Hoja2!Y99</f>
        <v>60</v>
      </c>
      <c r="BH98" s="55">
        <f t="shared" ca="1" si="491"/>
        <v>19866</v>
      </c>
      <c r="BI98" s="32" t="str">
        <f t="shared" ca="1" si="507"/>
        <v/>
      </c>
      <c r="BJ98" s="3" t="e">
        <f ca="1">IF($BP$1=1,DX98,IF(RTD("tos.rtd",,BJ$83,"."&amp;$B$82&amp;$AS$82&amp;"C"&amp;$A98)="N/A",0,RTD("tos.rtd",,BJ$83,"."&amp;$B$82&amp;$AS$82&amp;"C"&amp;$A98)))</f>
        <v>#NUM!</v>
      </c>
      <c r="BK98" s="3" t="e">
        <f ca="1">IF($BP$1=1,DY98,-IF(RTD("tos.rtd",,BK$83,"."&amp;$B$82&amp;$AS$82&amp;"P"&amp;$A98)="N/A",0,RTD("tos.rtd",,BK$83,"."&amp;$B$82&amp;$AS$82&amp;"P"&amp;$A98)))</f>
        <v>#NUM!</v>
      </c>
      <c r="BL98" s="3" t="e">
        <f ca="1">IF($BP$1=1,DZ98,IF(RTD("tos.rtd",,BL$83,"."&amp;$C$82&amp;$AU$82&amp;"C"&amp;$A98)="N/A",0,RTD("tos.rtd",,BL$83,"."&amp;$C$82&amp;$AU$82&amp;"C"&amp;$A98)))</f>
        <v>#NUM!</v>
      </c>
      <c r="BM98" s="3" t="e">
        <f ca="1">IF($BP$1=1,EA98,-IF(RTD("tos.rtd",,BM$83,"."&amp;$C$82&amp;$AU$82&amp;"P"&amp;$A98)="N/A",0,RTD("tos.rtd",,BM$83,"."&amp;$C$82&amp;$AU$82&amp;"P"&amp;$A98)))</f>
        <v>#NUM!</v>
      </c>
      <c r="BN98" s="3" t="e">
        <f ca="1">IF($BP$1=1,EB98,IF(RTD("tos.rtd",,BN$83,"."&amp;$D$82&amp;$AW$82&amp;"C"&amp;$A98)="N/A",0,RTD("tos.rtd",,BN$83,"."&amp;$D$82&amp;$AW$82&amp;"C"&amp;$A98)))</f>
        <v>#NUM!</v>
      </c>
      <c r="BO98" s="3" t="e">
        <f ca="1">IF($BP$1=1,EC98,-IF(RTD("tos.rtd",,BO$83,"."&amp;$D$82&amp;$AW$82&amp;"P"&amp;$A98)="N/A",0,RTD("tos.rtd",,BO$83,"."&amp;$D$82&amp;$AW$82&amp;"P"&amp;$A98)))</f>
        <v>#NUM!</v>
      </c>
      <c r="BQ98" s="3" t="e">
        <f t="shared" ca="1" si="452"/>
        <v>#NUM!</v>
      </c>
      <c r="BR98" s="3" t="e">
        <f t="shared" ca="1" si="492"/>
        <v>#NUM!</v>
      </c>
      <c r="BS98" s="3" t="e">
        <f t="shared" ca="1" si="453"/>
        <v>#NUM!</v>
      </c>
      <c r="BT98" s="3" t="e">
        <f t="shared" ca="1" si="492"/>
        <v>#NUM!</v>
      </c>
      <c r="BU98" s="3" t="e">
        <f t="shared" ca="1" si="454"/>
        <v>#NUM!</v>
      </c>
      <c r="BV98" s="3" t="e">
        <f t="shared" ca="1" si="492"/>
        <v>#NUM!</v>
      </c>
      <c r="BX98" s="3" t="e">
        <f t="shared" ca="1" si="455"/>
        <v>#NUM!</v>
      </c>
      <c r="BY98" s="3" t="e">
        <f t="shared" ca="1" si="504"/>
        <v>#NUM!</v>
      </c>
      <c r="BZ98" s="3" t="e">
        <f t="shared" ca="1" si="456"/>
        <v>#NUM!</v>
      </c>
      <c r="CA98" s="3" t="e">
        <f t="shared" ca="1" si="504"/>
        <v>#NUM!</v>
      </c>
      <c r="CB98" s="3" t="e">
        <f t="shared" ca="1" si="457"/>
        <v>#NUM!</v>
      </c>
      <c r="CC98" s="3" t="e">
        <f t="shared" ca="1" si="504"/>
        <v>#NUM!</v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0.81</v>
      </c>
      <c r="CF98" s="3">
        <f>IF(RTD("tos.rtd",,CF$83,"."&amp;$C$82&amp;$AU$82&amp;"C"&amp;$A98)="N/A",0,RTD("tos.rtd",,CF$83,"."&amp;$C$82&amp;$AU$82&amp;"C"&amp;$A98))</f>
        <v>0</v>
      </c>
      <c r="CG98" s="3">
        <f>-IF(RTD("tos.rtd",,CG$83,"."&amp;$C$82&amp;$AU$82&amp;"P"&amp;$A98)="N/A",0,RTD("tos.rtd",,CG$83,"."&amp;$C$82&amp;$AU$82&amp;"P"&amp;$A98))</f>
        <v>0.97</v>
      </c>
      <c r="CH98" s="3">
        <f>IF(RTD("tos.rtd",,CH$83,"."&amp;$D$82&amp;$AW$82&amp;"C"&amp;$A98)="N/A",0,RTD("tos.rtd",,CH$83,"."&amp;$D$82&amp;$AW$82&amp;"C"&amp;$A98))</f>
        <v>0.31</v>
      </c>
      <c r="CI98" s="3">
        <f>-IF(RTD("tos.rtd",,CI$83,"."&amp;$D$82&amp;$AW$82&amp;"P"&amp;$A98)="N/A",0,RTD("tos.rtd",,CI$83,"."&amp;$D$82&amp;$AW$82&amp;"P"&amp;$A98))</f>
        <v>0.7</v>
      </c>
      <c r="CK98" s="3">
        <f t="shared" si="508"/>
        <v>-2754.0000000000005</v>
      </c>
      <c r="CL98" s="3"/>
      <c r="CM98" s="3">
        <f t="shared" si="509"/>
        <v>-13482.999999999998</v>
      </c>
      <c r="CN98" s="3"/>
      <c r="CO98" s="3">
        <f t="shared" si="510"/>
        <v>-2109</v>
      </c>
      <c r="CP98" s="3">
        <f t="shared" si="458"/>
        <v>-18346</v>
      </c>
      <c r="CQ98" s="3">
        <f t="shared" si="459"/>
        <v>0</v>
      </c>
      <c r="CR98" s="3"/>
      <c r="CS98" s="3">
        <f t="shared" si="460"/>
        <v>19667</v>
      </c>
      <c r="CT98" s="3"/>
      <c r="CU98" s="3">
        <f t="shared" si="461"/>
        <v>139</v>
      </c>
      <c r="CV98" s="3"/>
      <c r="CW98" s="3" t="e">
        <f t="shared" ca="1" si="496"/>
        <v>#NUM!</v>
      </c>
      <c r="CY98" s="3" t="e">
        <f t="shared" ca="1" si="463"/>
        <v>#NUM!</v>
      </c>
      <c r="CZ98" s="70" t="e">
        <f t="shared" ca="1" si="505"/>
        <v>#NUM!</v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90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92.2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86.5</v>
      </c>
      <c r="DG98" s="86">
        <f t="shared" si="497"/>
        <v>80</v>
      </c>
      <c r="DH98" s="3">
        <f t="shared" si="464"/>
        <v>-4831.8</v>
      </c>
      <c r="DI98" s="3">
        <f t="shared" si="465"/>
        <v>275.08771929824547</v>
      </c>
      <c r="DJ98" s="3">
        <f t="shared" si="466"/>
        <v>-8053</v>
      </c>
      <c r="DK98" s="3">
        <f t="shared" si="467"/>
        <v>448</v>
      </c>
      <c r="DL98" s="3">
        <f t="shared" si="468"/>
        <v>-4556.7122807017549</v>
      </c>
      <c r="DM98" s="3">
        <f t="shared" si="469"/>
        <v>-7605</v>
      </c>
      <c r="DN98" s="64" t="str">
        <f t="shared" si="470"/>
        <v>UNKNOWN</v>
      </c>
      <c r="DO98" s="64" t="str">
        <f t="shared" si="471"/>
        <v>UNKNOWN</v>
      </c>
      <c r="DP98" s="3">
        <f t="shared" si="472"/>
        <v>24612.940736842091</v>
      </c>
      <c r="DQ98" s="3">
        <f t="shared" si="473"/>
        <v>40078.410000000003</v>
      </c>
      <c r="DR98" s="3" t="e">
        <f t="shared" ca="1" si="474"/>
        <v>#NUM!</v>
      </c>
      <c r="DS98" s="3">
        <f t="shared" si="475"/>
        <v>362.88</v>
      </c>
      <c r="DT98" s="3">
        <f t="shared" si="498"/>
        <v>-8053</v>
      </c>
      <c r="DU98" s="3">
        <f t="shared" si="499"/>
        <v>448</v>
      </c>
      <c r="DV98" s="3">
        <f>AM98+IF(DN98="BUY",DT98,IF(DN98="SELL",-DT98,0))</f>
        <v>-1827</v>
      </c>
      <c r="DW98" s="3">
        <f t="shared" si="501"/>
        <v>-111</v>
      </c>
      <c r="DX98" s="3" t="e">
        <f t="shared" ca="1" si="506"/>
        <v>#NUM!</v>
      </c>
      <c r="DY98" s="3" t="e">
        <f t="shared" ca="1" si="476"/>
        <v>#NUM!</v>
      </c>
      <c r="DZ98" s="3" t="e">
        <f t="shared" ca="1" si="477"/>
        <v>#NUM!</v>
      </c>
      <c r="EA98" s="3" t="e">
        <f t="shared" ca="1" si="478"/>
        <v>#NUM!</v>
      </c>
      <c r="EB98" s="3" t="e">
        <f t="shared" ca="1" si="479"/>
        <v>#NUM!</v>
      </c>
      <c r="EC98" s="3" t="e">
        <f t="shared" ca="1" si="480"/>
        <v>#NUM!</v>
      </c>
      <c r="EE98" s="59">
        <f t="shared" si="481"/>
        <v>0.6744</v>
      </c>
      <c r="EF98" s="59">
        <f t="shared" si="482"/>
        <v>2.0962999999999998</v>
      </c>
      <c r="EG98" s="59">
        <f t="shared" si="483"/>
        <v>0.6744</v>
      </c>
      <c r="EH98" s="59">
        <f t="shared" si="484"/>
        <v>1.0152000000000001</v>
      </c>
      <c r="EI98" s="59">
        <f t="shared" si="485"/>
        <v>0.22969999999999999</v>
      </c>
      <c r="EJ98" s="59">
        <f t="shared" si="486"/>
        <v>0.21790000000000001</v>
      </c>
      <c r="EL98" s="3" t="str">
        <f>RTD("tos.rtd",,EL$83,"."&amp;$B$82&amp;$AS$82&amp;"C"&amp;$A98)</f>
        <v>67.44%</v>
      </c>
      <c r="EM98" s="3" t="str">
        <f>RTD("tos.rtd",,EM$83,"."&amp;$B$82&amp;$AS$82&amp;"P"&amp;$A98)</f>
        <v>209.63%</v>
      </c>
      <c r="EN98" s="3" t="str">
        <f>RTD("tos.rtd",,EN$83,"."&amp;$C$82&amp;$AU$82&amp;"C"&amp;$A98)</f>
        <v>67.44%</v>
      </c>
      <c r="EO98" s="3" t="str">
        <f>RTD("tos.rtd",,EO$83,"."&amp;$C$82&amp;$AU$82&amp;"P"&amp;$A98)</f>
        <v>101.52%</v>
      </c>
      <c r="EP98" s="3" t="str">
        <f>RTD("tos.rtd",,EP$83,"."&amp;$D$82&amp;$AW$82&amp;"C"&amp;$A98)</f>
        <v>22.97%</v>
      </c>
      <c r="EQ98" s="3" t="str">
        <f>RTD("tos.rtd",,EQ$83,"."&amp;$D$82&amp;$AW$82&amp;"P"&amp;$A98)</f>
        <v>21.79%</v>
      </c>
      <c r="ES98" s="63" t="str">
        <f t="shared" si="487"/>
        <v>5740,-1938.00</v>
      </c>
      <c r="ET98" s="64" t="str">
        <f t="shared" ca="1" si="488"/>
        <v>5740,00.00</v>
      </c>
      <c r="EU98" s="67">
        <v>562.94000000000005</v>
      </c>
      <c r="EV98" s="67" t="s">
        <v>803</v>
      </c>
      <c r="EW98" s="67">
        <v>485.5</v>
      </c>
      <c r="EX98" s="67" t="s">
        <v>804</v>
      </c>
      <c r="EY98" s="67">
        <v>5643.25</v>
      </c>
      <c r="EZ98" s="67" t="s">
        <v>805</v>
      </c>
      <c r="FA98" s="67">
        <v>19944.5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502"/>
        <v>5730</v>
      </c>
      <c r="B99" s="3">
        <f t="shared" si="447"/>
        <v>1061</v>
      </c>
      <c r="C99" s="3">
        <f t="shared" si="448"/>
        <v>1319</v>
      </c>
      <c r="D99" s="3">
        <f t="shared" si="449"/>
        <v>460</v>
      </c>
      <c r="E99" s="3">
        <f t="shared" ref="E99:E129" si="513">SUM(B99:D99)</f>
        <v>2840</v>
      </c>
      <c r="F99" s="4">
        <f>+$F$84/$A$84*A99</f>
        <v>5754.2968197879854</v>
      </c>
      <c r="G99" s="4">
        <f t="shared" ref="G99:G130" si="514">+$G$84/$A$84*A99</f>
        <v>571.78515901060064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834</v>
      </c>
      <c r="AN99" s="20">
        <v>-154</v>
      </c>
      <c r="AO99" s="20">
        <v>5730</v>
      </c>
      <c r="AP99" s="20">
        <v>9124</v>
      </c>
      <c r="AQ99" s="20">
        <v>-679</v>
      </c>
      <c r="AR99" s="20"/>
      <c r="AS99" s="54">
        <f>IF(RTD("tos.rtd",,AS$83,"."&amp;$B$82&amp;$AS$82&amp;"C"&amp;$A99)="N/A",0,RTD("tos.rtd",,AS$83,"."&amp;$B$82&amp;$AS$82&amp;"C"&amp;$A99))</f>
        <v>1013</v>
      </c>
      <c r="AT99" s="3">
        <f>-IF(RTD("tos.rtd",,AT$83,"."&amp;$B$82&amp;$AS$82&amp;"P"&amp;$A99)="N/A",0,RTD("tos.rtd",,AT$83,"."&amp;$B$82&amp;$AS$82&amp;"P"&amp;$A99))</f>
        <v>-48</v>
      </c>
      <c r="AU99" s="54">
        <f>IF(RTD("tos.rtd",,AU$83,"."&amp;$C$82&amp;$AU$82&amp;"C"&amp;$A99)="N/A",0,RTD("tos.rtd",,AU$83,"."&amp;$C$82&amp;$AU$82&amp;"C"&amp;$A99))</f>
        <v>1117</v>
      </c>
      <c r="AV99" s="3">
        <f>-IF(RTD("tos.rtd",,AV$83,"."&amp;$C$82&amp;$AU$82&amp;"P"&amp;$A99)="N/A",0,RTD("tos.rtd",,AV$83,"."&amp;$C$82&amp;$AU$82&amp;"P"&amp;$A99))</f>
        <v>-202</v>
      </c>
      <c r="AW99" s="54">
        <f>IF(RTD("tos.rtd",,AW$83,"."&amp;$D$82&amp;$AW$82&amp;"C"&amp;$A99)="N/A",0,RTD("tos.rtd",,AW$83,"."&amp;$D$82&amp;$AW$82&amp;"C"&amp;$A99))</f>
        <v>354</v>
      </c>
      <c r="AX99" s="3">
        <f>-IF(RTD("tos.rtd",,AX$83,"."&amp;$D$82&amp;$AW$82&amp;"P"&amp;$A99)="N/A",0,RTD("tos.rtd",,AX$83,"."&amp;$D$82&amp;$AW$82&amp;"P"&amp;$A99))</f>
        <v>-106</v>
      </c>
      <c r="AY99" s="79">
        <f t="shared" ref="AY99:AY130" si="515">SUM(AS99:AX99)</f>
        <v>2128</v>
      </c>
      <c r="AZ99" s="8">
        <f t="shared" si="451"/>
        <v>5730</v>
      </c>
      <c r="BA99" s="54">
        <f>IF(RTD("tos.rtd",,BA$83,"."&amp;$B$82&amp;$AS$82&amp;"C"&amp;$A99)="N/A",0,RTD("tos.rtd",,BA$83,"."&amp;$B$82&amp;$AS$82&amp;"C"&amp;$A99))</f>
        <v>0</v>
      </c>
      <c r="BB99" s="3">
        <f>-IF(RTD("tos.rtd",,BB$83,"."&amp;$B$82&amp;$AS$82&amp;"P"&amp;$A99)="N/A",0,RTD("tos.rtd",,BB$83,"."&amp;$B$82&amp;$AS$82&amp;"P"&amp;$A99))</f>
        <v>0</v>
      </c>
      <c r="BC99" s="54">
        <f>IF(RTD("tos.rtd",,BC$83,"."&amp;$C$82&amp;$AU$82&amp;"C"&amp;$A99)="N/A",0,RTD("tos.rtd",,BC$83,"."&amp;$C$82&amp;$AU$82&amp;"C"&amp;$A99))</f>
        <v>25877</v>
      </c>
      <c r="BD99" s="3">
        <f>-IF(RTD("tos.rtd",,BD$83,"."&amp;$C$82&amp;$AU$82&amp;"P"&amp;$A99)="N/A",0,RTD("tos.rtd",,BD$83,"."&amp;$C$82&amp;$AU$82&amp;"P"&amp;$A99))</f>
        <v>-790</v>
      </c>
      <c r="BE99" s="54">
        <f>IF(RTD("tos.rtd",,BE$83,"."&amp;$D$82&amp;$AW$82&amp;"C"&amp;$A99)="N/A",0,RTD("tos.rtd",,BE$83,"."&amp;$D$82&amp;$AW$82&amp;"C"&amp;$A99))</f>
        <v>206</v>
      </c>
      <c r="BF99" s="3">
        <f>-IF(RTD("tos.rtd",,BF$83,"."&amp;$D$82&amp;$AW$82&amp;"P"&amp;$A99)="N/A",0,RTD("tos.rtd",,BF$83,"."&amp;$D$82&amp;$AW$82&amp;"P"&amp;$A99))</f>
        <v>-26</v>
      </c>
      <c r="BG99" s="3">
        <f ca="1">+Hoja2!Y100</f>
        <v>-6</v>
      </c>
      <c r="BH99" s="55">
        <f t="shared" ca="1" si="491"/>
        <v>25261</v>
      </c>
      <c r="BI99" s="32" t="str">
        <f t="shared" ca="1" si="507"/>
        <v/>
      </c>
      <c r="BJ99" s="3" t="e">
        <f ca="1">IF($BP$1=1,DX99,IF(RTD("tos.rtd",,BJ$83,"."&amp;$B$82&amp;$AS$82&amp;"C"&amp;$A99)="N/A",0,RTD("tos.rtd",,BJ$83,"."&amp;$B$82&amp;$AS$82&amp;"C"&amp;$A99)))</f>
        <v>#NUM!</v>
      </c>
      <c r="BK99" s="3" t="e">
        <f ca="1">IF($BP$1=1,DY99,-IF(RTD("tos.rtd",,BK$83,"."&amp;$B$82&amp;$AS$82&amp;"P"&amp;$A99)="N/A",0,RTD("tos.rtd",,BK$83,"."&amp;$B$82&amp;$AS$82&amp;"P"&amp;$A99)))</f>
        <v>#NUM!</v>
      </c>
      <c r="BL99" s="3" t="e">
        <f ca="1">IF($BP$1=1,DZ99,IF(RTD("tos.rtd",,BL$83,"."&amp;$C$82&amp;$AU$82&amp;"C"&amp;$A99)="N/A",0,RTD("tos.rtd",,BL$83,"."&amp;$C$82&amp;$AU$82&amp;"C"&amp;$A99)))</f>
        <v>#NUM!</v>
      </c>
      <c r="BM99" s="3" t="e">
        <f ca="1">IF($BP$1=1,EA99,-IF(RTD("tos.rtd",,BM$83,"."&amp;$C$82&amp;$AU$82&amp;"P"&amp;$A99)="N/A",0,RTD("tos.rtd",,BM$83,"."&amp;$C$82&amp;$AU$82&amp;"P"&amp;$A99)))</f>
        <v>#NUM!</v>
      </c>
      <c r="BN99" s="3" t="e">
        <f ca="1">IF($BP$1=1,EB99,IF(RTD("tos.rtd",,BN$83,"."&amp;$D$82&amp;$AW$82&amp;"C"&amp;$A99)="N/A",0,RTD("tos.rtd",,BN$83,"."&amp;$D$82&amp;$AW$82&amp;"C"&amp;$A99)))</f>
        <v>#NUM!</v>
      </c>
      <c r="BO99" s="3" t="e">
        <f ca="1">IF($BP$1=1,EC99,-IF(RTD("tos.rtd",,BO$83,"."&amp;$D$82&amp;$AW$82&amp;"P"&amp;$A99)="N/A",0,RTD("tos.rtd",,BO$83,"."&amp;$D$82&amp;$AW$82&amp;"P"&amp;$A99)))</f>
        <v>#NUM!</v>
      </c>
      <c r="BQ99" s="3" t="e">
        <f t="shared" ca="1" si="452"/>
        <v>#NUM!</v>
      </c>
      <c r="BR99" s="3" t="e">
        <f t="shared" ca="1" si="492"/>
        <v>#NUM!</v>
      </c>
      <c r="BS99" s="3" t="e">
        <f t="shared" ca="1" si="453"/>
        <v>#NUM!</v>
      </c>
      <c r="BT99" s="3" t="e">
        <f t="shared" ca="1" si="492"/>
        <v>#NUM!</v>
      </c>
      <c r="BU99" s="3" t="e">
        <f t="shared" ca="1" si="454"/>
        <v>#NUM!</v>
      </c>
      <c r="BV99" s="3" t="e">
        <f t="shared" ca="1" si="492"/>
        <v>#NUM!</v>
      </c>
      <c r="BX99" s="3" t="e">
        <f t="shared" ca="1" si="455"/>
        <v>#NUM!</v>
      </c>
      <c r="BY99" s="3" t="e">
        <f t="shared" ca="1" si="504"/>
        <v>#NUM!</v>
      </c>
      <c r="BZ99" s="3" t="e">
        <f t="shared" ca="1" si="456"/>
        <v>#NUM!</v>
      </c>
      <c r="CA99" s="3" t="e">
        <f t="shared" ca="1" si="504"/>
        <v>#NUM!</v>
      </c>
      <c r="CB99" s="3" t="e">
        <f t="shared" ca="1" si="457"/>
        <v>#NUM!</v>
      </c>
      <c r="CC99" s="3" t="e">
        <f t="shared" ca="1" si="504"/>
        <v>#NUM!</v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0.8</v>
      </c>
      <c r="CF99" s="3">
        <f>IF(RTD("tos.rtd",,CF$83,"."&amp;$C$82&amp;$AU$82&amp;"C"&amp;$A99)="N/A",0,RTD("tos.rtd",,CF$83,"."&amp;$C$82&amp;$AU$82&amp;"C"&amp;$A99))</f>
        <v>0</v>
      </c>
      <c r="CG99" s="3">
        <f>-IF(RTD("tos.rtd",,CG$83,"."&amp;$C$82&amp;$AU$82&amp;"P"&amp;$A99)="N/A",0,RTD("tos.rtd",,CG$83,"."&amp;$C$82&amp;$AU$82&amp;"P"&amp;$A99))</f>
        <v>0.96</v>
      </c>
      <c r="CH99" s="3">
        <f>IF(RTD("tos.rtd",,CH$83,"."&amp;$D$82&amp;$AW$82&amp;"C"&amp;$A99)="N/A",0,RTD("tos.rtd",,CH$83,"."&amp;$D$82&amp;$AW$82&amp;"C"&amp;$A99))</f>
        <v>0.34</v>
      </c>
      <c r="CI99" s="3">
        <f>-IF(RTD("tos.rtd",,CI$83,"."&amp;$D$82&amp;$AW$82&amp;"P"&amp;$A99)="N/A",0,RTD("tos.rtd",,CI$83,"."&amp;$D$82&amp;$AW$82&amp;"P"&amp;$A99))</f>
        <v>0.67</v>
      </c>
      <c r="CK99" s="3">
        <f t="shared" si="493"/>
        <v>-3840.0000000000005</v>
      </c>
      <c r="CL99" s="3"/>
      <c r="CM99" s="3">
        <f t="shared" si="494"/>
        <v>-19392</v>
      </c>
      <c r="CN99" s="3"/>
      <c r="CO99" s="3">
        <f t="shared" si="495"/>
        <v>4934.0000000000009</v>
      </c>
      <c r="CP99" s="3">
        <f t="shared" si="458"/>
        <v>-18298</v>
      </c>
      <c r="CQ99" s="3">
        <f t="shared" si="459"/>
        <v>0</v>
      </c>
      <c r="CR99" s="3"/>
      <c r="CS99" s="3">
        <f t="shared" si="460"/>
        <v>25087</v>
      </c>
      <c r="CT99" s="3"/>
      <c r="CU99" s="3">
        <f t="shared" si="461"/>
        <v>180</v>
      </c>
      <c r="CV99" s="3"/>
      <c r="CW99" s="3" t="e">
        <f t="shared" ca="1" si="462"/>
        <v>#NUM!</v>
      </c>
      <c r="CY99" s="3" t="e">
        <f t="shared" ca="1" si="463"/>
        <v>#NUM!</v>
      </c>
      <c r="CZ99" s="70" t="e">
        <f t="shared" ca="1" si="505"/>
        <v>#NUM!</v>
      </c>
      <c r="DA99" s="3">
        <f>IF(RTD("tos.rtd",,DA$83,"."&amp;$B$82&amp;$AS$82&amp;"C"&amp;$A99)="N/A",0,RTD("tos.rtd",,DA$83,"."&amp;$B$82&amp;$AS$82&amp;"C"&amp;$A99))</f>
        <v>0.03</v>
      </c>
      <c r="DB99" s="3">
        <f>IF(RTD("tos.rtd",,DB$83,"."&amp;$B$82&amp;$AS$82&amp;"P"&amp;$A99)="N/A",0,RTD("tos.rtd",,DB$83,"."&amp;$B$82&amp;$AS$82&amp;"P"&amp;$A99))</f>
        <v>61.87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82.2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76.5</v>
      </c>
      <c r="DG99" s="86">
        <f t="shared" si="497"/>
        <v>70</v>
      </c>
      <c r="DH99" s="3">
        <f t="shared" si="464"/>
        <v>-5474.4</v>
      </c>
      <c r="DI99" s="3">
        <f t="shared" si="465"/>
        <v>-1742.7666666666662</v>
      </c>
      <c r="DJ99" s="3">
        <f t="shared" si="466"/>
        <v>-9124</v>
      </c>
      <c r="DK99" s="3">
        <f t="shared" si="467"/>
        <v>-679</v>
      </c>
      <c r="DL99" s="3">
        <f t="shared" si="468"/>
        <v>-7217.1666666666661</v>
      </c>
      <c r="DM99" s="3">
        <f t="shared" si="469"/>
        <v>-9803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1"/>
        <v>UNKNOWN</v>
      </c>
      <c r="DP99" s="3">
        <f t="shared" si="472"/>
        <v>-107989.20566666663</v>
      </c>
      <c r="DQ99" s="3">
        <f t="shared" si="473"/>
        <v>-42283.45</v>
      </c>
      <c r="DR99" s="3" t="e">
        <f t="shared" ca="1" si="474"/>
        <v>#NUM!</v>
      </c>
      <c r="DS99" s="3">
        <f t="shared" si="475"/>
        <v>-543.20000000000005</v>
      </c>
      <c r="DT99" s="3">
        <f t="shared" si="498"/>
        <v>-9124</v>
      </c>
      <c r="DU99" s="3">
        <f t="shared" si="499"/>
        <v>679</v>
      </c>
      <c r="DV99" s="3">
        <f t="shared" si="500"/>
        <v>834</v>
      </c>
      <c r="DW99" s="3">
        <f t="shared" si="501"/>
        <v>-154</v>
      </c>
      <c r="DX99" s="3" t="e">
        <f t="shared" ca="1" si="506"/>
        <v>#NUM!</v>
      </c>
      <c r="DY99" s="3" t="e">
        <f t="shared" ca="1" si="476"/>
        <v>#NUM!</v>
      </c>
      <c r="DZ99" s="3" t="e">
        <f t="shared" ca="1" si="477"/>
        <v>#NUM!</v>
      </c>
      <c r="EA99" s="3" t="e">
        <f t="shared" ca="1" si="478"/>
        <v>#NUM!</v>
      </c>
      <c r="EB99" s="3" t="e">
        <f t="shared" ca="1" si="479"/>
        <v>#NUM!</v>
      </c>
      <c r="EC99" s="3" t="e">
        <f t="shared" ca="1" si="480"/>
        <v>#NUM!</v>
      </c>
      <c r="EE99" s="59">
        <f t="shared" si="481"/>
        <v>0.59809999999999997</v>
      </c>
      <c r="EF99" s="59">
        <f t="shared" si="482"/>
        <v>1.9341999999999999</v>
      </c>
      <c r="EG99" s="59">
        <f t="shared" si="483"/>
        <v>0.59809999999999997</v>
      </c>
      <c r="EH99" s="59">
        <f t="shared" si="484"/>
        <v>0.91069999999999995</v>
      </c>
      <c r="EI99" s="59">
        <f t="shared" si="485"/>
        <v>0.23169999999999999</v>
      </c>
      <c r="EJ99" s="59">
        <f t="shared" si="486"/>
        <v>0.218</v>
      </c>
      <c r="EL99" s="3" t="str">
        <f>RTD("tos.rtd",,EL$83,"."&amp;$B$82&amp;$AS$82&amp;"C"&amp;$A99)</f>
        <v>59.81%</v>
      </c>
      <c r="EM99" s="3" t="str">
        <f>RTD("tos.rtd",,EM$83,"."&amp;$B$82&amp;$AS$82&amp;"P"&amp;$A99)</f>
        <v>193.42%</v>
      </c>
      <c r="EN99" s="3" t="str">
        <f>RTD("tos.rtd",,EN$83,"."&amp;$C$82&amp;$AU$82&amp;"C"&amp;$A99)</f>
        <v>59.81%</v>
      </c>
      <c r="EO99" s="3" t="str">
        <f>RTD("tos.rtd",,EO$83,"."&amp;$C$82&amp;$AU$82&amp;"P"&amp;$A99)</f>
        <v>91.07%</v>
      </c>
      <c r="EP99" s="3" t="str">
        <f>RTD("tos.rtd",,EP$83,"."&amp;$D$82&amp;$AW$82&amp;"C"&amp;$A99)</f>
        <v>23.17%</v>
      </c>
      <c r="EQ99" s="3" t="str">
        <f>RTD("tos.rtd",,EQ$83,"."&amp;$D$82&amp;$AW$82&amp;"P"&amp;$A99)</f>
        <v>21.80%</v>
      </c>
      <c r="ES99" s="63" t="str">
        <f t="shared" si="487"/>
        <v>5730,680.00</v>
      </c>
      <c r="ET99" s="64" t="str">
        <f t="shared" ca="1" si="488"/>
        <v>5730,00.00</v>
      </c>
      <c r="EU99" s="67">
        <v>563.17999999999995</v>
      </c>
      <c r="EV99" s="67" t="s">
        <v>811</v>
      </c>
      <c r="EW99" s="67">
        <v>485.84</v>
      </c>
      <c r="EX99" s="67" t="s">
        <v>812</v>
      </c>
      <c r="EY99" s="67">
        <v>5646</v>
      </c>
      <c r="EZ99" s="67" t="s">
        <v>813</v>
      </c>
      <c r="FA99" s="67">
        <v>19959.75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502"/>
        <v>5720</v>
      </c>
      <c r="B100" s="3">
        <f t="shared" si="447"/>
        <v>944</v>
      </c>
      <c r="C100" s="3">
        <f t="shared" si="448"/>
        <v>0</v>
      </c>
      <c r="D100" s="3">
        <f t="shared" si="449"/>
        <v>673</v>
      </c>
      <c r="E100" s="3">
        <f t="shared" si="513"/>
        <v>1617</v>
      </c>
      <c r="F100" s="4">
        <f t="shared" ref="F100:F129" si="516">+$F$84/$A$84*A100</f>
        <v>5744.254416961131</v>
      </c>
      <c r="G100" s="4">
        <f t="shared" si="514"/>
        <v>570.78727915194338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-7343</v>
      </c>
      <c r="AN100" s="20">
        <v>-136</v>
      </c>
      <c r="AO100" s="20">
        <v>5720</v>
      </c>
      <c r="AP100" s="20">
        <v>21548</v>
      </c>
      <c r="AQ100" s="20">
        <v>-571</v>
      </c>
      <c r="AR100" s="20"/>
      <c r="AS100" s="54">
        <f>IF(RTD("tos.rtd",,AS$83,"."&amp;$B$82&amp;$AS$82&amp;"C"&amp;$A100)="N/A",0,RTD("tos.rtd",,AS$83,"."&amp;$B$82&amp;$AS$82&amp;"C"&amp;$A100))</f>
        <v>804</v>
      </c>
      <c r="AT100" s="3">
        <f>-IF(RTD("tos.rtd",,AT$83,"."&amp;$B$82&amp;$AS$82&amp;"P"&amp;$A100)="N/A",0,RTD("tos.rtd",,AT$83,"."&amp;$B$82&amp;$AS$82&amp;"P"&amp;$A100))</f>
        <v>-140</v>
      </c>
      <c r="AU100" s="54">
        <f>IF(RTD("tos.rtd",,AU$83,"."&amp;$C$82&amp;$AU$82&amp;"C"&amp;$A100)="N/A",0,RTD("tos.rtd",,AU$83,"."&amp;$C$82&amp;$AU$82&amp;"C"&amp;$A100))</f>
        <v>0</v>
      </c>
      <c r="AV100" s="3">
        <f>-IF(RTD("tos.rtd",,AV$83,"."&amp;$C$82&amp;$AU$82&amp;"P"&amp;$A100)="N/A",0,RTD("tos.rtd",,AV$83,"."&amp;$C$82&amp;$AU$82&amp;"P"&amp;$A100))</f>
        <v>0</v>
      </c>
      <c r="AW100" s="54">
        <f>IF(RTD("tos.rtd",,AW$83,"."&amp;$D$82&amp;$AW$82&amp;"C"&amp;$A100)="N/A",0,RTD("tos.rtd",,AW$83,"."&amp;$D$82&amp;$AW$82&amp;"C"&amp;$A100))</f>
        <v>475</v>
      </c>
      <c r="AX100" s="3">
        <f>-IF(RTD("tos.rtd",,AX$83,"."&amp;$D$82&amp;$AW$82&amp;"P"&amp;$A100)="N/A",0,RTD("tos.rtd",,AX$83,"."&amp;$D$82&amp;$AW$82&amp;"P"&amp;$A100))</f>
        <v>-198</v>
      </c>
      <c r="AY100" s="79">
        <f t="shared" si="515"/>
        <v>941</v>
      </c>
      <c r="AZ100" s="8">
        <f t="shared" si="451"/>
        <v>5720</v>
      </c>
      <c r="BA100" s="54">
        <f>IF(RTD("tos.rtd",,BA$83,"."&amp;$B$82&amp;$AS$82&amp;"C"&amp;$A100)="N/A",0,RTD("tos.rtd",,BA$83,"."&amp;$B$82&amp;$AS$82&amp;"C"&amp;$A100))</f>
        <v>0</v>
      </c>
      <c r="BB100" s="3">
        <f>-IF(RTD("tos.rtd",,BB$83,"."&amp;$B$82&amp;$AS$82&amp;"P"&amp;$A100)="N/A",0,RTD("tos.rtd",,BB$83,"."&amp;$B$82&amp;$AS$82&amp;"P"&amp;$A100))</f>
        <v>0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236</v>
      </c>
      <c r="BF100" s="3">
        <f>-IF(RTD("tos.rtd",,BF$83,"."&amp;$D$82&amp;$AW$82&amp;"P"&amp;$A100)="N/A",0,RTD("tos.rtd",,BF$83,"."&amp;$D$82&amp;$AW$82&amp;"P"&amp;$A100))</f>
        <v>-32</v>
      </c>
      <c r="BG100" s="3">
        <f ca="1">+Hoja2!Y101</f>
        <v>156</v>
      </c>
      <c r="BH100" s="55">
        <f t="shared" ca="1" si="491"/>
        <v>360</v>
      </c>
      <c r="BI100" s="32" t="str">
        <f t="shared" ca="1" si="507"/>
        <v/>
      </c>
      <c r="BJ100" s="3" t="e">
        <f ca="1">IF($BP$1=1,DX100,IF(RTD("tos.rtd",,BJ$83,"."&amp;$B$82&amp;$AS$82&amp;"C"&amp;$A100)="N/A",0,RTD("tos.rtd",,BJ$83,"."&amp;$B$82&amp;$AS$82&amp;"C"&amp;$A100)))</f>
        <v>#NUM!</v>
      </c>
      <c r="BK100" s="3" t="e">
        <f ca="1">IF($BP$1=1,DY100,-IF(RTD("tos.rtd",,BK$83,"."&amp;$B$82&amp;$AS$82&amp;"P"&amp;$A100)="N/A",0,RTD("tos.rtd",,BK$83,"."&amp;$B$82&amp;$AS$82&amp;"P"&amp;$A100)))</f>
        <v>#NUM!</v>
      </c>
      <c r="BL100" s="3" t="e">
        <f ca="1">IF($BP$1=1,DZ100,IF(RTD("tos.rtd",,BL$83,"."&amp;$C$82&amp;$AU$82&amp;"C"&amp;$A100)="N/A",0,RTD("tos.rtd",,BL$83,"."&amp;$C$82&amp;$AU$82&amp;"C"&amp;$A100)))</f>
        <v>#NUM!</v>
      </c>
      <c r="BM100" s="3" t="e">
        <f ca="1">IF($BP$1=1,EA100,-IF(RTD("tos.rtd",,BM$83,"."&amp;$C$82&amp;$AU$82&amp;"P"&amp;$A100)="N/A",0,RTD("tos.rtd",,BM$83,"."&amp;$C$82&amp;$AU$82&amp;"P"&amp;$A100)))</f>
        <v>#NUM!</v>
      </c>
      <c r="BN100" s="3" t="e">
        <f ca="1">IF($BP$1=1,EB100,IF(RTD("tos.rtd",,BN$83,"."&amp;$D$82&amp;$AW$82&amp;"C"&amp;$A100)="N/A",0,RTD("tos.rtd",,BN$83,"."&amp;$D$82&amp;$AW$82&amp;"C"&amp;$A100)))</f>
        <v>#NUM!</v>
      </c>
      <c r="BO100" s="3" t="e">
        <f ca="1">IF($BP$1=1,EC100,-IF(RTD("tos.rtd",,BO$83,"."&amp;$D$82&amp;$AW$82&amp;"P"&amp;$A100)="N/A",0,RTD("tos.rtd",,BO$83,"."&amp;$D$82&amp;$AW$82&amp;"P"&amp;$A100)))</f>
        <v>#NUM!</v>
      </c>
      <c r="BQ100" s="3" t="e">
        <f t="shared" ca="1" si="452"/>
        <v>#NUM!</v>
      </c>
      <c r="BR100" s="3" t="e">
        <f t="shared" ca="1" si="492"/>
        <v>#NUM!</v>
      </c>
      <c r="BS100" s="3" t="e">
        <f t="shared" ca="1" si="453"/>
        <v>#NUM!</v>
      </c>
      <c r="BT100" s="3" t="e">
        <f t="shared" ca="1" si="492"/>
        <v>#NUM!</v>
      </c>
      <c r="BU100" s="3" t="e">
        <f t="shared" ca="1" si="454"/>
        <v>#NUM!</v>
      </c>
      <c r="BV100" s="3" t="e">
        <f t="shared" ca="1" si="492"/>
        <v>#NUM!</v>
      </c>
      <c r="BX100" s="3" t="e">
        <f t="shared" ca="1" si="455"/>
        <v>#NUM!</v>
      </c>
      <c r="BY100" s="3" t="e">
        <f t="shared" ca="1" si="504"/>
        <v>#NUM!</v>
      </c>
      <c r="BZ100" s="3" t="e">
        <f t="shared" ca="1" si="456"/>
        <v>#NUM!</v>
      </c>
      <c r="CA100" s="3" t="e">
        <f t="shared" ca="1" si="504"/>
        <v>#NUM!</v>
      </c>
      <c r="CB100" s="3" t="e">
        <f t="shared" ca="1" si="457"/>
        <v>#NUM!</v>
      </c>
      <c r="CC100" s="3" t="e">
        <f t="shared" ca="1" si="504"/>
        <v>#NUM!</v>
      </c>
      <c r="CD100" s="3">
        <f>IF(RTD("tos.rtd",,CD$83,"."&amp;$B$82&amp;$AS$82&amp;"C"&amp;$A100)="N/A",0,RTD("tos.rtd",,CD$83,"."&amp;$B$82&amp;$AS$82&amp;"C"&amp;$A100))</f>
        <v>0</v>
      </c>
      <c r="CE100" s="3">
        <f>-IF(RTD("tos.rtd",,CE$83,"."&amp;$B$82&amp;$AS$82&amp;"P"&amp;$A100)="N/A",0,RTD("tos.rtd",,CE$83,"."&amp;$B$82&amp;$AS$82&amp;"P"&amp;$A100))</f>
        <v>0.78</v>
      </c>
      <c r="CF100" s="3">
        <f>IF(RTD("tos.rtd",,CF$83,"."&amp;$C$82&amp;$AU$82&amp;"C"&amp;$A100)="N/A",0,RTD("tos.rtd",,CF$83,"."&amp;$C$82&amp;$AU$82&amp;"C"&amp;$A100))</f>
        <v>0</v>
      </c>
      <c r="CG100" s="3">
        <f>-IF(RTD("tos.rtd",,CG$83,"."&amp;$C$82&amp;$AU$82&amp;"P"&amp;$A100)="N/A",0,RTD("tos.rtd",,CG$83,"."&amp;$C$82&amp;$AU$82&amp;"P"&amp;$A100))</f>
        <v>0</v>
      </c>
      <c r="CH100" s="3">
        <f>IF(RTD("tos.rtd",,CH$83,"."&amp;$D$82&amp;$AW$82&amp;"C"&amp;$A100)="N/A",0,RTD("tos.rtd",,CH$83,"."&amp;$D$82&amp;$AW$82&amp;"C"&amp;$A100))</f>
        <v>0.36</v>
      </c>
      <c r="CI100" s="3">
        <f>-IF(RTD("tos.rtd",,CI$83,"."&amp;$D$82&amp;$AW$82&amp;"P"&amp;$A100)="N/A",0,RTD("tos.rtd",,CI$83,"."&amp;$D$82&amp;$AW$82&amp;"P"&amp;$A100))</f>
        <v>0.64</v>
      </c>
      <c r="CK100" s="3">
        <f t="shared" si="493"/>
        <v>-10920</v>
      </c>
      <c r="CL100" s="3"/>
      <c r="CM100" s="3">
        <f t="shared" si="494"/>
        <v>0</v>
      </c>
      <c r="CN100" s="3"/>
      <c r="CO100" s="3">
        <f t="shared" si="495"/>
        <v>4428</v>
      </c>
      <c r="CP100" s="3">
        <f t="shared" si="458"/>
        <v>-6492</v>
      </c>
      <c r="CQ100" s="3">
        <f t="shared" si="459"/>
        <v>0</v>
      </c>
      <c r="CR100" s="3"/>
      <c r="CS100" s="3">
        <f t="shared" si="460"/>
        <v>0</v>
      </c>
      <c r="CT100" s="3"/>
      <c r="CU100" s="3">
        <f t="shared" si="461"/>
        <v>204</v>
      </c>
      <c r="CV100" s="3"/>
      <c r="CW100" s="3" t="e">
        <f t="shared" ca="1" si="462"/>
        <v>#NUM!</v>
      </c>
      <c r="CY100" s="3" t="e">
        <f t="shared" ca="1" si="463"/>
        <v>#NUM!</v>
      </c>
      <c r="CZ100" s="70" t="e">
        <f t="shared" ca="1" si="505"/>
        <v>#NUM!</v>
      </c>
      <c r="DA100" s="3">
        <f>IF(RTD("tos.rtd",,DA$83,"."&amp;$B$82&amp;$AS$82&amp;"C"&amp;$A100)="N/A",0,RTD("tos.rtd",,DA$83,"."&amp;$B$82&amp;$AS$82&amp;"C"&amp;$A100))</f>
        <v>0.03</v>
      </c>
      <c r="DB100" s="3">
        <f>IF(RTD("tos.rtd",,DB$83,"."&amp;$B$82&amp;$AS$82&amp;"P"&amp;$A100)="N/A",0,RTD("tos.rtd",,DB$83,"."&amp;$B$82&amp;$AS$82&amp;"P"&amp;$A100))</f>
        <v>70.14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72.2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66.5</v>
      </c>
      <c r="DG100" s="86">
        <f t="shared" si="497"/>
        <v>60</v>
      </c>
      <c r="DH100" s="3">
        <f t="shared" si="464"/>
        <v>-12928.8</v>
      </c>
      <c r="DI100" s="3">
        <f t="shared" si="465"/>
        <v>364.63859649122793</v>
      </c>
      <c r="DJ100" s="3">
        <f t="shared" si="466"/>
        <v>-21548</v>
      </c>
      <c r="DK100" s="3">
        <f t="shared" si="467"/>
        <v>571</v>
      </c>
      <c r="DL100" s="3">
        <f t="shared" si="468"/>
        <v>-12564.161403508771</v>
      </c>
      <c r="DM100" s="3">
        <f t="shared" si="469"/>
        <v>-20977</v>
      </c>
      <c r="DN100" s="64" t="str">
        <f t="shared" si="470"/>
        <v>UNKNOWN</v>
      </c>
      <c r="DO100" s="64" t="str">
        <f t="shared" si="471"/>
        <v>UNKNOWN</v>
      </c>
      <c r="DP100" s="3">
        <f t="shared" si="472"/>
        <v>25187.887157894726</v>
      </c>
      <c r="DQ100" s="3">
        <f t="shared" si="473"/>
        <v>39403.5</v>
      </c>
      <c r="DR100" s="3" t="e">
        <f t="shared" ca="1" si="474"/>
        <v>#NUM!</v>
      </c>
      <c r="DS100" s="3">
        <f t="shared" si="475"/>
        <v>445.38</v>
      </c>
      <c r="DT100" s="3">
        <f t="shared" si="498"/>
        <v>-21548</v>
      </c>
      <c r="DU100" s="3">
        <f t="shared" si="499"/>
        <v>571</v>
      </c>
      <c r="DV100" s="3">
        <f t="shared" si="500"/>
        <v>-7343</v>
      </c>
      <c r="DW100" s="3">
        <f t="shared" si="501"/>
        <v>-136</v>
      </c>
      <c r="DX100" s="3" t="e">
        <f t="shared" ca="1" si="506"/>
        <v>#NUM!</v>
      </c>
      <c r="DY100" s="3" t="e">
        <f t="shared" ca="1" si="476"/>
        <v>#NUM!</v>
      </c>
      <c r="DZ100" s="3" t="e">
        <f t="shared" ca="1" si="477"/>
        <v>#NUM!</v>
      </c>
      <c r="EA100" s="3" t="e">
        <f t="shared" ca="1" si="478"/>
        <v>#NUM!</v>
      </c>
      <c r="EB100" s="3" t="e">
        <f t="shared" ca="1" si="479"/>
        <v>#NUM!</v>
      </c>
      <c r="EC100" s="3" t="e">
        <f t="shared" ca="1" si="480"/>
        <v>#NUM!</v>
      </c>
      <c r="EE100" s="59">
        <f t="shared" si="481"/>
        <v>0.52100000000000002</v>
      </c>
      <c r="EF100" s="59">
        <f t="shared" si="482"/>
        <v>1.7673000000000001</v>
      </c>
      <c r="EG100" s="59">
        <f t="shared" si="483"/>
        <v>0.25</v>
      </c>
      <c r="EH100" s="59">
        <f t="shared" si="484"/>
        <v>0.25</v>
      </c>
      <c r="EI100" s="59">
        <f t="shared" si="485"/>
        <v>0.23350000000000001</v>
      </c>
      <c r="EJ100" s="59">
        <f t="shared" si="486"/>
        <v>0.2203</v>
      </c>
      <c r="EL100" s="3" t="str">
        <f>RTD("tos.rtd",,EL$83,"."&amp;$B$82&amp;$AS$82&amp;"C"&amp;$A100)</f>
        <v>52.10%</v>
      </c>
      <c r="EM100" s="3" t="str">
        <f>RTD("tos.rtd",,EM$83,"."&amp;$B$82&amp;$AS$82&amp;"P"&amp;$A100)</f>
        <v>176.73%</v>
      </c>
      <c r="EN100" s="3" t="str">
        <f>RTD("tos.rtd",,EN$83,"."&amp;$C$82&amp;$AU$82&amp;"C"&amp;$A100)</f>
        <v>N/A</v>
      </c>
      <c r="EO100" s="3" t="str">
        <f>RTD("tos.rtd",,EO$83,"."&amp;$C$82&amp;$AU$82&amp;"P"&amp;$A100)</f>
        <v>N/A</v>
      </c>
      <c r="EP100" s="3" t="str">
        <f>RTD("tos.rtd",,EP$83,"."&amp;$D$82&amp;$AW$82&amp;"C"&amp;$A100)</f>
        <v>23.35%</v>
      </c>
      <c r="EQ100" s="3" t="str">
        <f>RTD("tos.rtd",,EQ$83,"."&amp;$D$82&amp;$AW$82&amp;"P"&amp;$A100)</f>
        <v>22.03%</v>
      </c>
      <c r="ES100" s="63" t="str">
        <f t="shared" si="487"/>
        <v>5720,-7479.00</v>
      </c>
      <c r="ET100" s="64" t="str">
        <f t="shared" ca="1" si="488"/>
        <v>5720,00.00</v>
      </c>
      <c r="EU100" s="67">
        <v>563.19000000000005</v>
      </c>
      <c r="EV100" s="67" t="s">
        <v>819</v>
      </c>
      <c r="EW100" s="67">
        <v>485.84</v>
      </c>
      <c r="EX100" s="67" t="s">
        <v>820</v>
      </c>
      <c r="EY100" s="67">
        <v>5646.25</v>
      </c>
      <c r="EZ100" s="67" t="s">
        <v>821</v>
      </c>
      <c r="FA100" s="67">
        <v>19961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502"/>
        <v>5710</v>
      </c>
      <c r="B101" s="3">
        <f t="shared" si="447"/>
        <v>2043</v>
      </c>
      <c r="C101" s="3">
        <f t="shared" si="448"/>
        <v>3182</v>
      </c>
      <c r="D101" s="3">
        <f t="shared" si="449"/>
        <v>1448</v>
      </c>
      <c r="E101" s="3">
        <f t="shared" si="513"/>
        <v>6673</v>
      </c>
      <c r="F101" s="4">
        <f t="shared" si="516"/>
        <v>5734.2120141342757</v>
      </c>
      <c r="G101" s="4">
        <f t="shared" si="514"/>
        <v>569.78939929328624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-4578</v>
      </c>
      <c r="AN101" s="20">
        <v>4</v>
      </c>
      <c r="AO101" s="20">
        <v>5710</v>
      </c>
      <c r="AP101" s="20">
        <v>24778</v>
      </c>
      <c r="AQ101" s="20">
        <v>-862</v>
      </c>
      <c r="AR101" s="20"/>
      <c r="AS101" s="54">
        <f>IF(RTD("tos.rtd",,AS$83,"."&amp;$B$82&amp;$AS$82&amp;"C"&amp;$A101)="N/A",0,RTD("tos.rtd",,AS$83,"."&amp;$B$82&amp;$AS$82&amp;"C"&amp;$A101))</f>
        <v>1826</v>
      </c>
      <c r="AT101" s="3">
        <f>-IF(RTD("tos.rtd",,AT$83,"."&amp;$B$82&amp;$AS$82&amp;"P"&amp;$A101)="N/A",0,RTD("tos.rtd",,AT$83,"."&amp;$B$82&amp;$AS$82&amp;"P"&amp;$A101))</f>
        <v>-217</v>
      </c>
      <c r="AU101" s="54">
        <f>IF(RTD("tos.rtd",,AU$83,"."&amp;$C$82&amp;$AU$82&amp;"C"&amp;$A101)="N/A",0,RTD("tos.rtd",,AU$83,"."&amp;$C$82&amp;$AU$82&amp;"C"&amp;$A101))</f>
        <v>2369</v>
      </c>
      <c r="AV101" s="3">
        <f>-IF(RTD("tos.rtd",,AV$83,"."&amp;$C$82&amp;$AU$82&amp;"P"&amp;$A101)="N/A",0,RTD("tos.rtd",,AV$83,"."&amp;$C$82&amp;$AU$82&amp;"P"&amp;$A101))</f>
        <v>-813</v>
      </c>
      <c r="AW101" s="54">
        <f>IF(RTD("tos.rtd",,AW$83,"."&amp;$D$82&amp;$AW$82&amp;"C"&amp;$A101)="N/A",0,RTD("tos.rtd",,AW$83,"."&amp;$D$82&amp;$AW$82&amp;"C"&amp;$A101))</f>
        <v>858</v>
      </c>
      <c r="AX101" s="3">
        <f>-IF(RTD("tos.rtd",,AX$83,"."&amp;$D$82&amp;$AW$82&amp;"P"&amp;$A101)="N/A",0,RTD("tos.rtd",,AX$83,"."&amp;$D$82&amp;$AW$82&amp;"P"&amp;$A101))</f>
        <v>-590</v>
      </c>
      <c r="AY101" s="79">
        <f t="shared" si="515"/>
        <v>3433</v>
      </c>
      <c r="AZ101" s="8">
        <f t="shared" si="451"/>
        <v>5710</v>
      </c>
      <c r="BA101" s="54">
        <f>IF(RTD("tos.rtd",,BA$83,"."&amp;$B$82&amp;$AS$82&amp;"C"&amp;$A101)="N/A",0,RTD("tos.rtd",,BA$83,"."&amp;$B$82&amp;$AS$82&amp;"C"&amp;$A101))</f>
        <v>0</v>
      </c>
      <c r="BB101" s="3">
        <f>-IF(RTD("tos.rtd",,BB$83,"."&amp;$B$82&amp;$AS$82&amp;"P"&amp;$A101)="N/A",0,RTD("tos.rtd",,BB$83,"."&amp;$B$82&amp;$AS$82&amp;"P"&amp;$A101))</f>
        <v>0</v>
      </c>
      <c r="BC101" s="54">
        <f>IF(RTD("tos.rtd",,BC$83,"."&amp;$C$82&amp;$AU$82&amp;"C"&amp;$A101)="N/A",0,RTD("tos.rtd",,BC$83,"."&amp;$C$82&amp;$AU$82&amp;"C"&amp;$A101))</f>
        <v>30639</v>
      </c>
      <c r="BD101" s="3">
        <f>-IF(RTD("tos.rtd",,BD$83,"."&amp;$C$82&amp;$AU$82&amp;"P"&amp;$A101)="N/A",0,RTD("tos.rtd",,BD$83,"."&amp;$C$82&amp;$AU$82&amp;"P"&amp;$A101))</f>
        <v>-1186</v>
      </c>
      <c r="BE101" s="54">
        <f>IF(RTD("tos.rtd",,BE$83,"."&amp;$D$82&amp;$AW$82&amp;"C"&amp;$A101)="N/A",0,RTD("tos.rtd",,BE$83,"."&amp;$D$82&amp;$AW$82&amp;"C"&amp;$A101))</f>
        <v>148</v>
      </c>
      <c r="BF101" s="3">
        <f>-IF(RTD("tos.rtd",,BF$83,"."&amp;$D$82&amp;$AW$82&amp;"P"&amp;$A101)="N/A",0,RTD("tos.rtd",,BF$83,"."&amp;$D$82&amp;$AW$82&amp;"P"&amp;$A101))</f>
        <v>-86</v>
      </c>
      <c r="BG101" s="3">
        <f ca="1">+Hoja2!Y102</f>
        <v>90</v>
      </c>
      <c r="BH101" s="55">
        <f t="shared" ca="1" si="491"/>
        <v>29605</v>
      </c>
      <c r="BI101" s="32" t="str">
        <f t="shared" ca="1" si="507"/>
        <v/>
      </c>
      <c r="BJ101" s="3" t="e">
        <f ca="1">IF($BP$1=1,DX101,IF(RTD("tos.rtd",,BJ$83,"."&amp;$B$82&amp;$AS$82&amp;"C"&amp;$A101)="N/A",0,RTD("tos.rtd",,BJ$83,"."&amp;$B$82&amp;$AS$82&amp;"C"&amp;$A101)))</f>
        <v>#NUM!</v>
      </c>
      <c r="BK101" s="3" t="e">
        <f ca="1">IF($BP$1=1,DY101,-IF(RTD("tos.rtd",,BK$83,"."&amp;$B$82&amp;$AS$82&amp;"P"&amp;$A101)="N/A",0,RTD("tos.rtd",,BK$83,"."&amp;$B$82&amp;$AS$82&amp;"P"&amp;$A101)))</f>
        <v>#NUM!</v>
      </c>
      <c r="BL101" s="3" t="e">
        <f ca="1">IF($BP$1=1,DZ101,IF(RTD("tos.rtd",,BL$83,"."&amp;$C$82&amp;$AU$82&amp;"C"&amp;$A101)="N/A",0,RTD("tos.rtd",,BL$83,"."&amp;$C$82&amp;$AU$82&amp;"C"&amp;$A101)))</f>
        <v>#NUM!</v>
      </c>
      <c r="BM101" s="3" t="e">
        <f ca="1">IF($BP$1=1,EA101,-IF(RTD("tos.rtd",,BM$83,"."&amp;$C$82&amp;$AU$82&amp;"P"&amp;$A101)="N/A",0,RTD("tos.rtd",,BM$83,"."&amp;$C$82&amp;$AU$82&amp;"P"&amp;$A101)))</f>
        <v>#NUM!</v>
      </c>
      <c r="BN101" s="3" t="e">
        <f ca="1">IF($BP$1=1,EB101,IF(RTD("tos.rtd",,BN$83,"."&amp;$D$82&amp;$AW$82&amp;"C"&amp;$A101)="N/A",0,RTD("tos.rtd",,BN$83,"."&amp;$D$82&amp;$AW$82&amp;"C"&amp;$A101)))</f>
        <v>#NUM!</v>
      </c>
      <c r="BO101" s="3" t="e">
        <f ca="1">IF($BP$1=1,EC101,-IF(RTD("tos.rtd",,BO$83,"."&amp;$D$82&amp;$AW$82&amp;"P"&amp;$A101)="N/A",0,RTD("tos.rtd",,BO$83,"."&amp;$D$82&amp;$AW$82&amp;"P"&amp;$A101)))</f>
        <v>#NUM!</v>
      </c>
      <c r="BQ101" s="3" t="e">
        <f t="shared" ca="1" si="452"/>
        <v>#NUM!</v>
      </c>
      <c r="BR101" s="3" t="e">
        <f t="shared" ca="1" si="492"/>
        <v>#NUM!</v>
      </c>
      <c r="BS101" s="3" t="e">
        <f t="shared" ca="1" si="453"/>
        <v>#NUM!</v>
      </c>
      <c r="BT101" s="3" t="e">
        <f t="shared" ca="1" si="492"/>
        <v>#NUM!</v>
      </c>
      <c r="BU101" s="3" t="e">
        <f t="shared" ca="1" si="454"/>
        <v>#NUM!</v>
      </c>
      <c r="BV101" s="3" t="e">
        <f t="shared" ca="1" si="492"/>
        <v>#NUM!</v>
      </c>
      <c r="BX101" s="3" t="e">
        <f t="shared" ca="1" si="455"/>
        <v>#NUM!</v>
      </c>
      <c r="BY101" s="3" t="e">
        <f t="shared" ca="1" si="504"/>
        <v>#NUM!</v>
      </c>
      <c r="BZ101" s="3" t="e">
        <f t="shared" ca="1" si="456"/>
        <v>#NUM!</v>
      </c>
      <c r="CA101" s="3" t="e">
        <f t="shared" ca="1" si="504"/>
        <v>#NUM!</v>
      </c>
      <c r="CB101" s="3" t="e">
        <f t="shared" ca="1" si="457"/>
        <v>#NUM!</v>
      </c>
      <c r="CC101" s="3" t="e">
        <f t="shared" ca="1" si="504"/>
        <v>#NUM!</v>
      </c>
      <c r="CD101" s="3">
        <f>IF(RTD("tos.rtd",,CD$83,"."&amp;$B$82&amp;$AS$82&amp;"C"&amp;$A101)="N/A",0,RTD("tos.rtd",,CD$83,"."&amp;$B$82&amp;$AS$82&amp;"C"&amp;$A101))</f>
        <v>0</v>
      </c>
      <c r="CE101" s="3">
        <f>-IF(RTD("tos.rtd",,CE$83,"."&amp;$B$82&amp;$AS$82&amp;"P"&amp;$A101)="N/A",0,RTD("tos.rtd",,CE$83,"."&amp;$B$82&amp;$AS$82&amp;"P"&amp;$A101))</f>
        <v>0.76</v>
      </c>
      <c r="CF101" s="3">
        <f>IF(RTD("tos.rtd",,CF$83,"."&amp;$C$82&amp;$AU$82&amp;"C"&amp;$A101)="N/A",0,RTD("tos.rtd",,CF$83,"."&amp;$C$82&amp;$AU$82&amp;"C"&amp;$A101))</f>
        <v>0</v>
      </c>
      <c r="CG101" s="3">
        <f>-IF(RTD("tos.rtd",,CG$83,"."&amp;$C$82&amp;$AU$82&amp;"P"&amp;$A101)="N/A",0,RTD("tos.rtd",,CG$83,"."&amp;$C$82&amp;$AU$82&amp;"P"&amp;$A101))</f>
        <v>0.95</v>
      </c>
      <c r="CH101" s="3">
        <f>IF(RTD("tos.rtd",,CH$83,"."&amp;$D$82&amp;$AW$82&amp;"C"&amp;$A101)="N/A",0,RTD("tos.rtd",,CH$83,"."&amp;$D$82&amp;$AW$82&amp;"C"&amp;$A101))</f>
        <v>0.39</v>
      </c>
      <c r="CI101" s="3">
        <f>-IF(RTD("tos.rtd",,CI$83,"."&amp;$D$82&amp;$AW$82&amp;"P"&amp;$A101)="N/A",0,RTD("tos.rtd",,CI$83,"."&amp;$D$82&amp;$AW$82&amp;"P"&amp;$A101))</f>
        <v>0.62</v>
      </c>
      <c r="CK101" s="3">
        <f t="shared" si="493"/>
        <v>-16492</v>
      </c>
      <c r="CL101" s="3"/>
      <c r="CM101" s="3">
        <f t="shared" si="494"/>
        <v>-77234.999999999985</v>
      </c>
      <c r="CN101" s="3"/>
      <c r="CO101" s="3">
        <f t="shared" si="495"/>
        <v>-3118</v>
      </c>
      <c r="CP101" s="3">
        <f t="shared" si="458"/>
        <v>-96844.999999999985</v>
      </c>
      <c r="CQ101" s="3">
        <f t="shared" si="459"/>
        <v>0</v>
      </c>
      <c r="CR101" s="3"/>
      <c r="CS101" s="3">
        <f t="shared" si="460"/>
        <v>29453</v>
      </c>
      <c r="CT101" s="3"/>
      <c r="CU101" s="3">
        <f t="shared" si="461"/>
        <v>62</v>
      </c>
      <c r="CV101" s="3"/>
      <c r="CW101" s="3" t="e">
        <f t="shared" ca="1" si="462"/>
        <v>#NUM!</v>
      </c>
      <c r="CY101" s="3" t="e">
        <f t="shared" ca="1" si="463"/>
        <v>#NUM!</v>
      </c>
      <c r="CZ101" s="70" t="e">
        <f t="shared" ca="1" si="505"/>
        <v>#NUM!</v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60.2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62.2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57.5</v>
      </c>
      <c r="DG101" s="86">
        <f t="shared" si="497"/>
        <v>50</v>
      </c>
      <c r="DH101" s="3">
        <f t="shared" si="464"/>
        <v>-24778</v>
      </c>
      <c r="DI101" s="3">
        <f t="shared" si="465"/>
        <v>495.19148936170234</v>
      </c>
      <c r="DJ101" s="3">
        <f t="shared" si="466"/>
        <v>-24778</v>
      </c>
      <c r="DK101" s="3">
        <f t="shared" si="467"/>
        <v>0</v>
      </c>
      <c r="DL101" s="3">
        <f t="shared" si="468"/>
        <v>-24282.808510638297</v>
      </c>
      <c r="DM101" s="3">
        <f t="shared" si="469"/>
        <v>-24778</v>
      </c>
      <c r="DN101" s="64" t="str">
        <f t="shared" si="470"/>
        <v>UNKNOWN</v>
      </c>
      <c r="DO101" s="64" t="str">
        <f t="shared" si="471"/>
        <v>UNKNOWN</v>
      </c>
      <c r="DP101" s="3">
        <f t="shared" si="472"/>
        <v>28571.627659574482</v>
      </c>
      <c r="DQ101" s="3">
        <f t="shared" si="473"/>
        <v>-1238.9000000000001</v>
      </c>
      <c r="DR101" s="3" t="e">
        <f t="shared" ca="1" si="474"/>
        <v>#NUM!</v>
      </c>
      <c r="DS101" s="3">
        <f t="shared" si="475"/>
        <v>0</v>
      </c>
      <c r="DT101" s="3">
        <f t="shared" si="498"/>
        <v>-24778</v>
      </c>
      <c r="DU101" s="3">
        <f t="shared" si="499"/>
        <v>862</v>
      </c>
      <c r="DV101" s="3">
        <f t="shared" si="500"/>
        <v>-4578</v>
      </c>
      <c r="DW101" s="3">
        <f t="shared" si="501"/>
        <v>4</v>
      </c>
      <c r="DX101" s="3" t="e">
        <f t="shared" ca="1" si="506"/>
        <v>#NUM!</v>
      </c>
      <c r="DY101" s="3" t="e">
        <f t="shared" ca="1" si="476"/>
        <v>#NUM!</v>
      </c>
      <c r="DZ101" s="3" t="e">
        <f t="shared" ca="1" si="477"/>
        <v>#NUM!</v>
      </c>
      <c r="EA101" s="3" t="e">
        <f t="shared" ca="1" si="478"/>
        <v>#NUM!</v>
      </c>
      <c r="EB101" s="3" t="e">
        <f t="shared" ca="1" si="479"/>
        <v>#NUM!</v>
      </c>
      <c r="EC101" s="3" t="e">
        <f t="shared" ca="1" si="480"/>
        <v>#NUM!</v>
      </c>
      <c r="EE101" s="59">
        <f t="shared" si="481"/>
        <v>0.44290000000000002</v>
      </c>
      <c r="EF101" s="59">
        <f t="shared" si="482"/>
        <v>1.6327</v>
      </c>
      <c r="EG101" s="59">
        <f t="shared" si="483"/>
        <v>0.44290000000000002</v>
      </c>
      <c r="EH101" s="59">
        <f t="shared" si="484"/>
        <v>0.69479999999999997</v>
      </c>
      <c r="EI101" s="59">
        <f t="shared" si="485"/>
        <v>0.23549999999999999</v>
      </c>
      <c r="EJ101" s="59">
        <f t="shared" si="486"/>
        <v>0.2223</v>
      </c>
      <c r="EL101" s="3" t="str">
        <f>RTD("tos.rtd",,EL$83,"."&amp;$B$82&amp;$AS$82&amp;"C"&amp;$A101)</f>
        <v>44.29%</v>
      </c>
      <c r="EM101" s="3" t="str">
        <f>RTD("tos.rtd",,EM$83,"."&amp;$B$82&amp;$AS$82&amp;"P"&amp;$A101)</f>
        <v>163.27%</v>
      </c>
      <c r="EN101" s="3" t="str">
        <f>RTD("tos.rtd",,EN$83,"."&amp;$C$82&amp;$AU$82&amp;"C"&amp;$A101)</f>
        <v>44.29%</v>
      </c>
      <c r="EO101" s="3" t="str">
        <f>RTD("tos.rtd",,EO$83,"."&amp;$C$82&amp;$AU$82&amp;"P"&amp;$A101)</f>
        <v>69.48%</v>
      </c>
      <c r="EP101" s="3" t="str">
        <f>RTD("tos.rtd",,EP$83,"."&amp;$D$82&amp;$AW$82&amp;"C"&amp;$A101)</f>
        <v>23.55%</v>
      </c>
      <c r="EQ101" s="3" t="str">
        <f>RTD("tos.rtd",,EQ$83,"."&amp;$D$82&amp;$AW$82&amp;"P"&amp;$A101)</f>
        <v>22.23%</v>
      </c>
      <c r="ES101" s="63" t="str">
        <f t="shared" si="487"/>
        <v>5710,-4574.00</v>
      </c>
      <c r="ET101" s="64" t="str">
        <f t="shared" ca="1" si="488"/>
        <v>5710,00.00</v>
      </c>
      <c r="EU101" s="67">
        <v>563.19000000000005</v>
      </c>
      <c r="EV101" s="67" t="s">
        <v>827</v>
      </c>
      <c r="EW101" s="67">
        <v>485.84</v>
      </c>
      <c r="EX101" s="67" t="s">
        <v>828</v>
      </c>
      <c r="EY101" s="67">
        <v>5646.25</v>
      </c>
      <c r="EZ101" s="67" t="s">
        <v>829</v>
      </c>
      <c r="FA101" s="67">
        <v>19962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502"/>
        <v>5700</v>
      </c>
      <c r="B102" s="3">
        <f t="shared" si="447"/>
        <v>3598</v>
      </c>
      <c r="C102" s="3">
        <f t="shared" si="448"/>
        <v>5911</v>
      </c>
      <c r="D102" s="3">
        <f t="shared" si="449"/>
        <v>9814</v>
      </c>
      <c r="E102" s="3">
        <f t="shared" si="513"/>
        <v>19323</v>
      </c>
      <c r="F102" s="4">
        <f t="shared" si="516"/>
        <v>5724.1696113074204</v>
      </c>
      <c r="G102" s="4">
        <f t="shared" si="514"/>
        <v>568.79151943462898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-1471</v>
      </c>
      <c r="AN102" s="20">
        <v>64</v>
      </c>
      <c r="AO102" s="20">
        <v>5700</v>
      </c>
      <c r="AP102" s="20">
        <v>78491</v>
      </c>
      <c r="AQ102" s="20">
        <v>-2316</v>
      </c>
      <c r="AR102" s="20"/>
      <c r="AS102" s="54">
        <f>IF(RTD("tos.rtd",,AS$83,"."&amp;$B$82&amp;$AS$82&amp;"C"&amp;$A102)="N/A",0,RTD("tos.rtd",,AS$83,"."&amp;$B$82&amp;$AS$82&amp;"C"&amp;$A102))</f>
        <v>2466</v>
      </c>
      <c r="AT102" s="3">
        <f>-IF(RTD("tos.rtd",,AT$83,"."&amp;$B$82&amp;$AS$82&amp;"P"&amp;$A102)="N/A",0,RTD("tos.rtd",,AT$83,"."&amp;$B$82&amp;$AS$82&amp;"P"&amp;$A102))</f>
        <v>-1132</v>
      </c>
      <c r="AU102" s="54">
        <f>IF(RTD("tos.rtd",,AU$83,"."&amp;$C$82&amp;$AU$82&amp;"C"&amp;$A102)="N/A",0,RTD("tos.rtd",,AU$83,"."&amp;$C$82&amp;$AU$82&amp;"C"&amp;$A102))</f>
        <v>3989</v>
      </c>
      <c r="AV102" s="3">
        <f>-IF(RTD("tos.rtd",,AV$83,"."&amp;$C$82&amp;$AU$82&amp;"P"&amp;$A102)="N/A",0,RTD("tos.rtd",,AV$83,"."&amp;$C$82&amp;$AU$82&amp;"P"&amp;$A102))</f>
        <v>-1922</v>
      </c>
      <c r="AW102" s="54">
        <f>IF(RTD("tos.rtd",,AW$83,"."&amp;$D$82&amp;$AW$82&amp;"C"&amp;$A102)="N/A",0,RTD("tos.rtd",,AW$83,"."&amp;$D$82&amp;$AW$82&amp;"C"&amp;$A102))</f>
        <v>3560</v>
      </c>
      <c r="AX102" s="3">
        <f>-IF(RTD("tos.rtd",,AX$83,"."&amp;$D$82&amp;$AW$82&amp;"P"&amp;$A102)="N/A",0,RTD("tos.rtd",,AX$83,"."&amp;$D$82&amp;$AW$82&amp;"P"&amp;$A102))</f>
        <v>-6254</v>
      </c>
      <c r="AY102" s="79">
        <f t="shared" si="515"/>
        <v>707</v>
      </c>
      <c r="AZ102" s="8">
        <f t="shared" si="451"/>
        <v>5700</v>
      </c>
      <c r="BA102" s="54">
        <f>IF(RTD("tos.rtd",,BA$83,"."&amp;$B$82&amp;$AS$82&amp;"C"&amp;$A102)="N/A",0,RTD("tos.rtd",,BA$83,"."&amp;$B$82&amp;$AS$82&amp;"C"&amp;$A102))</f>
        <v>0</v>
      </c>
      <c r="BB102" s="3">
        <f>-IF(RTD("tos.rtd",,BB$83,"."&amp;$B$82&amp;$AS$82&amp;"P"&amp;$A102)="N/A",0,RTD("tos.rtd",,BB$83,"."&amp;$B$82&amp;$AS$82&amp;"P"&amp;$A102))</f>
        <v>0</v>
      </c>
      <c r="BC102" s="54">
        <f>IF(RTD("tos.rtd",,BC$83,"."&amp;$C$82&amp;$AU$82&amp;"C"&amp;$A102)="N/A",0,RTD("tos.rtd",,BC$83,"."&amp;$C$82&amp;$AU$82&amp;"C"&amp;$A102))</f>
        <v>86529</v>
      </c>
      <c r="BD102" s="3">
        <f>-IF(RTD("tos.rtd",,BD$83,"."&amp;$C$82&amp;$AU$82&amp;"P"&amp;$A102)="N/A",0,RTD("tos.rtd",,BD$83,"."&amp;$C$82&amp;$AU$82&amp;"P"&amp;$A102))</f>
        <v>-7039</v>
      </c>
      <c r="BE102" s="54">
        <f>IF(RTD("tos.rtd",,BE$83,"."&amp;$D$82&amp;$AW$82&amp;"C"&amp;$A102)="N/A",0,RTD("tos.rtd",,BE$83,"."&amp;$D$82&amp;$AW$82&amp;"C"&amp;$A102))</f>
        <v>1004</v>
      </c>
      <c r="BF102" s="3">
        <f>-IF(RTD("tos.rtd",,BF$83,"."&amp;$D$82&amp;$AW$82&amp;"P"&amp;$A102)="N/A",0,RTD("tos.rtd",,BF$83,"."&amp;$D$82&amp;$AW$82&amp;"P"&amp;$A102))</f>
        <v>-292</v>
      </c>
      <c r="BG102" s="3">
        <f ca="1">+Hoja2!Y103</f>
        <v>182</v>
      </c>
      <c r="BH102" s="55">
        <f t="shared" ca="1" si="491"/>
        <v>80384</v>
      </c>
      <c r="BI102" s="32" t="str">
        <f t="shared" ca="1" si="507"/>
        <v/>
      </c>
      <c r="BJ102" s="3" t="e">
        <f ca="1">IF($BP$1=1,DX102,IF(RTD("tos.rtd",,BJ$83,"."&amp;$B$82&amp;$AS$82&amp;"C"&amp;$A102)="N/A",0,RTD("tos.rtd",,BJ$83,"."&amp;$B$82&amp;$AS$82&amp;"C"&amp;$A102)))</f>
        <v>#NUM!</v>
      </c>
      <c r="BK102" s="3" t="e">
        <f ca="1">IF($BP$1=1,DY102,-IF(RTD("tos.rtd",,BK$83,"."&amp;$B$82&amp;$AS$82&amp;"P"&amp;$A102)="N/A",0,RTD("tos.rtd",,BK$83,"."&amp;$B$82&amp;$AS$82&amp;"P"&amp;$A102)))</f>
        <v>#NUM!</v>
      </c>
      <c r="BL102" s="3" t="e">
        <f ca="1">IF($BP$1=1,DZ102,IF(RTD("tos.rtd",,BL$83,"."&amp;$C$82&amp;$AU$82&amp;"C"&amp;$A102)="N/A",0,RTD("tos.rtd",,BL$83,"."&amp;$C$82&amp;$AU$82&amp;"C"&amp;$A102)))</f>
        <v>#NUM!</v>
      </c>
      <c r="BM102" s="3" t="e">
        <f ca="1">IF($BP$1=1,EA102,-IF(RTD("tos.rtd",,BM$83,"."&amp;$C$82&amp;$AU$82&amp;"P"&amp;$A102)="N/A",0,RTD("tos.rtd",,BM$83,"."&amp;$C$82&amp;$AU$82&amp;"P"&amp;$A102)))</f>
        <v>#NUM!</v>
      </c>
      <c r="BN102" s="3" t="e">
        <f ca="1">IF($BP$1=1,EB102,IF(RTD("tos.rtd",,BN$83,"."&amp;$D$82&amp;$AW$82&amp;"C"&amp;$A102)="N/A",0,RTD("tos.rtd",,BN$83,"."&amp;$D$82&amp;$AW$82&amp;"C"&amp;$A102)))</f>
        <v>#NUM!</v>
      </c>
      <c r="BO102" s="3" t="e">
        <f ca="1">IF($BP$1=1,EC102,-IF(RTD("tos.rtd",,BO$83,"."&amp;$D$82&amp;$AW$82&amp;"P"&amp;$A102)="N/A",0,RTD("tos.rtd",,BO$83,"."&amp;$D$82&amp;$AW$82&amp;"P"&amp;$A102)))</f>
        <v>#NUM!</v>
      </c>
      <c r="BQ102" s="3" t="e">
        <f t="shared" ca="1" si="452"/>
        <v>#NUM!</v>
      </c>
      <c r="BR102" s="3" t="e">
        <f t="shared" ca="1" si="492"/>
        <v>#NUM!</v>
      </c>
      <c r="BS102" s="3" t="e">
        <f t="shared" ca="1" si="453"/>
        <v>#NUM!</v>
      </c>
      <c r="BT102" s="3" t="e">
        <f t="shared" ca="1" si="492"/>
        <v>#NUM!</v>
      </c>
      <c r="BU102" s="3" t="e">
        <f t="shared" ca="1" si="454"/>
        <v>#NUM!</v>
      </c>
      <c r="BV102" s="3" t="e">
        <f t="shared" ca="1" si="492"/>
        <v>#NUM!</v>
      </c>
      <c r="BX102" s="3" t="e">
        <f t="shared" ca="1" si="455"/>
        <v>#NUM!</v>
      </c>
      <c r="BY102" s="3" t="e">
        <f t="shared" ca="1" si="504"/>
        <v>#NUM!</v>
      </c>
      <c r="BZ102" s="3" t="e">
        <f t="shared" ca="1" si="456"/>
        <v>#NUM!</v>
      </c>
      <c r="CA102" s="3" t="e">
        <f t="shared" ca="1" si="504"/>
        <v>#NUM!</v>
      </c>
      <c r="CB102" s="3" t="e">
        <f t="shared" ca="1" si="457"/>
        <v>#NUM!</v>
      </c>
      <c r="CC102" s="3" t="e">
        <f t="shared" ca="1" si="504"/>
        <v>#NUM!</v>
      </c>
      <c r="CD102" s="3">
        <f>IF(RTD("tos.rtd",,CD$83,"."&amp;$B$82&amp;$AS$82&amp;"C"&amp;$A102)="N/A",0,RTD("tos.rtd",,CD$83,"."&amp;$B$82&amp;$AS$82&amp;"C"&amp;$A102))</f>
        <v>0.01</v>
      </c>
      <c r="CE102" s="3">
        <f>-IF(RTD("tos.rtd",,CE$83,"."&amp;$B$82&amp;$AS$82&amp;"P"&amp;$A102)="N/A",0,RTD("tos.rtd",,CE$83,"."&amp;$B$82&amp;$AS$82&amp;"P"&amp;$A102))</f>
        <v>0.74</v>
      </c>
      <c r="CF102" s="3">
        <f>IF(RTD("tos.rtd",,CF$83,"."&amp;$C$82&amp;$AU$82&amp;"C"&amp;$A102)="N/A",0,RTD("tos.rtd",,CF$83,"."&amp;$C$82&amp;$AU$82&amp;"C"&amp;$A102))</f>
        <v>0.01</v>
      </c>
      <c r="CG102" s="3">
        <f>-IF(RTD("tos.rtd",,CG$83,"."&amp;$C$82&amp;$AU$82&amp;"P"&amp;$A102)="N/A",0,RTD("tos.rtd",,CG$83,"."&amp;$C$82&amp;$AU$82&amp;"P"&amp;$A102))</f>
        <v>0.95</v>
      </c>
      <c r="CH102" s="3">
        <f>IF(RTD("tos.rtd",,CH$83,"."&amp;$D$82&amp;$AW$82&amp;"C"&amp;$A102)="N/A",0,RTD("tos.rtd",,CH$83,"."&amp;$D$82&amp;$AW$82&amp;"C"&amp;$A102))</f>
        <v>0.41</v>
      </c>
      <c r="CI102" s="3">
        <f>-IF(RTD("tos.rtd",,CI$83,"."&amp;$D$82&amp;$AW$82&amp;"P"&amp;$A102)="N/A",0,RTD("tos.rtd",,CI$83,"."&amp;$D$82&amp;$AW$82&amp;"P"&amp;$A102))</f>
        <v>0.59</v>
      </c>
      <c r="CK102" s="3">
        <f t="shared" si="493"/>
        <v>-81302</v>
      </c>
      <c r="CL102" s="3"/>
      <c r="CM102" s="3">
        <f t="shared" si="494"/>
        <v>-178601</v>
      </c>
      <c r="CN102" s="3"/>
      <c r="CO102" s="3">
        <f t="shared" si="495"/>
        <v>-223025.99999999994</v>
      </c>
      <c r="CP102" s="3">
        <f t="shared" si="458"/>
        <v>-482928.99999999994</v>
      </c>
      <c r="CQ102" s="3">
        <f t="shared" si="459"/>
        <v>0</v>
      </c>
      <c r="CR102" s="3"/>
      <c r="CS102" s="3">
        <f t="shared" si="460"/>
        <v>79490</v>
      </c>
      <c r="CT102" s="3"/>
      <c r="CU102" s="3">
        <f t="shared" si="461"/>
        <v>712</v>
      </c>
      <c r="CV102" s="3"/>
      <c r="CW102" s="3" t="e">
        <f t="shared" ca="1" si="462"/>
        <v>#NUM!</v>
      </c>
      <c r="CY102" s="3" t="e">
        <f t="shared" ca="1" si="463"/>
        <v>#NUM!</v>
      </c>
      <c r="CZ102" s="70" t="e">
        <f t="shared" ca="1" si="505"/>
        <v>#NUM!</v>
      </c>
      <c r="DA102" s="3">
        <f>IF(RTD("tos.rtd",,DA$83,"."&amp;$B$82&amp;$AS$82&amp;"C"&amp;$A102)="N/A",0,RTD("tos.rtd",,DA$83,"."&amp;$B$82&amp;$AS$82&amp;"C"&amp;$A102))</f>
        <v>0.05</v>
      </c>
      <c r="DB102" s="3">
        <f>IF(RTD("tos.rtd",,DB$83,"."&amp;$B$82&amp;$AS$82&amp;"P"&amp;$A102)="N/A",0,RTD("tos.rtd",,DB$83,"."&amp;$B$82&amp;$AS$82&amp;"P"&amp;$A102))</f>
        <v>50.3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52.2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46.5</v>
      </c>
      <c r="DG102" s="86">
        <f t="shared" si="497"/>
        <v>40</v>
      </c>
      <c r="DH102" s="3">
        <f t="shared" si="464"/>
        <v>-78491</v>
      </c>
      <c r="DI102" s="3">
        <f t="shared" si="465"/>
        <v>1543.9999999999982</v>
      </c>
      <c r="DJ102" s="3">
        <f t="shared" si="466"/>
        <v>-78491</v>
      </c>
      <c r="DK102" s="3">
        <f t="shared" si="467"/>
        <v>2316</v>
      </c>
      <c r="DL102" s="3">
        <f t="shared" si="468"/>
        <v>-76947</v>
      </c>
      <c r="DM102" s="3">
        <f t="shared" si="469"/>
        <v>-76175</v>
      </c>
      <c r="DN102" s="64" t="str">
        <f t="shared" si="470"/>
        <v>UNKNOWN</v>
      </c>
      <c r="DO102" s="64" t="str">
        <f t="shared" si="471"/>
        <v>UNKNOWN</v>
      </c>
      <c r="DP102" s="3">
        <f t="shared" si="472"/>
        <v>73738.649999999907</v>
      </c>
      <c r="DQ102" s="3">
        <f t="shared" si="473"/>
        <v>112570.24999999999</v>
      </c>
      <c r="DR102" s="3" t="e">
        <f t="shared" ca="1" si="474"/>
        <v>#NUM!</v>
      </c>
      <c r="DS102" s="3">
        <f t="shared" si="475"/>
        <v>928.93</v>
      </c>
      <c r="DT102" s="3">
        <f t="shared" si="498"/>
        <v>-78491</v>
      </c>
      <c r="DU102" s="3">
        <f t="shared" si="499"/>
        <v>2316</v>
      </c>
      <c r="DV102" s="3">
        <f t="shared" si="500"/>
        <v>-1471</v>
      </c>
      <c r="DW102" s="3">
        <f t="shared" si="501"/>
        <v>64</v>
      </c>
      <c r="DX102" s="3" t="e">
        <f t="shared" ca="1" si="506"/>
        <v>#NUM!</v>
      </c>
      <c r="DY102" s="3" t="e">
        <f t="shared" ca="1" si="476"/>
        <v>#NUM!</v>
      </c>
      <c r="DZ102" s="3" t="e">
        <f t="shared" ca="1" si="477"/>
        <v>#NUM!</v>
      </c>
      <c r="EA102" s="3" t="e">
        <f t="shared" ca="1" si="478"/>
        <v>#NUM!</v>
      </c>
      <c r="EB102" s="3" t="e">
        <f t="shared" ca="1" si="479"/>
        <v>#NUM!</v>
      </c>
      <c r="EC102" s="3" t="e">
        <f t="shared" ca="1" si="480"/>
        <v>#NUM!</v>
      </c>
      <c r="EE102" s="59">
        <f t="shared" si="481"/>
        <v>0.36330000000000001</v>
      </c>
      <c r="EF102" s="59">
        <f t="shared" si="482"/>
        <v>1.4152</v>
      </c>
      <c r="EG102" s="59">
        <f t="shared" si="483"/>
        <v>0.36330000000000001</v>
      </c>
      <c r="EH102" s="59">
        <f t="shared" si="484"/>
        <v>0.58230000000000004</v>
      </c>
      <c r="EI102" s="59">
        <f t="shared" si="485"/>
        <v>0.23730000000000001</v>
      </c>
      <c r="EJ102" s="59">
        <f t="shared" si="486"/>
        <v>0.22439999999999999</v>
      </c>
      <c r="EL102" s="3" t="str">
        <f>RTD("tos.rtd",,EL$83,"."&amp;$B$82&amp;$AS$82&amp;"C"&amp;$A102)</f>
        <v>36.33%</v>
      </c>
      <c r="EM102" s="3" t="str">
        <f>RTD("tos.rtd",,EM$83,"."&amp;$B$82&amp;$AS$82&amp;"P"&amp;$A102)</f>
        <v>141.52%</v>
      </c>
      <c r="EN102" s="3" t="str">
        <f>RTD("tos.rtd",,EN$83,"."&amp;$C$82&amp;$AU$82&amp;"C"&amp;$A102)</f>
        <v>36.33%</v>
      </c>
      <c r="EO102" s="3" t="str">
        <f>RTD("tos.rtd",,EO$83,"."&amp;$C$82&amp;$AU$82&amp;"P"&amp;$A102)</f>
        <v>58.23%</v>
      </c>
      <c r="EP102" s="3" t="str">
        <f>RTD("tos.rtd",,EP$83,"."&amp;$D$82&amp;$AW$82&amp;"C"&amp;$A102)</f>
        <v>23.73%</v>
      </c>
      <c r="EQ102" s="3" t="str">
        <f>RTD("tos.rtd",,EQ$83,"."&amp;$D$82&amp;$AW$82&amp;"P"&amp;$A102)</f>
        <v>22.44%</v>
      </c>
      <c r="ES102" s="63" t="str">
        <f t="shared" si="487"/>
        <v>5700,-1407.00</v>
      </c>
      <c r="ET102" s="64" t="str">
        <f t="shared" ca="1" si="488"/>
        <v>5700,00.00</v>
      </c>
      <c r="EU102" s="67">
        <v>563.37</v>
      </c>
      <c r="EV102" s="67" t="s">
        <v>835</v>
      </c>
      <c r="EW102" s="67">
        <v>485.96</v>
      </c>
      <c r="EX102" s="67" t="s">
        <v>836</v>
      </c>
      <c r="EY102" s="67">
        <v>5647</v>
      </c>
      <c r="EZ102" s="67" t="s">
        <v>837</v>
      </c>
      <c r="FA102" s="67">
        <v>19963.75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502"/>
        <v>5690</v>
      </c>
      <c r="B103" s="3">
        <f t="shared" si="447"/>
        <v>3507</v>
      </c>
      <c r="C103" s="3">
        <f t="shared" si="448"/>
        <v>1901</v>
      </c>
      <c r="D103" s="3">
        <f t="shared" si="449"/>
        <v>861</v>
      </c>
      <c r="E103" s="3">
        <f>SUM(B103:D103)</f>
        <v>6269</v>
      </c>
      <c r="F103" s="4">
        <f t="shared" si="516"/>
        <v>5714.1272084805651</v>
      </c>
      <c r="G103" s="4">
        <f t="shared" si="514"/>
        <v>567.79363957597172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-4330</v>
      </c>
      <c r="AN103" s="20">
        <v>326</v>
      </c>
      <c r="AO103" s="20">
        <v>5690</v>
      </c>
      <c r="AP103" s="20">
        <v>68134</v>
      </c>
      <c r="AQ103" s="20">
        <v>-3164</v>
      </c>
      <c r="AR103" s="20"/>
      <c r="AS103" s="54">
        <f>IF(RTD("tos.rtd",,AS$83,"."&amp;$B$82&amp;$AS$82&amp;"C"&amp;$A103)="N/A",0,RTD("tos.rtd",,AS$83,"."&amp;$B$82&amp;$AS$82&amp;"C"&amp;$A103))</f>
        <v>2775</v>
      </c>
      <c r="AT103" s="3">
        <f>-IF(RTD("tos.rtd",,AT$83,"."&amp;$B$82&amp;$AS$82&amp;"P"&amp;$A103)="N/A",0,RTD("tos.rtd",,AT$83,"."&amp;$B$82&amp;$AS$82&amp;"P"&amp;$A103))</f>
        <v>-732</v>
      </c>
      <c r="AU103" s="54">
        <f>IF(RTD("tos.rtd",,AU$83,"."&amp;$C$82&amp;$AU$82&amp;"C"&amp;$A103)="N/A",0,RTD("tos.rtd",,AU$83,"."&amp;$C$82&amp;$AU$82&amp;"C"&amp;$A103))</f>
        <v>1409</v>
      </c>
      <c r="AV103" s="3">
        <f>-IF(RTD("tos.rtd",,AV$83,"."&amp;$C$82&amp;$AU$82&amp;"P"&amp;$A103)="N/A",0,RTD("tos.rtd",,AV$83,"."&amp;$C$82&amp;$AU$82&amp;"P"&amp;$A103))</f>
        <v>-492</v>
      </c>
      <c r="AW103" s="54">
        <f>IF(RTD("tos.rtd",,AW$83,"."&amp;$D$82&amp;$AW$82&amp;"C"&amp;$A103)="N/A",0,RTD("tos.rtd",,AW$83,"."&amp;$D$82&amp;$AW$82&amp;"C"&amp;$A103))</f>
        <v>563</v>
      </c>
      <c r="AX103" s="3">
        <f>-IF(RTD("tos.rtd",,AX$83,"."&amp;$D$82&amp;$AW$82&amp;"P"&amp;$A103)="N/A",0,RTD("tos.rtd",,AX$83,"."&amp;$D$82&amp;$AW$82&amp;"P"&amp;$A103))</f>
        <v>-298</v>
      </c>
      <c r="AY103" s="79">
        <f t="shared" si="515"/>
        <v>3225</v>
      </c>
      <c r="AZ103" s="8">
        <f t="shared" si="451"/>
        <v>5690</v>
      </c>
      <c r="BA103" s="54">
        <f>IF(RTD("tos.rtd",,BA$83,"."&amp;$B$82&amp;$AS$82&amp;"C"&amp;$A103)="N/A",0,RTD("tos.rtd",,BA$83,"."&amp;$B$82&amp;$AS$82&amp;"C"&amp;$A103))</f>
        <v>0</v>
      </c>
      <c r="BB103" s="3">
        <f>-IF(RTD("tos.rtd",,BB$83,"."&amp;$B$82&amp;$AS$82&amp;"P"&amp;$A103)="N/A",0,RTD("tos.rtd",,BB$83,"."&amp;$B$82&amp;$AS$82&amp;"P"&amp;$A103))</f>
        <v>0</v>
      </c>
      <c r="BC103" s="54">
        <f>IF(RTD("tos.rtd",,BC$83,"."&amp;$C$82&amp;$AU$82&amp;"C"&amp;$A103)="N/A",0,RTD("tos.rtd",,BC$83,"."&amp;$C$82&amp;$AU$82&amp;"C"&amp;$A103))</f>
        <v>58065</v>
      </c>
      <c r="BD103" s="3">
        <f>-IF(RTD("tos.rtd",,BD$83,"."&amp;$C$82&amp;$AU$82&amp;"P"&amp;$A103)="N/A",0,RTD("tos.rtd",,BD$83,"."&amp;$C$82&amp;$AU$82&amp;"P"&amp;$A103))</f>
        <v>-6408</v>
      </c>
      <c r="BE103" s="54">
        <f>IF(RTD("tos.rtd",,BE$83,"."&amp;$D$82&amp;$AW$82&amp;"C"&amp;$A103)="N/A",0,RTD("tos.rtd",,BE$83,"."&amp;$D$82&amp;$AW$82&amp;"C"&amp;$A103))</f>
        <v>284</v>
      </c>
      <c r="BF103" s="3">
        <f>-IF(RTD("tos.rtd",,BF$83,"."&amp;$D$82&amp;$AW$82&amp;"P"&amp;$A103)="N/A",0,RTD("tos.rtd",,BF$83,"."&amp;$D$82&amp;$AW$82&amp;"P"&amp;$A103))</f>
        <v>-307</v>
      </c>
      <c r="BG103" s="3">
        <f ca="1">+Hoja2!Y104</f>
        <v>-223</v>
      </c>
      <c r="BH103" s="55">
        <f t="shared" ca="1" si="491"/>
        <v>51411</v>
      </c>
      <c r="BI103" s="32" t="str">
        <f t="shared" ca="1" si="507"/>
        <v/>
      </c>
      <c r="BJ103" s="3" t="e">
        <f ca="1">IF($BP$1=1,DX103,IF(RTD("tos.rtd",,BJ$83,"."&amp;$B$82&amp;$AS$82&amp;"C"&amp;$A103)="N/A",0,RTD("tos.rtd",,BJ$83,"."&amp;$B$82&amp;$AS$82&amp;"C"&amp;$A103)))</f>
        <v>#NUM!</v>
      </c>
      <c r="BK103" s="3" t="e">
        <f ca="1">IF($BP$1=1,DY103,-IF(RTD("tos.rtd",,BK$83,"."&amp;$B$82&amp;$AS$82&amp;"P"&amp;$A103)="N/A",0,RTD("tos.rtd",,BK$83,"."&amp;$B$82&amp;$AS$82&amp;"P"&amp;$A103)))</f>
        <v>#NUM!</v>
      </c>
      <c r="BL103" s="3" t="e">
        <f ca="1">IF($BP$1=1,DZ103,IF(RTD("tos.rtd",,BL$83,"."&amp;$C$82&amp;$AU$82&amp;"C"&amp;$A103)="N/A",0,RTD("tos.rtd",,BL$83,"."&amp;$C$82&amp;$AU$82&amp;"C"&amp;$A103)))</f>
        <v>#NUM!</v>
      </c>
      <c r="BM103" s="3" t="e">
        <f ca="1">IF($BP$1=1,EA103,-IF(RTD("tos.rtd",,BM$83,"."&amp;$C$82&amp;$AU$82&amp;"P"&amp;$A103)="N/A",0,RTD("tos.rtd",,BM$83,"."&amp;$C$82&amp;$AU$82&amp;"P"&amp;$A103)))</f>
        <v>#NUM!</v>
      </c>
      <c r="BN103" s="3" t="e">
        <f ca="1">IF($BP$1=1,EB103,IF(RTD("tos.rtd",,BN$83,"."&amp;$D$82&amp;$AW$82&amp;"C"&amp;$A103)="N/A",0,RTD("tos.rtd",,BN$83,"."&amp;$D$82&amp;$AW$82&amp;"C"&amp;$A103)))</f>
        <v>#NUM!</v>
      </c>
      <c r="BO103" s="3" t="e">
        <f ca="1">IF($BP$1=1,EC103,-IF(RTD("tos.rtd",,BO$83,"."&amp;$D$82&amp;$AW$82&amp;"P"&amp;$A103)="N/A",0,RTD("tos.rtd",,BO$83,"."&amp;$D$82&amp;$AW$82&amp;"P"&amp;$A103)))</f>
        <v>#NUM!</v>
      </c>
      <c r="BQ103" s="3" t="e">
        <f t="shared" ca="1" si="452"/>
        <v>#NUM!</v>
      </c>
      <c r="BR103" s="3" t="e">
        <f t="shared" ca="1" si="492"/>
        <v>#NUM!</v>
      </c>
      <c r="BS103" s="3" t="e">
        <f t="shared" ca="1" si="453"/>
        <v>#NUM!</v>
      </c>
      <c r="BT103" s="3" t="e">
        <f t="shared" ca="1" si="492"/>
        <v>#NUM!</v>
      </c>
      <c r="BU103" s="3" t="e">
        <f t="shared" ca="1" si="454"/>
        <v>#NUM!</v>
      </c>
      <c r="BV103" s="3" t="e">
        <f t="shared" ca="1" si="492"/>
        <v>#NUM!</v>
      </c>
      <c r="BX103" s="3" t="e">
        <f t="shared" ca="1" si="455"/>
        <v>#NUM!</v>
      </c>
      <c r="BY103" s="3" t="e">
        <f t="shared" ca="1" si="504"/>
        <v>#NUM!</v>
      </c>
      <c r="BZ103" s="3" t="e">
        <f t="shared" ca="1" si="456"/>
        <v>#NUM!</v>
      </c>
      <c r="CA103" s="3" t="e">
        <f t="shared" ca="1" si="504"/>
        <v>#NUM!</v>
      </c>
      <c r="CB103" s="3" t="e">
        <f t="shared" ca="1" si="457"/>
        <v>#NUM!</v>
      </c>
      <c r="CC103" s="3" t="e">
        <f t="shared" ca="1" si="504"/>
        <v>#NUM!</v>
      </c>
      <c r="CD103" s="3">
        <f>IF(RTD("tos.rtd",,CD$83,"."&amp;$B$82&amp;$AS$82&amp;"C"&amp;$A103)="N/A",0,RTD("tos.rtd",,CD$83,"."&amp;$B$82&amp;$AS$82&amp;"C"&amp;$A103))</f>
        <v>0.01</v>
      </c>
      <c r="CE103" s="3">
        <f>-IF(RTD("tos.rtd",,CE$83,"."&amp;$B$82&amp;$AS$82&amp;"P"&amp;$A103)="N/A",0,RTD("tos.rtd",,CE$83,"."&amp;$B$82&amp;$AS$82&amp;"P"&amp;$A103))</f>
        <v>0.71</v>
      </c>
      <c r="CF103" s="3">
        <f>IF(RTD("tos.rtd",,CF$83,"."&amp;$C$82&amp;$AU$82&amp;"C"&amp;$A103)="N/A",0,RTD("tos.rtd",,CF$83,"."&amp;$C$82&amp;$AU$82&amp;"C"&amp;$A103))</f>
        <v>0.01</v>
      </c>
      <c r="CG103" s="3">
        <f>-IF(RTD("tos.rtd",,CG$83,"."&amp;$C$82&amp;$AU$82&amp;"P"&amp;$A103)="N/A",0,RTD("tos.rtd",,CG$83,"."&amp;$C$82&amp;$AU$82&amp;"P"&amp;$A103))</f>
        <v>0.93</v>
      </c>
      <c r="CH103" s="3">
        <f>IF(RTD("tos.rtd",,CH$83,"."&amp;$D$82&amp;$AW$82&amp;"C"&amp;$A103)="N/A",0,RTD("tos.rtd",,CH$83,"."&amp;$D$82&amp;$AW$82&amp;"C"&amp;$A103))</f>
        <v>0.44</v>
      </c>
      <c r="CI103" s="3">
        <f>-IF(RTD("tos.rtd",,CI$83,"."&amp;$D$82&amp;$AW$82&amp;"P"&amp;$A103)="N/A",0,RTD("tos.rtd",,CI$83,"."&amp;$D$82&amp;$AW$82&amp;"P"&amp;$A103))</f>
        <v>0.56000000000000005</v>
      </c>
      <c r="CK103" s="3">
        <f t="shared" si="493"/>
        <v>-49197</v>
      </c>
      <c r="CL103" s="3"/>
      <c r="CM103" s="3">
        <f t="shared" si="494"/>
        <v>-44347</v>
      </c>
      <c r="CN103" s="3"/>
      <c r="CO103" s="3">
        <f t="shared" si="495"/>
        <v>8083.9999999999964</v>
      </c>
      <c r="CP103" s="3">
        <f t="shared" si="458"/>
        <v>-85460</v>
      </c>
      <c r="CQ103" s="3">
        <f t="shared" si="459"/>
        <v>0</v>
      </c>
      <c r="CR103" s="3"/>
      <c r="CS103" s="3">
        <f t="shared" si="460"/>
        <v>51657</v>
      </c>
      <c r="CT103" s="3"/>
      <c r="CU103" s="3">
        <f t="shared" si="461"/>
        <v>-23</v>
      </c>
      <c r="CV103" s="3"/>
      <c r="CW103" s="3" t="e">
        <f t="shared" ca="1" si="462"/>
        <v>#NUM!</v>
      </c>
      <c r="CY103" s="3" t="e">
        <f t="shared" ca="1" si="463"/>
        <v>#NUM!</v>
      </c>
      <c r="CZ103" s="70" t="e">
        <f t="shared" ca="1" si="505"/>
        <v>#NUM!</v>
      </c>
      <c r="DA103" s="3">
        <f>IF(RTD("tos.rtd",,DA$83,"."&amp;$B$82&amp;$AS$82&amp;"C"&amp;$A103)="N/A",0,RTD("tos.rtd",,DA$83,"."&amp;$B$82&amp;$AS$82&amp;"C"&amp;$A103))</f>
        <v>0.03</v>
      </c>
      <c r="DB103" s="3">
        <f>IF(RTD("tos.rtd",,DB$83,"."&amp;$B$82&amp;$AS$82&amp;"P"&amp;$A103)="N/A",0,RTD("tos.rtd",,DB$83,"."&amp;$B$82&amp;$AS$82&amp;"P"&amp;$A103))</f>
        <v>39.549999999999997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42.2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36.5</v>
      </c>
      <c r="DG103" s="86">
        <f t="shared" si="497"/>
        <v>30</v>
      </c>
      <c r="DH103" s="3">
        <f t="shared" si="464"/>
        <v>-40880.400000000001</v>
      </c>
      <c r="DI103" s="3">
        <f t="shared" si="465"/>
        <v>1693.0175438596466</v>
      </c>
      <c r="DJ103" s="3">
        <f t="shared" si="466"/>
        <v>-68134</v>
      </c>
      <c r="DK103" s="3">
        <f t="shared" si="467"/>
        <v>0</v>
      </c>
      <c r="DL103" s="3">
        <f t="shared" si="468"/>
        <v>-39187.382456140353</v>
      </c>
      <c r="DM103" s="3">
        <f t="shared" si="469"/>
        <v>-68134</v>
      </c>
      <c r="DN103" s="64" t="str">
        <f t="shared" si="470"/>
        <v>UNKNOWN</v>
      </c>
      <c r="DO103" s="64" t="str">
        <f t="shared" si="471"/>
        <v>UNKNOWN</v>
      </c>
      <c r="DP103" s="3">
        <f t="shared" si="472"/>
        <v>65732.431859649019</v>
      </c>
      <c r="DQ103" s="3">
        <f t="shared" si="473"/>
        <v>-2044.02</v>
      </c>
      <c r="DR103" s="3" t="e">
        <f t="shared" ca="1" si="474"/>
        <v>#NUM!</v>
      </c>
      <c r="DS103" s="3">
        <f t="shared" si="475"/>
        <v>-681.34</v>
      </c>
      <c r="DT103" s="3">
        <f t="shared" si="498"/>
        <v>-68134</v>
      </c>
      <c r="DU103" s="3">
        <f t="shared" si="499"/>
        <v>3164</v>
      </c>
      <c r="DV103" s="3">
        <f t="shared" si="500"/>
        <v>-4330</v>
      </c>
      <c r="DW103" s="3">
        <f t="shared" si="501"/>
        <v>326</v>
      </c>
      <c r="DX103" s="3" t="e">
        <f t="shared" ca="1" si="506"/>
        <v>#NUM!</v>
      </c>
      <c r="DY103" s="3" t="e">
        <f t="shared" ca="1" si="476"/>
        <v>#NUM!</v>
      </c>
      <c r="DZ103" s="3" t="e">
        <f t="shared" ca="1" si="477"/>
        <v>#NUM!</v>
      </c>
      <c r="EA103" s="3" t="e">
        <f t="shared" ca="1" si="478"/>
        <v>#NUM!</v>
      </c>
      <c r="EB103" s="3" t="e">
        <f t="shared" ca="1" si="479"/>
        <v>#NUM!</v>
      </c>
      <c r="EC103" s="3" t="e">
        <f t="shared" ca="1" si="480"/>
        <v>#NUM!</v>
      </c>
      <c r="EE103" s="59">
        <f t="shared" si="481"/>
        <v>0.28139999999999998</v>
      </c>
      <c r="EF103" s="59">
        <f t="shared" si="482"/>
        <v>1.2264999999999999</v>
      </c>
      <c r="EG103" s="59">
        <f t="shared" si="483"/>
        <v>0.28139999999999998</v>
      </c>
      <c r="EH103" s="59">
        <f t="shared" si="484"/>
        <v>0.46550000000000002</v>
      </c>
      <c r="EI103" s="59">
        <f t="shared" si="485"/>
        <v>0.23930000000000001</v>
      </c>
      <c r="EJ103" s="59">
        <f t="shared" si="486"/>
        <v>0.22670000000000001</v>
      </c>
      <c r="EL103" s="3" t="str">
        <f>RTD("tos.rtd",,EL$83,"."&amp;$B$82&amp;$AS$82&amp;"C"&amp;$A103)</f>
        <v>28.14%</v>
      </c>
      <c r="EM103" s="3" t="str">
        <f>RTD("tos.rtd",,EM$83,"."&amp;$B$82&amp;$AS$82&amp;"P"&amp;$A103)</f>
        <v>122.65%</v>
      </c>
      <c r="EN103" s="3" t="str">
        <f>RTD("tos.rtd",,EN$83,"."&amp;$C$82&amp;$AU$82&amp;"C"&amp;$A103)</f>
        <v>28.14%</v>
      </c>
      <c r="EO103" s="3" t="str">
        <f>RTD("tos.rtd",,EO$83,"."&amp;$C$82&amp;$AU$82&amp;"P"&amp;$A103)</f>
        <v>46.55%</v>
      </c>
      <c r="EP103" s="3" t="str">
        <f>RTD("tos.rtd",,EP$83,"."&amp;$D$82&amp;$AW$82&amp;"C"&amp;$A103)</f>
        <v>23.93%</v>
      </c>
      <c r="EQ103" s="3" t="str">
        <f>RTD("tos.rtd",,EQ$83,"."&amp;$D$82&amp;$AW$82&amp;"P"&amp;$A103)</f>
        <v>22.67%</v>
      </c>
      <c r="ES103" s="63" t="str">
        <f t="shared" si="487"/>
        <v>5690,-4004.00</v>
      </c>
      <c r="ET103" s="64" t="str">
        <f t="shared" ca="1" si="488"/>
        <v>5690,00.00</v>
      </c>
      <c r="EU103" s="67">
        <v>563.46</v>
      </c>
      <c r="EV103" s="67" t="s">
        <v>843</v>
      </c>
      <c r="EW103" s="67">
        <v>486.1</v>
      </c>
      <c r="EX103" s="67" t="s">
        <v>844</v>
      </c>
      <c r="EY103" s="67">
        <v>5648.25</v>
      </c>
      <c r="EZ103" s="67" t="s">
        <v>845</v>
      </c>
      <c r="FA103" s="67">
        <v>19970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502"/>
        <v>5680</v>
      </c>
      <c r="B104" s="3">
        <f t="shared" si="447"/>
        <v>1219</v>
      </c>
      <c r="C104" s="3">
        <f t="shared" si="448"/>
        <v>4117</v>
      </c>
      <c r="D104" s="3">
        <f t="shared" si="449"/>
        <v>1319</v>
      </c>
      <c r="E104" s="3">
        <f t="shared" si="513"/>
        <v>6655</v>
      </c>
      <c r="F104" s="4">
        <f t="shared" si="516"/>
        <v>5704.0848056537097</v>
      </c>
      <c r="G104" s="4">
        <f t="shared" si="514"/>
        <v>566.79575971731447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-8610</v>
      </c>
      <c r="AN104" s="20">
        <v>270</v>
      </c>
      <c r="AO104" s="20">
        <v>5680</v>
      </c>
      <c r="AP104" s="20">
        <v>85350</v>
      </c>
      <c r="AQ104" s="20">
        <v>-18456</v>
      </c>
      <c r="AR104" s="20"/>
      <c r="AS104" s="54">
        <f>IF(RTD("tos.rtd",,AS$83,"."&amp;$B$82&amp;$AS$82&amp;"C"&amp;$A104)="N/A",0,RTD("tos.rtd",,AS$83,"."&amp;$B$82&amp;$AS$82&amp;"C"&amp;$A104))</f>
        <v>740</v>
      </c>
      <c r="AT104" s="3">
        <f>-IF(RTD("tos.rtd",,AT$83,"."&amp;$B$82&amp;$AS$82&amp;"P"&amp;$A104)="N/A",0,RTD("tos.rtd",,AT$83,"."&amp;$B$82&amp;$AS$82&amp;"P"&amp;$A104))</f>
        <v>-479</v>
      </c>
      <c r="AU104" s="54">
        <f>IF(RTD("tos.rtd",,AU$83,"."&amp;$C$82&amp;$AU$82&amp;"C"&amp;$A104)="N/A",0,RTD("tos.rtd",,AU$83,"."&amp;$C$82&amp;$AU$82&amp;"C"&amp;$A104))</f>
        <v>3536</v>
      </c>
      <c r="AV104" s="3">
        <f>-IF(RTD("tos.rtd",,AV$83,"."&amp;$C$82&amp;$AU$82&amp;"P"&amp;$A104)="N/A",0,RTD("tos.rtd",,AV$83,"."&amp;$C$82&amp;$AU$82&amp;"P"&amp;$A104))</f>
        <v>-581</v>
      </c>
      <c r="AW104" s="54">
        <f>IF(RTD("tos.rtd",,AW$83,"."&amp;$D$82&amp;$AW$82&amp;"C"&amp;$A104)="N/A",0,RTD("tos.rtd",,AW$83,"."&amp;$D$82&amp;$AW$82&amp;"C"&amp;$A104))</f>
        <v>564</v>
      </c>
      <c r="AX104" s="3">
        <f>-IF(RTD("tos.rtd",,AX$83,"."&amp;$D$82&amp;$AW$82&amp;"P"&amp;$A104)="N/A",0,RTD("tos.rtd",,AX$83,"."&amp;$D$82&amp;$AW$82&amp;"P"&amp;$A104))</f>
        <v>-755</v>
      </c>
      <c r="AY104" s="79">
        <f t="shared" si="515"/>
        <v>3025</v>
      </c>
      <c r="AZ104" s="8">
        <f t="shared" si="451"/>
        <v>5680</v>
      </c>
      <c r="BA104" s="54">
        <f>IF(RTD("tos.rtd",,BA$83,"."&amp;$B$82&amp;$AS$82&amp;"C"&amp;$A104)="N/A",0,RTD("tos.rtd",,BA$83,"."&amp;$B$82&amp;$AS$82&amp;"C"&amp;$A104))</f>
        <v>0</v>
      </c>
      <c r="BB104" s="3">
        <f>-IF(RTD("tos.rtd",,BB$83,"."&amp;$B$82&amp;$AS$82&amp;"P"&amp;$A104)="N/A",0,RTD("tos.rtd",,BB$83,"."&amp;$B$82&amp;$AS$82&amp;"P"&amp;$A104))</f>
        <v>0</v>
      </c>
      <c r="BC104" s="54">
        <f>IF(RTD("tos.rtd",,BC$83,"."&amp;$C$82&amp;$AU$82&amp;"C"&amp;$A104)="N/A",0,RTD("tos.rtd",,BC$83,"."&amp;$C$82&amp;$AU$82&amp;"C"&amp;$A104))</f>
        <v>88798</v>
      </c>
      <c r="BD104" s="3">
        <f>-IF(RTD("tos.rtd",,BD$83,"."&amp;$C$82&amp;$AU$82&amp;"P"&amp;$A104)="N/A",0,RTD("tos.rtd",,BD$83,"."&amp;$C$82&amp;$AU$82&amp;"P"&amp;$A104))</f>
        <v>-15233</v>
      </c>
      <c r="BE104" s="54">
        <f>IF(RTD("tos.rtd",,BE$83,"."&amp;$D$82&amp;$AW$82&amp;"C"&amp;$A104)="N/A",0,RTD("tos.rtd",,BE$83,"."&amp;$D$82&amp;$AW$82&amp;"C"&amp;$A104))</f>
        <v>301</v>
      </c>
      <c r="BF104" s="3">
        <f>-IF(RTD("tos.rtd",,BF$83,"."&amp;$D$82&amp;$AW$82&amp;"P"&amp;$A104)="N/A",0,RTD("tos.rtd",,BF$83,"."&amp;$D$82&amp;$AW$82&amp;"P"&amp;$A104))</f>
        <v>-182</v>
      </c>
      <c r="BG104" s="3">
        <f ca="1">+Hoja2!Y105</f>
        <v>-17</v>
      </c>
      <c r="BH104" s="55">
        <f t="shared" ca="1" si="491"/>
        <v>73667</v>
      </c>
      <c r="BI104" s="32" t="str">
        <f t="shared" ca="1" si="507"/>
        <v/>
      </c>
      <c r="BJ104" s="3" t="e">
        <f ca="1">IF($BP$1=1,DX104,IF(RTD("tos.rtd",,BJ$83,"."&amp;$B$82&amp;$AS$82&amp;"C"&amp;$A104)="N/A",0,RTD("tos.rtd",,BJ$83,"."&amp;$B$82&amp;$AS$82&amp;"C"&amp;$A104)))</f>
        <v>#NUM!</v>
      </c>
      <c r="BK104" s="3" t="e">
        <f ca="1">IF($BP$1=1,DY104,-IF(RTD("tos.rtd",,BK$83,"."&amp;$B$82&amp;$AS$82&amp;"P"&amp;$A104)="N/A",0,RTD("tos.rtd",,BK$83,"."&amp;$B$82&amp;$AS$82&amp;"P"&amp;$A104)))</f>
        <v>#NUM!</v>
      </c>
      <c r="BL104" s="3" t="e">
        <f ca="1">IF($BP$1=1,DZ104,IF(RTD("tos.rtd",,BL$83,"."&amp;$C$82&amp;$AU$82&amp;"C"&amp;$A104)="N/A",0,RTD("tos.rtd",,BL$83,"."&amp;$C$82&amp;$AU$82&amp;"C"&amp;$A104)))</f>
        <v>#NUM!</v>
      </c>
      <c r="BM104" s="3" t="e">
        <f ca="1">IF($BP$1=1,EA104,-IF(RTD("tos.rtd",,BM$83,"."&amp;$C$82&amp;$AU$82&amp;"P"&amp;$A104)="N/A",0,RTD("tos.rtd",,BM$83,"."&amp;$C$82&amp;$AU$82&amp;"P"&amp;$A104)))</f>
        <v>#NUM!</v>
      </c>
      <c r="BN104" s="3" t="e">
        <f ca="1">IF($BP$1=1,EB104,IF(RTD("tos.rtd",,BN$83,"."&amp;$D$82&amp;$AW$82&amp;"C"&amp;$A104)="N/A",0,RTD("tos.rtd",,BN$83,"."&amp;$D$82&amp;$AW$82&amp;"C"&amp;$A104)))</f>
        <v>#NUM!</v>
      </c>
      <c r="BO104" s="3" t="e">
        <f ca="1">IF($BP$1=1,EC104,-IF(RTD("tos.rtd",,BO$83,"."&amp;$D$82&amp;$AW$82&amp;"P"&amp;$A104)="N/A",0,RTD("tos.rtd",,BO$83,"."&amp;$D$82&amp;$AW$82&amp;"P"&amp;$A104)))</f>
        <v>#NUM!</v>
      </c>
      <c r="BQ104" s="3" t="e">
        <f t="shared" ca="1" si="452"/>
        <v>#NUM!</v>
      </c>
      <c r="BR104" s="3" t="e">
        <f t="shared" ca="1" si="492"/>
        <v>#NUM!</v>
      </c>
      <c r="BS104" s="3" t="e">
        <f t="shared" ca="1" si="453"/>
        <v>#NUM!</v>
      </c>
      <c r="BT104" s="3" t="e">
        <f t="shared" ca="1" si="492"/>
        <v>#NUM!</v>
      </c>
      <c r="BU104" s="3" t="e">
        <f t="shared" ca="1" si="454"/>
        <v>#NUM!</v>
      </c>
      <c r="BV104" s="3" t="e">
        <f t="shared" ca="1" si="492"/>
        <v>#NUM!</v>
      </c>
      <c r="BX104" s="3" t="e">
        <f t="shared" ca="1" si="455"/>
        <v>#NUM!</v>
      </c>
      <c r="BY104" s="3" t="e">
        <f t="shared" ca="1" si="504"/>
        <v>#NUM!</v>
      </c>
      <c r="BZ104" s="3" t="e">
        <f t="shared" ca="1" si="456"/>
        <v>#NUM!</v>
      </c>
      <c r="CA104" s="3" t="e">
        <f t="shared" ca="1" si="504"/>
        <v>#NUM!</v>
      </c>
      <c r="CB104" s="3" t="e">
        <f t="shared" ca="1" si="457"/>
        <v>#NUM!</v>
      </c>
      <c r="CC104" s="3" t="e">
        <f t="shared" ca="1" si="504"/>
        <v>#NUM!</v>
      </c>
      <c r="CD104" s="3">
        <f>IF(RTD("tos.rtd",,CD$83,"."&amp;$B$82&amp;$AS$82&amp;"C"&amp;$A104)="N/A",0,RTD("tos.rtd",,CD$83,"."&amp;$B$82&amp;$AS$82&amp;"C"&amp;$A104))</f>
        <v>0.01</v>
      </c>
      <c r="CE104" s="3">
        <f>-IF(RTD("tos.rtd",,CE$83,"."&amp;$B$82&amp;$AS$82&amp;"P"&amp;$A104)="N/A",0,RTD("tos.rtd",,CE$83,"."&amp;$B$82&amp;$AS$82&amp;"P"&amp;$A104))</f>
        <v>0.67</v>
      </c>
      <c r="CF104" s="3">
        <f>IF(RTD("tos.rtd",,CF$83,"."&amp;$C$82&amp;$AU$82&amp;"C"&amp;$A104)="N/A",0,RTD("tos.rtd",,CF$83,"."&amp;$C$82&amp;$AU$82&amp;"C"&amp;$A104))</f>
        <v>0.01</v>
      </c>
      <c r="CG104" s="3">
        <f>-IF(RTD("tos.rtd",,CG$83,"."&amp;$C$82&amp;$AU$82&amp;"P"&amp;$A104)="N/A",0,RTD("tos.rtd",,CG$83,"."&amp;$C$82&amp;$AU$82&amp;"P"&amp;$A104))</f>
        <v>1</v>
      </c>
      <c r="CH104" s="3">
        <f>IF(RTD("tos.rtd",,CH$83,"."&amp;$D$82&amp;$AW$82&amp;"C"&amp;$A104)="N/A",0,RTD("tos.rtd",,CH$83,"."&amp;$D$82&amp;$AW$82&amp;"C"&amp;$A104))</f>
        <v>0.46</v>
      </c>
      <c r="CI104" s="3">
        <f>-IF(RTD("tos.rtd",,CI$83,"."&amp;$D$82&amp;$AW$82&amp;"P"&amp;$A104)="N/A",0,RTD("tos.rtd",,CI$83,"."&amp;$D$82&amp;$AW$82&amp;"P"&amp;$A104))</f>
        <v>0.54</v>
      </c>
      <c r="CK104" s="3">
        <f t="shared" si="493"/>
        <v>-31353</v>
      </c>
      <c r="CL104" s="3"/>
      <c r="CM104" s="3">
        <f t="shared" si="494"/>
        <v>-54564</v>
      </c>
      <c r="CN104" s="3"/>
      <c r="CO104" s="3">
        <f t="shared" si="495"/>
        <v>-14826.000000000007</v>
      </c>
      <c r="CP104" s="3">
        <f t="shared" si="458"/>
        <v>-100743</v>
      </c>
      <c r="CQ104" s="3">
        <f t="shared" si="459"/>
        <v>0</v>
      </c>
      <c r="CR104" s="3"/>
      <c r="CS104" s="3">
        <f t="shared" si="460"/>
        <v>73565</v>
      </c>
      <c r="CT104" s="3"/>
      <c r="CU104" s="3">
        <f t="shared" si="461"/>
        <v>119</v>
      </c>
      <c r="CV104" s="3"/>
      <c r="CW104" s="3" t="e">
        <f t="shared" ca="1" si="462"/>
        <v>#NUM!</v>
      </c>
      <c r="CY104" s="3" t="e">
        <f t="shared" ca="1" si="463"/>
        <v>#NUM!</v>
      </c>
      <c r="CZ104" s="70" t="e">
        <f t="shared" ca="1" si="505"/>
        <v>#NUM!</v>
      </c>
      <c r="DA104" s="3">
        <f>IF(RTD("tos.rtd",,DA$83,"."&amp;$B$82&amp;$AS$82&amp;"C"&amp;$A104)="N/A",0,RTD("tos.rtd",,DA$83,"."&amp;$B$82&amp;$AS$82&amp;"C"&amp;$A104))</f>
        <v>0.02</v>
      </c>
      <c r="DB104" s="3">
        <f>IF(RTD("tos.rtd",,DB$83,"."&amp;$B$82&amp;$AS$82&amp;"P"&amp;$A104)="N/A",0,RTD("tos.rtd",,DB$83,"."&amp;$B$82&amp;$AS$82&amp;"P"&amp;$A104))</f>
        <v>29.6</v>
      </c>
      <c r="DC104" s="3">
        <f>IF(RTD("tos.rtd",,DC$83,"."&amp;$B$82&amp;$AS$82&amp;"C"&amp;$A104)="N/A",0,RTD("tos.rtd",,DC$83,"."&amp;$B$82&amp;$AS$82&amp;"C"&amp;$A104))</f>
        <v>0.05</v>
      </c>
      <c r="DD104" s="3">
        <f>IF(RTD("tos.rtd",,DD$83,"."&amp;$B$82&amp;$AS$82&amp;"P"&amp;$A104)="N/A",0,RTD("tos.rtd",,DD$83,"."&amp;$B$82&amp;$AS$82&amp;"P"&amp;$A104))</f>
        <v>32.200000000000003</v>
      </c>
      <c r="DE104" s="3">
        <f>IF(RTD("tos.rtd",,DE$83,"."&amp;$B$82&amp;$AS$82&amp;"C"&amp;$A104)="N/A",0,RTD("tos.rtd",,DE$83,"."&amp;$B$82&amp;$AS$82&amp;"C"&amp;$A104))</f>
        <v>0</v>
      </c>
      <c r="DF104" s="3">
        <f>IF(RTD("tos.rtd",,DF$83,"."&amp;$B$82&amp;$AS$82&amp;"P"&amp;$A104)="N/A",0,RTD("tos.rtd",,DF$83,"."&amp;$B$82&amp;$AS$82&amp;"P"&amp;$A104))</f>
        <v>26.5</v>
      </c>
      <c r="DG104" s="86">
        <f t="shared" si="497"/>
        <v>20</v>
      </c>
      <c r="DH104" s="3">
        <f t="shared" si="464"/>
        <v>-34140</v>
      </c>
      <c r="DI104" s="3">
        <f t="shared" si="465"/>
        <v>10037.473684210527</v>
      </c>
      <c r="DJ104" s="3">
        <f t="shared" si="466"/>
        <v>85350</v>
      </c>
      <c r="DK104" s="3">
        <f t="shared" si="467"/>
        <v>0</v>
      </c>
      <c r="DL104" s="3">
        <f t="shared" si="468"/>
        <v>-24102.526315789473</v>
      </c>
      <c r="DM104" s="3">
        <f t="shared" si="469"/>
        <v>85350</v>
      </c>
      <c r="DN104" s="64" t="str">
        <f t="shared" si="470"/>
        <v>UNKNOWN</v>
      </c>
      <c r="DO104" s="64" t="str">
        <f t="shared" si="471"/>
        <v>UNKNOWN</v>
      </c>
      <c r="DP104" s="3">
        <f t="shared" si="472"/>
        <v>296426.42105263163</v>
      </c>
      <c r="DQ104" s="3">
        <f t="shared" si="473"/>
        <v>1707</v>
      </c>
      <c r="DR104" s="3" t="e">
        <f t="shared" ca="1" si="474"/>
        <v>#NUM!</v>
      </c>
      <c r="DS104" s="3">
        <f t="shared" si="475"/>
        <v>853.5</v>
      </c>
      <c r="DT104" s="3">
        <f t="shared" si="498"/>
        <v>-85350</v>
      </c>
      <c r="DU104" s="3">
        <f t="shared" si="499"/>
        <v>18456</v>
      </c>
      <c r="DV104" s="3">
        <f t="shared" si="500"/>
        <v>-8610</v>
      </c>
      <c r="DW104" s="3">
        <f t="shared" si="501"/>
        <v>270</v>
      </c>
      <c r="DX104" s="3" t="e">
        <f t="shared" ca="1" si="506"/>
        <v>#NUM!</v>
      </c>
      <c r="DY104" s="3" t="e">
        <f t="shared" ca="1" si="476"/>
        <v>#NUM!</v>
      </c>
      <c r="DZ104" s="3" t="e">
        <f t="shared" ca="1" si="477"/>
        <v>#NUM!</v>
      </c>
      <c r="EA104" s="3" t="e">
        <f t="shared" ca="1" si="478"/>
        <v>#NUM!</v>
      </c>
      <c r="EB104" s="3" t="e">
        <f t="shared" ca="1" si="479"/>
        <v>#NUM!</v>
      </c>
      <c r="EC104" s="3" t="e">
        <f t="shared" ca="1" si="480"/>
        <v>#NUM!</v>
      </c>
      <c r="EE104" s="59">
        <f t="shared" si="481"/>
        <v>0.19789999999999999</v>
      </c>
      <c r="EF104" s="59">
        <f t="shared" si="482"/>
        <v>1.0250999999999999</v>
      </c>
      <c r="EG104" s="59">
        <f t="shared" si="483"/>
        <v>0.19789999999999999</v>
      </c>
      <c r="EH104" s="59">
        <f t="shared" si="484"/>
        <v>0.25</v>
      </c>
      <c r="EI104" s="59">
        <f t="shared" si="485"/>
        <v>0.24129999999999999</v>
      </c>
      <c r="EJ104" s="59">
        <f t="shared" si="486"/>
        <v>0.2286</v>
      </c>
      <c r="EL104" s="3" t="str">
        <f>RTD("tos.rtd",,EL$83,"."&amp;$B$82&amp;$AS$82&amp;"C"&amp;$A104)</f>
        <v>19.79%</v>
      </c>
      <c r="EM104" s="3" t="str">
        <f>RTD("tos.rtd",,EM$83,"."&amp;$B$82&amp;$AS$82&amp;"P"&amp;$A104)</f>
        <v>102.51%</v>
      </c>
      <c r="EN104" s="3" t="str">
        <f>RTD("tos.rtd",,EN$83,"."&amp;$C$82&amp;$AU$82&amp;"C"&amp;$A104)</f>
        <v>19.79%</v>
      </c>
      <c r="EO104" s="3" t="str">
        <f>RTD("tos.rtd",,EO$83,"."&amp;$C$82&amp;$AU$82&amp;"P"&amp;$A104)</f>
        <v>--</v>
      </c>
      <c r="EP104" s="3" t="str">
        <f>RTD("tos.rtd",,EP$83,"."&amp;$D$82&amp;$AW$82&amp;"C"&amp;$A104)</f>
        <v>24.13%</v>
      </c>
      <c r="EQ104" s="3" t="str">
        <f>RTD("tos.rtd",,EQ$83,"."&amp;$D$82&amp;$AW$82&amp;"P"&amp;$A104)</f>
        <v>22.86%</v>
      </c>
      <c r="ES104" s="63" t="str">
        <f t="shared" si="487"/>
        <v>5680,-8340.00</v>
      </c>
      <c r="ET104" s="64" t="str">
        <f t="shared" ca="1" si="488"/>
        <v>5680,00.00</v>
      </c>
      <c r="EU104" s="67">
        <v>563.37</v>
      </c>
      <c r="EV104" s="67" t="s">
        <v>851</v>
      </c>
      <c r="EW104" s="67">
        <v>486</v>
      </c>
      <c r="EX104" s="67" t="s">
        <v>852</v>
      </c>
      <c r="EY104" s="67">
        <v>5647</v>
      </c>
      <c r="EZ104" s="67" t="s">
        <v>853</v>
      </c>
      <c r="FA104" s="67">
        <v>19964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502"/>
        <v>5670</v>
      </c>
      <c r="B105" s="3">
        <f t="shared" si="447"/>
        <v>1445</v>
      </c>
      <c r="C105" s="3">
        <f t="shared" si="448"/>
        <v>1762</v>
      </c>
      <c r="D105" s="3">
        <f t="shared" si="449"/>
        <v>682</v>
      </c>
      <c r="E105" s="3">
        <f t="shared" si="513"/>
        <v>3889</v>
      </c>
      <c r="F105" s="4">
        <f t="shared" si="516"/>
        <v>5694.0424028268553</v>
      </c>
      <c r="G105" s="4">
        <f t="shared" si="514"/>
        <v>565.79787985865721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1804</v>
      </c>
      <c r="AN105" s="20">
        <v>-2395</v>
      </c>
      <c r="AO105" s="20">
        <v>5670</v>
      </c>
      <c r="AP105" s="20">
        <v>68643</v>
      </c>
      <c r="AQ105" s="20">
        <v>-65837</v>
      </c>
      <c r="AR105" s="20"/>
      <c r="AS105" s="54">
        <f>IF(RTD("tos.rtd",,AS$83,"."&amp;$B$82&amp;$AS$82&amp;"C"&amp;$A105)="N/A",0,RTD("tos.rtd",,AS$83,"."&amp;$B$82&amp;$AS$82&amp;"C"&amp;$A105))</f>
        <v>759</v>
      </c>
      <c r="AT105" s="3">
        <f>-IF(RTD("tos.rtd",,AT$83,"."&amp;$B$82&amp;$AS$82&amp;"P"&amp;$A105)="N/A",0,RTD("tos.rtd",,AT$83,"."&amp;$B$82&amp;$AS$82&amp;"P"&amp;$A105))</f>
        <v>-686</v>
      </c>
      <c r="AU105" s="54">
        <f>IF(RTD("tos.rtd",,AU$83,"."&amp;$C$82&amp;$AU$82&amp;"C"&amp;$A105)="N/A",0,RTD("tos.rtd",,AU$83,"."&amp;$C$82&amp;$AU$82&amp;"C"&amp;$A105))</f>
        <v>897</v>
      </c>
      <c r="AV105" s="3">
        <f>-IF(RTD("tos.rtd",,AV$83,"."&amp;$C$82&amp;$AU$82&amp;"P"&amp;$A105)="N/A",0,RTD("tos.rtd",,AV$83,"."&amp;$C$82&amp;$AU$82&amp;"P"&amp;$A105))</f>
        <v>-865</v>
      </c>
      <c r="AW105" s="54">
        <f>IF(RTD("tos.rtd",,AW$83,"."&amp;$D$82&amp;$AW$82&amp;"C"&amp;$A105)="N/A",0,RTD("tos.rtd",,AW$83,"."&amp;$D$82&amp;$AW$82&amp;"C"&amp;$A105))</f>
        <v>150</v>
      </c>
      <c r="AX105" s="3">
        <f>-IF(RTD("tos.rtd",,AX$83,"."&amp;$D$82&amp;$AW$82&amp;"P"&amp;$A105)="N/A",0,RTD("tos.rtd",,AX$83,"."&amp;$D$82&amp;$AW$82&amp;"P"&amp;$A105))</f>
        <v>-532</v>
      </c>
      <c r="AY105" s="79">
        <f t="shared" si="515"/>
        <v>-277</v>
      </c>
      <c r="AZ105" s="8">
        <f t="shared" si="451"/>
        <v>5670</v>
      </c>
      <c r="BA105" s="54">
        <f>IF(RTD("tos.rtd",,BA$83,"."&amp;$B$82&amp;$AS$82&amp;"C"&amp;$A105)="N/A",0,RTD("tos.rtd",,BA$83,"."&amp;$B$82&amp;$AS$82&amp;"C"&amp;$A105))</f>
        <v>0</v>
      </c>
      <c r="BB105" s="3">
        <f>-IF(RTD("tos.rtd",,BB$83,"."&amp;$B$82&amp;$AS$82&amp;"P"&amp;$A105)="N/A",0,RTD("tos.rtd",,BB$83,"."&amp;$B$82&amp;$AS$82&amp;"P"&amp;$A105))</f>
        <v>0</v>
      </c>
      <c r="BC105" s="54">
        <f>IF(RTD("tos.rtd",,BC$83,"."&amp;$C$82&amp;$AU$82&amp;"C"&amp;$A105)="N/A",0,RTD("tos.rtd",,BC$83,"."&amp;$C$82&amp;$AU$82&amp;"C"&amp;$A105))</f>
        <v>75748</v>
      </c>
      <c r="BD105" s="3">
        <f>-IF(RTD("tos.rtd",,BD$83,"."&amp;$C$82&amp;$AU$82&amp;"P"&amp;$A105)="N/A",0,RTD("tos.rtd",,BD$83,"."&amp;$C$82&amp;$AU$82&amp;"P"&amp;$A105))</f>
        <v>-31774</v>
      </c>
      <c r="BE105" s="54">
        <f>IF(RTD("tos.rtd",,BE$83,"."&amp;$D$82&amp;$AW$82&amp;"C"&amp;$A105)="N/A",0,RTD("tos.rtd",,BE$83,"."&amp;$D$82&amp;$AW$82&amp;"C"&amp;$A105))</f>
        <v>471</v>
      </c>
      <c r="BF105" s="3">
        <f>-IF(RTD("tos.rtd",,BF$83,"."&amp;$D$82&amp;$AW$82&amp;"P"&amp;$A105)="N/A",0,RTD("tos.rtd",,BF$83,"."&amp;$D$82&amp;$AW$82&amp;"P"&amp;$A105))</f>
        <v>-274</v>
      </c>
      <c r="BG105" s="3">
        <f ca="1">+Hoja2!Y106</f>
        <v>-68</v>
      </c>
      <c r="BH105" s="55">
        <f t="shared" ca="1" si="491"/>
        <v>44103</v>
      </c>
      <c r="BI105" s="32" t="str">
        <f t="shared" ca="1" si="507"/>
        <v/>
      </c>
      <c r="BJ105" s="3" t="e">
        <f ca="1">IF($BP$1=1,DX105,IF(RTD("tos.rtd",,BJ$83,"."&amp;$B$82&amp;$AS$82&amp;"C"&amp;$A105)="N/A",0,RTD("tos.rtd",,BJ$83,"."&amp;$B$82&amp;$AS$82&amp;"C"&amp;$A105)))</f>
        <v>#NUM!</v>
      </c>
      <c r="BK105" s="3" t="e">
        <f ca="1">IF($BP$1=1,DY105,-IF(RTD("tos.rtd",,BK$83,"."&amp;$B$82&amp;$AS$82&amp;"P"&amp;$A105)="N/A",0,RTD("tos.rtd",,BK$83,"."&amp;$B$82&amp;$AS$82&amp;"P"&amp;$A105)))</f>
        <v>#NUM!</v>
      </c>
      <c r="BL105" s="3" t="e">
        <f ca="1">IF($BP$1=1,DZ105,IF(RTD("tos.rtd",,BL$83,"."&amp;$C$82&amp;$AU$82&amp;"C"&amp;$A105)="N/A",0,RTD("tos.rtd",,BL$83,"."&amp;$C$82&amp;$AU$82&amp;"C"&amp;$A105)))</f>
        <v>#NUM!</v>
      </c>
      <c r="BM105" s="3" t="e">
        <f ca="1">IF($BP$1=1,EA105,-IF(RTD("tos.rtd",,BM$83,"."&amp;$C$82&amp;$AU$82&amp;"P"&amp;$A105)="N/A",0,RTD("tos.rtd",,BM$83,"."&amp;$C$82&amp;$AU$82&amp;"P"&amp;$A105)))</f>
        <v>#NUM!</v>
      </c>
      <c r="BN105" s="3" t="e">
        <f ca="1">IF($BP$1=1,EB105,IF(RTD("tos.rtd",,BN$83,"."&amp;$D$82&amp;$AW$82&amp;"C"&amp;$A105)="N/A",0,RTD("tos.rtd",,BN$83,"."&amp;$D$82&amp;$AW$82&amp;"C"&amp;$A105)))</f>
        <v>#NUM!</v>
      </c>
      <c r="BO105" s="3" t="e">
        <f ca="1">IF($BP$1=1,EC105,-IF(RTD("tos.rtd",,BO$83,"."&amp;$D$82&amp;$AW$82&amp;"P"&amp;$A105)="N/A",0,RTD("tos.rtd",,BO$83,"."&amp;$D$82&amp;$AW$82&amp;"P"&amp;$A105)))</f>
        <v>#NUM!</v>
      </c>
      <c r="BQ105" s="3" t="e">
        <f t="shared" ca="1" si="452"/>
        <v>#NUM!</v>
      </c>
      <c r="BR105" s="3" t="e">
        <f t="shared" ca="1" si="492"/>
        <v>#NUM!</v>
      </c>
      <c r="BS105" s="3" t="e">
        <f t="shared" ca="1" si="453"/>
        <v>#NUM!</v>
      </c>
      <c r="BT105" s="3" t="e">
        <f t="shared" ca="1" si="492"/>
        <v>#NUM!</v>
      </c>
      <c r="BU105" s="3" t="e">
        <f t="shared" ca="1" si="454"/>
        <v>#NUM!</v>
      </c>
      <c r="BV105" s="3" t="e">
        <f t="shared" ca="1" si="492"/>
        <v>#NUM!</v>
      </c>
      <c r="BX105" s="3" t="e">
        <f t="shared" ca="1" si="455"/>
        <v>#NUM!</v>
      </c>
      <c r="BY105" s="3" t="e">
        <f t="shared" ca="1" si="504"/>
        <v>#NUM!</v>
      </c>
      <c r="BZ105" s="3" t="e">
        <f t="shared" ca="1" si="456"/>
        <v>#NUM!</v>
      </c>
      <c r="CA105" s="3" t="e">
        <f t="shared" ca="1" si="504"/>
        <v>#NUM!</v>
      </c>
      <c r="CB105" s="3" t="e">
        <f t="shared" ca="1" si="457"/>
        <v>#NUM!</v>
      </c>
      <c r="CC105" s="3" t="e">
        <f t="shared" ca="1" si="504"/>
        <v>#NUM!</v>
      </c>
      <c r="CD105" s="3">
        <f>IF(RTD("tos.rtd",,CD$83,"."&amp;$B$82&amp;$AS$82&amp;"C"&amp;$A105)="N/A",0,RTD("tos.rtd",,CD$83,"."&amp;$B$82&amp;$AS$82&amp;"C"&amp;$A105))</f>
        <v>0.01</v>
      </c>
      <c r="CE105" s="3">
        <f>-IF(RTD("tos.rtd",,CE$83,"."&amp;$B$82&amp;$AS$82&amp;"P"&amp;$A105)="N/A",0,RTD("tos.rtd",,CE$83,"."&amp;$B$82&amp;$AS$82&amp;"P"&amp;$A105))</f>
        <v>0.61</v>
      </c>
      <c r="CF105" s="3">
        <f>IF(RTD("tos.rtd",,CF$83,"."&amp;$C$82&amp;$AU$82&amp;"C"&amp;$A105)="N/A",0,RTD("tos.rtd",,CF$83,"."&amp;$C$82&amp;$AU$82&amp;"C"&amp;$A105))</f>
        <v>0.01</v>
      </c>
      <c r="CG105" s="3">
        <f>-IF(RTD("tos.rtd",,CG$83,"."&amp;$C$82&amp;$AU$82&amp;"P"&amp;$A105)="N/A",0,RTD("tos.rtd",,CG$83,"."&amp;$C$82&amp;$AU$82&amp;"P"&amp;$A105))</f>
        <v>0.86</v>
      </c>
      <c r="CH105" s="3">
        <f>IF(RTD("tos.rtd",,CH$83,"."&amp;$D$82&amp;$AW$82&amp;"C"&amp;$A105)="N/A",0,RTD("tos.rtd",,CH$83,"."&amp;$D$82&amp;$AW$82&amp;"C"&amp;$A105))</f>
        <v>0.49</v>
      </c>
      <c r="CI105" s="3">
        <f>-IF(RTD("tos.rtd",,CI$83,"."&amp;$D$82&amp;$AW$82&amp;"P"&amp;$A105)="N/A",0,RTD("tos.rtd",,CI$83,"."&amp;$D$82&amp;$AW$82&amp;"P"&amp;$A105))</f>
        <v>0.51</v>
      </c>
      <c r="CK105" s="3">
        <f t="shared" si="493"/>
        <v>-41087</v>
      </c>
      <c r="CL105" s="3"/>
      <c r="CM105" s="3">
        <f t="shared" si="494"/>
        <v>-73493</v>
      </c>
      <c r="CN105" s="3"/>
      <c r="CO105" s="3">
        <f t="shared" si="495"/>
        <v>-19782</v>
      </c>
      <c r="CP105" s="3">
        <f t="shared" si="458"/>
        <v>-134362</v>
      </c>
      <c r="CQ105" s="3">
        <f t="shared" si="459"/>
        <v>0</v>
      </c>
      <c r="CR105" s="3"/>
      <c r="CS105" s="3">
        <f t="shared" si="460"/>
        <v>43974</v>
      </c>
      <c r="CT105" s="3"/>
      <c r="CU105" s="3">
        <f t="shared" si="461"/>
        <v>197</v>
      </c>
      <c r="CV105" s="3"/>
      <c r="CW105" s="3" t="e">
        <f t="shared" ca="1" si="462"/>
        <v>#NUM!</v>
      </c>
      <c r="CY105" s="3" t="e">
        <f t="shared" ca="1" si="463"/>
        <v>#NUM!</v>
      </c>
      <c r="CZ105" s="70" t="e">
        <f t="shared" ca="1" si="505"/>
        <v>#NUM!</v>
      </c>
      <c r="DA105" s="3">
        <f>IF(RTD("tos.rtd",,DA$83,"."&amp;$B$82&amp;$AS$82&amp;"C"&amp;$A105)="N/A",0,RTD("tos.rtd",,DA$83,"."&amp;$B$82&amp;$AS$82&amp;"C"&amp;$A105))</f>
        <v>0.05</v>
      </c>
      <c r="DB105" s="3">
        <f>IF(RTD("tos.rtd",,DB$83,"."&amp;$B$82&amp;$AS$82&amp;"P"&amp;$A105)="N/A",0,RTD("tos.rtd",,DB$83,"."&amp;$B$82&amp;$AS$82&amp;"P"&amp;$A105))</f>
        <v>19.829999999999998</v>
      </c>
      <c r="DC105" s="3">
        <f>IF(RTD("tos.rtd",,DC$83,"."&amp;$B$82&amp;$AS$82&amp;"C"&amp;$A105)="N/A",0,RTD("tos.rtd",,DC$83,"."&amp;$B$82&amp;$AS$82&amp;"C"&amp;$A105))</f>
        <v>0.05</v>
      </c>
      <c r="DD105" s="3">
        <f>IF(RTD("tos.rtd",,DD$83,"."&amp;$B$82&amp;$AS$82&amp;"P"&amp;$A105)="N/A",0,RTD("tos.rtd",,DD$83,"."&amp;$B$82&amp;$AS$82&amp;"P"&amp;$A105))</f>
        <v>20.5</v>
      </c>
      <c r="DE105" s="3">
        <f>IF(RTD("tos.rtd",,DE$83,"."&amp;$B$82&amp;$AS$82&amp;"C"&amp;$A105)="N/A",0,RTD("tos.rtd",,DE$83,"."&amp;$B$82&amp;$AS$82&amp;"C"&amp;$A105))</f>
        <v>0</v>
      </c>
      <c r="DF105" s="3">
        <f>IF(RTD("tos.rtd",,DF$83,"."&amp;$B$82&amp;$AS$82&amp;"P"&amp;$A105)="N/A",0,RTD("tos.rtd",,DF$83,"."&amp;$B$82&amp;$AS$82&amp;"P"&amp;$A105))</f>
        <v>18.2</v>
      </c>
      <c r="DG105" s="86">
        <f t="shared" si="497"/>
        <v>10</v>
      </c>
      <c r="DH105" s="3">
        <f t="shared" si="464"/>
        <v>-68643</v>
      </c>
      <c r="DI105" s="3">
        <f t="shared" si="465"/>
        <v>46658.395652173873</v>
      </c>
      <c r="DJ105" s="3">
        <f t="shared" si="466"/>
        <v>-68643</v>
      </c>
      <c r="DK105" s="3">
        <f t="shared" si="467"/>
        <v>65837</v>
      </c>
      <c r="DL105" s="3">
        <f t="shared" si="468"/>
        <v>-21984.604347826127</v>
      </c>
      <c r="DM105" s="3">
        <f t="shared" si="469"/>
        <v>-2806</v>
      </c>
      <c r="DN105" s="64" t="str">
        <f t="shared" si="470"/>
        <v>UNKNOWN</v>
      </c>
      <c r="DO105" s="64" t="str">
        <f t="shared" si="471"/>
        <v>UNKNOWN</v>
      </c>
      <c r="DP105" s="3">
        <f t="shared" si="472"/>
        <v>921803.83578260778</v>
      </c>
      <c r="DQ105" s="3">
        <f t="shared" si="473"/>
        <v>1302115.56</v>
      </c>
      <c r="DR105" s="3" t="e">
        <f t="shared" ca="1" si="474"/>
        <v>#NUM!</v>
      </c>
      <c r="DS105" s="3">
        <f t="shared" si="475"/>
        <v>39474.14</v>
      </c>
      <c r="DT105" s="3">
        <f t="shared" si="498"/>
        <v>-68643</v>
      </c>
      <c r="DU105" s="3">
        <f t="shared" si="499"/>
        <v>65837</v>
      </c>
      <c r="DV105" s="3">
        <f t="shared" si="500"/>
        <v>1804</v>
      </c>
      <c r="DW105" s="3">
        <f t="shared" si="501"/>
        <v>-2395</v>
      </c>
      <c r="DX105" s="3" t="e">
        <f t="shared" ca="1" si="506"/>
        <v>#NUM!</v>
      </c>
      <c r="DY105" s="3" t="e">
        <f t="shared" ca="1" si="476"/>
        <v>#NUM!</v>
      </c>
      <c r="DZ105" s="3" t="e">
        <f t="shared" ca="1" si="477"/>
        <v>#NUM!</v>
      </c>
      <c r="EA105" s="3" t="e">
        <f t="shared" ca="1" si="478"/>
        <v>#NUM!</v>
      </c>
      <c r="EB105" s="3" t="e">
        <f t="shared" ca="1" si="479"/>
        <v>#NUM!</v>
      </c>
      <c r="EC105" s="3" t="e">
        <f t="shared" ca="1" si="480"/>
        <v>#NUM!</v>
      </c>
      <c r="EE105" s="59">
        <f t="shared" si="481"/>
        <v>0.1085</v>
      </c>
      <c r="EF105" s="59">
        <f t="shared" si="482"/>
        <v>0.80430000000000001</v>
      </c>
      <c r="EG105" s="59">
        <f t="shared" si="483"/>
        <v>0.1085</v>
      </c>
      <c r="EH105" s="59">
        <f t="shared" si="484"/>
        <v>0.2137</v>
      </c>
      <c r="EI105" s="59">
        <f t="shared" si="485"/>
        <v>0.24299999999999999</v>
      </c>
      <c r="EJ105" s="59">
        <f t="shared" si="486"/>
        <v>0.23069999999999999</v>
      </c>
      <c r="EL105" s="3" t="str">
        <f>RTD("tos.rtd",,EL$83,"."&amp;$B$82&amp;$AS$82&amp;"C"&amp;$A105)</f>
        <v>10.85%</v>
      </c>
      <c r="EM105" s="3" t="str">
        <f>RTD("tos.rtd",,EM$83,"."&amp;$B$82&amp;$AS$82&amp;"P"&amp;$A105)</f>
        <v>80.43%</v>
      </c>
      <c r="EN105" s="3" t="str">
        <f>RTD("tos.rtd",,EN$83,"."&amp;$C$82&amp;$AU$82&amp;"C"&amp;$A105)</f>
        <v>10.85%</v>
      </c>
      <c r="EO105" s="3" t="str">
        <f>RTD("tos.rtd",,EO$83,"."&amp;$C$82&amp;$AU$82&amp;"P"&amp;$A105)</f>
        <v>21.37%</v>
      </c>
      <c r="EP105" s="3" t="str">
        <f>RTD("tos.rtd",,EP$83,"."&amp;$D$82&amp;$AW$82&amp;"C"&amp;$A105)</f>
        <v>24.30%</v>
      </c>
      <c r="EQ105" s="3" t="str">
        <f>RTD("tos.rtd",,EQ$83,"."&amp;$D$82&amp;$AW$82&amp;"P"&amp;$A105)</f>
        <v>23.07%</v>
      </c>
      <c r="ES105" s="63" t="str">
        <f t="shared" si="487"/>
        <v>5670,-591.00</v>
      </c>
      <c r="ET105" s="64" t="str">
        <f t="shared" ca="1" si="488"/>
        <v>5670,00.00</v>
      </c>
      <c r="EU105" s="67">
        <v>563.19000000000005</v>
      </c>
      <c r="EV105" s="67" t="s">
        <v>859</v>
      </c>
      <c r="EW105" s="67">
        <v>485.76</v>
      </c>
      <c r="EX105" s="67" t="s">
        <v>860</v>
      </c>
      <c r="EY105" s="67">
        <v>5645.5</v>
      </c>
      <c r="EZ105" s="67" t="s">
        <v>861</v>
      </c>
      <c r="FA105" s="67">
        <v>19955.5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502"/>
        <v>5660</v>
      </c>
      <c r="B106" s="3">
        <f t="shared" si="447"/>
        <v>1671</v>
      </c>
      <c r="C106" s="3">
        <f t="shared" si="448"/>
        <v>2831</v>
      </c>
      <c r="D106" s="3">
        <f t="shared" si="449"/>
        <v>841</v>
      </c>
      <c r="E106" s="3">
        <f t="shared" si="513"/>
        <v>5343</v>
      </c>
      <c r="F106" s="4">
        <f t="shared" si="516"/>
        <v>5684</v>
      </c>
      <c r="G106" s="4">
        <f t="shared" si="514"/>
        <v>564.79999999999995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1708</v>
      </c>
      <c r="AN106" s="20">
        <v>7866</v>
      </c>
      <c r="AO106" s="20">
        <v>5660</v>
      </c>
      <c r="AP106" s="20">
        <v>39961</v>
      </c>
      <c r="AQ106" s="20">
        <v>-67786</v>
      </c>
      <c r="AR106" s="20"/>
      <c r="AS106" s="54">
        <f>IF(RTD("tos.rtd",,AS$83,"."&amp;$B$82&amp;$AS$82&amp;"C"&amp;$A106)="N/A",0,RTD("tos.rtd",,AS$83,"."&amp;$B$82&amp;$AS$82&amp;"C"&amp;$A106))</f>
        <v>965</v>
      </c>
      <c r="AT106" s="3">
        <f>-IF(RTD("tos.rtd",,AT$83,"."&amp;$B$82&amp;$AS$82&amp;"P"&amp;$A106)="N/A",0,RTD("tos.rtd",,AT$83,"."&amp;$B$82&amp;$AS$82&amp;"P"&amp;$A106))</f>
        <v>-706</v>
      </c>
      <c r="AU106" s="54">
        <f>IF(RTD("tos.rtd",,AU$83,"."&amp;$C$82&amp;$AU$82&amp;"C"&amp;$A106)="N/A",0,RTD("tos.rtd",,AU$83,"."&amp;$C$82&amp;$AU$82&amp;"C"&amp;$A106))</f>
        <v>1391</v>
      </c>
      <c r="AV106" s="3">
        <f>-IF(RTD("tos.rtd",,AV$83,"."&amp;$C$82&amp;$AU$82&amp;"P"&amp;$A106)="N/A",0,RTD("tos.rtd",,AV$83,"."&amp;$C$82&amp;$AU$82&amp;"P"&amp;$A106))</f>
        <v>-1440</v>
      </c>
      <c r="AW106" s="54">
        <f>IF(RTD("tos.rtd",,AW$83,"."&amp;$D$82&amp;$AW$82&amp;"C"&amp;$A106)="N/A",0,RTD("tos.rtd",,AW$83,"."&amp;$D$82&amp;$AW$82&amp;"C"&amp;$A106))</f>
        <v>475</v>
      </c>
      <c r="AX106" s="3">
        <f>-IF(RTD("tos.rtd",,AX$83,"."&amp;$D$82&amp;$AW$82&amp;"P"&amp;$A106)="N/A",0,RTD("tos.rtd",,AX$83,"."&amp;$D$82&amp;$AW$82&amp;"P"&amp;$A106))</f>
        <v>-366</v>
      </c>
      <c r="AY106" s="79">
        <f t="shared" si="515"/>
        <v>319</v>
      </c>
      <c r="AZ106" s="8">
        <f t="shared" si="451"/>
        <v>5660</v>
      </c>
      <c r="BA106" s="54">
        <f>IF(RTD("tos.rtd",,BA$83,"."&amp;$B$82&amp;$AS$82&amp;"C"&amp;$A106)="N/A",0,RTD("tos.rtd",,BA$83,"."&amp;$B$82&amp;$AS$82&amp;"C"&amp;$A106))</f>
        <v>0</v>
      </c>
      <c r="BB106" s="3">
        <f>-IF(RTD("tos.rtd",,BB$83,"."&amp;$B$82&amp;$AS$82&amp;"P"&amp;$A106)="N/A",0,RTD("tos.rtd",,BB$83,"."&amp;$B$82&amp;$AS$82&amp;"P"&amp;$A106))</f>
        <v>0</v>
      </c>
      <c r="BC106" s="54">
        <f>IF(RTD("tos.rtd",,BC$83,"."&amp;$C$82&amp;$AU$82&amp;"C"&amp;$A106)="N/A",0,RTD("tos.rtd",,BC$83,"."&amp;$C$82&amp;$AU$82&amp;"C"&amp;$A106))</f>
        <v>58277</v>
      </c>
      <c r="BD106" s="3">
        <f>-IF(RTD("tos.rtd",,BD$83,"."&amp;$C$82&amp;$AU$82&amp;"P"&amp;$A106)="N/A",0,RTD("tos.rtd",,BD$83,"."&amp;$C$82&amp;$AU$82&amp;"P"&amp;$A106))</f>
        <v>-77180</v>
      </c>
      <c r="BE106" s="54">
        <f>IF(RTD("tos.rtd",,BE$83,"."&amp;$D$82&amp;$AW$82&amp;"C"&amp;$A106)="N/A",0,RTD("tos.rtd",,BE$83,"."&amp;$D$82&amp;$AW$82&amp;"C"&amp;$A106))</f>
        <v>795</v>
      </c>
      <c r="BF106" s="3">
        <f>-IF(RTD("tos.rtd",,BF$83,"."&amp;$D$82&amp;$AW$82&amp;"P"&amp;$A106)="N/A",0,RTD("tos.rtd",,BF$83,"."&amp;$D$82&amp;$AW$82&amp;"P"&amp;$A106))</f>
        <v>-1111</v>
      </c>
      <c r="BG106" s="3">
        <f ca="1">+Hoja2!Y107</f>
        <v>-487</v>
      </c>
      <c r="BH106" s="55">
        <f t="shared" ca="1" si="491"/>
        <v>-19706</v>
      </c>
      <c r="BI106" s="32" t="str">
        <f t="shared" ca="1" si="507"/>
        <v>Cruce -</v>
      </c>
      <c r="BJ106" s="3" t="e">
        <f ca="1">IF($BP$1=1,DX106,IF(RTD("tos.rtd",,BJ$83,"."&amp;$B$82&amp;$AS$82&amp;"C"&amp;$A106)="N/A",0,RTD("tos.rtd",,BJ$83,"."&amp;$B$82&amp;$AS$82&amp;"C"&amp;$A106)))</f>
        <v>#NUM!</v>
      </c>
      <c r="BK106" s="3" t="e">
        <f ca="1">IF($BP$1=1,DY106,-IF(RTD("tos.rtd",,BK$83,"."&amp;$B$82&amp;$AS$82&amp;"P"&amp;$A106)="N/A",0,RTD("tos.rtd",,BK$83,"."&amp;$B$82&amp;$AS$82&amp;"P"&amp;$A106)))</f>
        <v>#NUM!</v>
      </c>
      <c r="BL106" s="3" t="e">
        <f ca="1">IF($BP$1=1,DZ106,IF(RTD("tos.rtd",,BL$83,"."&amp;$C$82&amp;$AU$82&amp;"C"&amp;$A106)="N/A",0,RTD("tos.rtd",,BL$83,"."&amp;$C$82&amp;$AU$82&amp;"C"&amp;$A106)))</f>
        <v>#NUM!</v>
      </c>
      <c r="BM106" s="3" t="e">
        <f ca="1">IF($BP$1=1,EA106,-IF(RTD("tos.rtd",,BM$83,"."&amp;$C$82&amp;$AU$82&amp;"P"&amp;$A106)="N/A",0,RTD("tos.rtd",,BM$83,"."&amp;$C$82&amp;$AU$82&amp;"P"&amp;$A106)))</f>
        <v>#NUM!</v>
      </c>
      <c r="BN106" s="3" t="e">
        <f ca="1">IF($BP$1=1,EB106,IF(RTD("tos.rtd",,BN$83,"."&amp;$D$82&amp;$AW$82&amp;"C"&amp;$A106)="N/A",0,RTD("tos.rtd",,BN$83,"."&amp;$D$82&amp;$AW$82&amp;"C"&amp;$A106)))</f>
        <v>#NUM!</v>
      </c>
      <c r="BO106" s="3" t="e">
        <f ca="1">IF($BP$1=1,EC106,-IF(RTD("tos.rtd",,BO$83,"."&amp;$D$82&amp;$AW$82&amp;"P"&amp;$A106)="N/A",0,RTD("tos.rtd",,BO$83,"."&amp;$D$82&amp;$AW$82&amp;"P"&amp;$A106)))</f>
        <v>#NUM!</v>
      </c>
      <c r="BQ106" s="3" t="e">
        <f t="shared" ca="1" si="452"/>
        <v>#NUM!</v>
      </c>
      <c r="BR106" s="3" t="e">
        <f t="shared" ca="1" si="492"/>
        <v>#NUM!</v>
      </c>
      <c r="BS106" s="3" t="e">
        <f t="shared" ca="1" si="453"/>
        <v>#NUM!</v>
      </c>
      <c r="BT106" s="3" t="e">
        <f t="shared" ca="1" si="492"/>
        <v>#NUM!</v>
      </c>
      <c r="BU106" s="3" t="e">
        <f t="shared" ca="1" si="454"/>
        <v>#NUM!</v>
      </c>
      <c r="BV106" s="3" t="e">
        <f t="shared" ca="1" si="492"/>
        <v>#NUM!</v>
      </c>
      <c r="BX106" s="3" t="e">
        <f t="shared" ca="1" si="455"/>
        <v>#NUM!</v>
      </c>
      <c r="BY106" s="3" t="e">
        <f t="shared" ca="1" si="504"/>
        <v>#NUM!</v>
      </c>
      <c r="BZ106" s="3" t="e">
        <f t="shared" ca="1" si="456"/>
        <v>#NUM!</v>
      </c>
      <c r="CA106" s="3" t="e">
        <f t="shared" ca="1" si="504"/>
        <v>#NUM!</v>
      </c>
      <c r="CB106" s="3" t="e">
        <f t="shared" ca="1" si="457"/>
        <v>#NUM!</v>
      </c>
      <c r="CC106" s="3" t="e">
        <f t="shared" ca="1" si="504"/>
        <v>#NUM!</v>
      </c>
      <c r="CD106" s="3">
        <f>IF(RTD("tos.rtd",,CD$83,"."&amp;$B$82&amp;$AS$82&amp;"C"&amp;$A106)="N/A",0,RTD("tos.rtd",,CD$83,"."&amp;$B$82&amp;$AS$82&amp;"C"&amp;$A106))</f>
        <v>0</v>
      </c>
      <c r="CE106" s="3">
        <f>-IF(RTD("tos.rtd",,CE$83,"."&amp;$B$82&amp;$AS$82&amp;"P"&amp;$A106)="N/A",0,RTD("tos.rtd",,CE$83,"."&amp;$B$82&amp;$AS$82&amp;"P"&amp;$A106))</f>
        <v>0.5</v>
      </c>
      <c r="CF106" s="3">
        <f>IF(RTD("tos.rtd",,CF$83,"."&amp;$C$82&amp;$AU$82&amp;"C"&amp;$A106)="N/A",0,RTD("tos.rtd",,CF$83,"."&amp;$C$82&amp;$AU$82&amp;"C"&amp;$A106))</f>
        <v>0.48</v>
      </c>
      <c r="CG106" s="3">
        <f>-IF(RTD("tos.rtd",,CG$83,"."&amp;$C$82&amp;$AU$82&amp;"P"&amp;$A106)="N/A",0,RTD("tos.rtd",,CG$83,"."&amp;$C$82&amp;$AU$82&amp;"P"&amp;$A106))</f>
        <v>0.52</v>
      </c>
      <c r="CH106" s="3">
        <f>IF(RTD("tos.rtd",,CH$83,"."&amp;$D$82&amp;$AW$82&amp;"C"&amp;$A106)="N/A",0,RTD("tos.rtd",,CH$83,"."&amp;$D$82&amp;$AW$82&amp;"C"&amp;$A106))</f>
        <v>0.51</v>
      </c>
      <c r="CI106" s="3">
        <f>-IF(RTD("tos.rtd",,CI$83,"."&amp;$D$82&amp;$AW$82&amp;"P"&amp;$A106)="N/A",0,RTD("tos.rtd",,CI$83,"."&amp;$D$82&amp;$AW$82&amp;"P"&amp;$A106))</f>
        <v>0.49</v>
      </c>
      <c r="CK106" s="3">
        <f t="shared" si="493"/>
        <v>-35300</v>
      </c>
      <c r="CL106" s="3"/>
      <c r="CM106" s="3">
        <f t="shared" si="494"/>
        <v>-8112</v>
      </c>
      <c r="CN106" s="3"/>
      <c r="CO106" s="3">
        <f t="shared" si="495"/>
        <v>6291</v>
      </c>
      <c r="CP106" s="3">
        <f t="shared" si="458"/>
        <v>-37121</v>
      </c>
      <c r="CQ106" s="3">
        <f t="shared" si="459"/>
        <v>0</v>
      </c>
      <c r="CR106" s="3"/>
      <c r="CS106" s="3">
        <f t="shared" si="460"/>
        <v>-18903</v>
      </c>
      <c r="CT106" s="3"/>
      <c r="CU106" s="3">
        <f t="shared" si="461"/>
        <v>-316</v>
      </c>
      <c r="CV106" s="3"/>
      <c r="CW106" s="3" t="e">
        <f t="shared" ca="1" si="462"/>
        <v>#NUM!</v>
      </c>
      <c r="CY106" s="3" t="e">
        <f t="shared" ca="1" si="463"/>
        <v>#NUM!</v>
      </c>
      <c r="CZ106" s="70" t="e">
        <f t="shared" ca="1" si="505"/>
        <v>#NUM!</v>
      </c>
      <c r="DA106" s="3">
        <f>IF(RTD("tos.rtd",,DA$83,"."&amp;$B$82&amp;$AS$82&amp;"C"&amp;$A106)="N/A",0,RTD("tos.rtd",,DA$83,"."&amp;$B$82&amp;$AS$82&amp;"C"&amp;$A106))</f>
        <v>0.05</v>
      </c>
      <c r="DB106" s="3">
        <f>IF(RTD("tos.rtd",,DB$83,"."&amp;$B$82&amp;$AS$82&amp;"P"&amp;$A106)="N/A",0,RTD("tos.rtd",,DB$83,"."&amp;$B$82&amp;$AS$82&amp;"P"&amp;$A106))</f>
        <v>9.9</v>
      </c>
      <c r="DC106" s="3">
        <f>IF(RTD("tos.rtd",,DC$83,"."&amp;$B$82&amp;$AS$82&amp;"C"&amp;$A106)="N/A",0,RTD("tos.rtd",,DC$83,"."&amp;$B$82&amp;$AS$82&amp;"C"&amp;$A106))</f>
        <v>0.05</v>
      </c>
      <c r="DD106" s="3">
        <f>IF(RTD("tos.rtd",,DD$83,"."&amp;$B$82&amp;$AS$82&amp;"P"&amp;$A106)="N/A",0,RTD("tos.rtd",,DD$83,"."&amp;$B$82&amp;$AS$82&amp;"P"&amp;$A106))</f>
        <v>10.199999999999999</v>
      </c>
      <c r="DE106" s="3">
        <f>IF(RTD("tos.rtd",,DE$83,"."&amp;$B$82&amp;$AS$82&amp;"C"&amp;$A106)="N/A",0,RTD("tos.rtd",,DE$83,"."&amp;$B$82&amp;$AS$82&amp;"C"&amp;$A106))</f>
        <v>0</v>
      </c>
      <c r="DF106" s="3">
        <f>IF(RTD("tos.rtd",,DF$83,"."&amp;$B$82&amp;$AS$82&amp;"P"&amp;$A106)="N/A",0,RTD("tos.rtd",,DF$83,"."&amp;$B$82&amp;$AS$82&amp;"P"&amp;$A106))</f>
        <v>9.1999999999999993</v>
      </c>
      <c r="DG106" s="86">
        <f t="shared" si="497"/>
        <v>0</v>
      </c>
      <c r="DH106" s="3">
        <f t="shared" si="464"/>
        <v>-39961</v>
      </c>
      <c r="DI106" s="3">
        <f t="shared" si="465"/>
        <v>47450.20000000007</v>
      </c>
      <c r="DJ106" s="3">
        <f t="shared" si="466"/>
        <v>-39961</v>
      </c>
      <c r="DK106" s="3">
        <f t="shared" si="467"/>
        <v>67786</v>
      </c>
      <c r="DL106" s="3">
        <f t="shared" si="468"/>
        <v>7489.2000000000698</v>
      </c>
      <c r="DM106" s="3">
        <f t="shared" si="469"/>
        <v>27825</v>
      </c>
      <c r="DN106" s="64" t="str">
        <f t="shared" si="470"/>
        <v>UNKNOWN</v>
      </c>
      <c r="DO106" s="64" t="str">
        <f t="shared" si="471"/>
        <v>UNKNOWN</v>
      </c>
      <c r="DP106" s="3">
        <f t="shared" si="472"/>
        <v>467758.93000000069</v>
      </c>
      <c r="DQ106" s="3">
        <f t="shared" si="473"/>
        <v>669083.35</v>
      </c>
      <c r="DR106" s="3" t="e">
        <f t="shared" ca="1" si="474"/>
        <v>#NUM!</v>
      </c>
      <c r="DS106" s="3">
        <f t="shared" si="475"/>
        <v>33893</v>
      </c>
      <c r="DT106" s="3">
        <f>BA106-VLOOKUP(AZ106,$AO$85:$AQ$130,2,FALSE)</f>
        <v>-39961</v>
      </c>
      <c r="DU106" s="3">
        <f t="shared" si="499"/>
        <v>67786</v>
      </c>
      <c r="DV106" s="3">
        <f t="shared" si="500"/>
        <v>1708</v>
      </c>
      <c r="DW106" s="3">
        <f t="shared" si="501"/>
        <v>7866</v>
      </c>
      <c r="DX106" s="3" t="e">
        <f t="shared" ca="1" si="506"/>
        <v>#NUM!</v>
      </c>
      <c r="DY106" s="3" t="e">
        <f t="shared" ca="1" si="476"/>
        <v>#NUM!</v>
      </c>
      <c r="DZ106" s="3" t="e">
        <f t="shared" ca="1" si="477"/>
        <v>#NUM!</v>
      </c>
      <c r="EA106" s="3" t="e">
        <f t="shared" ca="1" si="478"/>
        <v>#NUM!</v>
      </c>
      <c r="EB106" s="3" t="e">
        <f t="shared" ca="1" si="479"/>
        <v>#NUM!</v>
      </c>
      <c r="EC106" s="3" t="e">
        <f t="shared" ca="1" si="480"/>
        <v>#NUM!</v>
      </c>
      <c r="EE106" s="59">
        <f t="shared" si="481"/>
        <v>1.32E-2</v>
      </c>
      <c r="EF106" s="59">
        <f t="shared" si="482"/>
        <v>0.56659999999999999</v>
      </c>
      <c r="EG106" s="59">
        <f t="shared" si="483"/>
        <v>2.8500000000000001E-2</v>
      </c>
      <c r="EH106" s="59">
        <f t="shared" si="484"/>
        <v>0.03</v>
      </c>
      <c r="EI106" s="59">
        <f t="shared" si="485"/>
        <v>0.24490000000000001</v>
      </c>
      <c r="EJ106" s="59">
        <f t="shared" si="486"/>
        <v>0.2326</v>
      </c>
      <c r="EL106" s="3" t="str">
        <f>RTD("tos.rtd",,EL$83,"."&amp;$B$82&amp;$AS$82&amp;"C"&amp;$A106)</f>
        <v>1.32%</v>
      </c>
      <c r="EM106" s="3" t="str">
        <f>RTD("tos.rtd",,EM$83,"."&amp;$B$82&amp;$AS$82&amp;"P"&amp;$A106)</f>
        <v>56.66%</v>
      </c>
      <c r="EN106" s="3" t="str">
        <f>RTD("tos.rtd",,EN$83,"."&amp;$C$82&amp;$AU$82&amp;"C"&amp;$A106)</f>
        <v>2.85%</v>
      </c>
      <c r="EO106" s="3" t="str">
        <f>RTD("tos.rtd",,EO$83,"."&amp;$C$82&amp;$AU$82&amp;"P"&amp;$A106)</f>
        <v>3.00%</v>
      </c>
      <c r="EP106" s="3" t="str">
        <f>RTD("tos.rtd",,EP$83,"."&amp;$D$82&amp;$AW$82&amp;"C"&amp;$A106)</f>
        <v>24.49%</v>
      </c>
      <c r="EQ106" s="3" t="str">
        <f>RTD("tos.rtd",,EQ$83,"."&amp;$D$82&amp;$AW$82&amp;"P"&amp;$A106)</f>
        <v>23.26%</v>
      </c>
      <c r="ES106" s="63" t="str">
        <f t="shared" si="487"/>
        <v>5660,9574.00</v>
      </c>
      <c r="ET106" s="64" t="str">
        <f t="shared" ca="1" si="488"/>
        <v>5660,00.00</v>
      </c>
      <c r="EU106" s="67">
        <v>563.05999999999995</v>
      </c>
      <c r="EV106" s="67" t="s">
        <v>867</v>
      </c>
      <c r="EW106" s="67">
        <v>485.62</v>
      </c>
      <c r="EX106" s="67" t="s">
        <v>868</v>
      </c>
      <c r="EY106" s="67">
        <v>5644.25</v>
      </c>
      <c r="EZ106" s="67" t="s">
        <v>869</v>
      </c>
      <c r="FA106" s="67">
        <v>19948.75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502"/>
        <v>5650</v>
      </c>
      <c r="B107" s="3">
        <f t="shared" si="447"/>
        <v>3300</v>
      </c>
      <c r="C107" s="3">
        <f t="shared" si="448"/>
        <v>6703</v>
      </c>
      <c r="D107" s="3">
        <f t="shared" si="449"/>
        <v>1763</v>
      </c>
      <c r="E107" s="3">
        <f t="shared" si="513"/>
        <v>11766</v>
      </c>
      <c r="F107" s="4">
        <f t="shared" si="516"/>
        <v>5673.9575971731447</v>
      </c>
      <c r="G107" s="4">
        <f t="shared" si="514"/>
        <v>563.8021201413427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-35</v>
      </c>
      <c r="AN107" s="20">
        <v>13240</v>
      </c>
      <c r="AO107" s="20">
        <v>5650</v>
      </c>
      <c r="AP107" s="20">
        <v>34234</v>
      </c>
      <c r="AQ107" s="20">
        <v>-91545</v>
      </c>
      <c r="AR107" s="20"/>
      <c r="AS107" s="54">
        <f>IF(RTD("tos.rtd",,AS$83,"."&amp;$B$82&amp;$AS$82&amp;"C"&amp;$A107)="N/A",0,RTD("tos.rtd",,AS$83,"."&amp;$B$82&amp;$AS$82&amp;"C"&amp;$A107))</f>
        <v>1330</v>
      </c>
      <c r="AT107" s="3">
        <f>-IF(RTD("tos.rtd",,AT$83,"."&amp;$B$82&amp;$AS$82&amp;"P"&amp;$A107)="N/A",0,RTD("tos.rtd",,AT$83,"."&amp;$B$82&amp;$AS$82&amp;"P"&amp;$A107))</f>
        <v>-1970</v>
      </c>
      <c r="AU107" s="54">
        <f>IF(RTD("tos.rtd",,AU$83,"."&amp;$C$82&amp;$AU$82&amp;"C"&amp;$A107)="N/A",0,RTD("tos.rtd",,AU$83,"."&amp;$C$82&amp;$AU$82&amp;"C"&amp;$A107))</f>
        <v>3508</v>
      </c>
      <c r="AV107" s="3">
        <f>-IF(RTD("tos.rtd",,AV$83,"."&amp;$C$82&amp;$AU$82&amp;"P"&amp;$A107)="N/A",0,RTD("tos.rtd",,AV$83,"."&amp;$C$82&amp;$AU$82&amp;"P"&amp;$A107))</f>
        <v>-3195</v>
      </c>
      <c r="AW107" s="54">
        <f>IF(RTD("tos.rtd",,AW$83,"."&amp;$D$82&amp;$AW$82&amp;"C"&amp;$A107)="N/A",0,RTD("tos.rtd",,AW$83,"."&amp;$D$82&amp;$AW$82&amp;"C"&amp;$A107))</f>
        <v>892</v>
      </c>
      <c r="AX107" s="3">
        <f>-IF(RTD("tos.rtd",,AX$83,"."&amp;$D$82&amp;$AW$82&amp;"P"&amp;$A107)="N/A",0,RTD("tos.rtd",,AX$83,"."&amp;$D$82&amp;$AW$82&amp;"P"&amp;$A107))</f>
        <v>-871</v>
      </c>
      <c r="AY107" s="79">
        <f t="shared" si="515"/>
        <v>-306</v>
      </c>
      <c r="AZ107" s="8">
        <f t="shared" si="451"/>
        <v>5650</v>
      </c>
      <c r="BA107" s="54">
        <f>IF(RTD("tos.rtd",,BA$83,"."&amp;$B$82&amp;$AS$82&amp;"C"&amp;$A107)="N/A",0,RTD("tos.rtd",,BA$83,"."&amp;$B$82&amp;$AS$82&amp;"C"&amp;$A107))</f>
        <v>0</v>
      </c>
      <c r="BB107" s="3">
        <f>-IF(RTD("tos.rtd",,BB$83,"."&amp;$B$82&amp;$AS$82&amp;"P"&amp;$A107)="N/A",0,RTD("tos.rtd",,BB$83,"."&amp;$B$82&amp;$AS$82&amp;"P"&amp;$A107))</f>
        <v>0</v>
      </c>
      <c r="BC107" s="54">
        <f>IF(RTD("tos.rtd",,BC$83,"."&amp;$C$82&amp;$AU$82&amp;"C"&amp;$A107)="N/A",0,RTD("tos.rtd",,BC$83,"."&amp;$C$82&amp;$AU$82&amp;"C"&amp;$A107))</f>
        <v>21738</v>
      </c>
      <c r="BD107" s="3">
        <f>-IF(RTD("tos.rtd",,BD$83,"."&amp;$C$82&amp;$AU$82&amp;"P"&amp;$A107)="N/A",0,RTD("tos.rtd",,BD$83,"."&amp;$C$82&amp;$AU$82&amp;"P"&amp;$A107))</f>
        <v>-91277</v>
      </c>
      <c r="BE107" s="54">
        <f>IF(RTD("tos.rtd",,BE$83,"."&amp;$D$82&amp;$AW$82&amp;"C"&amp;$A107)="N/A",0,RTD("tos.rtd",,BE$83,"."&amp;$D$82&amp;$AW$82&amp;"C"&amp;$A107))</f>
        <v>412</v>
      </c>
      <c r="BF107" s="3">
        <f>-IF(RTD("tos.rtd",,BF$83,"."&amp;$D$82&amp;$AW$82&amp;"P"&amp;$A107)="N/A",0,RTD("tos.rtd",,BF$83,"."&amp;$D$82&amp;$AW$82&amp;"P"&amp;$A107))</f>
        <v>-735</v>
      </c>
      <c r="BG107" s="3">
        <f ca="1">+Hoja2!Y108</f>
        <v>-1045</v>
      </c>
      <c r="BH107" s="55">
        <f t="shared" ca="1" si="491"/>
        <v>-70907</v>
      </c>
      <c r="BI107" s="32" t="str">
        <f t="shared" ca="1" si="507"/>
        <v/>
      </c>
      <c r="BJ107" s="3" t="e">
        <f ca="1">IF($BP$1=1,DX107,IF(RTD("tos.rtd",,BJ$83,"."&amp;$B$82&amp;$AS$82&amp;"C"&amp;$A107)="N/A",0,RTD("tos.rtd",,BJ$83,"."&amp;$B$82&amp;$AS$82&amp;"C"&amp;$A107)))</f>
        <v>#NUM!</v>
      </c>
      <c r="BK107" s="3" t="e">
        <f ca="1">IF($BP$1=1,DY107,-IF(RTD("tos.rtd",,BK$83,"."&amp;$B$82&amp;$AS$82&amp;"P"&amp;$A107)="N/A",0,RTD("tos.rtd",,BK$83,"."&amp;$B$82&amp;$AS$82&amp;"P"&amp;$A107)))</f>
        <v>#NUM!</v>
      </c>
      <c r="BL107" s="3" t="e">
        <f ca="1">IF($BP$1=1,DZ107,IF(RTD("tos.rtd",,BL$83,"."&amp;$C$82&amp;$AU$82&amp;"C"&amp;$A107)="N/A",0,RTD("tos.rtd",,BL$83,"."&amp;$C$82&amp;$AU$82&amp;"C"&amp;$A107)))</f>
        <v>#NUM!</v>
      </c>
      <c r="BM107" s="3" t="e">
        <f ca="1">IF($BP$1=1,EA107,-IF(RTD("tos.rtd",,BM$83,"."&amp;$C$82&amp;$AU$82&amp;"P"&amp;$A107)="N/A",0,RTD("tos.rtd",,BM$83,"."&amp;$C$82&amp;$AU$82&amp;"P"&amp;$A107)))</f>
        <v>#NUM!</v>
      </c>
      <c r="BN107" s="3" t="e">
        <f ca="1">IF($BP$1=1,EB107,IF(RTD("tos.rtd",,BN$83,"."&amp;$D$82&amp;$AW$82&amp;"C"&amp;$A107)="N/A",0,RTD("tos.rtd",,BN$83,"."&amp;$D$82&amp;$AW$82&amp;"C"&amp;$A107)))</f>
        <v>#NUM!</v>
      </c>
      <c r="BO107" s="3" t="e">
        <f ca="1">IF($BP$1=1,EC107,-IF(RTD("tos.rtd",,BO$83,"."&amp;$D$82&amp;$AW$82&amp;"P"&amp;$A107)="N/A",0,RTD("tos.rtd",,BO$83,"."&amp;$D$82&amp;$AW$82&amp;"P"&amp;$A107)))</f>
        <v>#NUM!</v>
      </c>
      <c r="BQ107" s="3" t="e">
        <f t="shared" ca="1" si="452"/>
        <v>#NUM!</v>
      </c>
      <c r="BR107" s="3" t="e">
        <f t="shared" ca="1" si="492"/>
        <v>#NUM!</v>
      </c>
      <c r="BS107" s="3" t="e">
        <f t="shared" ca="1" si="453"/>
        <v>#NUM!</v>
      </c>
      <c r="BT107" s="3" t="e">
        <f t="shared" ca="1" si="492"/>
        <v>#NUM!</v>
      </c>
      <c r="BU107" s="3" t="e">
        <f t="shared" ca="1" si="454"/>
        <v>#NUM!</v>
      </c>
      <c r="BV107" s="3" t="e">
        <f t="shared" ca="1" si="492"/>
        <v>#NUM!</v>
      </c>
      <c r="BX107" s="3" t="e">
        <f t="shared" ca="1" si="455"/>
        <v>#NUM!</v>
      </c>
      <c r="BY107" s="3" t="e">
        <f t="shared" ca="1" si="504"/>
        <v>#NUM!</v>
      </c>
      <c r="BZ107" s="3" t="e">
        <f t="shared" ca="1" si="456"/>
        <v>#NUM!</v>
      </c>
      <c r="CA107" s="3" t="e">
        <f t="shared" ca="1" si="504"/>
        <v>#NUM!</v>
      </c>
      <c r="CB107" s="3" t="e">
        <f t="shared" ca="1" si="457"/>
        <v>#NUM!</v>
      </c>
      <c r="CC107" s="3" t="e">
        <f t="shared" ca="1" si="504"/>
        <v>#NUM!</v>
      </c>
      <c r="CD107" s="3">
        <f>IF(RTD("tos.rtd",,CD$83,"."&amp;$B$82&amp;$AS$82&amp;"C"&amp;$A107)="N/A",0,RTD("tos.rtd",,CD$83,"."&amp;$B$82&amp;$AS$82&amp;"C"&amp;$A107))</f>
        <v>1</v>
      </c>
      <c r="CE107" s="3">
        <f>-IF(RTD("tos.rtd",,CE$83,"."&amp;$B$82&amp;$AS$82&amp;"P"&amp;$A107)="N/A",0,RTD("tos.rtd",,CE$83,"."&amp;$B$82&amp;$AS$82&amp;"P"&amp;$A107))</f>
        <v>0.12</v>
      </c>
      <c r="CF107" s="3">
        <f>IF(RTD("tos.rtd",,CF$83,"."&amp;$C$82&amp;$AU$82&amp;"C"&amp;$A107)="N/A",0,RTD("tos.rtd",,CF$83,"."&amp;$C$82&amp;$AU$82&amp;"C"&amp;$A107))</f>
        <v>0.94</v>
      </c>
      <c r="CG107" s="3">
        <f>-IF(RTD("tos.rtd",,CG$83,"."&amp;$C$82&amp;$AU$82&amp;"P"&amp;$A107)="N/A",0,RTD("tos.rtd",,CG$83,"."&amp;$C$82&amp;$AU$82&amp;"P"&amp;$A107))</f>
        <v>0.02</v>
      </c>
      <c r="CH107" s="3">
        <f>IF(RTD("tos.rtd",,CH$83,"."&amp;$D$82&amp;$AW$82&amp;"C"&amp;$A107)="N/A",0,RTD("tos.rtd",,CH$83,"."&amp;$D$82&amp;$AW$82&amp;"C"&amp;$A107))</f>
        <v>0.54</v>
      </c>
      <c r="CI107" s="3">
        <f>-IF(RTD("tos.rtd",,CI$83,"."&amp;$D$82&amp;$AW$82&amp;"P"&amp;$A107)="N/A",0,RTD("tos.rtd",,CI$83,"."&amp;$D$82&amp;$AW$82&amp;"P"&amp;$A107))</f>
        <v>0.46</v>
      </c>
      <c r="CK107" s="3">
        <f t="shared" si="493"/>
        <v>109360</v>
      </c>
      <c r="CL107" s="3"/>
      <c r="CM107" s="3">
        <f t="shared" si="494"/>
        <v>323362</v>
      </c>
      <c r="CN107" s="3"/>
      <c r="CO107" s="3">
        <f t="shared" si="495"/>
        <v>8102</v>
      </c>
      <c r="CP107" s="3">
        <f t="shared" si="458"/>
        <v>440824</v>
      </c>
      <c r="CQ107" s="3">
        <f t="shared" si="459"/>
        <v>0</v>
      </c>
      <c r="CR107" s="3"/>
      <c r="CS107" s="3">
        <f t="shared" si="460"/>
        <v>-69539</v>
      </c>
      <c r="CT107" s="3"/>
      <c r="CU107" s="3">
        <f t="shared" si="461"/>
        <v>-323</v>
      </c>
      <c r="CV107" s="3"/>
      <c r="CW107" s="3" t="e">
        <f t="shared" ca="1" si="462"/>
        <v>#NUM!</v>
      </c>
      <c r="CY107" s="3" t="e">
        <f t="shared" ca="1" si="463"/>
        <v>#NUM!</v>
      </c>
      <c r="CZ107" s="70" t="e">
        <f t="shared" ca="1" si="505"/>
        <v>#NUM!</v>
      </c>
      <c r="DA107" s="3">
        <f>IF(RTD("tos.rtd",,DA$83,"."&amp;$B$82&amp;$AS$82&amp;"C"&amp;$A107)="N/A",0,RTD("tos.rtd",,DA$83,"."&amp;$B$82&amp;$AS$82&amp;"C"&amp;$A107))</f>
        <v>0.55000000000000004</v>
      </c>
      <c r="DB107" s="3">
        <f>IF(RTD("tos.rtd",,DB$83,"."&amp;$B$82&amp;$AS$82&amp;"P"&amp;$A107)="N/A",0,RTD("tos.rtd",,DB$83,"."&amp;$B$82&amp;$AS$82&amp;"P"&amp;$A107))</f>
        <v>0.5</v>
      </c>
      <c r="DC107" s="3">
        <f>IF(RTD("tos.rtd",,DC$83,"."&amp;$B$82&amp;$AS$82&amp;"C"&amp;$A107)="N/A",0,RTD("tos.rtd",,DC$83,"."&amp;$B$82&amp;$AS$82&amp;"C"&amp;$A107))</f>
        <v>0.45</v>
      </c>
      <c r="DD107" s="3">
        <f>IF(RTD("tos.rtd",,DD$83,"."&amp;$B$82&amp;$AS$82&amp;"P"&amp;$A107)="N/A",0,RTD("tos.rtd",,DD$83,"."&amp;$B$82&amp;$AS$82&amp;"P"&amp;$A107))</f>
        <v>0.55000000000000004</v>
      </c>
      <c r="DE107" s="3">
        <f>IF(RTD("tos.rtd",,DE$83,"."&amp;$B$82&amp;$AS$82&amp;"C"&amp;$A107)="N/A",0,RTD("tos.rtd",,DE$83,"."&amp;$B$82&amp;$AS$82&amp;"C"&amp;$A107))</f>
        <v>0.2</v>
      </c>
      <c r="DF107" s="3">
        <f>IF(RTD("tos.rtd",,DF$83,"."&amp;$B$82&amp;$AS$82&amp;"P"&amp;$A107)="N/A",0,RTD("tos.rtd",,DF$83,"."&amp;$B$82&amp;$AS$82&amp;"P"&amp;$A107))</f>
        <v>0.5</v>
      </c>
      <c r="DG107" s="86">
        <f t="shared" si="497"/>
        <v>-10</v>
      </c>
      <c r="DH107" s="3">
        <f t="shared" si="464"/>
        <v>-47927.600000000006</v>
      </c>
      <c r="DI107" s="3">
        <f t="shared" si="465"/>
        <v>0</v>
      </c>
      <c r="DJ107" s="3">
        <f t="shared" si="466"/>
        <v>-34234</v>
      </c>
      <c r="DK107" s="3">
        <f t="shared" si="467"/>
        <v>-91545</v>
      </c>
      <c r="DL107" s="3">
        <f t="shared" si="468"/>
        <v>-47927.600000000006</v>
      </c>
      <c r="DM107" s="3">
        <f t="shared" si="469"/>
        <v>-125779</v>
      </c>
      <c r="DN107" s="64" t="str">
        <f t="shared" si="470"/>
        <v>UNKNOWN</v>
      </c>
      <c r="DO107" s="64" t="str">
        <f t="shared" si="471"/>
        <v>UNKNOWN</v>
      </c>
      <c r="DP107" s="3">
        <f t="shared" si="472"/>
        <v>-26360.180000000004</v>
      </c>
      <c r="DQ107" s="3">
        <f t="shared" si="473"/>
        <v>-64601.2</v>
      </c>
      <c r="DR107" s="3" t="e">
        <f t="shared" ca="1" si="474"/>
        <v>#NUM!</v>
      </c>
      <c r="DS107" s="3">
        <f t="shared" si="475"/>
        <v>-45219.4</v>
      </c>
      <c r="DT107" s="3">
        <f t="shared" si="498"/>
        <v>-34234</v>
      </c>
      <c r="DU107" s="3">
        <f t="shared" si="499"/>
        <v>91545</v>
      </c>
      <c r="DV107" s="3">
        <f t="shared" si="500"/>
        <v>-35</v>
      </c>
      <c r="DW107" s="3">
        <f t="shared" si="501"/>
        <v>13240</v>
      </c>
      <c r="DX107" s="3" t="e">
        <f t="shared" ca="1" si="506"/>
        <v>#NUM!</v>
      </c>
      <c r="DY107" s="3" t="e">
        <f t="shared" ca="1" si="476"/>
        <v>#NUM!</v>
      </c>
      <c r="DZ107" s="3" t="e">
        <f t="shared" ca="1" si="477"/>
        <v>#NUM!</v>
      </c>
      <c r="EA107" s="3" t="e">
        <f t="shared" ca="1" si="478"/>
        <v>#NUM!</v>
      </c>
      <c r="EB107" s="3" t="e">
        <f t="shared" ca="1" si="479"/>
        <v>#NUM!</v>
      </c>
      <c r="EC107" s="3" t="e">
        <f t="shared" ca="1" si="480"/>
        <v>#NUM!</v>
      </c>
      <c r="EE107" s="59">
        <f t="shared" si="481"/>
        <v>0.25</v>
      </c>
      <c r="EF107" s="59">
        <f t="shared" si="482"/>
        <v>0.20080000000000001</v>
      </c>
      <c r="EG107" s="59">
        <f t="shared" si="483"/>
        <v>0.15160000000000001</v>
      </c>
      <c r="EH107" s="59">
        <f t="shared" si="484"/>
        <v>0.10730000000000001</v>
      </c>
      <c r="EI107" s="59">
        <f t="shared" si="485"/>
        <v>0.247</v>
      </c>
      <c r="EJ107" s="59">
        <f t="shared" si="486"/>
        <v>0.2344</v>
      </c>
      <c r="EL107" s="3" t="str">
        <f>RTD("tos.rtd",,EL$83,"."&amp;$B$82&amp;$AS$82&amp;"C"&amp;$A107)</f>
        <v>--</v>
      </c>
      <c r="EM107" s="3" t="str">
        <f>RTD("tos.rtd",,EM$83,"."&amp;$B$82&amp;$AS$82&amp;"P"&amp;$A107)</f>
        <v>20.08%</v>
      </c>
      <c r="EN107" s="3" t="str">
        <f>RTD("tos.rtd",,EN$83,"."&amp;$C$82&amp;$AU$82&amp;"C"&amp;$A107)</f>
        <v>15.16%</v>
      </c>
      <c r="EO107" s="3" t="str">
        <f>RTD("tos.rtd",,EO$83,"."&amp;$C$82&amp;$AU$82&amp;"P"&amp;$A107)</f>
        <v>10.73%</v>
      </c>
      <c r="EP107" s="3" t="str">
        <f>RTD("tos.rtd",,EP$83,"."&amp;$D$82&amp;$AW$82&amp;"C"&amp;$A107)</f>
        <v>24.70%</v>
      </c>
      <c r="EQ107" s="3" t="str">
        <f>RTD("tos.rtd",,EQ$83,"."&amp;$D$82&amp;$AW$82&amp;"P"&amp;$A107)</f>
        <v>23.44%</v>
      </c>
      <c r="ES107" s="63" t="str">
        <f t="shared" si="487"/>
        <v>5650,13205.00</v>
      </c>
      <c r="ET107" s="64" t="str">
        <f t="shared" ca="1" si="488"/>
        <v>5650,00.00</v>
      </c>
      <c r="EU107" s="67">
        <v>563.03</v>
      </c>
      <c r="EV107" s="67" t="s">
        <v>875</v>
      </c>
      <c r="EW107" s="67">
        <v>485.63</v>
      </c>
      <c r="EX107" s="67" t="s">
        <v>876</v>
      </c>
      <c r="EY107" s="67">
        <v>5644.25</v>
      </c>
      <c r="EZ107" s="67" t="s">
        <v>877</v>
      </c>
      <c r="FA107" s="67">
        <v>19950.75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502"/>
        <v>5640</v>
      </c>
      <c r="B108" s="10">
        <f t="shared" si="447"/>
        <v>1260</v>
      </c>
      <c r="C108" s="10">
        <f t="shared" si="448"/>
        <v>2034</v>
      </c>
      <c r="D108" s="10">
        <f t="shared" si="449"/>
        <v>1675</v>
      </c>
      <c r="E108" s="10">
        <f t="shared" si="513"/>
        <v>4969</v>
      </c>
      <c r="F108" s="11">
        <f t="shared" si="516"/>
        <v>5663.9151943462894</v>
      </c>
      <c r="G108" s="11">
        <f t="shared" si="514"/>
        <v>562.80424028268544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-595</v>
      </c>
      <c r="AN108" s="10">
        <v>5880</v>
      </c>
      <c r="AO108" s="10">
        <v>5640</v>
      </c>
      <c r="AP108" s="10">
        <v>8242</v>
      </c>
      <c r="AQ108" s="10">
        <v>-44862</v>
      </c>
      <c r="AR108" s="10"/>
      <c r="AS108" s="54">
        <f>IF(RTD("tos.rtd",,AS$83,"."&amp;$B$82&amp;$AS$82&amp;"C"&amp;$A108)="N/A",0,RTD("tos.rtd",,AS$83,"."&amp;$B$82&amp;$AS$82&amp;"C"&amp;$A108))</f>
        <v>369</v>
      </c>
      <c r="AT108" s="3">
        <f>-IF(RTD("tos.rtd",,AT$83,"."&amp;$B$82&amp;$AS$82&amp;"P"&amp;$A108)="N/A",0,RTD("tos.rtd",,AT$83,"."&amp;$B$82&amp;$AS$82&amp;"P"&amp;$A108))</f>
        <v>-891</v>
      </c>
      <c r="AU108" s="54">
        <f>IF(RTD("tos.rtd",,AU$83,"."&amp;$C$82&amp;$AU$82&amp;"C"&amp;$A108)="N/A",0,RTD("tos.rtd",,AU$83,"."&amp;$C$82&amp;$AU$82&amp;"C"&amp;$A108))</f>
        <v>1190</v>
      </c>
      <c r="AV108" s="3">
        <f>-IF(RTD("tos.rtd",,AV$83,"."&amp;$C$82&amp;$AU$82&amp;"P"&amp;$A108)="N/A",0,RTD("tos.rtd",,AV$83,"."&amp;$C$82&amp;$AU$82&amp;"P"&amp;$A108))</f>
        <v>-844</v>
      </c>
      <c r="AW108" s="54">
        <f>IF(RTD("tos.rtd",,AW$83,"."&amp;$D$82&amp;$AW$82&amp;"C"&amp;$A108)="N/A",0,RTD("tos.rtd",,AW$83,"."&amp;$D$82&amp;$AW$82&amp;"C"&amp;$A108))</f>
        <v>731</v>
      </c>
      <c r="AX108" s="3">
        <f>-IF(RTD("tos.rtd",,AX$83,"."&amp;$D$82&amp;$AW$82&amp;"P"&amp;$A108)="N/A",0,RTD("tos.rtd",,AX$83,"."&amp;$D$82&amp;$AW$82&amp;"P"&amp;$A108))</f>
        <v>-944</v>
      </c>
      <c r="AY108" s="80">
        <f t="shared" si="515"/>
        <v>-389</v>
      </c>
      <c r="AZ108" s="8">
        <f t="shared" si="451"/>
        <v>5640</v>
      </c>
      <c r="BA108" s="54">
        <f>IF(RTD("tos.rtd",,BA$83,"."&amp;$B$82&amp;$AS$82&amp;"C"&amp;$A108)="N/A",0,RTD("tos.rtd",,BA$83,"."&amp;$B$82&amp;$AS$82&amp;"C"&amp;$A108))</f>
        <v>0</v>
      </c>
      <c r="BB108" s="3">
        <f>-IF(RTD("tos.rtd",,BB$83,"."&amp;$B$82&amp;$AS$82&amp;"P"&amp;$A108)="N/A",0,RTD("tos.rtd",,BB$83,"."&amp;$B$82&amp;$AS$82&amp;"P"&amp;$A108))</f>
        <v>0</v>
      </c>
      <c r="BC108" s="54">
        <f>IF(RTD("tos.rtd",,BC$83,"."&amp;$C$82&amp;$AU$82&amp;"C"&amp;$A108)="N/A",0,RTD("tos.rtd",,BC$83,"."&amp;$C$82&amp;$AU$82&amp;"C"&amp;$A108))</f>
        <v>4974</v>
      </c>
      <c r="BD108" s="3">
        <f>-IF(RTD("tos.rtd",,BD$83,"."&amp;$C$82&amp;$AU$82&amp;"P"&amp;$A108)="N/A",0,RTD("tos.rtd",,BD$83,"."&amp;$C$82&amp;$AU$82&amp;"P"&amp;$A108))</f>
        <v>-58189</v>
      </c>
      <c r="BE108" s="54">
        <f>IF(RTD("tos.rtd",,BE$83,"."&amp;$D$82&amp;$AW$82&amp;"C"&amp;$A108)="N/A",0,RTD("tos.rtd",,BE$83,"."&amp;$D$82&amp;$AW$82&amp;"C"&amp;$A108))</f>
        <v>104</v>
      </c>
      <c r="BF108" s="3">
        <f>-IF(RTD("tos.rtd",,BF$83,"."&amp;$D$82&amp;$AW$82&amp;"P"&amp;$A108)="N/A",0,RTD("tos.rtd",,BF$83,"."&amp;$D$82&amp;$AW$82&amp;"P"&amp;$A108))</f>
        <v>-240</v>
      </c>
      <c r="BG108" s="3">
        <f ca="1">+Hoja2!Y109</f>
        <v>-38</v>
      </c>
      <c r="BH108" s="53">
        <f t="shared" ca="1" si="491"/>
        <v>-53389</v>
      </c>
      <c r="BI108" s="32" t="str">
        <f t="shared" ca="1" si="507"/>
        <v/>
      </c>
      <c r="BJ108" s="3" t="e">
        <f ca="1">IF($BP$1=1,DX108,IF(RTD("tos.rtd",,BJ$83,"."&amp;$B$82&amp;$AS$82&amp;"C"&amp;$A108)="N/A",0,RTD("tos.rtd",,BJ$83,"."&amp;$B$82&amp;$AS$82&amp;"C"&amp;$A108)))</f>
        <v>#NUM!</v>
      </c>
      <c r="BK108" s="3" t="e">
        <f ca="1">IF($BP$1=1,DY108,-IF(RTD("tos.rtd",,BK$83,"."&amp;$B$82&amp;$AS$82&amp;"P"&amp;$A108)="N/A",0,RTD("tos.rtd",,BK$83,"."&amp;$B$82&amp;$AS$82&amp;"P"&amp;$A108)))</f>
        <v>#NUM!</v>
      </c>
      <c r="BL108" s="3" t="e">
        <f ca="1">IF($BP$1=1,DZ108,IF(RTD("tos.rtd",,BL$83,"."&amp;$C$82&amp;$AU$82&amp;"C"&amp;$A108)="N/A",0,RTD("tos.rtd",,BL$83,"."&amp;$C$82&amp;$AU$82&amp;"C"&amp;$A108)))</f>
        <v>#NUM!</v>
      </c>
      <c r="BM108" s="3" t="e">
        <f ca="1">IF($BP$1=1,EA108,-IF(RTD("tos.rtd",,BM$83,"."&amp;$C$82&amp;$AU$82&amp;"P"&amp;$A108)="N/A",0,RTD("tos.rtd",,BM$83,"."&amp;$C$82&amp;$AU$82&amp;"P"&amp;$A108)))</f>
        <v>#NUM!</v>
      </c>
      <c r="BN108" s="3" t="e">
        <f ca="1">IF($BP$1=1,EB108,IF(RTD("tos.rtd",,BN$83,"."&amp;$D$82&amp;$AW$82&amp;"C"&amp;$A108)="N/A",0,RTD("tos.rtd",,BN$83,"."&amp;$D$82&amp;$AW$82&amp;"C"&amp;$A108)))</f>
        <v>#NUM!</v>
      </c>
      <c r="BO108" s="3" t="e">
        <f ca="1">IF($BP$1=1,EC108,-IF(RTD("tos.rtd",,BO$83,"."&amp;$D$82&amp;$AW$82&amp;"P"&amp;$A108)="N/A",0,RTD("tos.rtd",,BO$83,"."&amp;$D$82&amp;$AW$82&amp;"P"&amp;$A108)))</f>
        <v>#NUM!</v>
      </c>
      <c r="BQ108" s="3" t="e">
        <f t="shared" ca="1" si="452"/>
        <v>#NUM!</v>
      </c>
      <c r="BR108" s="3" t="e">
        <f t="shared" ca="1" si="492"/>
        <v>#NUM!</v>
      </c>
      <c r="BS108" s="3" t="e">
        <f t="shared" ca="1" si="453"/>
        <v>#NUM!</v>
      </c>
      <c r="BT108" s="3" t="e">
        <f t="shared" ca="1" si="492"/>
        <v>#NUM!</v>
      </c>
      <c r="BU108" s="3" t="e">
        <f t="shared" ca="1" si="454"/>
        <v>#NUM!</v>
      </c>
      <c r="BV108" s="3" t="e">
        <f t="shared" ca="1" si="492"/>
        <v>#NUM!</v>
      </c>
      <c r="BX108" s="3" t="e">
        <f t="shared" ca="1" si="455"/>
        <v>#NUM!</v>
      </c>
      <c r="BY108" s="3" t="e">
        <f t="shared" ca="1" si="504"/>
        <v>#NUM!</v>
      </c>
      <c r="BZ108" s="3" t="e">
        <f t="shared" ca="1" si="456"/>
        <v>#NUM!</v>
      </c>
      <c r="CA108" s="3" t="e">
        <f t="shared" ca="1" si="504"/>
        <v>#NUM!</v>
      </c>
      <c r="CB108" s="3" t="e">
        <f t="shared" ca="1" si="457"/>
        <v>#NUM!</v>
      </c>
      <c r="CC108" s="3" t="e">
        <f t="shared" ca="1" si="504"/>
        <v>#NUM!</v>
      </c>
      <c r="CD108" s="3">
        <f>IF(RTD("tos.rtd",,CD$83,"."&amp;$B$82&amp;$AS$82&amp;"C"&amp;$A108)="N/A",0,RTD("tos.rtd",,CD$83,"."&amp;$B$82&amp;$AS$82&amp;"C"&amp;$A108))</f>
        <v>1</v>
      </c>
      <c r="CE108" s="3">
        <f>-IF(RTD("tos.rtd",,CE$83,"."&amp;$B$82&amp;$AS$82&amp;"P"&amp;$A108)="N/A",0,RTD("tos.rtd",,CE$83,"."&amp;$B$82&amp;$AS$82&amp;"P"&amp;$A108))</f>
        <v>0.01</v>
      </c>
      <c r="CF108" s="3">
        <f>IF(RTD("tos.rtd",,CF$83,"."&amp;$C$82&amp;$AU$82&amp;"C"&amp;$A108)="N/A",0,RTD("tos.rtd",,CF$83,"."&amp;$C$82&amp;$AU$82&amp;"C"&amp;$A108))</f>
        <v>0.91</v>
      </c>
      <c r="CG108" s="3">
        <f>-IF(RTD("tos.rtd",,CG$83,"."&amp;$C$82&amp;$AU$82&amp;"P"&amp;$A108)="N/A",0,RTD("tos.rtd",,CG$83,"."&amp;$C$82&amp;$AU$82&amp;"P"&amp;$A108))</f>
        <v>0.01</v>
      </c>
      <c r="CH108" s="3">
        <f>IF(RTD("tos.rtd",,CH$83,"."&amp;$D$82&amp;$AW$82&amp;"C"&amp;$A108)="N/A",0,RTD("tos.rtd",,CH$83,"."&amp;$D$82&amp;$AW$82&amp;"C"&amp;$A108))</f>
        <v>0.56000000000000005</v>
      </c>
      <c r="CI108" s="3">
        <f>-IF(RTD("tos.rtd",,CI$83,"."&amp;$D$82&amp;$AW$82&amp;"P"&amp;$A108)="N/A",0,RTD("tos.rtd",,CI$83,"."&amp;$D$82&amp;$AW$82&amp;"P"&amp;$A108))</f>
        <v>0.44</v>
      </c>
      <c r="CK108" s="3">
        <f t="shared" si="493"/>
        <v>36009</v>
      </c>
      <c r="CL108" s="3"/>
      <c r="CM108" s="3">
        <f t="shared" si="494"/>
        <v>107446.00000000001</v>
      </c>
      <c r="CN108" s="3"/>
      <c r="CO108" s="3">
        <f t="shared" si="495"/>
        <v>-600</v>
      </c>
      <c r="CP108" s="3">
        <f t="shared" si="458"/>
        <v>142855</v>
      </c>
      <c r="CQ108" s="3">
        <f t="shared" si="459"/>
        <v>0</v>
      </c>
      <c r="CR108" s="3"/>
      <c r="CS108" s="3">
        <f t="shared" si="460"/>
        <v>-53215</v>
      </c>
      <c r="CT108" s="3"/>
      <c r="CU108" s="3">
        <f t="shared" si="461"/>
        <v>-136</v>
      </c>
      <c r="CV108" s="3"/>
      <c r="CW108" s="3" t="e">
        <f t="shared" ca="1" si="462"/>
        <v>#NUM!</v>
      </c>
      <c r="CY108" s="3" t="e">
        <f t="shared" ca="1" si="463"/>
        <v>#NUM!</v>
      </c>
      <c r="CZ108" s="70" t="e">
        <f t="shared" ca="1" si="505"/>
        <v>#NUM!</v>
      </c>
      <c r="DA108" s="3">
        <f>IF(RTD("tos.rtd",,DA$83,"."&amp;$B$82&amp;$AS$82&amp;"C"&amp;$A108)="N/A",0,RTD("tos.rtd",,DA$83,"."&amp;$B$82&amp;$AS$82&amp;"C"&amp;$A108))</f>
        <v>11</v>
      </c>
      <c r="DB108" s="3">
        <f>IF(RTD("tos.rtd",,DB$83,"."&amp;$B$82&amp;$AS$82&amp;"P"&amp;$A108)="N/A",0,RTD("tos.rtd",,DB$83,"."&amp;$B$82&amp;$AS$82&amp;"P"&amp;$A108))</f>
        <v>0.05</v>
      </c>
      <c r="DC108" s="3">
        <f>IF(RTD("tos.rtd",,DC$83,"."&amp;$B$82&amp;$AS$82&amp;"C"&amp;$A108)="N/A",0,RTD("tos.rtd",,DC$83,"."&amp;$B$82&amp;$AS$82&amp;"C"&amp;$A108))</f>
        <v>12.5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10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497"/>
        <v>-20</v>
      </c>
      <c r="DH108" s="3">
        <f t="shared" si="464"/>
        <v>-3296.8</v>
      </c>
      <c r="DI108" s="3">
        <f t="shared" si="465"/>
        <v>44862</v>
      </c>
      <c r="DJ108" s="3">
        <f t="shared" si="466"/>
        <v>8242</v>
      </c>
      <c r="DK108" s="3">
        <f t="shared" si="467"/>
        <v>44862</v>
      </c>
      <c r="DL108" s="3">
        <f t="shared" si="468"/>
        <v>41565.199999999997</v>
      </c>
      <c r="DM108" s="3">
        <f t="shared" si="469"/>
        <v>53104</v>
      </c>
      <c r="DN108" s="64" t="str">
        <f t="shared" si="470"/>
        <v>UNKNOWN</v>
      </c>
      <c r="DO108" s="64" t="str">
        <f t="shared" si="471"/>
        <v>UNKNOWN</v>
      </c>
      <c r="DP108" s="3">
        <f t="shared" si="472"/>
        <v>-34021.700000000004</v>
      </c>
      <c r="DQ108" s="3">
        <f t="shared" si="473"/>
        <v>92905.1</v>
      </c>
      <c r="DR108" s="3" t="e">
        <f t="shared" ca="1" si="474"/>
        <v>#NUM!</v>
      </c>
      <c r="DS108" s="3">
        <f t="shared" si="475"/>
        <v>8690.6200000000008</v>
      </c>
      <c r="DT108" s="3">
        <f t="shared" si="498"/>
        <v>-8242</v>
      </c>
      <c r="DU108" s="3">
        <f t="shared" si="499"/>
        <v>44862</v>
      </c>
      <c r="DV108" s="3">
        <f t="shared" si="500"/>
        <v>-595</v>
      </c>
      <c r="DW108" s="3">
        <f t="shared" si="501"/>
        <v>5880</v>
      </c>
      <c r="DX108" s="3" t="e">
        <f t="shared" ca="1" si="506"/>
        <v>#NUM!</v>
      </c>
      <c r="DY108" s="3" t="e">
        <f t="shared" ca="1" si="476"/>
        <v>#NUM!</v>
      </c>
      <c r="DZ108" s="3" t="e">
        <f t="shared" ca="1" si="477"/>
        <v>#NUM!</v>
      </c>
      <c r="EA108" s="3" t="e">
        <f t="shared" ca="1" si="478"/>
        <v>#NUM!</v>
      </c>
      <c r="EB108" s="3" t="e">
        <f t="shared" ca="1" si="479"/>
        <v>#NUM!</v>
      </c>
      <c r="EC108" s="3" t="e">
        <f t="shared" ca="1" si="480"/>
        <v>#NUM!</v>
      </c>
      <c r="EE108" s="59">
        <f t="shared" si="481"/>
        <v>0.25</v>
      </c>
      <c r="EF108" s="59">
        <f t="shared" si="482"/>
        <v>0.1973</v>
      </c>
      <c r="EG108" s="59">
        <f t="shared" si="483"/>
        <v>0.35610000000000003</v>
      </c>
      <c r="EH108" s="59">
        <f t="shared" si="484"/>
        <v>0.1973</v>
      </c>
      <c r="EI108" s="59">
        <f t="shared" si="485"/>
        <v>0.249</v>
      </c>
      <c r="EJ108" s="59">
        <f t="shared" si="486"/>
        <v>0.23619999999999999</v>
      </c>
      <c r="EL108" s="3" t="str">
        <f>RTD("tos.rtd",,EL$83,"."&amp;$B$82&amp;$AS$82&amp;"C"&amp;$A108)</f>
        <v>--</v>
      </c>
      <c r="EM108" s="3" t="str">
        <f>RTD("tos.rtd",,EM$83,"."&amp;$B$82&amp;$AS$82&amp;"P"&amp;$A108)</f>
        <v>19.73%</v>
      </c>
      <c r="EN108" s="3" t="str">
        <f>RTD("tos.rtd",,EN$83,"."&amp;$C$82&amp;$AU$82&amp;"C"&amp;$A108)</f>
        <v>35.61%</v>
      </c>
      <c r="EO108" s="3" t="str">
        <f>RTD("tos.rtd",,EO$83,"."&amp;$C$82&amp;$AU$82&amp;"P"&amp;$A108)</f>
        <v>19.73%</v>
      </c>
      <c r="EP108" s="3" t="str">
        <f>RTD("tos.rtd",,EP$83,"."&amp;$D$82&amp;$AW$82&amp;"C"&amp;$A108)</f>
        <v>24.90%</v>
      </c>
      <c r="EQ108" s="3" t="str">
        <f>RTD("tos.rtd",,EQ$83,"."&amp;$D$82&amp;$AW$82&amp;"P"&amp;$A108)</f>
        <v>23.62%</v>
      </c>
      <c r="ES108" s="63" t="str">
        <f t="shared" si="487"/>
        <v>5640,5285.00</v>
      </c>
      <c r="ET108" s="64" t="str">
        <f t="shared" ca="1" si="488"/>
        <v>5640,00.00</v>
      </c>
      <c r="EU108" s="67">
        <v>563.12</v>
      </c>
      <c r="EV108" s="67" t="s">
        <v>883</v>
      </c>
      <c r="EW108" s="67">
        <v>485.69</v>
      </c>
      <c r="EX108" s="67" t="s">
        <v>884</v>
      </c>
      <c r="EY108" s="67">
        <v>5645</v>
      </c>
      <c r="EZ108" s="67" t="s">
        <v>885</v>
      </c>
      <c r="FA108" s="67">
        <v>19953.5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502"/>
        <v>5630</v>
      </c>
      <c r="B109" s="3">
        <f t="shared" si="447"/>
        <v>1033</v>
      </c>
      <c r="C109" s="3">
        <f t="shared" si="448"/>
        <v>2256</v>
      </c>
      <c r="D109" s="3">
        <f t="shared" si="449"/>
        <v>1490</v>
      </c>
      <c r="E109" s="3">
        <f t="shared" si="513"/>
        <v>4779</v>
      </c>
      <c r="F109" s="14">
        <f t="shared" si="516"/>
        <v>5653.8727915194349</v>
      </c>
      <c r="G109" s="14">
        <f t="shared" si="514"/>
        <v>561.80636042402818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401</v>
      </c>
      <c r="AN109" s="20">
        <v>1889</v>
      </c>
      <c r="AO109" s="20">
        <v>5630</v>
      </c>
      <c r="AP109" s="20">
        <v>2417</v>
      </c>
      <c r="AQ109" s="20">
        <v>-32453</v>
      </c>
      <c r="AR109" s="20"/>
      <c r="AS109" s="54">
        <f>IF(RTD("tos.rtd",,AS$83,"."&amp;$B$82&amp;$AS$82&amp;"C"&amp;$A109)="N/A",0,RTD("tos.rtd",,AS$83,"."&amp;$B$82&amp;$AS$82&amp;"C"&amp;$A109))</f>
        <v>461</v>
      </c>
      <c r="AT109" s="3">
        <f>-IF(RTD("tos.rtd",,AT$83,"."&amp;$B$82&amp;$AS$82&amp;"P"&amp;$A109)="N/A",0,RTD("tos.rtd",,AT$83,"."&amp;$B$82&amp;$AS$82&amp;"P"&amp;$A109))</f>
        <v>-572</v>
      </c>
      <c r="AU109" s="54">
        <f>IF(RTD("tos.rtd",,AU$83,"."&amp;$C$82&amp;$AU$82&amp;"C"&amp;$A109)="N/A",0,RTD("tos.rtd",,AU$83,"."&amp;$C$82&amp;$AU$82&amp;"C"&amp;$A109))</f>
        <v>1052</v>
      </c>
      <c r="AV109" s="3">
        <f>-IF(RTD("tos.rtd",,AV$83,"."&amp;$C$82&amp;$AU$82&amp;"P"&amp;$A109)="N/A",0,RTD("tos.rtd",,AV$83,"."&amp;$C$82&amp;$AU$82&amp;"P"&amp;$A109))</f>
        <v>-1204</v>
      </c>
      <c r="AW109" s="54">
        <f>IF(RTD("tos.rtd",,AW$83,"."&amp;$D$82&amp;$AW$82&amp;"C"&amp;$A109)="N/A",0,RTD("tos.rtd",,AW$83,"."&amp;$D$82&amp;$AW$82&amp;"C"&amp;$A109))</f>
        <v>380</v>
      </c>
      <c r="AX109" s="3">
        <f>-IF(RTD("tos.rtd",,AX$83,"."&amp;$D$82&amp;$AW$82&amp;"P"&amp;$A109)="N/A",0,RTD("tos.rtd",,AX$83,"."&amp;$D$82&amp;$AW$82&amp;"P"&amp;$A109))</f>
        <v>-1110</v>
      </c>
      <c r="AY109" s="79">
        <f t="shared" si="515"/>
        <v>-993</v>
      </c>
      <c r="AZ109" s="8">
        <f t="shared" si="451"/>
        <v>5630</v>
      </c>
      <c r="BA109" s="54">
        <f>IF(RTD("tos.rtd",,BA$83,"."&amp;$B$82&amp;$AS$82&amp;"C"&amp;$A109)="N/A",0,RTD("tos.rtd",,BA$83,"."&amp;$B$82&amp;$AS$82&amp;"C"&amp;$A109))</f>
        <v>0</v>
      </c>
      <c r="BB109" s="3">
        <f>-IF(RTD("tos.rtd",,BB$83,"."&amp;$B$82&amp;$AS$82&amp;"P"&amp;$A109)="N/A",0,RTD("tos.rtd",,BB$83,"."&amp;$B$82&amp;$AS$82&amp;"P"&amp;$A109))</f>
        <v>0</v>
      </c>
      <c r="BC109" s="54">
        <f>IF(RTD("tos.rtd",,BC$83,"."&amp;$C$82&amp;$AU$82&amp;"C"&amp;$A109)="N/A",0,RTD("tos.rtd",,BC$83,"."&amp;$C$82&amp;$AU$82&amp;"C"&amp;$A109))</f>
        <v>2307</v>
      </c>
      <c r="BD109" s="3">
        <f>-IF(RTD("tos.rtd",,BD$83,"."&amp;$C$82&amp;$AU$82&amp;"P"&amp;$A109)="N/A",0,RTD("tos.rtd",,BD$83,"."&amp;$C$82&amp;$AU$82&amp;"P"&amp;$A109))</f>
        <v>-43735</v>
      </c>
      <c r="BE109" s="54">
        <f>IF(RTD("tos.rtd",,BE$83,"."&amp;$D$82&amp;$AW$82&amp;"C"&amp;$A109)="N/A",0,RTD("tos.rtd",,BE$83,"."&amp;$D$82&amp;$AW$82&amp;"C"&amp;$A109))</f>
        <v>98</v>
      </c>
      <c r="BF109" s="3">
        <f>-IF(RTD("tos.rtd",,BF$83,"."&amp;$D$82&amp;$AW$82&amp;"P"&amp;$A109)="N/A",0,RTD("tos.rtd",,BF$83,"."&amp;$D$82&amp;$AW$82&amp;"P"&amp;$A109))</f>
        <v>-270</v>
      </c>
      <c r="BG109" s="3">
        <f ca="1">+Hoja2!Y110</f>
        <v>-34</v>
      </c>
      <c r="BH109" s="55">
        <f t="shared" ca="1" si="491"/>
        <v>-41634</v>
      </c>
      <c r="BI109" s="32" t="str">
        <f t="shared" ca="1" si="507"/>
        <v/>
      </c>
      <c r="BJ109" s="3" t="e">
        <f ca="1">IF($BP$1=1,DX109,IF(RTD("tos.rtd",,BJ$83,"."&amp;$B$82&amp;$AS$82&amp;"C"&amp;$A109)="N/A",0,RTD("tos.rtd",,BJ$83,"."&amp;$B$82&amp;$AS$82&amp;"C"&amp;$A109)))</f>
        <v>#NUM!</v>
      </c>
      <c r="BK109" s="3" t="e">
        <f ca="1">IF($BP$1=1,DY109,-IF(RTD("tos.rtd",,BK$83,"."&amp;$B$82&amp;$AS$82&amp;"P"&amp;$A109)="N/A",0,RTD("tos.rtd",,BK$83,"."&amp;$B$82&amp;$AS$82&amp;"P"&amp;$A109)))</f>
        <v>#NUM!</v>
      </c>
      <c r="BL109" s="3" t="e">
        <f ca="1">IF($BP$1=1,DZ109,IF(RTD("tos.rtd",,BL$83,"."&amp;$C$82&amp;$AU$82&amp;"C"&amp;$A109)="N/A",0,RTD("tos.rtd",,BL$83,"."&amp;$C$82&amp;$AU$82&amp;"C"&amp;$A109)))</f>
        <v>#NUM!</v>
      </c>
      <c r="BM109" s="3" t="e">
        <f ca="1">IF($BP$1=1,EA109,-IF(RTD("tos.rtd",,BM$83,"."&amp;$C$82&amp;$AU$82&amp;"P"&amp;$A109)="N/A",0,RTD("tos.rtd",,BM$83,"."&amp;$C$82&amp;$AU$82&amp;"P"&amp;$A109)))</f>
        <v>#NUM!</v>
      </c>
      <c r="BN109" s="3" t="e">
        <f ca="1">IF($BP$1=1,EB109,IF(RTD("tos.rtd",,BN$83,"."&amp;$D$82&amp;$AW$82&amp;"C"&amp;$A109)="N/A",0,RTD("tos.rtd",,BN$83,"."&amp;$D$82&amp;$AW$82&amp;"C"&amp;$A109)))</f>
        <v>#NUM!</v>
      </c>
      <c r="BO109" s="3" t="e">
        <f ca="1">IF($BP$1=1,EC109,-IF(RTD("tos.rtd",,BO$83,"."&amp;$D$82&amp;$AW$82&amp;"P"&amp;$A109)="N/A",0,RTD("tos.rtd",,BO$83,"."&amp;$D$82&amp;$AW$82&amp;"P"&amp;$A109)))</f>
        <v>#NUM!</v>
      </c>
      <c r="BQ109" s="3" t="e">
        <f t="shared" ca="1" si="452"/>
        <v>#NUM!</v>
      </c>
      <c r="BR109" s="3" t="e">
        <f t="shared" ca="1" si="492"/>
        <v>#NUM!</v>
      </c>
      <c r="BS109" s="3" t="e">
        <f t="shared" ca="1" si="453"/>
        <v>#NUM!</v>
      </c>
      <c r="BT109" s="3" t="e">
        <f t="shared" ca="1" si="492"/>
        <v>#NUM!</v>
      </c>
      <c r="BU109" s="3" t="e">
        <f t="shared" ca="1" si="454"/>
        <v>#NUM!</v>
      </c>
      <c r="BV109" s="3" t="e">
        <f t="shared" ca="1" si="492"/>
        <v>#NUM!</v>
      </c>
      <c r="BX109" s="3" t="e">
        <f t="shared" ca="1" si="455"/>
        <v>#NUM!</v>
      </c>
      <c r="BY109" s="3" t="e">
        <f t="shared" ca="1" si="504"/>
        <v>#NUM!</v>
      </c>
      <c r="BZ109" s="3" t="e">
        <f t="shared" ca="1" si="456"/>
        <v>#NUM!</v>
      </c>
      <c r="CA109" s="3" t="e">
        <f t="shared" ca="1" si="504"/>
        <v>#NUM!</v>
      </c>
      <c r="CB109" s="3" t="e">
        <f t="shared" ca="1" si="457"/>
        <v>#NUM!</v>
      </c>
      <c r="CC109" s="3" t="e">
        <f t="shared" ca="1" si="504"/>
        <v>#NUM!</v>
      </c>
      <c r="CD109" s="3">
        <f>IF(RTD("tos.rtd",,CD$83,"."&amp;$B$82&amp;$AS$82&amp;"C"&amp;$A109)="N/A",0,RTD("tos.rtd",,CD$83,"."&amp;$B$82&amp;$AS$82&amp;"C"&amp;$A109))</f>
        <v>1</v>
      </c>
      <c r="CE109" s="3">
        <f>-IF(RTD("tos.rtd",,CE$83,"."&amp;$B$82&amp;$AS$82&amp;"P"&amp;$A109)="N/A",0,RTD("tos.rtd",,CE$83,"."&amp;$B$82&amp;$AS$82&amp;"P"&amp;$A109))</f>
        <v>0.01</v>
      </c>
      <c r="CF109" s="3">
        <f>IF(RTD("tos.rtd",,CF$83,"."&amp;$C$82&amp;$AU$82&amp;"C"&amp;$A109)="N/A",0,RTD("tos.rtd",,CF$83,"."&amp;$C$82&amp;$AU$82&amp;"C"&amp;$A109))</f>
        <v>1</v>
      </c>
      <c r="CG109" s="3">
        <f>-IF(RTD("tos.rtd",,CG$83,"."&amp;$C$82&amp;$AU$82&amp;"P"&amp;$A109)="N/A",0,RTD("tos.rtd",,CG$83,"."&amp;$C$82&amp;$AU$82&amp;"P"&amp;$A109))</f>
        <v>0.01</v>
      </c>
      <c r="CH109" s="3">
        <f>IF(RTD("tos.rtd",,CH$83,"."&amp;$D$82&amp;$AW$82&amp;"C"&amp;$A109)="N/A",0,RTD("tos.rtd",,CH$83,"."&amp;$D$82&amp;$AW$82&amp;"C"&amp;$A109))</f>
        <v>0.59</v>
      </c>
      <c r="CI109" s="3">
        <f>-IF(RTD("tos.rtd",,CI$83,"."&amp;$D$82&amp;$AW$82&amp;"P"&amp;$A109)="N/A",0,RTD("tos.rtd",,CI$83,"."&amp;$D$82&amp;$AW$82&amp;"P"&amp;$A109))</f>
        <v>0.41</v>
      </c>
      <c r="CK109" s="3">
        <f t="shared" si="493"/>
        <v>45528</v>
      </c>
      <c r="CL109" s="3"/>
      <c r="CM109" s="3">
        <f t="shared" si="494"/>
        <v>103996</v>
      </c>
      <c r="CN109" s="3"/>
      <c r="CO109" s="3">
        <f t="shared" si="495"/>
        <v>-23090</v>
      </c>
      <c r="CP109" s="3">
        <f t="shared" si="458"/>
        <v>126434</v>
      </c>
      <c r="CQ109" s="3">
        <f t="shared" si="459"/>
        <v>0</v>
      </c>
      <c r="CR109" s="3"/>
      <c r="CS109" s="3">
        <f t="shared" si="460"/>
        <v>-41428</v>
      </c>
      <c r="CT109" s="3"/>
      <c r="CU109" s="3">
        <f t="shared" si="461"/>
        <v>-172</v>
      </c>
      <c r="CV109" s="3"/>
      <c r="CW109" s="3" t="e">
        <f t="shared" ca="1" si="462"/>
        <v>#NUM!</v>
      </c>
      <c r="CY109" s="3" t="e">
        <f t="shared" ca="1" si="463"/>
        <v>#NUM!</v>
      </c>
      <c r="CZ109" s="70" t="e">
        <f t="shared" ca="1" si="505"/>
        <v>#NUM!</v>
      </c>
      <c r="DA109" s="3">
        <f>IF(RTD("tos.rtd",,DA$83,"."&amp;$B$82&amp;$AS$82&amp;"C"&amp;$A109)="N/A",0,RTD("tos.rtd",,DA$83,"."&amp;$B$82&amp;$AS$82&amp;"C"&amp;$A109))</f>
        <v>21.6</v>
      </c>
      <c r="DB109" s="3">
        <f>IF(RTD("tos.rtd",,DB$83,"."&amp;$B$82&amp;$AS$82&amp;"P"&amp;$A109)="N/A",0,RTD("tos.rtd",,DB$83,"."&amp;$B$82&amp;$AS$82&amp;"P"&amp;$A109))</f>
        <v>0.03</v>
      </c>
      <c r="DC109" s="3">
        <f>IF(RTD("tos.rtd",,DC$83,"."&amp;$B$82&amp;$AS$82&amp;"C"&amp;$A109)="N/A",0,RTD("tos.rtd",,DC$83,"."&amp;$B$82&amp;$AS$82&amp;"C"&amp;$A109))</f>
        <v>22.6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19.899999999999999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497"/>
        <v>-30</v>
      </c>
      <c r="DH109" s="3">
        <f t="shared" si="464"/>
        <v>-1521.8148148148157</v>
      </c>
      <c r="DI109" s="3">
        <f t="shared" si="465"/>
        <v>19471.8</v>
      </c>
      <c r="DJ109" s="3">
        <f t="shared" si="466"/>
        <v>-2417</v>
      </c>
      <c r="DK109" s="3">
        <f t="shared" si="467"/>
        <v>32453</v>
      </c>
      <c r="DL109" s="3">
        <f t="shared" si="468"/>
        <v>17949.985185185185</v>
      </c>
      <c r="DM109" s="3">
        <f t="shared" si="469"/>
        <v>30036</v>
      </c>
      <c r="DN109" s="64" t="str">
        <f t="shared" si="470"/>
        <v>UNKNOWN</v>
      </c>
      <c r="DO109" s="64" t="str">
        <f t="shared" si="471"/>
        <v>UNKNOWN</v>
      </c>
      <c r="DP109" s="3">
        <f t="shared" si="472"/>
        <v>-32287.04600000002</v>
      </c>
      <c r="DQ109" s="3">
        <f t="shared" si="473"/>
        <v>-51233.610000000008</v>
      </c>
      <c r="DR109" s="3" t="e">
        <f t="shared" ca="1" si="474"/>
        <v>#NUM!</v>
      </c>
      <c r="DS109" s="3">
        <f t="shared" si="475"/>
        <v>-2092.4699999999998</v>
      </c>
      <c r="DT109" s="3">
        <f t="shared" si="498"/>
        <v>-2417</v>
      </c>
      <c r="DU109" s="3">
        <f t="shared" si="499"/>
        <v>32453</v>
      </c>
      <c r="DV109" s="3">
        <f t="shared" si="500"/>
        <v>401</v>
      </c>
      <c r="DW109" s="3">
        <f t="shared" si="501"/>
        <v>1889</v>
      </c>
      <c r="DX109" s="3" t="e">
        <f t="shared" ca="1" si="506"/>
        <v>#NUM!</v>
      </c>
      <c r="DY109" s="3" t="e">
        <f t="shared" ca="1" si="476"/>
        <v>#NUM!</v>
      </c>
      <c r="DZ109" s="3" t="e">
        <f t="shared" ca="1" si="477"/>
        <v>#NUM!</v>
      </c>
      <c r="EA109" s="3" t="e">
        <f t="shared" ca="1" si="478"/>
        <v>#NUM!</v>
      </c>
      <c r="EB109" s="3" t="e">
        <f t="shared" ca="1" si="479"/>
        <v>#NUM!</v>
      </c>
      <c r="EC109" s="3" t="e">
        <f t="shared" ca="1" si="480"/>
        <v>#NUM!</v>
      </c>
      <c r="EE109" s="59">
        <f t="shared" si="481"/>
        <v>0.25</v>
      </c>
      <c r="EF109" s="59">
        <f t="shared" si="482"/>
        <v>0.28160000000000002</v>
      </c>
      <c r="EG109" s="59">
        <f t="shared" si="483"/>
        <v>0.25</v>
      </c>
      <c r="EH109" s="59">
        <f t="shared" si="484"/>
        <v>0.28160000000000002</v>
      </c>
      <c r="EI109" s="59">
        <f t="shared" si="485"/>
        <v>0.25080000000000002</v>
      </c>
      <c r="EJ109" s="59">
        <f t="shared" si="486"/>
        <v>0.23830000000000001</v>
      </c>
      <c r="EL109" s="3" t="str">
        <f>RTD("tos.rtd",,EL$83,"."&amp;$B$82&amp;$AS$82&amp;"C"&amp;$A109)</f>
        <v>--</v>
      </c>
      <c r="EM109" s="3" t="str">
        <f>RTD("tos.rtd",,EM$83,"."&amp;$B$82&amp;$AS$82&amp;"P"&amp;$A109)</f>
        <v>28.16%</v>
      </c>
      <c r="EN109" s="3" t="str">
        <f>RTD("tos.rtd",,EN$83,"."&amp;$C$82&amp;$AU$82&amp;"C"&amp;$A109)</f>
        <v>--</v>
      </c>
      <c r="EO109" s="3" t="str">
        <f>RTD("tos.rtd",,EO$83,"."&amp;$C$82&amp;$AU$82&amp;"P"&amp;$A109)</f>
        <v>28.16%</v>
      </c>
      <c r="EP109" s="3" t="str">
        <f>RTD("tos.rtd",,EP$83,"."&amp;$D$82&amp;$AW$82&amp;"C"&amp;$A109)</f>
        <v>25.08%</v>
      </c>
      <c r="EQ109" s="3" t="str">
        <f>RTD("tos.rtd",,EQ$83,"."&amp;$D$82&amp;$AW$82&amp;"P"&amp;$A109)</f>
        <v>23.83%</v>
      </c>
      <c r="ES109" s="63" t="str">
        <f t="shared" si="487"/>
        <v>5630,2290.00</v>
      </c>
      <c r="ET109" s="64" t="str">
        <f t="shared" ca="1" si="488"/>
        <v>5630,00.00</v>
      </c>
      <c r="EU109" s="67">
        <v>563.14</v>
      </c>
      <c r="EV109" s="67" t="s">
        <v>891</v>
      </c>
      <c r="EW109" s="67">
        <v>485.72</v>
      </c>
      <c r="EX109" s="67" t="s">
        <v>892</v>
      </c>
      <c r="EY109" s="67">
        <v>5645</v>
      </c>
      <c r="EZ109" s="67" t="s">
        <v>893</v>
      </c>
      <c r="FA109" s="67">
        <v>19953.75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502"/>
        <v>5620</v>
      </c>
      <c r="B110" s="3">
        <f t="shared" si="447"/>
        <v>1918</v>
      </c>
      <c r="C110" s="3">
        <f t="shared" si="448"/>
        <v>4019</v>
      </c>
      <c r="D110" s="3">
        <f t="shared" si="449"/>
        <v>1396</v>
      </c>
      <c r="E110" s="3">
        <f t="shared" si="513"/>
        <v>7333</v>
      </c>
      <c r="F110" s="4">
        <f t="shared" si="516"/>
        <v>5643.8303886925796</v>
      </c>
      <c r="G110" s="4">
        <f t="shared" si="514"/>
        <v>560.80848056537104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6</v>
      </c>
      <c r="AN110" s="20">
        <v>2668</v>
      </c>
      <c r="AO110" s="20">
        <v>5620</v>
      </c>
      <c r="AP110" s="20">
        <v>1356</v>
      </c>
      <c r="AQ110" s="20">
        <v>-26210</v>
      </c>
      <c r="AR110" s="20"/>
      <c r="AS110" s="54">
        <f>IF(RTD("tos.rtd",,AS$83,"."&amp;$B$82&amp;$AS$82&amp;"C"&amp;$A110)="N/A",0,RTD("tos.rtd",,AS$83,"."&amp;$B$82&amp;$AS$82&amp;"C"&amp;$A110))</f>
        <v>188</v>
      </c>
      <c r="AT110" s="3">
        <f>-IF(RTD("tos.rtd",,AT$83,"."&amp;$B$82&amp;$AS$82&amp;"P"&amp;$A110)="N/A",0,RTD("tos.rtd",,AT$83,"."&amp;$B$82&amp;$AS$82&amp;"P"&amp;$A110))</f>
        <v>-1730</v>
      </c>
      <c r="AU110" s="54">
        <f>IF(RTD("tos.rtd",,AU$83,"."&amp;$C$82&amp;$AU$82&amp;"C"&amp;$A110)="N/A",0,RTD("tos.rtd",,AU$83,"."&amp;$C$82&amp;$AU$82&amp;"C"&amp;$A110))</f>
        <v>1685</v>
      </c>
      <c r="AV110" s="3">
        <f>-IF(RTD("tos.rtd",,AV$83,"."&amp;$C$82&amp;$AU$82&amp;"P"&amp;$A110)="N/A",0,RTD("tos.rtd",,AV$83,"."&amp;$C$82&amp;$AU$82&amp;"P"&amp;$A110))</f>
        <v>-2334</v>
      </c>
      <c r="AW110" s="54">
        <f>IF(RTD("tos.rtd",,AW$83,"."&amp;$D$82&amp;$AW$82&amp;"C"&amp;$A110)="N/A",0,RTD("tos.rtd",,AW$83,"."&amp;$D$82&amp;$AW$82&amp;"C"&amp;$A110))</f>
        <v>619</v>
      </c>
      <c r="AX110" s="3">
        <f>-IF(RTD("tos.rtd",,AX$83,"."&amp;$D$82&amp;$AW$82&amp;"P"&amp;$A110)="N/A",0,RTD("tos.rtd",,AX$83,"."&amp;$D$82&amp;$AW$82&amp;"P"&amp;$A110))</f>
        <v>-777</v>
      </c>
      <c r="AY110" s="79">
        <f t="shared" si="515"/>
        <v>-2349</v>
      </c>
      <c r="AZ110" s="8">
        <f t="shared" si="451"/>
        <v>5620</v>
      </c>
      <c r="BA110" s="54">
        <f>IF(RTD("tos.rtd",,BA$83,"."&amp;$B$82&amp;$AS$82&amp;"C"&amp;$A110)="N/A",0,RTD("tos.rtd",,BA$83,"."&amp;$B$82&amp;$AS$82&amp;"C"&amp;$A110))</f>
        <v>0</v>
      </c>
      <c r="BB110" s="3">
        <f>-IF(RTD("tos.rtd",,BB$83,"."&amp;$B$82&amp;$AS$82&amp;"P"&amp;$A110)="N/A",0,RTD("tos.rtd",,BB$83,"."&amp;$B$82&amp;$AS$82&amp;"P"&amp;$A110))</f>
        <v>0</v>
      </c>
      <c r="BC110" s="54">
        <f>IF(RTD("tos.rtd",,BC$83,"."&amp;$C$82&amp;$AU$82&amp;"C"&amp;$A110)="N/A",0,RTD("tos.rtd",,BC$83,"."&amp;$C$82&amp;$AU$82&amp;"C"&amp;$A110))</f>
        <v>1489</v>
      </c>
      <c r="BD110" s="3">
        <f>-IF(RTD("tos.rtd",,BD$83,"."&amp;$C$82&amp;$AU$82&amp;"P"&amp;$A110)="N/A",0,RTD("tos.rtd",,BD$83,"."&amp;$C$82&amp;$AU$82&amp;"P"&amp;$A110))</f>
        <v>-44849</v>
      </c>
      <c r="BE110" s="54">
        <f>IF(RTD("tos.rtd",,BE$83,"."&amp;$D$82&amp;$AW$82&amp;"C"&amp;$A110)="N/A",0,RTD("tos.rtd",,BE$83,"."&amp;$D$82&amp;$AW$82&amp;"C"&amp;$A110))</f>
        <v>34</v>
      </c>
      <c r="BF110" s="3">
        <f>-IF(RTD("tos.rtd",,BF$83,"."&amp;$D$82&amp;$AW$82&amp;"P"&amp;$A110)="N/A",0,RTD("tos.rtd",,BF$83,"."&amp;$D$82&amp;$AW$82&amp;"P"&amp;$A110))</f>
        <v>-182</v>
      </c>
      <c r="BG110" s="3">
        <f ca="1">+Hoja2!Y111</f>
        <v>-32</v>
      </c>
      <c r="BH110" s="55">
        <f t="shared" ca="1" si="491"/>
        <v>-43540</v>
      </c>
      <c r="BI110" s="32" t="str">
        <f t="shared" ca="1" si="507"/>
        <v/>
      </c>
      <c r="BJ110" s="3" t="e">
        <f ca="1">IF($BP$1=1,DX110,IF(RTD("tos.rtd",,BJ$83,"."&amp;$B$82&amp;$AS$82&amp;"C"&amp;$A110)="N/A",0,RTD("tos.rtd",,BJ$83,"."&amp;$B$82&amp;$AS$82&amp;"C"&amp;$A110)))</f>
        <v>#NUM!</v>
      </c>
      <c r="BK110" s="3" t="e">
        <f ca="1">IF($BP$1=1,DY110,-IF(RTD("tos.rtd",,BK$83,"."&amp;$B$82&amp;$AS$82&amp;"P"&amp;$A110)="N/A",0,RTD("tos.rtd",,BK$83,"."&amp;$B$82&amp;$AS$82&amp;"P"&amp;$A110)))</f>
        <v>#NUM!</v>
      </c>
      <c r="BL110" s="3" t="e">
        <f ca="1">IF($BP$1=1,DZ110,IF(RTD("tos.rtd",,BL$83,"."&amp;$C$82&amp;$AU$82&amp;"C"&amp;$A110)="N/A",0,RTD("tos.rtd",,BL$83,"."&amp;$C$82&amp;$AU$82&amp;"C"&amp;$A110)))</f>
        <v>#NUM!</v>
      </c>
      <c r="BM110" s="3" t="e">
        <f ca="1">IF($BP$1=1,EA110,-IF(RTD("tos.rtd",,BM$83,"."&amp;$C$82&amp;$AU$82&amp;"P"&amp;$A110)="N/A",0,RTD("tos.rtd",,BM$83,"."&amp;$C$82&amp;$AU$82&amp;"P"&amp;$A110)))</f>
        <v>#NUM!</v>
      </c>
      <c r="BN110" s="3" t="e">
        <f ca="1">IF($BP$1=1,EB110,IF(RTD("tos.rtd",,BN$83,"."&amp;$D$82&amp;$AW$82&amp;"C"&amp;$A110)="N/A",0,RTD("tos.rtd",,BN$83,"."&amp;$D$82&amp;$AW$82&amp;"C"&amp;$A110)))</f>
        <v>#NUM!</v>
      </c>
      <c r="BO110" s="3" t="e">
        <f ca="1">IF($BP$1=1,EC110,-IF(RTD("tos.rtd",,BO$83,"."&amp;$D$82&amp;$AW$82&amp;"P"&amp;$A110)="N/A",0,RTD("tos.rtd",,BO$83,"."&amp;$D$82&amp;$AW$82&amp;"P"&amp;$A110)))</f>
        <v>#NUM!</v>
      </c>
      <c r="BQ110" s="3" t="e">
        <f t="shared" ca="1" si="452"/>
        <v>#NUM!</v>
      </c>
      <c r="BR110" s="3" t="e">
        <f t="shared" ca="1" si="492"/>
        <v>#NUM!</v>
      </c>
      <c r="BS110" s="3" t="e">
        <f t="shared" ca="1" si="453"/>
        <v>#NUM!</v>
      </c>
      <c r="BT110" s="3" t="e">
        <f t="shared" ca="1" si="492"/>
        <v>#NUM!</v>
      </c>
      <c r="BU110" s="3" t="e">
        <f t="shared" ca="1" si="454"/>
        <v>#NUM!</v>
      </c>
      <c r="BV110" s="3" t="e">
        <f t="shared" ca="1" si="492"/>
        <v>#NUM!</v>
      </c>
      <c r="BX110" s="3" t="e">
        <f t="shared" ca="1" si="455"/>
        <v>#NUM!</v>
      </c>
      <c r="BY110" s="3" t="e">
        <f t="shared" ca="1" si="504"/>
        <v>#NUM!</v>
      </c>
      <c r="BZ110" s="3" t="e">
        <f t="shared" ca="1" si="456"/>
        <v>#NUM!</v>
      </c>
      <c r="CA110" s="3" t="e">
        <f t="shared" ca="1" si="504"/>
        <v>#NUM!</v>
      </c>
      <c r="CB110" s="3" t="e">
        <f t="shared" ca="1" si="457"/>
        <v>#NUM!</v>
      </c>
      <c r="CC110" s="3" t="e">
        <f t="shared" ca="1" si="504"/>
        <v>#NUM!</v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0.01</v>
      </c>
      <c r="CF110" s="3">
        <f>IF(RTD("tos.rtd",,CF$83,"."&amp;$C$82&amp;$AU$82&amp;"C"&amp;$A110)="N/A",0,RTD("tos.rtd",,CF$83,"."&amp;$C$82&amp;$AU$82&amp;"C"&amp;$A110))</f>
        <v>1</v>
      </c>
      <c r="CG110" s="3">
        <f>-IF(RTD("tos.rtd",,CG$83,"."&amp;$C$82&amp;$AU$82&amp;"P"&amp;$A110)="N/A",0,RTD("tos.rtd",,CG$83,"."&amp;$C$82&amp;$AU$82&amp;"P"&amp;$A110))</f>
        <v>0.01</v>
      </c>
      <c r="CH110" s="3">
        <f>IF(RTD("tos.rtd",,CH$83,"."&amp;$D$82&amp;$AW$82&amp;"C"&amp;$A110)="N/A",0,RTD("tos.rtd",,CH$83,"."&amp;$D$82&amp;$AW$82&amp;"C"&amp;$A110))</f>
        <v>0.61</v>
      </c>
      <c r="CI110" s="3">
        <f>-IF(RTD("tos.rtd",,CI$83,"."&amp;$D$82&amp;$AW$82&amp;"P"&amp;$A110)="N/A",0,RTD("tos.rtd",,CI$83,"."&amp;$D$82&amp;$AW$82&amp;"P"&amp;$A110))</f>
        <v>0.39</v>
      </c>
      <c r="CK110" s="3">
        <f t="shared" si="493"/>
        <v>17070</v>
      </c>
      <c r="CL110" s="3"/>
      <c r="CM110" s="3">
        <f t="shared" si="494"/>
        <v>166166</v>
      </c>
      <c r="CN110" s="3"/>
      <c r="CO110" s="3">
        <f t="shared" si="495"/>
        <v>7455.9999999999964</v>
      </c>
      <c r="CP110" s="3">
        <f t="shared" si="458"/>
        <v>190692</v>
      </c>
      <c r="CQ110" s="3">
        <f t="shared" si="459"/>
        <v>0</v>
      </c>
      <c r="CR110" s="3"/>
      <c r="CS110" s="3">
        <f t="shared" si="460"/>
        <v>-43360</v>
      </c>
      <c r="CT110" s="3"/>
      <c r="CU110" s="3">
        <f t="shared" si="461"/>
        <v>-148</v>
      </c>
      <c r="CV110" s="3"/>
      <c r="CW110" s="3" t="e">
        <f t="shared" ca="1" si="462"/>
        <v>#NUM!</v>
      </c>
      <c r="CY110" s="3" t="e">
        <f t="shared" ca="1" si="463"/>
        <v>#NUM!</v>
      </c>
      <c r="CZ110" s="70" t="e">
        <f t="shared" ca="1" si="505"/>
        <v>#NUM!</v>
      </c>
      <c r="DA110" s="3">
        <f>IF(RTD("tos.rtd",,DA$83,"."&amp;$B$82&amp;$AS$82&amp;"C"&amp;$A110)="N/A",0,RTD("tos.rtd",,DA$83,"."&amp;$B$82&amp;$AS$82&amp;"C"&amp;$A110))</f>
        <v>29.6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33.4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27.8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7"/>
        <v>-40</v>
      </c>
      <c r="DH110" s="3">
        <f t="shared" si="464"/>
        <v>-435.85714285714317</v>
      </c>
      <c r="DI110" s="3">
        <f t="shared" si="465"/>
        <v>26210</v>
      </c>
      <c r="DJ110" s="3">
        <f t="shared" si="466"/>
        <v>1356</v>
      </c>
      <c r="DK110" s="3">
        <f t="shared" si="467"/>
        <v>26210</v>
      </c>
      <c r="DL110" s="3">
        <f t="shared" si="468"/>
        <v>25774.142857142855</v>
      </c>
      <c r="DM110" s="3">
        <f t="shared" si="469"/>
        <v>27566</v>
      </c>
      <c r="DN110" s="64" t="str">
        <f t="shared" si="470"/>
        <v>UNKNOWN</v>
      </c>
      <c r="DO110" s="64" t="str">
        <f t="shared" si="471"/>
        <v>UNKNOWN</v>
      </c>
      <c r="DP110" s="3">
        <f t="shared" si="472"/>
        <v>-11590.871428571438</v>
      </c>
      <c r="DQ110" s="3">
        <f t="shared" si="473"/>
        <v>41448.1</v>
      </c>
      <c r="DR110" s="3" t="e">
        <f t="shared" ca="1" si="474"/>
        <v>#NUM!</v>
      </c>
      <c r="DS110" s="3">
        <f t="shared" si="475"/>
        <v>1618.1</v>
      </c>
      <c r="DT110" s="3">
        <f t="shared" si="498"/>
        <v>-1356</v>
      </c>
      <c r="DU110" s="3">
        <f t="shared" si="499"/>
        <v>26210</v>
      </c>
      <c r="DV110" s="3">
        <f t="shared" si="500"/>
        <v>6</v>
      </c>
      <c r="DW110" s="3">
        <f t="shared" si="501"/>
        <v>2668</v>
      </c>
      <c r="DX110" s="3" t="e">
        <f t="shared" ca="1" si="506"/>
        <v>#NUM!</v>
      </c>
      <c r="DY110" s="3" t="e">
        <f t="shared" ca="1" si="476"/>
        <v>#NUM!</v>
      </c>
      <c r="DZ110" s="3" t="e">
        <f t="shared" ca="1" si="477"/>
        <v>#NUM!</v>
      </c>
      <c r="EA110" s="3" t="e">
        <f t="shared" ca="1" si="478"/>
        <v>#NUM!</v>
      </c>
      <c r="EB110" s="3" t="e">
        <f t="shared" ca="1" si="479"/>
        <v>#NUM!</v>
      </c>
      <c r="EC110" s="3" t="e">
        <f t="shared" ca="1" si="480"/>
        <v>#NUM!</v>
      </c>
      <c r="EE110" s="59">
        <f t="shared" si="481"/>
        <v>0.25</v>
      </c>
      <c r="EF110" s="59">
        <f t="shared" si="482"/>
        <v>0.36470000000000002</v>
      </c>
      <c r="EG110" s="59">
        <f t="shared" si="483"/>
        <v>0.25</v>
      </c>
      <c r="EH110" s="59">
        <f t="shared" si="484"/>
        <v>0.36470000000000002</v>
      </c>
      <c r="EI110" s="59">
        <f t="shared" si="485"/>
        <v>0.25269999999999998</v>
      </c>
      <c r="EJ110" s="59">
        <f t="shared" si="486"/>
        <v>0.23980000000000001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36.47%</v>
      </c>
      <c r="EN110" s="3" t="str">
        <f>RTD("tos.rtd",,EN$83,"."&amp;$C$82&amp;$AU$82&amp;"C"&amp;$A110)</f>
        <v>--</v>
      </c>
      <c r="EO110" s="3" t="str">
        <f>RTD("tos.rtd",,EO$83,"."&amp;$C$82&amp;$AU$82&amp;"P"&amp;$A110)</f>
        <v>36.47%</v>
      </c>
      <c r="EP110" s="3" t="str">
        <f>RTD("tos.rtd",,EP$83,"."&amp;$D$82&amp;$AW$82&amp;"C"&amp;$A110)</f>
        <v>25.27%</v>
      </c>
      <c r="EQ110" s="3" t="str">
        <f>RTD("tos.rtd",,EQ$83,"."&amp;$D$82&amp;$AW$82&amp;"P"&amp;$A110)</f>
        <v>23.98%</v>
      </c>
      <c r="ES110" s="63" t="str">
        <f t="shared" si="487"/>
        <v>5620,2674.00</v>
      </c>
      <c r="ET110" s="64" t="str">
        <f t="shared" ca="1" si="488"/>
        <v>5620,00.00</v>
      </c>
      <c r="EU110" s="67">
        <v>563.14</v>
      </c>
      <c r="EV110" s="67" t="s">
        <v>899</v>
      </c>
      <c r="EW110" s="67">
        <v>485.76</v>
      </c>
      <c r="EX110" s="67" t="s">
        <v>900</v>
      </c>
      <c r="EY110" s="67">
        <v>5645</v>
      </c>
      <c r="EZ110" s="67" t="s">
        <v>901</v>
      </c>
      <c r="FA110" s="67">
        <v>19954.75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502"/>
        <v>5610</v>
      </c>
      <c r="B111" s="3">
        <f t="shared" si="447"/>
        <v>3332</v>
      </c>
      <c r="C111" s="3">
        <f t="shared" si="448"/>
        <v>1780</v>
      </c>
      <c r="D111" s="3">
        <f t="shared" si="449"/>
        <v>1674</v>
      </c>
      <c r="E111" s="3">
        <f t="shared" si="513"/>
        <v>6786</v>
      </c>
      <c r="F111" s="4">
        <f t="shared" si="516"/>
        <v>5633.7879858657243</v>
      </c>
      <c r="G111" s="4">
        <f t="shared" si="514"/>
        <v>559.81060070671379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-467</v>
      </c>
      <c r="AN111" s="20">
        <v>-933</v>
      </c>
      <c r="AO111" s="20">
        <v>5610</v>
      </c>
      <c r="AP111" s="20">
        <v>2117</v>
      </c>
      <c r="AQ111" s="20">
        <v>-18602</v>
      </c>
      <c r="AR111" s="20"/>
      <c r="AS111" s="54">
        <f>IF(RTD("tos.rtd",,AS$83,"."&amp;$B$82&amp;$AS$82&amp;"C"&amp;$A111)="N/A",0,RTD("tos.rtd",,AS$83,"."&amp;$B$82&amp;$AS$82&amp;"C"&amp;$A111))</f>
        <v>1216</v>
      </c>
      <c r="AT111" s="3">
        <f>-IF(RTD("tos.rtd",,AT$83,"."&amp;$B$82&amp;$AS$82&amp;"P"&amp;$A111)="N/A",0,RTD("tos.rtd",,AT$83,"."&amp;$B$82&amp;$AS$82&amp;"P"&amp;$A111))</f>
        <v>-2116</v>
      </c>
      <c r="AU111" s="54">
        <f>IF(RTD("tos.rtd",,AU$83,"."&amp;$C$82&amp;$AU$82&amp;"C"&amp;$A111)="N/A",0,RTD("tos.rtd",,AU$83,"."&amp;$C$82&amp;$AU$82&amp;"C"&amp;$A111))</f>
        <v>675</v>
      </c>
      <c r="AV111" s="3">
        <f>-IF(RTD("tos.rtd",,AV$83,"."&amp;$C$82&amp;$AU$82&amp;"P"&amp;$A111)="N/A",0,RTD("tos.rtd",,AV$83,"."&amp;$C$82&amp;$AU$82&amp;"P"&amp;$A111))</f>
        <v>-1105</v>
      </c>
      <c r="AW111" s="54">
        <f>IF(RTD("tos.rtd",,AW$83,"."&amp;$D$82&amp;$AW$82&amp;"C"&amp;$A111)="N/A",0,RTD("tos.rtd",,AW$83,"."&amp;$D$82&amp;$AW$82&amp;"C"&amp;$A111))</f>
        <v>1209</v>
      </c>
      <c r="AX111" s="3">
        <f>-IF(RTD("tos.rtd",,AX$83,"."&amp;$D$82&amp;$AW$82&amp;"P"&amp;$A111)="N/A",0,RTD("tos.rtd",,AX$83,"."&amp;$D$82&amp;$AW$82&amp;"P"&amp;$A111))</f>
        <v>-465</v>
      </c>
      <c r="AY111" s="79">
        <f t="shared" si="515"/>
        <v>-586</v>
      </c>
      <c r="AZ111" s="8">
        <f t="shared" si="451"/>
        <v>5610</v>
      </c>
      <c r="BA111" s="54">
        <f>IF(RTD("tos.rtd",,BA$83,"."&amp;$B$82&amp;$AS$82&amp;"C"&amp;$A111)="N/A",0,RTD("tos.rtd",,BA$83,"."&amp;$B$82&amp;$AS$82&amp;"C"&amp;$A111))</f>
        <v>0</v>
      </c>
      <c r="BB111" s="3">
        <f>-IF(RTD("tos.rtd",,BB$83,"."&amp;$B$82&amp;$AS$82&amp;"P"&amp;$A111)="N/A",0,RTD("tos.rtd",,BB$83,"."&amp;$B$82&amp;$AS$82&amp;"P"&amp;$A111))</f>
        <v>0</v>
      </c>
      <c r="BC111" s="54">
        <f>IF(RTD("tos.rtd",,BC$83,"."&amp;$C$82&amp;$AU$82&amp;"C"&amp;$A111)="N/A",0,RTD("tos.rtd",,BC$83,"."&amp;$C$82&amp;$AU$82&amp;"C"&amp;$A111))</f>
        <v>794</v>
      </c>
      <c r="BD111" s="3">
        <f>-IF(RTD("tos.rtd",,BD$83,"."&amp;$C$82&amp;$AU$82&amp;"P"&amp;$A111)="N/A",0,RTD("tos.rtd",,BD$83,"."&amp;$C$82&amp;$AU$82&amp;"P"&amp;$A111))</f>
        <v>-30254</v>
      </c>
      <c r="BE111" s="54">
        <f>IF(RTD("tos.rtd",,BE$83,"."&amp;$D$82&amp;$AW$82&amp;"C"&amp;$A111)="N/A",0,RTD("tos.rtd",,BE$83,"."&amp;$D$82&amp;$AW$82&amp;"C"&amp;$A111))</f>
        <v>1096</v>
      </c>
      <c r="BF111" s="3">
        <f>-IF(RTD("tos.rtd",,BF$83,"."&amp;$D$82&amp;$AW$82&amp;"P"&amp;$A111)="N/A",0,RTD("tos.rtd",,BF$83,"."&amp;$D$82&amp;$AW$82&amp;"P"&amp;$A111))</f>
        <v>-621</v>
      </c>
      <c r="BG111" s="3">
        <f ca="1">+Hoja2!Y112</f>
        <v>-43</v>
      </c>
      <c r="BH111" s="55">
        <f t="shared" ca="1" si="491"/>
        <v>-29028</v>
      </c>
      <c r="BI111" s="32" t="str">
        <f t="shared" ca="1" si="507"/>
        <v/>
      </c>
      <c r="BJ111" s="3" t="e">
        <f ca="1">IF($BP$1=1,DX111,IF(RTD("tos.rtd",,BJ$83,"."&amp;$B$82&amp;$AS$82&amp;"C"&amp;$A111)="N/A",0,RTD("tos.rtd",,BJ$83,"."&amp;$B$82&amp;$AS$82&amp;"C"&amp;$A111)))</f>
        <v>#NUM!</v>
      </c>
      <c r="BK111" s="3" t="e">
        <f ca="1">IF($BP$1=1,DY111,-IF(RTD("tos.rtd",,BK$83,"."&amp;$B$82&amp;$AS$82&amp;"P"&amp;$A111)="N/A",0,RTD("tos.rtd",,BK$83,"."&amp;$B$82&amp;$AS$82&amp;"P"&amp;$A111)))</f>
        <v>#NUM!</v>
      </c>
      <c r="BL111" s="3" t="e">
        <f ca="1">IF($BP$1=1,DZ111,IF(RTD("tos.rtd",,BL$83,"."&amp;$C$82&amp;$AU$82&amp;"C"&amp;$A111)="N/A",0,RTD("tos.rtd",,BL$83,"."&amp;$C$82&amp;$AU$82&amp;"C"&amp;$A111)))</f>
        <v>#NUM!</v>
      </c>
      <c r="BM111" s="3" t="e">
        <f ca="1">IF($BP$1=1,EA111,-IF(RTD("tos.rtd",,BM$83,"."&amp;$C$82&amp;$AU$82&amp;"P"&amp;$A111)="N/A",0,RTD("tos.rtd",,BM$83,"."&amp;$C$82&amp;$AU$82&amp;"P"&amp;$A111)))</f>
        <v>#NUM!</v>
      </c>
      <c r="BN111" s="3" t="e">
        <f ca="1">IF($BP$1=1,EB111,IF(RTD("tos.rtd",,BN$83,"."&amp;$D$82&amp;$AW$82&amp;"C"&amp;$A111)="N/A",0,RTD("tos.rtd",,BN$83,"."&amp;$D$82&amp;$AW$82&amp;"C"&amp;$A111)))</f>
        <v>#NUM!</v>
      </c>
      <c r="BO111" s="3" t="e">
        <f ca="1">IF($BP$1=1,EC111,-IF(RTD("tos.rtd",,BO$83,"."&amp;$D$82&amp;$AW$82&amp;"P"&amp;$A111)="N/A",0,RTD("tos.rtd",,BO$83,"."&amp;$D$82&amp;$AW$82&amp;"P"&amp;$A111)))</f>
        <v>#NUM!</v>
      </c>
      <c r="BQ111" s="3" t="e">
        <f t="shared" ca="1" si="452"/>
        <v>#NUM!</v>
      </c>
      <c r="BR111" s="3" t="e">
        <f t="shared" ca="1" si="492"/>
        <v>#NUM!</v>
      </c>
      <c r="BS111" s="3" t="e">
        <f t="shared" ca="1" si="453"/>
        <v>#NUM!</v>
      </c>
      <c r="BT111" s="3" t="e">
        <f t="shared" ca="1" si="492"/>
        <v>#NUM!</v>
      </c>
      <c r="BU111" s="3" t="e">
        <f t="shared" ca="1" si="454"/>
        <v>#NUM!</v>
      </c>
      <c r="BV111" s="3" t="e">
        <f t="shared" ca="1" si="492"/>
        <v>#NUM!</v>
      </c>
      <c r="BX111" s="3" t="e">
        <f t="shared" ca="1" si="455"/>
        <v>#NUM!</v>
      </c>
      <c r="BY111" s="3" t="e">
        <f t="shared" ca="1" si="504"/>
        <v>#NUM!</v>
      </c>
      <c r="BZ111" s="3" t="e">
        <f t="shared" ca="1" si="456"/>
        <v>#NUM!</v>
      </c>
      <c r="CA111" s="3" t="e">
        <f t="shared" ca="1" si="504"/>
        <v>#NUM!</v>
      </c>
      <c r="CB111" s="3" t="e">
        <f t="shared" ca="1" si="457"/>
        <v>#NUM!</v>
      </c>
      <c r="CC111" s="3" t="e">
        <f t="shared" ca="1" si="504"/>
        <v>#NUM!</v>
      </c>
      <c r="CD111" s="3">
        <f>IF(RTD("tos.rtd",,CD$83,"."&amp;$B$82&amp;$AS$82&amp;"C"&amp;$A111)="N/A",0,RTD("tos.rtd",,CD$83,"."&amp;$B$82&amp;$AS$82&amp;"C"&amp;$A111))</f>
        <v>1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1</v>
      </c>
      <c r="CG111" s="3">
        <f>-IF(RTD("tos.rtd",,CG$83,"."&amp;$C$82&amp;$AU$82&amp;"P"&amp;$A111)="N/A",0,RTD("tos.rtd",,CG$83,"."&amp;$C$82&amp;$AU$82&amp;"P"&amp;$A111))</f>
        <v>0</v>
      </c>
      <c r="CH111" s="3">
        <f>IF(RTD("tos.rtd",,CH$83,"."&amp;$D$82&amp;$AW$82&amp;"C"&amp;$A111)="N/A",0,RTD("tos.rtd",,CH$83,"."&amp;$D$82&amp;$AW$82&amp;"C"&amp;$A111))</f>
        <v>0.63</v>
      </c>
      <c r="CI111" s="3">
        <f>-IF(RTD("tos.rtd",,CI$83,"."&amp;$D$82&amp;$AW$82&amp;"P"&amp;$A111)="N/A",0,RTD("tos.rtd",,CI$83,"."&amp;$D$82&amp;$AW$82&amp;"P"&amp;$A111))</f>
        <v>0.36</v>
      </c>
      <c r="CK111" s="3">
        <f t="shared" si="493"/>
        <v>121600</v>
      </c>
      <c r="CL111" s="3"/>
      <c r="CM111" s="3">
        <f t="shared" si="494"/>
        <v>67500</v>
      </c>
      <c r="CN111" s="3"/>
      <c r="CO111" s="3">
        <f t="shared" si="495"/>
        <v>59427</v>
      </c>
      <c r="CP111" s="3">
        <f t="shared" si="458"/>
        <v>248527</v>
      </c>
      <c r="CQ111" s="3">
        <f t="shared" si="459"/>
        <v>0</v>
      </c>
      <c r="CR111" s="3"/>
      <c r="CS111" s="3">
        <f t="shared" si="460"/>
        <v>-29460</v>
      </c>
      <c r="CT111" s="3"/>
      <c r="CU111" s="3">
        <f t="shared" si="461"/>
        <v>475</v>
      </c>
      <c r="CV111" s="3"/>
      <c r="CW111" s="3" t="e">
        <f t="shared" ca="1" si="462"/>
        <v>#NUM!</v>
      </c>
      <c r="CY111" s="3" t="e">
        <f t="shared" ca="1" si="463"/>
        <v>#NUM!</v>
      </c>
      <c r="CZ111" s="70" t="e">
        <f t="shared" ca="1" si="505"/>
        <v>#NUM!</v>
      </c>
      <c r="DA111" s="3">
        <f>IF(RTD("tos.rtd",,DA$83,"."&amp;$B$82&amp;$AS$82&amp;"C"&amp;$A111)="N/A",0,RTD("tos.rtd",,DA$83,"."&amp;$B$82&amp;$AS$82&amp;"C"&amp;$A111))</f>
        <v>39.4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43.5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37.799999999999997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7"/>
        <v>-50</v>
      </c>
      <c r="DH111" s="3">
        <f t="shared" si="464"/>
        <v>-594.2456140350879</v>
      </c>
      <c r="DI111" s="3">
        <f t="shared" si="465"/>
        <v>11161.199999999999</v>
      </c>
      <c r="DJ111" s="3">
        <f t="shared" si="466"/>
        <v>2117</v>
      </c>
      <c r="DK111" s="3">
        <f t="shared" si="467"/>
        <v>18602</v>
      </c>
      <c r="DL111" s="3">
        <f t="shared" si="468"/>
        <v>10566.954385964911</v>
      </c>
      <c r="DM111" s="3">
        <f t="shared" si="469"/>
        <v>20719</v>
      </c>
      <c r="DN111" s="64" t="str">
        <f t="shared" si="470"/>
        <v>UNKNOWN</v>
      </c>
      <c r="DO111" s="64" t="str">
        <f t="shared" si="471"/>
        <v>UNKNOWN</v>
      </c>
      <c r="DP111" s="3">
        <f t="shared" si="472"/>
        <v>-23078.441192982464</v>
      </c>
      <c r="DQ111" s="3">
        <f t="shared" si="473"/>
        <v>83967.86</v>
      </c>
      <c r="DR111" s="3" t="e">
        <f t="shared" ca="1" si="474"/>
        <v>#NUM!</v>
      </c>
      <c r="DS111" s="3">
        <f t="shared" si="475"/>
        <v>2117</v>
      </c>
      <c r="DT111" s="3">
        <f t="shared" si="498"/>
        <v>-2117</v>
      </c>
      <c r="DU111" s="3">
        <f t="shared" si="499"/>
        <v>18602</v>
      </c>
      <c r="DV111" s="3">
        <f t="shared" si="500"/>
        <v>-467</v>
      </c>
      <c r="DW111" s="3">
        <f t="shared" si="501"/>
        <v>-933</v>
      </c>
      <c r="DX111" s="3" t="e">
        <f t="shared" ca="1" si="506"/>
        <v>#NUM!</v>
      </c>
      <c r="DY111" s="3" t="e">
        <f t="shared" ca="1" si="476"/>
        <v>#NUM!</v>
      </c>
      <c r="DZ111" s="3" t="e">
        <f t="shared" ca="1" si="477"/>
        <v>#NUM!</v>
      </c>
      <c r="EA111" s="3" t="e">
        <f t="shared" ca="1" si="478"/>
        <v>#NUM!</v>
      </c>
      <c r="EB111" s="3" t="e">
        <f t="shared" ca="1" si="479"/>
        <v>#NUM!</v>
      </c>
      <c r="EC111" s="3" t="e">
        <f t="shared" ca="1" si="480"/>
        <v>#NUM!</v>
      </c>
      <c r="EE111" s="59">
        <f t="shared" si="481"/>
        <v>0.25</v>
      </c>
      <c r="EF111" s="59">
        <f t="shared" si="482"/>
        <v>0.4456</v>
      </c>
      <c r="EG111" s="59">
        <f t="shared" si="483"/>
        <v>0.25</v>
      </c>
      <c r="EH111" s="59">
        <f t="shared" si="484"/>
        <v>0.4456</v>
      </c>
      <c r="EI111" s="59">
        <f t="shared" si="485"/>
        <v>0.25459999999999999</v>
      </c>
      <c r="EJ111" s="59">
        <f t="shared" si="486"/>
        <v>0.2417</v>
      </c>
      <c r="EL111" s="3" t="str">
        <f>RTD("tos.rtd",,EL$83,"."&amp;$B$82&amp;$AS$82&amp;"C"&amp;$A111)</f>
        <v>--</v>
      </c>
      <c r="EM111" s="3" t="str">
        <f>RTD("tos.rtd",,EM$83,"."&amp;$B$82&amp;$AS$82&amp;"P"&amp;$A111)</f>
        <v>44.56%</v>
      </c>
      <c r="EN111" s="3" t="str">
        <f>RTD("tos.rtd",,EN$83,"."&amp;$C$82&amp;$AU$82&amp;"C"&amp;$A111)</f>
        <v>--</v>
      </c>
      <c r="EO111" s="3" t="str">
        <f>RTD("tos.rtd",,EO$83,"."&amp;$C$82&amp;$AU$82&amp;"P"&amp;$A111)</f>
        <v>44.56%</v>
      </c>
      <c r="EP111" s="3" t="str">
        <f>RTD("tos.rtd",,EP$83,"."&amp;$D$82&amp;$AW$82&amp;"C"&amp;$A111)</f>
        <v>25.46%</v>
      </c>
      <c r="EQ111" s="3" t="str">
        <f>RTD("tos.rtd",,EQ$83,"."&amp;$D$82&amp;$AW$82&amp;"P"&amp;$A111)</f>
        <v>24.17%</v>
      </c>
      <c r="ES111" s="63" t="str">
        <f t="shared" si="487"/>
        <v>5610,-1400.00</v>
      </c>
      <c r="ET111" s="64" t="str">
        <f t="shared" ca="1" si="488"/>
        <v>5610,00.00</v>
      </c>
      <c r="EU111" s="67">
        <v>563.16999999999996</v>
      </c>
      <c r="EV111" s="67" t="s">
        <v>907</v>
      </c>
      <c r="EW111" s="67">
        <v>485.71</v>
      </c>
      <c r="EX111" s="67" t="s">
        <v>908</v>
      </c>
      <c r="EY111" s="67">
        <v>5645.25</v>
      </c>
      <c r="EZ111" s="67" t="s">
        <v>909</v>
      </c>
      <c r="FA111" s="67">
        <v>19953.75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502"/>
        <v>5600</v>
      </c>
      <c r="B112" s="3">
        <f t="shared" si="447"/>
        <v>5216</v>
      </c>
      <c r="C112" s="3">
        <f t="shared" si="448"/>
        <v>7525</v>
      </c>
      <c r="D112" s="3">
        <f t="shared" si="449"/>
        <v>5274</v>
      </c>
      <c r="E112" s="3">
        <f t="shared" ref="E112:E122" si="517">SUM(B112:D112)</f>
        <v>18015</v>
      </c>
      <c r="F112" s="4">
        <f t="shared" ref="F112:F122" si="518">+$F$84/$A$84*A112</f>
        <v>5623.745583038869</v>
      </c>
      <c r="G112" s="4">
        <f t="shared" ref="G112:G122" si="519">+$G$84/$A$84*A112</f>
        <v>558.81272084805653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-63</v>
      </c>
      <c r="AN112" s="20">
        <v>1565</v>
      </c>
      <c r="AO112" s="20">
        <v>5600</v>
      </c>
      <c r="AP112" s="20">
        <v>2752</v>
      </c>
      <c r="AQ112" s="20">
        <v>-38778</v>
      </c>
      <c r="AR112" s="20"/>
      <c r="AS112" s="54">
        <f>IF(RTD("tos.rtd",,AS$83,"."&amp;$B$82&amp;$AS$82&amp;"C"&amp;$A112)="N/A",0,RTD("tos.rtd",,AS$83,"."&amp;$B$82&amp;$AS$82&amp;"C"&amp;$A112))</f>
        <v>1872</v>
      </c>
      <c r="AT112" s="3">
        <f>-IF(RTD("tos.rtd",,AT$83,"."&amp;$B$82&amp;$AS$82&amp;"P"&amp;$A112)="N/A",0,RTD("tos.rtd",,AT$83,"."&amp;$B$82&amp;$AS$82&amp;"P"&amp;$A112))</f>
        <v>-3344</v>
      </c>
      <c r="AU112" s="54">
        <f>IF(RTD("tos.rtd",,AU$83,"."&amp;$C$82&amp;$AU$82&amp;"C"&amp;$A112)="N/A",0,RTD("tos.rtd",,AU$83,"."&amp;$C$82&amp;$AU$82&amp;"C"&amp;$A112))</f>
        <v>2808</v>
      </c>
      <c r="AV112" s="3">
        <f>-IF(RTD("tos.rtd",,AV$83,"."&amp;$C$82&amp;$AU$82&amp;"P"&amp;$A112)="N/A",0,RTD("tos.rtd",,AV$83,"."&amp;$C$82&amp;$AU$82&amp;"P"&amp;$A112))</f>
        <v>-4717</v>
      </c>
      <c r="AW112" s="54">
        <f>IF(RTD("tos.rtd",,AW$83,"."&amp;$D$82&amp;$AW$82&amp;"C"&amp;$A112)="N/A",0,RTD("tos.rtd",,AW$83,"."&amp;$D$82&amp;$AW$82&amp;"C"&amp;$A112))</f>
        <v>3152</v>
      </c>
      <c r="AX112" s="3">
        <f>-IF(RTD("tos.rtd",,AX$83,"."&amp;$D$82&amp;$AW$82&amp;"P"&amp;$A112)="N/A",0,RTD("tos.rtd",,AX$83,"."&amp;$D$82&amp;$AW$82&amp;"P"&amp;$A112))</f>
        <v>-2122</v>
      </c>
      <c r="AY112" s="79">
        <f t="shared" ref="AY112:AY122" si="520">SUM(AS112:AX112)</f>
        <v>-2351</v>
      </c>
      <c r="AZ112" s="8">
        <f t="shared" si="451"/>
        <v>5600</v>
      </c>
      <c r="BA112" s="54">
        <f>IF(RTD("tos.rtd",,BA$83,"."&amp;$B$82&amp;$AS$82&amp;"C"&amp;$A112)="N/A",0,RTD("tos.rtd",,BA$83,"."&amp;$B$82&amp;$AS$82&amp;"C"&amp;$A112))</f>
        <v>0</v>
      </c>
      <c r="BB112" s="3">
        <f>-IF(RTD("tos.rtd",,BB$83,"."&amp;$B$82&amp;$AS$82&amp;"P"&amp;$A112)="N/A",0,RTD("tos.rtd",,BB$83,"."&amp;$B$82&amp;$AS$82&amp;"P"&amp;$A112))</f>
        <v>0</v>
      </c>
      <c r="BC112" s="54">
        <f>IF(RTD("tos.rtd",,BC$83,"."&amp;$C$82&amp;$AU$82&amp;"C"&amp;$A112)="N/A",0,RTD("tos.rtd",,BC$83,"."&amp;$C$82&amp;$AU$82&amp;"C"&amp;$A112))</f>
        <v>1372</v>
      </c>
      <c r="BD112" s="3">
        <f>-IF(RTD("tos.rtd",,BD$83,"."&amp;$C$82&amp;$AU$82&amp;"P"&amp;$A112)="N/A",0,RTD("tos.rtd",,BD$83,"."&amp;$C$82&amp;$AU$82&amp;"P"&amp;$A112))</f>
        <v>-50603</v>
      </c>
      <c r="BE112" s="54">
        <f>IF(RTD("tos.rtd",,BE$83,"."&amp;$D$82&amp;$AW$82&amp;"C"&amp;$A112)="N/A",0,RTD("tos.rtd",,BE$83,"."&amp;$D$82&amp;$AW$82&amp;"C"&amp;$A112))</f>
        <v>1371</v>
      </c>
      <c r="BF112" s="3">
        <f>-IF(RTD("tos.rtd",,BF$83,"."&amp;$D$82&amp;$AW$82&amp;"P"&amp;$A112)="N/A",0,RTD("tos.rtd",,BF$83,"."&amp;$D$82&amp;$AW$82&amp;"P"&amp;$A112))</f>
        <v>-1474</v>
      </c>
      <c r="BG112" s="3">
        <f ca="1">+Hoja2!Y113</f>
        <v>-1264</v>
      </c>
      <c r="BH112" s="55">
        <f t="shared" ca="1" si="491"/>
        <v>-50598</v>
      </c>
      <c r="BI112" s="32" t="str">
        <f t="shared" ca="1" si="507"/>
        <v/>
      </c>
      <c r="BJ112" s="3" t="e">
        <f ca="1">IF($BP$1=1,DX112,IF(RTD("tos.rtd",,BJ$83,"."&amp;$B$82&amp;$AS$82&amp;"C"&amp;$A112)="N/A",0,RTD("tos.rtd",,BJ$83,"."&amp;$B$82&amp;$AS$82&amp;"C"&amp;$A112)))</f>
        <v>#NUM!</v>
      </c>
      <c r="BK112" s="3" t="e">
        <f ca="1">IF($BP$1=1,DY112,-IF(RTD("tos.rtd",,BK$83,"."&amp;$B$82&amp;$AS$82&amp;"P"&amp;$A112)="N/A",0,RTD("tos.rtd",,BK$83,"."&amp;$B$82&amp;$AS$82&amp;"P"&amp;$A112)))</f>
        <v>#NUM!</v>
      </c>
      <c r="BL112" s="3" t="e">
        <f ca="1">IF($BP$1=1,DZ112,IF(RTD("tos.rtd",,BL$83,"."&amp;$C$82&amp;$AU$82&amp;"C"&amp;$A112)="N/A",0,RTD("tos.rtd",,BL$83,"."&amp;$C$82&amp;$AU$82&amp;"C"&amp;$A112)))</f>
        <v>#NUM!</v>
      </c>
      <c r="BM112" s="3" t="e">
        <f ca="1">IF($BP$1=1,EA112,-IF(RTD("tos.rtd",,BM$83,"."&amp;$C$82&amp;$AU$82&amp;"P"&amp;$A112)="N/A",0,RTD("tos.rtd",,BM$83,"."&amp;$C$82&amp;$AU$82&amp;"P"&amp;$A112)))</f>
        <v>#NUM!</v>
      </c>
      <c r="BN112" s="3" t="e">
        <f ca="1">IF($BP$1=1,EB112,IF(RTD("tos.rtd",,BN$83,"."&amp;$D$82&amp;$AW$82&amp;"C"&amp;$A112)="N/A",0,RTD("tos.rtd",,BN$83,"."&amp;$D$82&amp;$AW$82&amp;"C"&amp;$A112)))</f>
        <v>#NUM!</v>
      </c>
      <c r="BO112" s="3" t="e">
        <f ca="1">IF($BP$1=1,EC112,-IF(RTD("tos.rtd",,BO$83,"."&amp;$D$82&amp;$AW$82&amp;"P"&amp;$A112)="N/A",0,RTD("tos.rtd",,BO$83,"."&amp;$D$82&amp;$AW$82&amp;"P"&amp;$A112)))</f>
        <v>#NUM!</v>
      </c>
      <c r="BQ112" s="3" t="e">
        <f t="shared" ca="1" si="452"/>
        <v>#NUM!</v>
      </c>
      <c r="BR112" s="3" t="e">
        <f t="shared" ca="1" si="492"/>
        <v>#NUM!</v>
      </c>
      <c r="BS112" s="3" t="e">
        <f t="shared" ca="1" si="453"/>
        <v>#NUM!</v>
      </c>
      <c r="BT112" s="3" t="e">
        <f t="shared" ca="1" si="492"/>
        <v>#NUM!</v>
      </c>
      <c r="BU112" s="3" t="e">
        <f t="shared" ca="1" si="454"/>
        <v>#NUM!</v>
      </c>
      <c r="BV112" s="3" t="e">
        <f t="shared" ca="1" si="492"/>
        <v>#NUM!</v>
      </c>
      <c r="BX112" s="3" t="e">
        <f t="shared" ca="1" si="455"/>
        <v>#NUM!</v>
      </c>
      <c r="BY112" s="3" t="e">
        <f t="shared" ca="1" si="504"/>
        <v>#NUM!</v>
      </c>
      <c r="BZ112" s="3" t="e">
        <f t="shared" ca="1" si="456"/>
        <v>#NUM!</v>
      </c>
      <c r="CA112" s="3" t="e">
        <f t="shared" ca="1" si="504"/>
        <v>#NUM!</v>
      </c>
      <c r="CB112" s="3" t="e">
        <f t="shared" ca="1" si="457"/>
        <v>#NUM!</v>
      </c>
      <c r="CC112" s="3" t="e">
        <f t="shared" ca="1" si="504"/>
        <v>#NUM!</v>
      </c>
      <c r="CD112" s="3">
        <f>IF(RTD("tos.rtd",,CD$83,"."&amp;$B$82&amp;$AS$82&amp;"C"&amp;$A112)="N/A",0,RTD("tos.rtd",,CD$83,"."&amp;$B$82&amp;$AS$82&amp;"C"&amp;$A112))</f>
        <v>1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1</v>
      </c>
      <c r="CG112" s="3">
        <f>-IF(RTD("tos.rtd",,CG$83,"."&amp;$C$82&amp;$AU$82&amp;"P"&amp;$A112)="N/A",0,RTD("tos.rtd",,CG$83,"."&amp;$C$82&amp;$AU$82&amp;"P"&amp;$A112))</f>
        <v>0</v>
      </c>
      <c r="CH112" s="3">
        <f>IF(RTD("tos.rtd",,CH$83,"."&amp;$D$82&amp;$AW$82&amp;"C"&amp;$A112)="N/A",0,RTD("tos.rtd",,CH$83,"."&amp;$D$82&amp;$AW$82&amp;"C"&amp;$A112))</f>
        <v>0.65</v>
      </c>
      <c r="CI112" s="3">
        <f>-IF(RTD("tos.rtd",,CI$83,"."&amp;$D$82&amp;$AW$82&amp;"P"&amp;$A112)="N/A",0,RTD("tos.rtd",,CI$83,"."&amp;$D$82&amp;$AW$82&amp;"P"&amp;$A112))</f>
        <v>0.34</v>
      </c>
      <c r="CK112" s="3">
        <f t="shared" si="493"/>
        <v>187200</v>
      </c>
      <c r="CL112" s="3"/>
      <c r="CM112" s="3">
        <f t="shared" si="494"/>
        <v>280800</v>
      </c>
      <c r="CN112" s="3"/>
      <c r="CO112" s="3">
        <f t="shared" si="495"/>
        <v>132732.00000000003</v>
      </c>
      <c r="CP112" s="3">
        <f t="shared" si="458"/>
        <v>600732</v>
      </c>
      <c r="CQ112" s="3">
        <f t="shared" si="459"/>
        <v>0</v>
      </c>
      <c r="CR112" s="3"/>
      <c r="CS112" s="3">
        <f t="shared" si="460"/>
        <v>-49231</v>
      </c>
      <c r="CT112" s="3"/>
      <c r="CU112" s="3">
        <f t="shared" si="461"/>
        <v>-103</v>
      </c>
      <c r="CV112" s="3"/>
      <c r="CW112" s="3" t="e">
        <f t="shared" ref="CW112:CW122" ca="1" si="521">+BQ112+BS112+BU112</f>
        <v>#NUM!</v>
      </c>
      <c r="CY112" s="3" t="e">
        <f t="shared" ca="1" si="463"/>
        <v>#NUM!</v>
      </c>
      <c r="CZ112" s="70" t="e">
        <f t="shared" ca="1" si="505"/>
        <v>#NUM!</v>
      </c>
      <c r="DA112" s="3">
        <f>IF(RTD("tos.rtd",,DA$83,"."&amp;$B$82&amp;$AS$82&amp;"C"&amp;$A112)="N/A",0,RTD("tos.rtd",,DA$83,"."&amp;$B$82&amp;$AS$82&amp;"C"&amp;$A112))</f>
        <v>50.67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53.5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47.8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7"/>
        <v>-60</v>
      </c>
      <c r="DH112" s="3">
        <f t="shared" si="464"/>
        <v>-1385.6561403508788</v>
      </c>
      <c r="DI112" s="3">
        <f t="shared" si="465"/>
        <v>38778</v>
      </c>
      <c r="DJ112" s="3">
        <f t="shared" si="466"/>
        <v>0</v>
      </c>
      <c r="DK112" s="3">
        <f t="shared" si="467"/>
        <v>38778</v>
      </c>
      <c r="DL112" s="3">
        <f t="shared" si="468"/>
        <v>37392.343859649118</v>
      </c>
      <c r="DM112" s="3">
        <f t="shared" si="469"/>
        <v>38778</v>
      </c>
      <c r="DN112" s="64" t="str">
        <f t="shared" si="470"/>
        <v>UNKNOWN</v>
      </c>
      <c r="DO112" s="64" t="str">
        <f t="shared" si="471"/>
        <v>UNKNOWN</v>
      </c>
      <c r="DP112" s="3">
        <f t="shared" si="472"/>
        <v>-68272.29663157904</v>
      </c>
      <c r="DQ112" s="3">
        <f t="shared" si="473"/>
        <v>1938.9</v>
      </c>
      <c r="DR112" s="3" t="e">
        <f t="shared" ca="1" si="474"/>
        <v>#NUM!</v>
      </c>
      <c r="DS112" s="3">
        <f t="shared" si="475"/>
        <v>0</v>
      </c>
      <c r="DT112" s="3">
        <f t="shared" si="498"/>
        <v>-2752</v>
      </c>
      <c r="DU112" s="3">
        <f t="shared" si="499"/>
        <v>38778</v>
      </c>
      <c r="DV112" s="3">
        <f t="shared" si="500"/>
        <v>-63</v>
      </c>
      <c r="DW112" s="3">
        <f t="shared" si="501"/>
        <v>1565</v>
      </c>
      <c r="DX112" s="3" t="e">
        <f t="shared" ca="1" si="506"/>
        <v>#NUM!</v>
      </c>
      <c r="DY112" s="3" t="e">
        <f t="shared" ca="1" si="476"/>
        <v>#NUM!</v>
      </c>
      <c r="DZ112" s="3" t="e">
        <f t="shared" ca="1" si="477"/>
        <v>#NUM!</v>
      </c>
      <c r="EA112" s="3" t="e">
        <f t="shared" ca="1" si="478"/>
        <v>#NUM!</v>
      </c>
      <c r="EB112" s="3" t="e">
        <f t="shared" ca="1" si="479"/>
        <v>#NUM!</v>
      </c>
      <c r="EC112" s="3" t="e">
        <f t="shared" ca="1" si="480"/>
        <v>#NUM!</v>
      </c>
      <c r="EE112" s="59">
        <f t="shared" si="481"/>
        <v>0.25</v>
      </c>
      <c r="EF112" s="59">
        <f t="shared" si="482"/>
        <v>0.52539999999999998</v>
      </c>
      <c r="EG112" s="59">
        <f t="shared" si="483"/>
        <v>0.25</v>
      </c>
      <c r="EH112" s="59">
        <f t="shared" si="484"/>
        <v>0.52539999999999998</v>
      </c>
      <c r="EI112" s="59">
        <f t="shared" si="485"/>
        <v>0.25669999999999998</v>
      </c>
      <c r="EJ112" s="59">
        <f t="shared" si="486"/>
        <v>0.24340000000000001</v>
      </c>
      <c r="EL112" s="3" t="str">
        <f>RTD("tos.rtd",,EL$83,"."&amp;$B$82&amp;$AS$82&amp;"C"&amp;$A112)</f>
        <v>--</v>
      </c>
      <c r="EM112" s="3" t="str">
        <f>RTD("tos.rtd",,EM$83,"."&amp;$B$82&amp;$AS$82&amp;"P"&amp;$A112)</f>
        <v>52.54%</v>
      </c>
      <c r="EN112" s="3" t="str">
        <f>RTD("tos.rtd",,EN$83,"."&amp;$C$82&amp;$AU$82&amp;"C"&amp;$A112)</f>
        <v>--</v>
      </c>
      <c r="EO112" s="3" t="str">
        <f>RTD("tos.rtd",,EO$83,"."&amp;$C$82&amp;$AU$82&amp;"P"&amp;$A112)</f>
        <v>52.54%</v>
      </c>
      <c r="EP112" s="3" t="str">
        <f>RTD("tos.rtd",,EP$83,"."&amp;$D$82&amp;$AW$82&amp;"C"&amp;$A112)</f>
        <v>25.67%</v>
      </c>
      <c r="EQ112" s="3" t="str">
        <f>RTD("tos.rtd",,EQ$83,"."&amp;$D$82&amp;$AW$82&amp;"P"&amp;$A112)</f>
        <v>24.34%</v>
      </c>
      <c r="ES112" s="63" t="str">
        <f t="shared" si="487"/>
        <v>5600,1502.00</v>
      </c>
      <c r="ET112" s="64" t="str">
        <f t="shared" ca="1" si="488"/>
        <v>5600,00.00</v>
      </c>
      <c r="EU112" s="67">
        <v>563.26</v>
      </c>
      <c r="EV112" s="67" t="s">
        <v>915</v>
      </c>
      <c r="EW112" s="67">
        <v>485.83</v>
      </c>
      <c r="EX112" s="67" t="s">
        <v>916</v>
      </c>
      <c r="EY112" s="67">
        <v>5646</v>
      </c>
      <c r="EZ112" s="67" t="s">
        <v>917</v>
      </c>
      <c r="FA112" s="67">
        <v>19958.5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502"/>
        <v>5590</v>
      </c>
      <c r="B113" s="3">
        <f t="shared" si="447"/>
        <v>855</v>
      </c>
      <c r="C113" s="3">
        <f t="shared" si="448"/>
        <v>1883</v>
      </c>
      <c r="D113" s="3">
        <f t="shared" si="449"/>
        <v>904</v>
      </c>
      <c r="E113" s="3">
        <f t="shared" si="517"/>
        <v>3642</v>
      </c>
      <c r="F113" s="4">
        <f t="shared" si="518"/>
        <v>5613.7031802120136</v>
      </c>
      <c r="G113" s="4">
        <f t="shared" si="519"/>
        <v>557.81484098939927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-22</v>
      </c>
      <c r="AN113" s="20">
        <v>1392</v>
      </c>
      <c r="AO113" s="20">
        <v>5590</v>
      </c>
      <c r="AP113" s="20">
        <v>335</v>
      </c>
      <c r="AQ113" s="20">
        <v>-12184</v>
      </c>
      <c r="AR113" s="20"/>
      <c r="AS113" s="54">
        <f>IF(RTD("tos.rtd",,AS$83,"."&amp;$B$82&amp;$AS$82&amp;"C"&amp;$A113)="N/A",0,RTD("tos.rtd",,AS$83,"."&amp;$B$82&amp;$AS$82&amp;"C"&amp;$A113))</f>
        <v>125</v>
      </c>
      <c r="AT113" s="3">
        <f>-IF(RTD("tos.rtd",,AT$83,"."&amp;$B$82&amp;$AS$82&amp;"P"&amp;$A113)="N/A",0,RTD("tos.rtd",,AT$83,"."&amp;$B$82&amp;$AS$82&amp;"P"&amp;$A113))</f>
        <v>-730</v>
      </c>
      <c r="AU113" s="54">
        <f>IF(RTD("tos.rtd",,AU$83,"."&amp;$C$82&amp;$AU$82&amp;"C"&amp;$A113)="N/A",0,RTD("tos.rtd",,AU$83,"."&amp;$C$82&amp;$AU$82&amp;"C"&amp;$A113))</f>
        <v>728</v>
      </c>
      <c r="AV113" s="3">
        <f>-IF(RTD("tos.rtd",,AV$83,"."&amp;$C$82&amp;$AU$82&amp;"P"&amp;$A113)="N/A",0,RTD("tos.rtd",,AV$83,"."&amp;$C$82&amp;$AU$82&amp;"P"&amp;$A113))</f>
        <v>-1155</v>
      </c>
      <c r="AW113" s="54">
        <f>IF(RTD("tos.rtd",,AW$83,"."&amp;$D$82&amp;$AW$82&amp;"C"&amp;$A113)="N/A",0,RTD("tos.rtd",,AW$83,"."&amp;$D$82&amp;$AW$82&amp;"C"&amp;$A113))</f>
        <v>334</v>
      </c>
      <c r="AX113" s="3">
        <f>-IF(RTD("tos.rtd",,AX$83,"."&amp;$D$82&amp;$AW$82&amp;"P"&amp;$A113)="N/A",0,RTD("tos.rtd",,AX$83,"."&amp;$D$82&amp;$AW$82&amp;"P"&amp;$A113))</f>
        <v>-570</v>
      </c>
      <c r="AY113" s="79">
        <f t="shared" si="520"/>
        <v>-1268</v>
      </c>
      <c r="AZ113" s="8">
        <f t="shared" si="451"/>
        <v>5590</v>
      </c>
      <c r="BA113" s="54">
        <f>IF(RTD("tos.rtd",,BA$83,"."&amp;$B$82&amp;$AS$82&amp;"C"&amp;$A113)="N/A",0,RTD("tos.rtd",,BA$83,"."&amp;$B$82&amp;$AS$82&amp;"C"&amp;$A113))</f>
        <v>0</v>
      </c>
      <c r="BB113" s="3">
        <f>-IF(RTD("tos.rtd",,BB$83,"."&amp;$B$82&amp;$AS$82&amp;"P"&amp;$A113)="N/A",0,RTD("tos.rtd",,BB$83,"."&amp;$B$82&amp;$AS$82&amp;"P"&amp;$A113))</f>
        <v>0</v>
      </c>
      <c r="BC113" s="54">
        <f>IF(RTD("tos.rtd",,BC$83,"."&amp;$C$82&amp;$AU$82&amp;"C"&amp;$A113)="N/A",0,RTD("tos.rtd",,BC$83,"."&amp;$C$82&amp;$AU$82&amp;"C"&amp;$A113))</f>
        <v>1440</v>
      </c>
      <c r="BD113" s="3">
        <f>-IF(RTD("tos.rtd",,BD$83,"."&amp;$C$82&amp;$AU$82&amp;"P"&amp;$A113)="N/A",0,RTD("tos.rtd",,BD$83,"."&amp;$C$82&amp;$AU$82&amp;"P"&amp;$A113))</f>
        <v>-28137</v>
      </c>
      <c r="BE113" s="54">
        <f>IF(RTD("tos.rtd",,BE$83,"."&amp;$D$82&amp;$AW$82&amp;"C"&amp;$A113)="N/A",0,RTD("tos.rtd",,BE$83,"."&amp;$D$82&amp;$AW$82&amp;"C"&amp;$A113))</f>
        <v>39</v>
      </c>
      <c r="BF113" s="3">
        <f>-IF(RTD("tos.rtd",,BF$83,"."&amp;$D$82&amp;$AW$82&amp;"P"&amp;$A113)="N/A",0,RTD("tos.rtd",,BF$83,"."&amp;$D$82&amp;$AW$82&amp;"P"&amp;$A113))</f>
        <v>-317</v>
      </c>
      <c r="BG113" s="3">
        <f ca="1">+Hoja2!Y114</f>
        <v>-96</v>
      </c>
      <c r="BH113" s="55">
        <f t="shared" ca="1" si="491"/>
        <v>-27071</v>
      </c>
      <c r="BI113" s="32" t="str">
        <f t="shared" ca="1" si="507"/>
        <v/>
      </c>
      <c r="BJ113" s="3" t="e">
        <f ca="1">IF($BP$1=1,DX113,IF(RTD("tos.rtd",,BJ$83,"."&amp;$B$82&amp;$AS$82&amp;"C"&amp;$A113)="N/A",0,RTD("tos.rtd",,BJ$83,"."&amp;$B$82&amp;$AS$82&amp;"C"&amp;$A113)))</f>
        <v>#NUM!</v>
      </c>
      <c r="BK113" s="3" t="e">
        <f ca="1">IF($BP$1=1,DY113,-IF(RTD("tos.rtd",,BK$83,"."&amp;$B$82&amp;$AS$82&amp;"P"&amp;$A113)="N/A",0,RTD("tos.rtd",,BK$83,"."&amp;$B$82&amp;$AS$82&amp;"P"&amp;$A113)))</f>
        <v>#NUM!</v>
      </c>
      <c r="BL113" s="3" t="e">
        <f ca="1">IF($BP$1=1,DZ113,IF(RTD("tos.rtd",,BL$83,"."&amp;$C$82&amp;$AU$82&amp;"C"&amp;$A113)="N/A",0,RTD("tos.rtd",,BL$83,"."&amp;$C$82&amp;$AU$82&amp;"C"&amp;$A113)))</f>
        <v>#NUM!</v>
      </c>
      <c r="BM113" s="3" t="e">
        <f ca="1">IF($BP$1=1,EA113,-IF(RTD("tos.rtd",,BM$83,"."&amp;$C$82&amp;$AU$82&amp;"P"&amp;$A113)="N/A",0,RTD("tos.rtd",,BM$83,"."&amp;$C$82&amp;$AU$82&amp;"P"&amp;$A113)))</f>
        <v>#NUM!</v>
      </c>
      <c r="BN113" s="3" t="e">
        <f ca="1">IF($BP$1=1,EB113,IF(RTD("tos.rtd",,BN$83,"."&amp;$D$82&amp;$AW$82&amp;"C"&amp;$A113)="N/A",0,RTD("tos.rtd",,BN$83,"."&amp;$D$82&amp;$AW$82&amp;"C"&amp;$A113)))</f>
        <v>#NUM!</v>
      </c>
      <c r="BO113" s="3" t="e">
        <f ca="1">IF($BP$1=1,EC113,-IF(RTD("tos.rtd",,BO$83,"."&amp;$D$82&amp;$AW$82&amp;"P"&amp;$A113)="N/A",0,RTD("tos.rtd",,BO$83,"."&amp;$D$82&amp;$AW$82&amp;"P"&amp;$A113)))</f>
        <v>#NUM!</v>
      </c>
      <c r="BQ113" s="3" t="e">
        <f t="shared" ca="1" si="452"/>
        <v>#NUM!</v>
      </c>
      <c r="BR113" s="3" t="e">
        <f t="shared" ca="1" si="492"/>
        <v>#NUM!</v>
      </c>
      <c r="BS113" s="3" t="e">
        <f t="shared" ca="1" si="453"/>
        <v>#NUM!</v>
      </c>
      <c r="BT113" s="3" t="e">
        <f t="shared" ca="1" si="492"/>
        <v>#NUM!</v>
      </c>
      <c r="BU113" s="3" t="e">
        <f t="shared" ca="1" si="454"/>
        <v>#NUM!</v>
      </c>
      <c r="BV113" s="3" t="e">
        <f t="shared" ca="1" si="492"/>
        <v>#NUM!</v>
      </c>
      <c r="BX113" s="3" t="e">
        <f t="shared" ca="1" si="455"/>
        <v>#NUM!</v>
      </c>
      <c r="BY113" s="3" t="e">
        <f t="shared" ca="1" si="504"/>
        <v>#NUM!</v>
      </c>
      <c r="BZ113" s="3" t="e">
        <f t="shared" ca="1" si="456"/>
        <v>#NUM!</v>
      </c>
      <c r="CA113" s="3" t="e">
        <f t="shared" ca="1" si="504"/>
        <v>#NUM!</v>
      </c>
      <c r="CB113" s="3" t="e">
        <f t="shared" ca="1" si="457"/>
        <v>#NUM!</v>
      </c>
      <c r="CC113" s="3" t="e">
        <f t="shared" ca="1" si="504"/>
        <v>#NUM!</v>
      </c>
      <c r="CD113" s="3">
        <f>IF(RTD("tos.rtd",,CD$83,"."&amp;$B$82&amp;$AS$82&amp;"C"&amp;$A113)="N/A",0,RTD("tos.rtd",,CD$83,"."&amp;$B$82&amp;$AS$82&amp;"C"&amp;$A113))</f>
        <v>1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1</v>
      </c>
      <c r="CG113" s="3">
        <f>-IF(RTD("tos.rtd",,CG$83,"."&amp;$C$82&amp;$AU$82&amp;"P"&amp;$A113)="N/A",0,RTD("tos.rtd",,CG$83,"."&amp;$C$82&amp;$AU$82&amp;"P"&amp;$A113))</f>
        <v>0</v>
      </c>
      <c r="CH113" s="3">
        <f>IF(RTD("tos.rtd",,CH$83,"."&amp;$D$82&amp;$AW$82&amp;"C"&amp;$A113)="N/A",0,RTD("tos.rtd",,CH$83,"."&amp;$D$82&amp;$AW$82&amp;"C"&amp;$A113))</f>
        <v>0.67</v>
      </c>
      <c r="CI113" s="3">
        <f>-IF(RTD("tos.rtd",,CI$83,"."&amp;$D$82&amp;$AW$82&amp;"P"&amp;$A113)="N/A",0,RTD("tos.rtd",,CI$83,"."&amp;$D$82&amp;$AW$82&amp;"P"&amp;$A113))</f>
        <v>0.32</v>
      </c>
      <c r="CK113" s="3">
        <f t="shared" si="493"/>
        <v>12500</v>
      </c>
      <c r="CL113" s="3"/>
      <c r="CM113" s="3">
        <f t="shared" si="494"/>
        <v>72800</v>
      </c>
      <c r="CN113" s="3"/>
      <c r="CO113" s="3">
        <f t="shared" si="495"/>
        <v>4138</v>
      </c>
      <c r="CP113" s="3">
        <f t="shared" si="458"/>
        <v>89438</v>
      </c>
      <c r="CQ113" s="3">
        <f t="shared" si="459"/>
        <v>0</v>
      </c>
      <c r="CR113" s="3"/>
      <c r="CS113" s="3">
        <f t="shared" si="460"/>
        <v>-26697</v>
      </c>
      <c r="CT113" s="3"/>
      <c r="CU113" s="3">
        <f t="shared" si="461"/>
        <v>-278</v>
      </c>
      <c r="CV113" s="3"/>
      <c r="CW113" s="3" t="e">
        <f t="shared" ca="1" si="521"/>
        <v>#NUM!</v>
      </c>
      <c r="CY113" s="3" t="e">
        <f t="shared" ca="1" si="463"/>
        <v>#NUM!</v>
      </c>
      <c r="CZ113" s="70" t="e">
        <f t="shared" ca="1" si="505"/>
        <v>#NUM!</v>
      </c>
      <c r="DA113" s="3">
        <f>IF(RTD("tos.rtd",,DA$83,"."&amp;$B$82&amp;$AS$82&amp;"C"&amp;$A113)="N/A",0,RTD("tos.rtd",,DA$83,"."&amp;$B$82&amp;$AS$82&amp;"C"&amp;$A113))</f>
        <v>81.5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62.8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57.8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7"/>
        <v>-70</v>
      </c>
      <c r="DH113" s="3">
        <f t="shared" si="464"/>
        <v>-1587.9</v>
      </c>
      <c r="DI113" s="3">
        <f t="shared" si="465"/>
        <v>7310.4</v>
      </c>
      <c r="DJ113" s="3">
        <f t="shared" si="466"/>
        <v>-335</v>
      </c>
      <c r="DK113" s="3">
        <f t="shared" si="467"/>
        <v>12184</v>
      </c>
      <c r="DL113" s="3">
        <f t="shared" si="468"/>
        <v>5722.5</v>
      </c>
      <c r="DM113" s="3">
        <f t="shared" si="469"/>
        <v>11849</v>
      </c>
      <c r="DN113" s="64" t="str">
        <f t="shared" si="470"/>
        <v>UNKNOWN</v>
      </c>
      <c r="DO113" s="64" t="str">
        <f t="shared" si="471"/>
        <v>UNKNOWN</v>
      </c>
      <c r="DP113" s="3">
        <f t="shared" si="472"/>
        <v>-129194.538</v>
      </c>
      <c r="DQ113" s="3">
        <f t="shared" si="473"/>
        <v>-26936.98</v>
      </c>
      <c r="DR113" s="3" t="e">
        <f t="shared" ca="1" si="474"/>
        <v>#NUM!</v>
      </c>
      <c r="DS113" s="3">
        <f t="shared" si="475"/>
        <v>-335</v>
      </c>
      <c r="DT113" s="3">
        <f t="shared" si="498"/>
        <v>-335</v>
      </c>
      <c r="DU113" s="3">
        <f t="shared" si="499"/>
        <v>12184</v>
      </c>
      <c r="DV113" s="3">
        <f t="shared" si="500"/>
        <v>-22</v>
      </c>
      <c r="DW113" s="3">
        <f t="shared" si="501"/>
        <v>1392</v>
      </c>
      <c r="DX113" s="3" t="e">
        <f t="shared" ca="1" si="506"/>
        <v>#NUM!</v>
      </c>
      <c r="DY113" s="3" t="e">
        <f t="shared" ca="1" si="476"/>
        <v>#NUM!</v>
      </c>
      <c r="DZ113" s="3" t="e">
        <f t="shared" ca="1" si="477"/>
        <v>#NUM!</v>
      </c>
      <c r="EA113" s="3" t="e">
        <f t="shared" ca="1" si="478"/>
        <v>#NUM!</v>
      </c>
      <c r="EB113" s="3" t="e">
        <f t="shared" ca="1" si="479"/>
        <v>#NUM!</v>
      </c>
      <c r="EC113" s="3" t="e">
        <f t="shared" ca="1" si="480"/>
        <v>#NUM!</v>
      </c>
      <c r="EE113" s="59">
        <f t="shared" si="481"/>
        <v>0.25</v>
      </c>
      <c r="EF113" s="59">
        <f t="shared" si="482"/>
        <v>0.60429999999999995</v>
      </c>
      <c r="EG113" s="59">
        <f t="shared" si="483"/>
        <v>0.25</v>
      </c>
      <c r="EH113" s="59">
        <f t="shared" si="484"/>
        <v>0.60429999999999995</v>
      </c>
      <c r="EI113" s="59">
        <f t="shared" si="485"/>
        <v>0.25879999999999997</v>
      </c>
      <c r="EJ113" s="59">
        <f t="shared" si="486"/>
        <v>0.24510000000000001</v>
      </c>
      <c r="EL113" s="3" t="str">
        <f>RTD("tos.rtd",,EL$83,"."&amp;$B$82&amp;$AS$82&amp;"C"&amp;$A113)</f>
        <v>--</v>
      </c>
      <c r="EM113" s="3" t="str">
        <f>RTD("tos.rtd",,EM$83,"."&amp;$B$82&amp;$AS$82&amp;"P"&amp;$A113)</f>
        <v>60.43%</v>
      </c>
      <c r="EN113" s="3" t="str">
        <f>RTD("tos.rtd",,EN$83,"."&amp;$C$82&amp;$AU$82&amp;"C"&amp;$A113)</f>
        <v>--</v>
      </c>
      <c r="EO113" s="3" t="str">
        <f>RTD("tos.rtd",,EO$83,"."&amp;$C$82&amp;$AU$82&amp;"P"&amp;$A113)</f>
        <v>60.43%</v>
      </c>
      <c r="EP113" s="3" t="str">
        <f>RTD("tos.rtd",,EP$83,"."&amp;$D$82&amp;$AW$82&amp;"C"&amp;$A113)</f>
        <v>25.88%</v>
      </c>
      <c r="EQ113" s="3" t="str">
        <f>RTD("tos.rtd",,EQ$83,"."&amp;$D$82&amp;$AW$82&amp;"P"&amp;$A113)</f>
        <v>24.51%</v>
      </c>
      <c r="ES113" s="63" t="str">
        <f t="shared" si="487"/>
        <v>5590,1370.00</v>
      </c>
      <c r="ET113" s="64" t="str">
        <f t="shared" ca="1" si="488"/>
        <v>5590,00.00</v>
      </c>
      <c r="EU113" s="67">
        <v>563.27</v>
      </c>
      <c r="EV113" s="67" t="s">
        <v>923</v>
      </c>
      <c r="EW113" s="67">
        <v>485.88</v>
      </c>
      <c r="EX113" s="67" t="s">
        <v>924</v>
      </c>
      <c r="EY113" s="67">
        <v>5646.5</v>
      </c>
      <c r="EZ113" s="67" t="s">
        <v>925</v>
      </c>
      <c r="FA113" s="67">
        <v>19961.25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502"/>
        <v>5580</v>
      </c>
      <c r="B114" s="3">
        <f t="shared" si="447"/>
        <v>538</v>
      </c>
      <c r="C114" s="3">
        <f t="shared" si="448"/>
        <v>2105</v>
      </c>
      <c r="D114" s="3">
        <f t="shared" si="449"/>
        <v>753</v>
      </c>
      <c r="E114" s="3">
        <f t="shared" si="517"/>
        <v>3396</v>
      </c>
      <c r="F114" s="4">
        <f t="shared" si="518"/>
        <v>5603.6607773851592</v>
      </c>
      <c r="G114" s="4">
        <f t="shared" si="519"/>
        <v>556.81696113074202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117</v>
      </c>
      <c r="AN114" s="20">
        <v>2344</v>
      </c>
      <c r="AO114" s="20">
        <v>5580</v>
      </c>
      <c r="AP114" s="20">
        <v>308</v>
      </c>
      <c r="AQ114" s="20">
        <v>-11401</v>
      </c>
      <c r="AR114" s="20"/>
      <c r="AS114" s="54">
        <f>IF(RTD("tos.rtd",,AS$83,"."&amp;$B$82&amp;$AS$82&amp;"C"&amp;$A114)="N/A",0,RTD("tos.rtd",,AS$83,"."&amp;$B$82&amp;$AS$82&amp;"C"&amp;$A114))</f>
        <v>177</v>
      </c>
      <c r="AT114" s="3">
        <f>-IF(RTD("tos.rtd",,AT$83,"."&amp;$B$82&amp;$AS$82&amp;"P"&amp;$A114)="N/A",0,RTD("tos.rtd",,AT$83,"."&amp;$B$82&amp;$AS$82&amp;"P"&amp;$A114))</f>
        <v>-361</v>
      </c>
      <c r="AU114" s="54">
        <f>IF(RTD("tos.rtd",,AU$83,"."&amp;$C$82&amp;$AU$82&amp;"C"&amp;$A114)="N/A",0,RTD("tos.rtd",,AU$83,"."&amp;$C$82&amp;$AU$82&amp;"C"&amp;$A114))</f>
        <v>404</v>
      </c>
      <c r="AV114" s="3">
        <f>-IF(RTD("tos.rtd",,AV$83,"."&amp;$C$82&amp;$AU$82&amp;"P"&amp;$A114)="N/A",0,RTD("tos.rtd",,AV$83,"."&amp;$C$82&amp;$AU$82&amp;"P"&amp;$A114))</f>
        <v>-1701</v>
      </c>
      <c r="AW114" s="54">
        <f>IF(RTD("tos.rtd",,AW$83,"."&amp;$D$82&amp;$AW$82&amp;"C"&amp;$A114)="N/A",0,RTD("tos.rtd",,AW$83,"."&amp;$D$82&amp;$AW$82&amp;"C"&amp;$A114))</f>
        <v>318</v>
      </c>
      <c r="AX114" s="3">
        <f>-IF(RTD("tos.rtd",,AX$83,"."&amp;$D$82&amp;$AW$82&amp;"P"&amp;$A114)="N/A",0,RTD("tos.rtd",,AX$83,"."&amp;$D$82&amp;$AW$82&amp;"P"&amp;$A114))</f>
        <v>-435</v>
      </c>
      <c r="AY114" s="79">
        <f t="shared" si="520"/>
        <v>-1598</v>
      </c>
      <c r="AZ114" s="8">
        <f t="shared" si="451"/>
        <v>5580</v>
      </c>
      <c r="BA114" s="54">
        <f>IF(RTD("tos.rtd",,BA$83,"."&amp;$B$82&amp;$AS$82&amp;"C"&amp;$A114)="N/A",0,RTD("tos.rtd",,BA$83,"."&amp;$B$82&amp;$AS$82&amp;"C"&amp;$A114))</f>
        <v>0</v>
      </c>
      <c r="BB114" s="3">
        <f>-IF(RTD("tos.rtd",,BB$83,"."&amp;$B$82&amp;$AS$82&amp;"P"&amp;$A114)="N/A",0,RTD("tos.rtd",,BB$83,"."&amp;$B$82&amp;$AS$82&amp;"P"&amp;$A114))</f>
        <v>0</v>
      </c>
      <c r="BC114" s="54">
        <f>IF(RTD("tos.rtd",,BC$83,"."&amp;$C$82&amp;$AU$82&amp;"C"&amp;$A114)="N/A",0,RTD("tos.rtd",,BC$83,"."&amp;$C$82&amp;$AU$82&amp;"C"&amp;$A114))</f>
        <v>535</v>
      </c>
      <c r="BD114" s="3">
        <f>-IF(RTD("tos.rtd",,BD$83,"."&amp;$C$82&amp;$AU$82&amp;"P"&amp;$A114)="N/A",0,RTD("tos.rtd",,BD$83,"."&amp;$C$82&amp;$AU$82&amp;"P"&amp;$A114))</f>
        <v>-23489</v>
      </c>
      <c r="BE114" s="54">
        <f>IF(RTD("tos.rtd",,BE$83,"."&amp;$D$82&amp;$AW$82&amp;"C"&amp;$A114)="N/A",0,RTD("tos.rtd",,BE$83,"."&amp;$D$82&amp;$AW$82&amp;"C"&amp;$A114))</f>
        <v>53</v>
      </c>
      <c r="BF114" s="3">
        <f>-IF(RTD("tos.rtd",,BF$83,"."&amp;$D$82&amp;$AW$82&amp;"P"&amp;$A114)="N/A",0,RTD("tos.rtd",,BF$83,"."&amp;$D$82&amp;$AW$82&amp;"P"&amp;$A114))</f>
        <v>-250</v>
      </c>
      <c r="BG114" s="3">
        <f ca="1">+Hoja2!Y115</f>
        <v>-131</v>
      </c>
      <c r="BH114" s="55">
        <f t="shared" ca="1" si="491"/>
        <v>-23282</v>
      </c>
      <c r="BI114" s="32" t="str">
        <f t="shared" ca="1" si="507"/>
        <v/>
      </c>
      <c r="BJ114" s="3" t="e">
        <f ca="1">IF($BP$1=1,DX114,IF(RTD("tos.rtd",,BJ$83,"."&amp;$B$82&amp;$AS$82&amp;"C"&amp;$A114)="N/A",0,RTD("tos.rtd",,BJ$83,"."&amp;$B$82&amp;$AS$82&amp;"C"&amp;$A114)))</f>
        <v>#NUM!</v>
      </c>
      <c r="BK114" s="3" t="e">
        <f ca="1">IF($BP$1=1,DY114,-IF(RTD("tos.rtd",,BK$83,"."&amp;$B$82&amp;$AS$82&amp;"P"&amp;$A114)="N/A",0,RTD("tos.rtd",,BK$83,"."&amp;$B$82&amp;$AS$82&amp;"P"&amp;$A114)))</f>
        <v>#NUM!</v>
      </c>
      <c r="BL114" s="3" t="e">
        <f ca="1">IF($BP$1=1,DZ114,IF(RTD("tos.rtd",,BL$83,"."&amp;$C$82&amp;$AU$82&amp;"C"&amp;$A114)="N/A",0,RTD("tos.rtd",,BL$83,"."&amp;$C$82&amp;$AU$82&amp;"C"&amp;$A114)))</f>
        <v>#NUM!</v>
      </c>
      <c r="BM114" s="3" t="e">
        <f ca="1">IF($BP$1=1,EA114,-IF(RTD("tos.rtd",,BM$83,"."&amp;$C$82&amp;$AU$82&amp;"P"&amp;$A114)="N/A",0,RTD("tos.rtd",,BM$83,"."&amp;$C$82&amp;$AU$82&amp;"P"&amp;$A114)))</f>
        <v>#NUM!</v>
      </c>
      <c r="BN114" s="3" t="e">
        <f ca="1">IF($BP$1=1,EB114,IF(RTD("tos.rtd",,BN$83,"."&amp;$D$82&amp;$AW$82&amp;"C"&amp;$A114)="N/A",0,RTD("tos.rtd",,BN$83,"."&amp;$D$82&amp;$AW$82&amp;"C"&amp;$A114)))</f>
        <v>#NUM!</v>
      </c>
      <c r="BO114" s="3" t="e">
        <f ca="1">IF($BP$1=1,EC114,-IF(RTD("tos.rtd",,BO$83,"."&amp;$D$82&amp;$AW$82&amp;"P"&amp;$A114)="N/A",0,RTD("tos.rtd",,BO$83,"."&amp;$D$82&amp;$AW$82&amp;"P"&amp;$A114)))</f>
        <v>#NUM!</v>
      </c>
      <c r="BQ114" s="3" t="e">
        <f t="shared" ca="1" si="452"/>
        <v>#NUM!</v>
      </c>
      <c r="BR114" s="3" t="e">
        <f t="shared" ca="1" si="492"/>
        <v>#NUM!</v>
      </c>
      <c r="BS114" s="3" t="e">
        <f t="shared" ca="1" si="453"/>
        <v>#NUM!</v>
      </c>
      <c r="BT114" s="3" t="e">
        <f t="shared" ca="1" si="492"/>
        <v>#NUM!</v>
      </c>
      <c r="BU114" s="3" t="e">
        <f t="shared" ca="1" si="454"/>
        <v>#NUM!</v>
      </c>
      <c r="BV114" s="3" t="e">
        <f t="shared" ca="1" si="492"/>
        <v>#NUM!</v>
      </c>
      <c r="BX114" s="3" t="e">
        <f t="shared" ca="1" si="455"/>
        <v>#NUM!</v>
      </c>
      <c r="BY114" s="3" t="e">
        <f t="shared" ca="1" si="504"/>
        <v>#NUM!</v>
      </c>
      <c r="BZ114" s="3" t="e">
        <f t="shared" ca="1" si="456"/>
        <v>#NUM!</v>
      </c>
      <c r="CA114" s="3" t="e">
        <f t="shared" ca="1" si="504"/>
        <v>#NUM!</v>
      </c>
      <c r="CB114" s="3" t="e">
        <f t="shared" ca="1" si="457"/>
        <v>#NUM!</v>
      </c>
      <c r="CC114" s="3" t="e">
        <f t="shared" ca="1" si="504"/>
        <v>#NUM!</v>
      </c>
      <c r="CD114" s="3">
        <f>IF(RTD("tos.rtd",,CD$83,"."&amp;$B$82&amp;$AS$82&amp;"C"&amp;$A114)="N/A",0,RTD("tos.rtd",,CD$83,"."&amp;$B$82&amp;$AS$82&amp;"C"&amp;$A114))</f>
        <v>1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1</v>
      </c>
      <c r="CG114" s="3">
        <f>-IF(RTD("tos.rtd",,CG$83,"."&amp;$C$82&amp;$AU$82&amp;"P"&amp;$A114)="N/A",0,RTD("tos.rtd",,CG$83,"."&amp;$C$82&amp;$AU$82&amp;"P"&amp;$A114))</f>
        <v>0</v>
      </c>
      <c r="CH114" s="3">
        <f>IF(RTD("tos.rtd",,CH$83,"."&amp;$D$82&amp;$AW$82&amp;"C"&amp;$A114)="N/A",0,RTD("tos.rtd",,CH$83,"."&amp;$D$82&amp;$AW$82&amp;"C"&amp;$A114))</f>
        <v>0.69</v>
      </c>
      <c r="CI114" s="3">
        <f>-IF(RTD("tos.rtd",,CI$83,"."&amp;$D$82&amp;$AW$82&amp;"P"&amp;$A114)="N/A",0,RTD("tos.rtd",,CI$83,"."&amp;$D$82&amp;$AW$82&amp;"P"&amp;$A114))</f>
        <v>0.3</v>
      </c>
      <c r="CK114" s="3">
        <f t="shared" si="493"/>
        <v>17700</v>
      </c>
      <c r="CL114" s="3"/>
      <c r="CM114" s="3">
        <f t="shared" si="494"/>
        <v>40400</v>
      </c>
      <c r="CN114" s="3"/>
      <c r="CO114" s="3">
        <f t="shared" si="495"/>
        <v>8892</v>
      </c>
      <c r="CP114" s="3">
        <f t="shared" si="458"/>
        <v>66992</v>
      </c>
      <c r="CQ114" s="3">
        <f t="shared" si="459"/>
        <v>0</v>
      </c>
      <c r="CR114" s="3"/>
      <c r="CS114" s="3">
        <f t="shared" si="460"/>
        <v>-22954</v>
      </c>
      <c r="CT114" s="3"/>
      <c r="CU114" s="3">
        <f t="shared" si="461"/>
        <v>-197</v>
      </c>
      <c r="CV114" s="3"/>
      <c r="CW114" s="3" t="e">
        <f t="shared" ca="1" si="521"/>
        <v>#NUM!</v>
      </c>
      <c r="CY114" s="3" t="e">
        <f t="shared" ca="1" si="463"/>
        <v>#NUM!</v>
      </c>
      <c r="CZ114" s="70" t="e">
        <f t="shared" ca="1" si="505"/>
        <v>#NUM!</v>
      </c>
      <c r="DA114" s="3">
        <f>IF(RTD("tos.rtd",,DA$83,"."&amp;$B$82&amp;$AS$82&amp;"C"&amp;$A114)="N/A",0,RTD("tos.rtd",,DA$83,"."&amp;$B$82&amp;$AS$82&amp;"C"&amp;$A114))</f>
        <v>89.8</v>
      </c>
      <c r="DB114" s="3">
        <f>IF(RTD("tos.rtd",,DB$83,"."&amp;$B$82&amp;$AS$82&amp;"P"&amp;$A114)="N/A",0,RTD("tos.rtd",,DB$83,"."&amp;$B$82&amp;$AS$82&amp;"P"&amp;$A114))</f>
        <v>0.03</v>
      </c>
      <c r="DC114" s="3">
        <f>IF(RTD("tos.rtd",,DC$83,"."&amp;$B$82&amp;$AS$82&amp;"C"&amp;$A114)="N/A",0,RTD("tos.rtd",,DC$83,"."&amp;$B$82&amp;$AS$82&amp;"C"&amp;$A114))</f>
        <v>73.5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67.8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7"/>
        <v>-80</v>
      </c>
      <c r="DH114" s="3">
        <f t="shared" si="464"/>
        <v>-1188.7719298245609</v>
      </c>
      <c r="DI114" s="3">
        <f t="shared" si="465"/>
        <v>6840.5999999999995</v>
      </c>
      <c r="DJ114" s="3">
        <f t="shared" si="466"/>
        <v>-308</v>
      </c>
      <c r="DK114" s="3">
        <f t="shared" si="467"/>
        <v>11401</v>
      </c>
      <c r="DL114" s="3">
        <f t="shared" si="468"/>
        <v>5651.8280701754384</v>
      </c>
      <c r="DM114" s="3">
        <f t="shared" si="469"/>
        <v>11093</v>
      </c>
      <c r="DN114" s="64" t="str">
        <f t="shared" si="470"/>
        <v>UNKNOWN</v>
      </c>
      <c r="DO114" s="64" t="str">
        <f t="shared" si="471"/>
        <v>UNKNOWN</v>
      </c>
      <c r="DP114" s="3">
        <f t="shared" si="472"/>
        <v>-106546.50129824557</v>
      </c>
      <c r="DQ114" s="3">
        <f t="shared" si="473"/>
        <v>-27316.37</v>
      </c>
      <c r="DR114" s="3" t="e">
        <f t="shared" ca="1" si="474"/>
        <v>#NUM!</v>
      </c>
      <c r="DS114" s="3">
        <f t="shared" si="475"/>
        <v>-308</v>
      </c>
      <c r="DT114" s="3">
        <f t="shared" si="498"/>
        <v>-308</v>
      </c>
      <c r="DU114" s="3">
        <f t="shared" si="499"/>
        <v>11401</v>
      </c>
      <c r="DV114" s="3">
        <f t="shared" si="500"/>
        <v>117</v>
      </c>
      <c r="DW114" s="3">
        <f t="shared" si="501"/>
        <v>2344</v>
      </c>
      <c r="DX114" s="3" t="e">
        <f t="shared" ca="1" si="506"/>
        <v>#NUM!</v>
      </c>
      <c r="DY114" s="3" t="e">
        <f t="shared" ca="1" si="476"/>
        <v>#NUM!</v>
      </c>
      <c r="DZ114" s="3" t="e">
        <f t="shared" ca="1" si="477"/>
        <v>#NUM!</v>
      </c>
      <c r="EA114" s="3" t="e">
        <f t="shared" ca="1" si="478"/>
        <v>#NUM!</v>
      </c>
      <c r="EB114" s="3" t="e">
        <f t="shared" ca="1" si="479"/>
        <v>#NUM!</v>
      </c>
      <c r="EC114" s="3" t="e">
        <f t="shared" ca="1" si="480"/>
        <v>#NUM!</v>
      </c>
      <c r="EE114" s="59">
        <f t="shared" si="481"/>
        <v>0.25</v>
      </c>
      <c r="EF114" s="59">
        <f t="shared" si="482"/>
        <v>0.68279999999999996</v>
      </c>
      <c r="EG114" s="59">
        <f t="shared" si="483"/>
        <v>0.25</v>
      </c>
      <c r="EH114" s="59">
        <f t="shared" si="484"/>
        <v>0.68279999999999996</v>
      </c>
      <c r="EI114" s="59">
        <f t="shared" si="485"/>
        <v>0.2596</v>
      </c>
      <c r="EJ114" s="59">
        <f t="shared" si="486"/>
        <v>0.247</v>
      </c>
      <c r="EL114" s="3" t="str">
        <f>RTD("tos.rtd",,EL$83,"."&amp;$B$82&amp;$AS$82&amp;"C"&amp;$A114)</f>
        <v>--</v>
      </c>
      <c r="EM114" s="3" t="str">
        <f>RTD("tos.rtd",,EM$83,"."&amp;$B$82&amp;$AS$82&amp;"P"&amp;$A114)</f>
        <v>68.28%</v>
      </c>
      <c r="EN114" s="3" t="str">
        <f>RTD("tos.rtd",,EN$83,"."&amp;$C$82&amp;$AU$82&amp;"C"&amp;$A114)</f>
        <v>--</v>
      </c>
      <c r="EO114" s="3" t="str">
        <f>RTD("tos.rtd",,EO$83,"."&amp;$C$82&amp;$AU$82&amp;"P"&amp;$A114)</f>
        <v>68.28%</v>
      </c>
      <c r="EP114" s="3" t="str">
        <f>RTD("tos.rtd",,EP$83,"."&amp;$D$82&amp;$AW$82&amp;"C"&amp;$A114)</f>
        <v>25.96%</v>
      </c>
      <c r="EQ114" s="3" t="str">
        <f>RTD("tos.rtd",,EQ$83,"."&amp;$D$82&amp;$AW$82&amp;"P"&amp;$A114)</f>
        <v>24.70%</v>
      </c>
      <c r="ES114" s="63" t="str">
        <f t="shared" si="487"/>
        <v>5580,2461.00</v>
      </c>
      <c r="ET114" s="64" t="str">
        <f t="shared" ca="1" si="488"/>
        <v>5580,00.00</v>
      </c>
      <c r="EU114" s="67">
        <v>563.27</v>
      </c>
      <c r="EV114" s="67" t="s">
        <v>931</v>
      </c>
      <c r="EW114" s="67">
        <v>485.81</v>
      </c>
      <c r="EX114" s="67" t="s">
        <v>932</v>
      </c>
      <c r="EY114" s="67">
        <v>5646.25</v>
      </c>
      <c r="EZ114" s="67" t="s">
        <v>933</v>
      </c>
      <c r="FA114" s="67">
        <v>19958.5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502"/>
        <v>5570</v>
      </c>
      <c r="B115" s="3">
        <f t="shared" si="447"/>
        <v>521</v>
      </c>
      <c r="C115" s="3">
        <f t="shared" si="448"/>
        <v>2877</v>
      </c>
      <c r="D115" s="3">
        <f t="shared" si="449"/>
        <v>1484</v>
      </c>
      <c r="E115" s="3">
        <f t="shared" si="517"/>
        <v>4882</v>
      </c>
      <c r="F115" s="4">
        <f t="shared" si="518"/>
        <v>5593.6183745583039</v>
      </c>
      <c r="G115" s="4">
        <f t="shared" si="519"/>
        <v>555.81908127208476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18</v>
      </c>
      <c r="AN115" s="20">
        <v>-1956</v>
      </c>
      <c r="AO115" s="20">
        <v>5570</v>
      </c>
      <c r="AP115" s="20">
        <v>498</v>
      </c>
      <c r="AQ115" s="20">
        <v>-9904</v>
      </c>
      <c r="AR115" s="20"/>
      <c r="AS115" s="54">
        <f>IF(RTD("tos.rtd",,AS$83,"."&amp;$B$82&amp;$AS$82&amp;"C"&amp;$A115)="N/A",0,RTD("tos.rtd",,AS$83,"."&amp;$B$82&amp;$AS$82&amp;"C"&amp;$A115))</f>
        <v>205</v>
      </c>
      <c r="AT115" s="3">
        <f>-IF(RTD("tos.rtd",,AT$83,"."&amp;$B$82&amp;$AS$82&amp;"P"&amp;$A115)="N/A",0,RTD("tos.rtd",,AT$83,"."&amp;$B$82&amp;$AS$82&amp;"P"&amp;$A115))</f>
        <v>-316</v>
      </c>
      <c r="AU115" s="54">
        <f>IF(RTD("tos.rtd",,AU$83,"."&amp;$C$82&amp;$AU$82&amp;"C"&amp;$A115)="N/A",0,RTD("tos.rtd",,AU$83,"."&amp;$C$82&amp;$AU$82&amp;"C"&amp;$A115))</f>
        <v>192</v>
      </c>
      <c r="AV115" s="3">
        <f>-IF(RTD("tos.rtd",,AV$83,"."&amp;$C$82&amp;$AU$82&amp;"P"&amp;$A115)="N/A",0,RTD("tos.rtd",,AV$83,"."&amp;$C$82&amp;$AU$82&amp;"P"&amp;$A115))</f>
        <v>-2685</v>
      </c>
      <c r="AW115" s="54">
        <f>IF(RTD("tos.rtd",,AW$83,"."&amp;$D$82&amp;$AW$82&amp;"C"&amp;$A115)="N/A",0,RTD("tos.rtd",,AW$83,"."&amp;$D$82&amp;$AW$82&amp;"C"&amp;$A115))</f>
        <v>215</v>
      </c>
      <c r="AX115" s="3">
        <f>-IF(RTD("tos.rtd",,AX$83,"."&amp;$D$82&amp;$AW$82&amp;"P"&amp;$A115)="N/A",0,RTD("tos.rtd",,AX$83,"."&amp;$D$82&amp;$AW$82&amp;"P"&amp;$A115))</f>
        <v>-1269</v>
      </c>
      <c r="AY115" s="79">
        <f t="shared" si="520"/>
        <v>-3658</v>
      </c>
      <c r="AZ115" s="8">
        <f t="shared" si="451"/>
        <v>5570</v>
      </c>
      <c r="BA115" s="54">
        <f>IF(RTD("tos.rtd",,BA$83,"."&amp;$B$82&amp;$AS$82&amp;"C"&amp;$A115)="N/A",0,RTD("tos.rtd",,BA$83,"."&amp;$B$82&amp;$AS$82&amp;"C"&amp;$A115))</f>
        <v>0</v>
      </c>
      <c r="BB115" s="3">
        <f>-IF(RTD("tos.rtd",,BB$83,"."&amp;$B$82&amp;$AS$82&amp;"P"&amp;$A115)="N/A",0,RTD("tos.rtd",,BB$83,"."&amp;$B$82&amp;$AS$82&amp;"P"&amp;$A115))</f>
        <v>0</v>
      </c>
      <c r="BC115" s="54">
        <f>IF(RTD("tos.rtd",,BC$83,"."&amp;$C$82&amp;$AU$82&amp;"C"&amp;$A115)="N/A",0,RTD("tos.rtd",,BC$83,"."&amp;$C$82&amp;$AU$82&amp;"C"&amp;$A115))</f>
        <v>279</v>
      </c>
      <c r="BD115" s="3">
        <f>-IF(RTD("tos.rtd",,BD$83,"."&amp;$C$82&amp;$AU$82&amp;"P"&amp;$A115)="N/A",0,RTD("tos.rtd",,BD$83,"."&amp;$C$82&amp;$AU$82&amp;"P"&amp;$A115))</f>
        <v>-27204</v>
      </c>
      <c r="BE115" s="54">
        <f>IF(RTD("tos.rtd",,BE$83,"."&amp;$D$82&amp;$AW$82&amp;"C"&amp;$A115)="N/A",0,RTD("tos.rtd",,BE$83,"."&amp;$D$82&amp;$AW$82&amp;"C"&amp;$A115))</f>
        <v>12</v>
      </c>
      <c r="BF115" s="3">
        <f>-IF(RTD("tos.rtd",,BF$83,"."&amp;$D$82&amp;$AW$82&amp;"P"&amp;$A115)="N/A",0,RTD("tos.rtd",,BF$83,"."&amp;$D$82&amp;$AW$82&amp;"P"&amp;$A115))</f>
        <v>-348</v>
      </c>
      <c r="BG115" s="3">
        <f ca="1">+Hoja2!Y116</f>
        <v>-62</v>
      </c>
      <c r="BH115" s="55">
        <f t="shared" ca="1" si="491"/>
        <v>-27323</v>
      </c>
      <c r="BI115" s="32" t="str">
        <f t="shared" ca="1" si="507"/>
        <v/>
      </c>
      <c r="BJ115" s="3" t="e">
        <f ca="1">IF($BP$1=1,DX115,IF(RTD("tos.rtd",,BJ$83,"."&amp;$B$82&amp;$AS$82&amp;"C"&amp;$A115)="N/A",0,RTD("tos.rtd",,BJ$83,"."&amp;$B$82&amp;$AS$82&amp;"C"&amp;$A115)))</f>
        <v>#NUM!</v>
      </c>
      <c r="BK115" s="3" t="e">
        <f ca="1">IF($BP$1=1,DY115,-IF(RTD("tos.rtd",,BK$83,"."&amp;$B$82&amp;$AS$82&amp;"P"&amp;$A115)="N/A",0,RTD("tos.rtd",,BK$83,"."&amp;$B$82&amp;$AS$82&amp;"P"&amp;$A115)))</f>
        <v>#NUM!</v>
      </c>
      <c r="BL115" s="3" t="e">
        <f ca="1">IF($BP$1=1,DZ115,IF(RTD("tos.rtd",,BL$83,"."&amp;$C$82&amp;$AU$82&amp;"C"&amp;$A115)="N/A",0,RTD("tos.rtd",,BL$83,"."&amp;$C$82&amp;$AU$82&amp;"C"&amp;$A115)))</f>
        <v>#NUM!</v>
      </c>
      <c r="BM115" s="3" t="e">
        <f ca="1">IF($BP$1=1,EA115,-IF(RTD("tos.rtd",,BM$83,"."&amp;$C$82&amp;$AU$82&amp;"P"&amp;$A115)="N/A",0,RTD("tos.rtd",,BM$83,"."&amp;$C$82&amp;$AU$82&amp;"P"&amp;$A115)))</f>
        <v>#NUM!</v>
      </c>
      <c r="BN115" s="3" t="e">
        <f ca="1">IF($BP$1=1,EB115,IF(RTD("tos.rtd",,BN$83,"."&amp;$D$82&amp;$AW$82&amp;"C"&amp;$A115)="N/A",0,RTD("tos.rtd",,BN$83,"."&amp;$D$82&amp;$AW$82&amp;"C"&amp;$A115)))</f>
        <v>#NUM!</v>
      </c>
      <c r="BO115" s="3" t="e">
        <f ca="1">IF($BP$1=1,EC115,-IF(RTD("tos.rtd",,BO$83,"."&amp;$D$82&amp;$AW$82&amp;"P"&amp;$A115)="N/A",0,RTD("tos.rtd",,BO$83,"."&amp;$D$82&amp;$AW$82&amp;"P"&amp;$A115)))</f>
        <v>#NUM!</v>
      </c>
      <c r="BQ115" s="3" t="e">
        <f t="shared" ca="1" si="452"/>
        <v>#NUM!</v>
      </c>
      <c r="BR115" s="3" t="e">
        <f t="shared" ca="1" si="492"/>
        <v>#NUM!</v>
      </c>
      <c r="BS115" s="3" t="e">
        <f t="shared" ca="1" si="453"/>
        <v>#NUM!</v>
      </c>
      <c r="BT115" s="3" t="e">
        <f t="shared" ca="1" si="492"/>
        <v>#NUM!</v>
      </c>
      <c r="BU115" s="3" t="e">
        <f t="shared" ca="1" si="454"/>
        <v>#NUM!</v>
      </c>
      <c r="BV115" s="3" t="e">
        <f t="shared" ca="1" si="492"/>
        <v>#NUM!</v>
      </c>
      <c r="BX115" s="3" t="e">
        <f t="shared" ca="1" si="455"/>
        <v>#NUM!</v>
      </c>
      <c r="BY115" s="3" t="e">
        <f t="shared" ca="1" si="504"/>
        <v>#NUM!</v>
      </c>
      <c r="BZ115" s="3" t="e">
        <f t="shared" ca="1" si="456"/>
        <v>#NUM!</v>
      </c>
      <c r="CA115" s="3" t="e">
        <f t="shared" ca="1" si="504"/>
        <v>#NUM!</v>
      </c>
      <c r="CB115" s="3" t="e">
        <f t="shared" ca="1" si="457"/>
        <v>#NUM!</v>
      </c>
      <c r="CC115" s="3" t="e">
        <f t="shared" ca="1" si="504"/>
        <v>#NUM!</v>
      </c>
      <c r="CD115" s="3">
        <f>IF(RTD("tos.rtd",,CD$83,"."&amp;$B$82&amp;$AS$82&amp;"C"&amp;$A115)="N/A",0,RTD("tos.rtd",,CD$83,"."&amp;$B$82&amp;$AS$82&amp;"C"&amp;$A115))</f>
        <v>1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1</v>
      </c>
      <c r="CG115" s="3">
        <f>-IF(RTD("tos.rtd",,CG$83,"."&amp;$C$82&amp;$AU$82&amp;"P"&amp;$A115)="N/A",0,RTD("tos.rtd",,CG$83,"."&amp;$C$82&amp;$AU$82&amp;"P"&amp;$A115))</f>
        <v>0</v>
      </c>
      <c r="CH115" s="3">
        <f>IF(RTD("tos.rtd",,CH$83,"."&amp;$D$82&amp;$AW$82&amp;"C"&amp;$A115)="N/A",0,RTD("tos.rtd",,CH$83,"."&amp;$D$82&amp;$AW$82&amp;"C"&amp;$A115))</f>
        <v>0.71</v>
      </c>
      <c r="CI115" s="3">
        <f>-IF(RTD("tos.rtd",,CI$83,"."&amp;$D$82&amp;$AW$82&amp;"P"&amp;$A115)="N/A",0,RTD("tos.rtd",,CI$83,"."&amp;$D$82&amp;$AW$82&amp;"P"&amp;$A115))</f>
        <v>0.28000000000000003</v>
      </c>
      <c r="CK115" s="3">
        <f t="shared" si="493"/>
        <v>20500</v>
      </c>
      <c r="CL115" s="3"/>
      <c r="CM115" s="3">
        <f t="shared" si="494"/>
        <v>19200</v>
      </c>
      <c r="CN115" s="3"/>
      <c r="CO115" s="3">
        <f t="shared" si="495"/>
        <v>-20267.000000000007</v>
      </c>
      <c r="CP115" s="3">
        <f t="shared" si="458"/>
        <v>19432.999999999993</v>
      </c>
      <c r="CQ115" s="3">
        <f t="shared" si="459"/>
        <v>0</v>
      </c>
      <c r="CR115" s="3"/>
      <c r="CS115" s="3">
        <f t="shared" si="460"/>
        <v>-26925</v>
      </c>
      <c r="CT115" s="3"/>
      <c r="CU115" s="3">
        <f t="shared" si="461"/>
        <v>-336</v>
      </c>
      <c r="CV115" s="3"/>
      <c r="CW115" s="3" t="e">
        <f t="shared" ca="1" si="521"/>
        <v>#NUM!</v>
      </c>
      <c r="CY115" s="3" t="e">
        <f t="shared" ca="1" si="463"/>
        <v>#NUM!</v>
      </c>
      <c r="CZ115" s="70" t="e">
        <f t="shared" ca="1" si="505"/>
        <v>#NUM!</v>
      </c>
      <c r="DA115" s="3">
        <f>IF(RTD("tos.rtd",,DA$83,"."&amp;$B$82&amp;$AS$82&amp;"C"&amp;$A115)="N/A",0,RTD("tos.rtd",,DA$83,"."&amp;$B$82&amp;$AS$82&amp;"C"&amp;$A115))</f>
        <v>82.63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83.5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77.8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7"/>
        <v>-90</v>
      </c>
      <c r="DH115" s="3">
        <f t="shared" si="464"/>
        <v>-421.98947368421017</v>
      </c>
      <c r="DI115" s="3">
        <f t="shared" si="465"/>
        <v>5942.4</v>
      </c>
      <c r="DJ115" s="3">
        <f t="shared" si="466"/>
        <v>-498</v>
      </c>
      <c r="DK115" s="3">
        <f t="shared" si="467"/>
        <v>9904</v>
      </c>
      <c r="DL115" s="3">
        <f t="shared" si="468"/>
        <v>5520.4105263157899</v>
      </c>
      <c r="DM115" s="3">
        <f t="shared" si="469"/>
        <v>9406</v>
      </c>
      <c r="DN115" s="64" t="str">
        <f t="shared" si="470"/>
        <v>UNKNOWN</v>
      </c>
      <c r="DO115" s="64" t="str">
        <f t="shared" si="471"/>
        <v>UNKNOWN</v>
      </c>
      <c r="DP115" s="3">
        <f t="shared" si="472"/>
        <v>-34690.718210526284</v>
      </c>
      <c r="DQ115" s="3">
        <f t="shared" si="473"/>
        <v>-40852.619999999995</v>
      </c>
      <c r="DR115" s="3" t="e">
        <f t="shared" ca="1" si="474"/>
        <v>#NUM!</v>
      </c>
      <c r="DS115" s="3">
        <f t="shared" si="475"/>
        <v>-498</v>
      </c>
      <c r="DT115" s="3">
        <f t="shared" si="498"/>
        <v>-498</v>
      </c>
      <c r="DU115" s="3">
        <f t="shared" si="499"/>
        <v>9904</v>
      </c>
      <c r="DV115" s="3">
        <f t="shared" si="500"/>
        <v>18</v>
      </c>
      <c r="DW115" s="3">
        <f t="shared" si="501"/>
        <v>-1956</v>
      </c>
      <c r="DX115" s="3" t="e">
        <f t="shared" ca="1" si="506"/>
        <v>#NUM!</v>
      </c>
      <c r="DY115" s="3" t="e">
        <f t="shared" ca="1" si="476"/>
        <v>#NUM!</v>
      </c>
      <c r="DZ115" s="3" t="e">
        <f t="shared" ca="1" si="477"/>
        <v>#NUM!</v>
      </c>
      <c r="EA115" s="3" t="e">
        <f t="shared" ca="1" si="478"/>
        <v>#NUM!</v>
      </c>
      <c r="EB115" s="3" t="e">
        <f t="shared" ca="1" si="479"/>
        <v>#NUM!</v>
      </c>
      <c r="EC115" s="3" t="e">
        <f t="shared" ca="1" si="480"/>
        <v>#NUM!</v>
      </c>
      <c r="EE115" s="59">
        <f t="shared" si="481"/>
        <v>0.25</v>
      </c>
      <c r="EF115" s="59">
        <f t="shared" si="482"/>
        <v>0.75900000000000001</v>
      </c>
      <c r="EG115" s="59">
        <f t="shared" si="483"/>
        <v>0.25</v>
      </c>
      <c r="EH115" s="59">
        <f t="shared" si="484"/>
        <v>0.75900000000000001</v>
      </c>
      <c r="EI115" s="59">
        <f t="shared" si="485"/>
        <v>0.26129999999999998</v>
      </c>
      <c r="EJ115" s="59">
        <f t="shared" si="486"/>
        <v>0.2487</v>
      </c>
      <c r="EL115" s="3" t="str">
        <f>RTD("tos.rtd",,EL$83,"."&amp;$B$82&amp;$AS$82&amp;"C"&amp;$A115)</f>
        <v>--</v>
      </c>
      <c r="EM115" s="3" t="str">
        <f>RTD("tos.rtd",,EM$83,"."&amp;$B$82&amp;$AS$82&amp;"P"&amp;$A115)</f>
        <v>75.90%</v>
      </c>
      <c r="EN115" s="3" t="str">
        <f>RTD("tos.rtd",,EN$83,"."&amp;$C$82&amp;$AU$82&amp;"C"&amp;$A115)</f>
        <v>--</v>
      </c>
      <c r="EO115" s="3" t="str">
        <f>RTD("tos.rtd",,EO$83,"."&amp;$C$82&amp;$AU$82&amp;"P"&amp;$A115)</f>
        <v>75.90%</v>
      </c>
      <c r="EP115" s="3" t="str">
        <f>RTD("tos.rtd",,EP$83,"."&amp;$D$82&amp;$AW$82&amp;"C"&amp;$A115)</f>
        <v>26.13%</v>
      </c>
      <c r="EQ115" s="3" t="str">
        <f>RTD("tos.rtd",,EQ$83,"."&amp;$D$82&amp;$AW$82&amp;"P"&amp;$A115)</f>
        <v>24.87%</v>
      </c>
      <c r="ES115" s="63" t="str">
        <f t="shared" si="487"/>
        <v>5570,-1938.00</v>
      </c>
      <c r="ET115" s="64" t="str">
        <f t="shared" ca="1" si="488"/>
        <v>5570,00.00</v>
      </c>
      <c r="EU115" s="67">
        <v>563.27</v>
      </c>
      <c r="EV115" s="67" t="s">
        <v>939</v>
      </c>
      <c r="EW115" s="67">
        <v>485.88</v>
      </c>
      <c r="EX115" s="67" t="s">
        <v>940</v>
      </c>
      <c r="EY115" s="67">
        <v>5646.5</v>
      </c>
      <c r="EZ115" s="67" t="s">
        <v>941</v>
      </c>
      <c r="FA115" s="67">
        <v>19959.75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502"/>
        <v>5560</v>
      </c>
      <c r="B116" s="3">
        <f t="shared" si="447"/>
        <v>1655</v>
      </c>
      <c r="C116" s="3">
        <f t="shared" si="448"/>
        <v>1086</v>
      </c>
      <c r="D116" s="3">
        <f t="shared" si="449"/>
        <v>648</v>
      </c>
      <c r="E116" s="3">
        <f t="shared" si="517"/>
        <v>3389</v>
      </c>
      <c r="F116" s="4">
        <f t="shared" si="518"/>
        <v>5583.5759717314486</v>
      </c>
      <c r="G116" s="4">
        <f t="shared" si="519"/>
        <v>554.8212014134275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883</v>
      </c>
      <c r="AN116" s="20">
        <v>224</v>
      </c>
      <c r="AO116" s="20">
        <v>5560</v>
      </c>
      <c r="AP116" s="20">
        <v>1132</v>
      </c>
      <c r="AQ116" s="20">
        <v>-8744</v>
      </c>
      <c r="AR116" s="20"/>
      <c r="AS116" s="54">
        <f>IF(RTD("tos.rtd",,AS$83,"."&amp;$B$82&amp;$AS$82&amp;"C"&amp;$A116)="N/A",0,RTD("tos.rtd",,AS$83,"."&amp;$B$82&amp;$AS$82&amp;"C"&amp;$A116))</f>
        <v>729</v>
      </c>
      <c r="AT116" s="3">
        <f>-IF(RTD("tos.rtd",,AT$83,"."&amp;$B$82&amp;$AS$82&amp;"P"&amp;$A116)="N/A",0,RTD("tos.rtd",,AT$83,"."&amp;$B$82&amp;$AS$82&amp;"P"&amp;$A116))</f>
        <v>-926</v>
      </c>
      <c r="AU116" s="54">
        <f>IF(RTD("tos.rtd",,AU$83,"."&amp;$C$82&amp;$AU$82&amp;"C"&amp;$A116)="N/A",0,RTD("tos.rtd",,AU$83,"."&amp;$C$82&amp;$AU$82&amp;"C"&amp;$A116))</f>
        <v>244</v>
      </c>
      <c r="AV116" s="3">
        <f>-IF(RTD("tos.rtd",,AV$83,"."&amp;$C$82&amp;$AU$82&amp;"P"&amp;$A116)="N/A",0,RTD("tos.rtd",,AV$83,"."&amp;$C$82&amp;$AU$82&amp;"P"&amp;$A116))</f>
        <v>-842</v>
      </c>
      <c r="AW116" s="54">
        <f>IF(RTD("tos.rtd",,AW$83,"."&amp;$D$82&amp;$AW$82&amp;"C"&amp;$A116)="N/A",0,RTD("tos.rtd",,AW$83,"."&amp;$D$82&amp;$AW$82&amp;"C"&amp;$A116))</f>
        <v>212</v>
      </c>
      <c r="AX116" s="3">
        <f>-IF(RTD("tos.rtd",,AX$83,"."&amp;$D$82&amp;$AW$82&amp;"P"&amp;$A116)="N/A",0,RTD("tos.rtd",,AX$83,"."&amp;$D$82&amp;$AW$82&amp;"P"&amp;$A116))</f>
        <v>-436</v>
      </c>
      <c r="AY116" s="79">
        <f t="shared" si="520"/>
        <v>-1019</v>
      </c>
      <c r="AZ116" s="8">
        <f t="shared" si="451"/>
        <v>5560</v>
      </c>
      <c r="BA116" s="54">
        <f>IF(RTD("tos.rtd",,BA$83,"."&amp;$B$82&amp;$AS$82&amp;"C"&amp;$A116)="N/A",0,RTD("tos.rtd",,BA$83,"."&amp;$B$82&amp;$AS$82&amp;"C"&amp;$A116))</f>
        <v>0</v>
      </c>
      <c r="BB116" s="3">
        <f>-IF(RTD("tos.rtd",,BB$83,"."&amp;$B$82&amp;$AS$82&amp;"P"&amp;$A116)="N/A",0,RTD("tos.rtd",,BB$83,"."&amp;$B$82&amp;$AS$82&amp;"P"&amp;$A116))</f>
        <v>0</v>
      </c>
      <c r="BC116" s="54">
        <f>IF(RTD("tos.rtd",,BC$83,"."&amp;$C$82&amp;$AU$82&amp;"C"&amp;$A116)="N/A",0,RTD("tos.rtd",,BC$83,"."&amp;$C$82&amp;$AU$82&amp;"C"&amp;$A116))</f>
        <v>72</v>
      </c>
      <c r="BD116" s="3">
        <f>-IF(RTD("tos.rtd",,BD$83,"."&amp;$C$82&amp;$AU$82&amp;"P"&amp;$A116)="N/A",0,RTD("tos.rtd",,BD$83,"."&amp;$C$82&amp;$AU$82&amp;"P"&amp;$A116))</f>
        <v>-9797</v>
      </c>
      <c r="BE116" s="54">
        <f>IF(RTD("tos.rtd",,BE$83,"."&amp;$D$82&amp;$AW$82&amp;"C"&amp;$A116)="N/A",0,RTD("tos.rtd",,BE$83,"."&amp;$D$82&amp;$AW$82&amp;"C"&amp;$A116))</f>
        <v>9</v>
      </c>
      <c r="BF116" s="3">
        <f>-IF(RTD("tos.rtd",,BF$83,"."&amp;$D$82&amp;$AW$82&amp;"P"&amp;$A116)="N/A",0,RTD("tos.rtd",,BF$83,"."&amp;$D$82&amp;$AW$82&amp;"P"&amp;$A116))</f>
        <v>-406</v>
      </c>
      <c r="BG116" s="3">
        <f ca="1">+Hoja2!Y117</f>
        <v>-249</v>
      </c>
      <c r="BH116" s="55">
        <f t="shared" ca="1" si="491"/>
        <v>-10371</v>
      </c>
      <c r="BI116" s="32" t="str">
        <f t="shared" ca="1" si="507"/>
        <v/>
      </c>
      <c r="BJ116" s="3" t="e">
        <f ca="1">IF($BP$1=1,DX116,IF(RTD("tos.rtd",,BJ$83,"."&amp;$B$82&amp;$AS$82&amp;"C"&amp;$A116)="N/A",0,RTD("tos.rtd",,BJ$83,"."&amp;$B$82&amp;$AS$82&amp;"C"&amp;$A116)))</f>
        <v>#NUM!</v>
      </c>
      <c r="BK116" s="3" t="e">
        <f ca="1">IF($BP$1=1,DY116,-IF(RTD("tos.rtd",,BK$83,"."&amp;$B$82&amp;$AS$82&amp;"P"&amp;$A116)="N/A",0,RTD("tos.rtd",,BK$83,"."&amp;$B$82&amp;$AS$82&amp;"P"&amp;$A116)))</f>
        <v>#NUM!</v>
      </c>
      <c r="BL116" s="3" t="e">
        <f ca="1">IF($BP$1=1,DZ116,IF(RTD("tos.rtd",,BL$83,"."&amp;$C$82&amp;$AU$82&amp;"C"&amp;$A116)="N/A",0,RTD("tos.rtd",,BL$83,"."&amp;$C$82&amp;$AU$82&amp;"C"&amp;$A116)))</f>
        <v>#NUM!</v>
      </c>
      <c r="BM116" s="3" t="e">
        <f ca="1">IF($BP$1=1,EA116,-IF(RTD("tos.rtd",,BM$83,"."&amp;$C$82&amp;$AU$82&amp;"P"&amp;$A116)="N/A",0,RTD("tos.rtd",,BM$83,"."&amp;$C$82&amp;$AU$82&amp;"P"&amp;$A116)))</f>
        <v>#NUM!</v>
      </c>
      <c r="BN116" s="3" t="e">
        <f ca="1">IF($BP$1=1,EB116,IF(RTD("tos.rtd",,BN$83,"."&amp;$D$82&amp;$AW$82&amp;"C"&amp;$A116)="N/A",0,RTD("tos.rtd",,BN$83,"."&amp;$D$82&amp;$AW$82&amp;"C"&amp;$A116)))</f>
        <v>#NUM!</v>
      </c>
      <c r="BO116" s="3" t="e">
        <f ca="1">IF($BP$1=1,EC116,-IF(RTD("tos.rtd",,BO$83,"."&amp;$D$82&amp;$AW$82&amp;"P"&amp;$A116)="N/A",0,RTD("tos.rtd",,BO$83,"."&amp;$D$82&amp;$AW$82&amp;"P"&amp;$A116)))</f>
        <v>#NUM!</v>
      </c>
      <c r="BQ116" s="3" t="e">
        <f t="shared" ca="1" si="452"/>
        <v>#NUM!</v>
      </c>
      <c r="BR116" s="3" t="e">
        <f t="shared" ca="1" si="492"/>
        <v>#NUM!</v>
      </c>
      <c r="BS116" s="3" t="e">
        <f t="shared" ca="1" si="453"/>
        <v>#NUM!</v>
      </c>
      <c r="BT116" s="3" t="e">
        <f t="shared" ca="1" si="492"/>
        <v>#NUM!</v>
      </c>
      <c r="BU116" s="3" t="e">
        <f t="shared" ca="1" si="454"/>
        <v>#NUM!</v>
      </c>
      <c r="BV116" s="3" t="e">
        <f t="shared" ca="1" si="492"/>
        <v>#NUM!</v>
      </c>
      <c r="BX116" s="3" t="e">
        <f t="shared" ca="1" si="455"/>
        <v>#NUM!</v>
      </c>
      <c r="BY116" s="3" t="e">
        <f t="shared" ca="1" si="504"/>
        <v>#NUM!</v>
      </c>
      <c r="BZ116" s="3" t="e">
        <f t="shared" ca="1" si="456"/>
        <v>#NUM!</v>
      </c>
      <c r="CA116" s="3" t="e">
        <f t="shared" ca="1" si="504"/>
        <v>#NUM!</v>
      </c>
      <c r="CB116" s="3" t="e">
        <f t="shared" ca="1" si="457"/>
        <v>#NUM!</v>
      </c>
      <c r="CC116" s="3" t="e">
        <f t="shared" ca="1" si="504"/>
        <v>#NUM!</v>
      </c>
      <c r="CD116" s="3">
        <f>IF(RTD("tos.rtd",,CD$83,"."&amp;$B$82&amp;$AS$82&amp;"C"&amp;$A116)="N/A",0,RTD("tos.rtd",,CD$83,"."&amp;$B$82&amp;$AS$82&amp;"C"&amp;$A116))</f>
        <v>1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1</v>
      </c>
      <c r="CG116" s="3">
        <f>-IF(RTD("tos.rtd",,CG$83,"."&amp;$C$82&amp;$AU$82&amp;"P"&amp;$A116)="N/A",0,RTD("tos.rtd",,CG$83,"."&amp;$C$82&amp;$AU$82&amp;"P"&amp;$A116))</f>
        <v>0</v>
      </c>
      <c r="CH116" s="3">
        <f>IF(RTD("tos.rtd",,CH$83,"."&amp;$D$82&amp;$AW$82&amp;"C"&amp;$A116)="N/A",0,RTD("tos.rtd",,CH$83,"."&amp;$D$82&amp;$AW$82&amp;"C"&amp;$A116))</f>
        <v>0.73</v>
      </c>
      <c r="CI116" s="3">
        <f>-IF(RTD("tos.rtd",,CI$83,"."&amp;$D$82&amp;$AW$82&amp;"P"&amp;$A116)="N/A",0,RTD("tos.rtd",,CI$83,"."&amp;$D$82&amp;$AW$82&amp;"P"&amp;$A116))</f>
        <v>0.26</v>
      </c>
      <c r="CK116" s="3">
        <f t="shared" si="493"/>
        <v>72900</v>
      </c>
      <c r="CL116" s="3"/>
      <c r="CM116" s="3">
        <f t="shared" si="494"/>
        <v>24400</v>
      </c>
      <c r="CN116" s="3"/>
      <c r="CO116" s="3">
        <f t="shared" si="495"/>
        <v>4140</v>
      </c>
      <c r="CP116" s="3">
        <f t="shared" si="458"/>
        <v>101440</v>
      </c>
      <c r="CQ116" s="3">
        <f t="shared" si="459"/>
        <v>0</v>
      </c>
      <c r="CR116" s="3"/>
      <c r="CS116" s="3">
        <f t="shared" si="460"/>
        <v>-9725</v>
      </c>
      <c r="CT116" s="3"/>
      <c r="CU116" s="3">
        <f t="shared" si="461"/>
        <v>-397</v>
      </c>
      <c r="CV116" s="3"/>
      <c r="CW116" s="3" t="e">
        <f t="shared" ca="1" si="521"/>
        <v>#NUM!</v>
      </c>
      <c r="CY116" s="3" t="e">
        <f t="shared" ca="1" si="463"/>
        <v>#NUM!</v>
      </c>
      <c r="CZ116" s="70" t="e">
        <f t="shared" ca="1" si="505"/>
        <v>#NUM!</v>
      </c>
      <c r="DA116" s="3">
        <f>IF(RTD("tos.rtd",,DA$83,"."&amp;$B$82&amp;$AS$82&amp;"C"&amp;$A116)="N/A",0,RTD("tos.rtd",,DA$83,"."&amp;$B$82&amp;$AS$82&amp;"C"&amp;$A116))</f>
        <v>107.06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93.5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87.8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7"/>
        <v>-100</v>
      </c>
      <c r="DH116" s="3">
        <f t="shared" si="464"/>
        <v>-3824.9684210526311</v>
      </c>
      <c r="DI116" s="3">
        <f t="shared" si="465"/>
        <v>8744</v>
      </c>
      <c r="DJ116" s="3">
        <f t="shared" si="466"/>
        <v>-1132</v>
      </c>
      <c r="DK116" s="3">
        <f t="shared" si="467"/>
        <v>8744</v>
      </c>
      <c r="DL116" s="3">
        <f t="shared" si="468"/>
        <v>4919.0315789473689</v>
      </c>
      <c r="DM116" s="3">
        <f t="shared" si="469"/>
        <v>7612</v>
      </c>
      <c r="DN116" s="64" t="str">
        <f t="shared" si="470"/>
        <v>UNKNOWN</v>
      </c>
      <c r="DO116" s="64" t="str">
        <f t="shared" si="471"/>
        <v>UNKNOWN</v>
      </c>
      <c r="DP116" s="3">
        <f t="shared" si="472"/>
        <v>-409063.91915789468</v>
      </c>
      <c r="DQ116" s="3">
        <f t="shared" si="473"/>
        <v>-120754.72</v>
      </c>
      <c r="DR116" s="3" t="e">
        <f t="shared" ca="1" si="474"/>
        <v>#NUM!</v>
      </c>
      <c r="DS116" s="3">
        <f t="shared" si="475"/>
        <v>-1132</v>
      </c>
      <c r="DT116" s="3">
        <f t="shared" si="498"/>
        <v>-1132</v>
      </c>
      <c r="DU116" s="3">
        <f t="shared" si="499"/>
        <v>8744</v>
      </c>
      <c r="DV116" s="3">
        <f t="shared" si="500"/>
        <v>883</v>
      </c>
      <c r="DW116" s="3">
        <f t="shared" si="501"/>
        <v>224</v>
      </c>
      <c r="DX116" s="3" t="e">
        <f t="shared" ca="1" si="506"/>
        <v>#NUM!</v>
      </c>
      <c r="DY116" s="3" t="e">
        <f t="shared" ca="1" si="476"/>
        <v>#NUM!</v>
      </c>
      <c r="DZ116" s="3" t="e">
        <f t="shared" ca="1" si="477"/>
        <v>#NUM!</v>
      </c>
      <c r="EA116" s="3" t="e">
        <f t="shared" ca="1" si="478"/>
        <v>#NUM!</v>
      </c>
      <c r="EB116" s="3" t="e">
        <f t="shared" ca="1" si="479"/>
        <v>#NUM!</v>
      </c>
      <c r="EC116" s="3" t="e">
        <f t="shared" ca="1" si="480"/>
        <v>#NUM!</v>
      </c>
      <c r="EE116" s="59">
        <f t="shared" si="481"/>
        <v>0.25</v>
      </c>
      <c r="EF116" s="59">
        <f t="shared" si="482"/>
        <v>0.83479999999999999</v>
      </c>
      <c r="EG116" s="59">
        <f t="shared" si="483"/>
        <v>0.25</v>
      </c>
      <c r="EH116" s="59">
        <f t="shared" si="484"/>
        <v>0.83479999999999999</v>
      </c>
      <c r="EI116" s="59">
        <f t="shared" si="485"/>
        <v>0.26350000000000001</v>
      </c>
      <c r="EJ116" s="59">
        <f t="shared" si="486"/>
        <v>0.25030000000000002</v>
      </c>
      <c r="EL116" s="3" t="str">
        <f>RTD("tos.rtd",,EL$83,"."&amp;$B$82&amp;$AS$82&amp;"C"&amp;$A116)</f>
        <v>--</v>
      </c>
      <c r="EM116" s="3" t="str">
        <f>RTD("tos.rtd",,EM$83,"."&amp;$B$82&amp;$AS$82&amp;"P"&amp;$A116)</f>
        <v>83.48%</v>
      </c>
      <c r="EN116" s="3" t="str">
        <f>RTD("tos.rtd",,EN$83,"."&amp;$C$82&amp;$AU$82&amp;"C"&amp;$A116)</f>
        <v>--</v>
      </c>
      <c r="EO116" s="3" t="str">
        <f>RTD("tos.rtd",,EO$83,"."&amp;$C$82&amp;$AU$82&amp;"P"&amp;$A116)</f>
        <v>83.48%</v>
      </c>
      <c r="EP116" s="3" t="str">
        <f>RTD("tos.rtd",,EP$83,"."&amp;$D$82&amp;$AW$82&amp;"C"&amp;$A116)</f>
        <v>26.35%</v>
      </c>
      <c r="EQ116" s="3" t="str">
        <f>RTD("tos.rtd",,EQ$83,"."&amp;$D$82&amp;$AW$82&amp;"P"&amp;$A116)</f>
        <v>25.03%</v>
      </c>
      <c r="ES116" s="63" t="str">
        <f t="shared" si="487"/>
        <v>5560,1107.00</v>
      </c>
      <c r="ET116" s="64" t="str">
        <f t="shared" ca="1" si="488"/>
        <v>5560,00.00</v>
      </c>
      <c r="EU116" s="67">
        <v>563.24</v>
      </c>
      <c r="EV116" s="67" t="s">
        <v>947</v>
      </c>
      <c r="EW116" s="67">
        <v>485.86</v>
      </c>
      <c r="EX116" s="67" t="s">
        <v>948</v>
      </c>
      <c r="EY116" s="67">
        <v>5646</v>
      </c>
      <c r="EZ116" s="67" t="s">
        <v>949</v>
      </c>
      <c r="FA116" s="67">
        <v>19959.25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502"/>
        <v>5550</v>
      </c>
      <c r="B117" s="3">
        <f t="shared" si="447"/>
        <v>5637</v>
      </c>
      <c r="C117" s="3">
        <f t="shared" si="448"/>
        <v>6072</v>
      </c>
      <c r="D117" s="3">
        <f t="shared" si="449"/>
        <v>2943</v>
      </c>
      <c r="E117" s="3">
        <f t="shared" ref="E117:E121" si="522">SUM(B117:D117)</f>
        <v>14652</v>
      </c>
      <c r="F117" s="4">
        <f t="shared" ref="F117:F121" si="523">+$F$84/$A$84*A117</f>
        <v>5573.5335689045933</v>
      </c>
      <c r="G117" s="4">
        <f t="shared" ref="G117:G121" si="524">+$G$84/$A$84*A117</f>
        <v>553.82332155477025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302</v>
      </c>
      <c r="AN117" s="20">
        <v>-160</v>
      </c>
      <c r="AO117" s="20">
        <v>5550</v>
      </c>
      <c r="AP117" s="20">
        <v>1084</v>
      </c>
      <c r="AQ117" s="20">
        <v>-11328</v>
      </c>
      <c r="AR117" s="20"/>
      <c r="AS117" s="54">
        <f>IF(RTD("tos.rtd",,AS$83,"."&amp;$B$82&amp;$AS$82&amp;"C"&amp;$A117)="N/A",0,RTD("tos.rtd",,AS$83,"."&amp;$B$82&amp;$AS$82&amp;"C"&amp;$A117))</f>
        <v>1616</v>
      </c>
      <c r="AT117" s="3">
        <f>-IF(RTD("tos.rtd",,AT$83,"."&amp;$B$82&amp;$AS$82&amp;"P"&amp;$A117)="N/A",0,RTD("tos.rtd",,AT$83,"."&amp;$B$82&amp;$AS$82&amp;"P"&amp;$A117))</f>
        <v>-4021</v>
      </c>
      <c r="AU117" s="54">
        <f>IF(RTD("tos.rtd",,AU$83,"."&amp;$C$82&amp;$AU$82&amp;"C"&amp;$A117)="N/A",0,RTD("tos.rtd",,AU$83,"."&amp;$C$82&amp;$AU$82&amp;"C"&amp;$A117))</f>
        <v>1234</v>
      </c>
      <c r="AV117" s="3">
        <f>-IF(RTD("tos.rtd",,AV$83,"."&amp;$C$82&amp;$AU$82&amp;"P"&amp;$A117)="N/A",0,RTD("tos.rtd",,AV$83,"."&amp;$C$82&amp;$AU$82&amp;"P"&amp;$A117))</f>
        <v>-4838</v>
      </c>
      <c r="AW117" s="54">
        <f>IF(RTD("tos.rtd",,AW$83,"."&amp;$D$82&amp;$AW$82&amp;"C"&amp;$A117)="N/A",0,RTD("tos.rtd",,AW$83,"."&amp;$D$82&amp;$AW$82&amp;"C"&amp;$A117))</f>
        <v>757</v>
      </c>
      <c r="AX117" s="3">
        <f>-IF(RTD("tos.rtd",,AX$83,"."&amp;$D$82&amp;$AW$82&amp;"P"&amp;$A117)="N/A",0,RTD("tos.rtd",,AX$83,"."&amp;$D$82&amp;$AW$82&amp;"P"&amp;$A117))</f>
        <v>-2186</v>
      </c>
      <c r="AY117" s="79">
        <f t="shared" ref="AY117:AY121" si="525">SUM(AS117:AX117)</f>
        <v>-7438</v>
      </c>
      <c r="AZ117" s="8">
        <f t="shared" si="451"/>
        <v>5550</v>
      </c>
      <c r="BA117" s="54">
        <f>IF(RTD("tos.rtd",,BA$83,"."&amp;$B$82&amp;$AS$82&amp;"C"&amp;$A117)="N/A",0,RTD("tos.rtd",,BA$83,"."&amp;$B$82&amp;$AS$82&amp;"C"&amp;$A117))</f>
        <v>0</v>
      </c>
      <c r="BB117" s="3">
        <f>-IF(RTD("tos.rtd",,BB$83,"."&amp;$B$82&amp;$AS$82&amp;"P"&amp;$A117)="N/A",0,RTD("tos.rtd",,BB$83,"."&amp;$B$82&amp;$AS$82&amp;"P"&amp;$A117))</f>
        <v>0</v>
      </c>
      <c r="BC117" s="54">
        <f>IF(RTD("tos.rtd",,BC$83,"."&amp;$C$82&amp;$AU$82&amp;"C"&amp;$A117)="N/A",0,RTD("tos.rtd",,BC$83,"."&amp;$C$82&amp;$AU$82&amp;"C"&amp;$A117))</f>
        <v>528</v>
      </c>
      <c r="BD117" s="3">
        <f>-IF(RTD("tos.rtd",,BD$83,"."&amp;$C$82&amp;$AU$82&amp;"P"&amp;$A117)="N/A",0,RTD("tos.rtd",,BD$83,"."&amp;$C$82&amp;$AU$82&amp;"P"&amp;$A117))</f>
        <v>-12254</v>
      </c>
      <c r="BE117" s="54">
        <f>IF(RTD("tos.rtd",,BE$83,"."&amp;$D$82&amp;$AW$82&amp;"C"&amp;$A117)="N/A",0,RTD("tos.rtd",,BE$83,"."&amp;$D$82&amp;$AW$82&amp;"C"&amp;$A117))</f>
        <v>126</v>
      </c>
      <c r="BF117" s="3">
        <f>-IF(RTD("tos.rtd",,BF$83,"."&amp;$D$82&amp;$AW$82&amp;"P"&amp;$A117)="N/A",0,RTD("tos.rtd",,BF$83,"."&amp;$D$82&amp;$AW$82&amp;"P"&amp;$A117))</f>
        <v>-1116</v>
      </c>
      <c r="BG117" s="3">
        <f ca="1">+Hoja2!Y118</f>
        <v>-5624</v>
      </c>
      <c r="BH117" s="55">
        <f t="shared" ca="1" si="491"/>
        <v>-18340</v>
      </c>
      <c r="BI117" s="32" t="str">
        <f t="shared" ca="1" si="507"/>
        <v/>
      </c>
      <c r="BJ117" s="3" t="e">
        <f ca="1">IF($BP$1=1,DX117,IF(RTD("tos.rtd",,BJ$83,"."&amp;$B$82&amp;$AS$82&amp;"C"&amp;$A117)="N/A",0,RTD("tos.rtd",,BJ$83,"."&amp;$B$82&amp;$AS$82&amp;"C"&amp;$A117)))</f>
        <v>#NUM!</v>
      </c>
      <c r="BK117" s="3" t="e">
        <f ca="1">IF($BP$1=1,DY117,-IF(RTD("tos.rtd",,BK$83,"."&amp;$B$82&amp;$AS$82&amp;"P"&amp;$A117)="N/A",0,RTD("tos.rtd",,BK$83,"."&amp;$B$82&amp;$AS$82&amp;"P"&amp;$A117)))</f>
        <v>#NUM!</v>
      </c>
      <c r="BL117" s="3" t="e">
        <f ca="1">IF($BP$1=1,DZ117,IF(RTD("tos.rtd",,BL$83,"."&amp;$C$82&amp;$AU$82&amp;"C"&amp;$A117)="N/A",0,RTD("tos.rtd",,BL$83,"."&amp;$C$82&amp;$AU$82&amp;"C"&amp;$A117)))</f>
        <v>#NUM!</v>
      </c>
      <c r="BM117" s="3" t="e">
        <f ca="1">IF($BP$1=1,EA117,-IF(RTD("tos.rtd",,BM$83,"."&amp;$C$82&amp;$AU$82&amp;"P"&amp;$A117)="N/A",0,RTD("tos.rtd",,BM$83,"."&amp;$C$82&amp;$AU$82&amp;"P"&amp;$A117)))</f>
        <v>#NUM!</v>
      </c>
      <c r="BN117" s="3" t="e">
        <f ca="1">IF($BP$1=1,EB117,IF(RTD("tos.rtd",,BN$83,"."&amp;$D$82&amp;$AW$82&amp;"C"&amp;$A117)="N/A",0,RTD("tos.rtd",,BN$83,"."&amp;$D$82&amp;$AW$82&amp;"C"&amp;$A117)))</f>
        <v>#NUM!</v>
      </c>
      <c r="BO117" s="3" t="e">
        <f ca="1">IF($BP$1=1,EC117,-IF(RTD("tos.rtd",,BO$83,"."&amp;$D$82&amp;$AW$82&amp;"P"&amp;$A117)="N/A",0,RTD("tos.rtd",,BO$83,"."&amp;$D$82&amp;$AW$82&amp;"P"&amp;$A117)))</f>
        <v>#NUM!</v>
      </c>
      <c r="BQ117" s="3" t="e">
        <f t="shared" ca="1" si="452"/>
        <v>#NUM!</v>
      </c>
      <c r="BR117" s="3" t="e">
        <f t="shared" ca="1" si="492"/>
        <v>#NUM!</v>
      </c>
      <c r="BS117" s="3" t="e">
        <f t="shared" ca="1" si="453"/>
        <v>#NUM!</v>
      </c>
      <c r="BT117" s="3" t="e">
        <f t="shared" ca="1" si="492"/>
        <v>#NUM!</v>
      </c>
      <c r="BU117" s="3" t="e">
        <f t="shared" ca="1" si="454"/>
        <v>#NUM!</v>
      </c>
      <c r="BV117" s="3" t="e">
        <f t="shared" ca="1" si="492"/>
        <v>#NUM!</v>
      </c>
      <c r="BX117" s="3" t="e">
        <f t="shared" ca="1" si="455"/>
        <v>#NUM!</v>
      </c>
      <c r="BY117" s="3" t="e">
        <f t="shared" ca="1" si="504"/>
        <v>#NUM!</v>
      </c>
      <c r="BZ117" s="3" t="e">
        <f t="shared" ca="1" si="456"/>
        <v>#NUM!</v>
      </c>
      <c r="CA117" s="3" t="e">
        <f t="shared" ca="1" si="504"/>
        <v>#NUM!</v>
      </c>
      <c r="CB117" s="3" t="e">
        <f t="shared" ca="1" si="457"/>
        <v>#NUM!</v>
      </c>
      <c r="CC117" s="3" t="e">
        <f t="shared" ca="1" si="504"/>
        <v>#NUM!</v>
      </c>
      <c r="CD117" s="3">
        <f>IF(RTD("tos.rtd",,CD$83,"."&amp;$B$82&amp;$AS$82&amp;"C"&amp;$A117)="N/A",0,RTD("tos.rtd",,CD$83,"."&amp;$B$82&amp;$AS$82&amp;"C"&amp;$A117))</f>
        <v>1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1</v>
      </c>
      <c r="CG117" s="3">
        <f>-IF(RTD("tos.rtd",,CG$83,"."&amp;$C$82&amp;$AU$82&amp;"P"&amp;$A117)="N/A",0,RTD("tos.rtd",,CG$83,"."&amp;$C$82&amp;$AU$82&amp;"P"&amp;$A117))</f>
        <v>0</v>
      </c>
      <c r="CH117" s="3">
        <f>IF(RTD("tos.rtd",,CH$83,"."&amp;$D$82&amp;$AW$82&amp;"C"&amp;$A117)="N/A",0,RTD("tos.rtd",,CH$83,"."&amp;$D$82&amp;$AW$82&amp;"C"&amp;$A117))</f>
        <v>0.75</v>
      </c>
      <c r="CI117" s="3">
        <f>-IF(RTD("tos.rtd",,CI$83,"."&amp;$D$82&amp;$AW$82&amp;"P"&amp;$A117)="N/A",0,RTD("tos.rtd",,CI$83,"."&amp;$D$82&amp;$AW$82&amp;"P"&amp;$A117))</f>
        <v>0.24</v>
      </c>
      <c r="CK117" s="3">
        <f t="shared" ref="CK117:CK121" si="526">+AS117*CD117*100+AT117*CE117*100</f>
        <v>161600</v>
      </c>
      <c r="CL117" s="3"/>
      <c r="CM117" s="3">
        <f t="shared" ref="CM117:CM121" si="527">+AU117*CF117*100+AV117*CG117*100</f>
        <v>123400</v>
      </c>
      <c r="CN117" s="3"/>
      <c r="CO117" s="3">
        <f t="shared" ref="CO117:CO121" si="528">+AW117*CH117*100+AX117*CI117*100</f>
        <v>4311</v>
      </c>
      <c r="CP117" s="3">
        <f t="shared" si="458"/>
        <v>289311</v>
      </c>
      <c r="CQ117" s="3">
        <f t="shared" si="459"/>
        <v>0</v>
      </c>
      <c r="CR117" s="3"/>
      <c r="CS117" s="3">
        <f t="shared" si="460"/>
        <v>-11726</v>
      </c>
      <c r="CT117" s="3"/>
      <c r="CU117" s="3">
        <f t="shared" si="461"/>
        <v>-990</v>
      </c>
      <c r="CV117" s="3"/>
      <c r="CW117" s="3" t="e">
        <f t="shared" ref="CW117:CW121" ca="1" si="529">+BQ117+BS117+BU117</f>
        <v>#NUM!</v>
      </c>
      <c r="CY117" s="3" t="e">
        <f t="shared" ca="1" si="463"/>
        <v>#NUM!</v>
      </c>
      <c r="CZ117" s="70" t="e">
        <f t="shared" ca="1" si="505"/>
        <v>#NUM!</v>
      </c>
      <c r="DA117" s="3">
        <f>IF(RTD("tos.rtd",,DA$83,"."&amp;$B$82&amp;$AS$82&amp;"C"&amp;$A117)="N/A",0,RTD("tos.rtd",,DA$83,"."&amp;$B$82&amp;$AS$82&amp;"C"&amp;$A117))</f>
        <v>99.66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103.5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97.8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7"/>
        <v>-110</v>
      </c>
      <c r="DH117" s="3">
        <f t="shared" si="464"/>
        <v>-353.7263157894734</v>
      </c>
      <c r="DI117" s="3">
        <f t="shared" si="465"/>
        <v>6796.8</v>
      </c>
      <c r="DJ117" s="3">
        <f t="shared" si="466"/>
        <v>1084</v>
      </c>
      <c r="DK117" s="3">
        <f t="shared" si="467"/>
        <v>11328</v>
      </c>
      <c r="DL117" s="3">
        <f t="shared" si="468"/>
        <v>6443.0736842105271</v>
      </c>
      <c r="DM117" s="3">
        <f t="shared" si="469"/>
        <v>12412</v>
      </c>
      <c r="DN117" s="64" t="str">
        <f t="shared" si="470"/>
        <v>UNKNOWN</v>
      </c>
      <c r="DO117" s="64" t="str">
        <f t="shared" si="471"/>
        <v>UNKNOWN</v>
      </c>
      <c r="DP117" s="3">
        <f t="shared" si="472"/>
        <v>-35048.460631578913</v>
      </c>
      <c r="DQ117" s="3">
        <f t="shared" si="473"/>
        <v>108371.28</v>
      </c>
      <c r="DR117" s="3" t="e">
        <f t="shared" ca="1" si="474"/>
        <v>#NUM!</v>
      </c>
      <c r="DS117" s="3">
        <f t="shared" si="475"/>
        <v>1084</v>
      </c>
      <c r="DT117" s="3">
        <f t="shared" si="498"/>
        <v>-1084</v>
      </c>
      <c r="DU117" s="3">
        <f t="shared" si="499"/>
        <v>11328</v>
      </c>
      <c r="DV117" s="3">
        <f t="shared" si="500"/>
        <v>302</v>
      </c>
      <c r="DW117" s="3">
        <f t="shared" si="501"/>
        <v>-160</v>
      </c>
      <c r="DX117" s="3" t="e">
        <f t="shared" ca="1" si="506"/>
        <v>#NUM!</v>
      </c>
      <c r="DY117" s="3" t="e">
        <f t="shared" ca="1" si="476"/>
        <v>#NUM!</v>
      </c>
      <c r="DZ117" s="3" t="e">
        <f t="shared" ca="1" si="477"/>
        <v>#NUM!</v>
      </c>
      <c r="EA117" s="3" t="e">
        <f t="shared" ca="1" si="478"/>
        <v>#NUM!</v>
      </c>
      <c r="EB117" s="3" t="e">
        <f t="shared" ca="1" si="479"/>
        <v>#NUM!</v>
      </c>
      <c r="EC117" s="3" t="e">
        <f t="shared" ca="1" si="480"/>
        <v>#NUM!</v>
      </c>
      <c r="EE117" s="59">
        <f t="shared" si="481"/>
        <v>0.25</v>
      </c>
      <c r="EF117" s="59">
        <f t="shared" si="482"/>
        <v>0.91080000000000005</v>
      </c>
      <c r="EG117" s="59">
        <f t="shared" si="483"/>
        <v>0.25</v>
      </c>
      <c r="EH117" s="59">
        <f t="shared" si="484"/>
        <v>0.91080000000000005</v>
      </c>
      <c r="EI117" s="59">
        <f t="shared" si="485"/>
        <v>0.26529999999999998</v>
      </c>
      <c r="EJ117" s="59">
        <f t="shared" si="486"/>
        <v>0.252</v>
      </c>
      <c r="EL117" s="3" t="str">
        <f>RTD("tos.rtd",,EL$83,"."&amp;$B$82&amp;$AS$82&amp;"C"&amp;$A117)</f>
        <v>--</v>
      </c>
      <c r="EM117" s="3" t="str">
        <f>RTD("tos.rtd",,EM$83,"."&amp;$B$82&amp;$AS$82&amp;"P"&amp;$A117)</f>
        <v>91.08%</v>
      </c>
      <c r="EN117" s="3" t="str">
        <f>RTD("tos.rtd",,EN$83,"."&amp;$C$82&amp;$AU$82&amp;"C"&amp;$A117)</f>
        <v>--</v>
      </c>
      <c r="EO117" s="3" t="str">
        <f>RTD("tos.rtd",,EO$83,"."&amp;$C$82&amp;$AU$82&amp;"P"&amp;$A117)</f>
        <v>91.08%</v>
      </c>
      <c r="EP117" s="3" t="str">
        <f>RTD("tos.rtd",,EP$83,"."&amp;$D$82&amp;$AW$82&amp;"C"&amp;$A117)</f>
        <v>26.53%</v>
      </c>
      <c r="EQ117" s="3" t="str">
        <f>RTD("tos.rtd",,EQ$83,"."&amp;$D$82&amp;$AW$82&amp;"P"&amp;$A117)</f>
        <v>25.20%</v>
      </c>
      <c r="ES117" s="63" t="str">
        <f t="shared" si="487"/>
        <v>5550,142.00</v>
      </c>
      <c r="ET117" s="64" t="str">
        <f t="shared" ca="1" si="488"/>
        <v>5550,00.00</v>
      </c>
      <c r="EU117" s="67">
        <v>563.27</v>
      </c>
      <c r="EV117" s="67" t="s">
        <v>955</v>
      </c>
      <c r="EW117" s="67">
        <v>485.89</v>
      </c>
      <c r="EX117" s="67" t="s">
        <v>956</v>
      </c>
      <c r="EY117" s="67">
        <v>5646.25</v>
      </c>
      <c r="EZ117" s="67" t="s">
        <v>957</v>
      </c>
      <c r="FA117" s="67">
        <v>19960.5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502"/>
        <v>5540</v>
      </c>
      <c r="B118" s="3">
        <f t="shared" si="447"/>
        <v>1234</v>
      </c>
      <c r="C118" s="3">
        <f t="shared" si="448"/>
        <v>5162</v>
      </c>
      <c r="D118" s="3">
        <f t="shared" si="449"/>
        <v>978</v>
      </c>
      <c r="E118" s="3">
        <f t="shared" si="522"/>
        <v>7374</v>
      </c>
      <c r="F118" s="4">
        <f t="shared" si="523"/>
        <v>5563.4911660777389</v>
      </c>
      <c r="G118" s="4">
        <f t="shared" si="524"/>
        <v>552.8254416961131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5</v>
      </c>
      <c r="AN118" s="20">
        <v>-845</v>
      </c>
      <c r="AO118" s="20">
        <v>5540</v>
      </c>
      <c r="AP118" s="20">
        <v>84</v>
      </c>
      <c r="AQ118" s="20">
        <v>-9892</v>
      </c>
      <c r="AR118" s="20"/>
      <c r="AS118" s="54">
        <f>IF(RTD("tos.rtd",,AS$83,"."&amp;$B$82&amp;$AS$82&amp;"C"&amp;$A118)="N/A",0,RTD("tos.rtd",,AS$83,"."&amp;$B$82&amp;$AS$82&amp;"C"&amp;$A118))</f>
        <v>587</v>
      </c>
      <c r="AT118" s="3">
        <f>-IF(RTD("tos.rtd",,AT$83,"."&amp;$B$82&amp;$AS$82&amp;"P"&amp;$A118)="N/A",0,RTD("tos.rtd",,AT$83,"."&amp;$B$82&amp;$AS$82&amp;"P"&amp;$A118))</f>
        <v>-647</v>
      </c>
      <c r="AU118" s="54">
        <f>IF(RTD("tos.rtd",,AU$83,"."&amp;$C$82&amp;$AU$82&amp;"C"&amp;$A118)="N/A",0,RTD("tos.rtd",,AU$83,"."&amp;$C$82&amp;$AU$82&amp;"C"&amp;$A118))</f>
        <v>751</v>
      </c>
      <c r="AV118" s="3">
        <f>-IF(RTD("tos.rtd",,AV$83,"."&amp;$C$82&amp;$AU$82&amp;"P"&amp;$A118)="N/A",0,RTD("tos.rtd",,AV$83,"."&amp;$C$82&amp;$AU$82&amp;"P"&amp;$A118))</f>
        <v>-4411</v>
      </c>
      <c r="AW118" s="54">
        <f>IF(RTD("tos.rtd",,AW$83,"."&amp;$D$82&amp;$AW$82&amp;"C"&amp;$A118)="N/A",0,RTD("tos.rtd",,AW$83,"."&amp;$D$82&amp;$AW$82&amp;"C"&amp;$A118))</f>
        <v>483</v>
      </c>
      <c r="AX118" s="3">
        <f>-IF(RTD("tos.rtd",,AX$83,"."&amp;$D$82&amp;$AW$82&amp;"P"&amp;$A118)="N/A",0,RTD("tos.rtd",,AX$83,"."&amp;$D$82&amp;$AW$82&amp;"P"&amp;$A118))</f>
        <v>-495</v>
      </c>
      <c r="AY118" s="79">
        <f t="shared" si="525"/>
        <v>-3732</v>
      </c>
      <c r="AZ118" s="8">
        <f t="shared" si="451"/>
        <v>5540</v>
      </c>
      <c r="BA118" s="54">
        <f>IF(RTD("tos.rtd",,BA$83,"."&amp;$B$82&amp;$AS$82&amp;"C"&amp;$A118)="N/A",0,RTD("tos.rtd",,BA$83,"."&amp;$B$82&amp;$AS$82&amp;"C"&amp;$A118))</f>
        <v>0</v>
      </c>
      <c r="BB118" s="3">
        <f>-IF(RTD("tos.rtd",,BB$83,"."&amp;$B$82&amp;$AS$82&amp;"P"&amp;$A118)="N/A",0,RTD("tos.rtd",,BB$83,"."&amp;$B$82&amp;$AS$82&amp;"P"&amp;$A118))</f>
        <v>0</v>
      </c>
      <c r="BC118" s="54">
        <f>IF(RTD("tos.rtd",,BC$83,"."&amp;$C$82&amp;$AU$82&amp;"C"&amp;$A118)="N/A",0,RTD("tos.rtd",,BC$83,"."&amp;$C$82&amp;$AU$82&amp;"C"&amp;$A118))</f>
        <v>484</v>
      </c>
      <c r="BD118" s="3">
        <f>-IF(RTD("tos.rtd",,BD$83,"."&amp;$C$82&amp;$AU$82&amp;"P"&amp;$A118)="N/A",0,RTD("tos.rtd",,BD$83,"."&amp;$C$82&amp;$AU$82&amp;"P"&amp;$A118))</f>
        <v>-7363</v>
      </c>
      <c r="BE118" s="54">
        <f>IF(RTD("tos.rtd",,BE$83,"."&amp;$D$82&amp;$AW$82&amp;"C"&amp;$A118)="N/A",0,RTD("tos.rtd",,BE$83,"."&amp;$D$82&amp;$AW$82&amp;"C"&amp;$A118))</f>
        <v>192</v>
      </c>
      <c r="BF118" s="3">
        <f>-IF(RTD("tos.rtd",,BF$83,"."&amp;$D$82&amp;$AW$82&amp;"P"&amp;$A118)="N/A",0,RTD("tos.rtd",,BF$83,"."&amp;$D$82&amp;$AW$82&amp;"P"&amp;$A118))</f>
        <v>-309</v>
      </c>
      <c r="BG118" s="3">
        <f ca="1">+Hoja2!Y119</f>
        <v>-177</v>
      </c>
      <c r="BH118" s="55">
        <f t="shared" ca="1" si="491"/>
        <v>-7173</v>
      </c>
      <c r="BI118" s="32" t="str">
        <f t="shared" ca="1" si="507"/>
        <v/>
      </c>
      <c r="BJ118" s="3" t="e">
        <f ca="1">IF($BP$1=1,DX118,IF(RTD("tos.rtd",,BJ$83,"."&amp;$B$82&amp;$AS$82&amp;"C"&amp;$A118)="N/A",0,RTD("tos.rtd",,BJ$83,"."&amp;$B$82&amp;$AS$82&amp;"C"&amp;$A118)))</f>
        <v>#NUM!</v>
      </c>
      <c r="BK118" s="3" t="e">
        <f ca="1">IF($BP$1=1,DY118,-IF(RTD("tos.rtd",,BK$83,"."&amp;$B$82&amp;$AS$82&amp;"P"&amp;$A118)="N/A",0,RTD("tos.rtd",,BK$83,"."&amp;$B$82&amp;$AS$82&amp;"P"&amp;$A118)))</f>
        <v>#NUM!</v>
      </c>
      <c r="BL118" s="3" t="e">
        <f ca="1">IF($BP$1=1,DZ118,IF(RTD("tos.rtd",,BL$83,"."&amp;$C$82&amp;$AU$82&amp;"C"&amp;$A118)="N/A",0,RTD("tos.rtd",,BL$83,"."&amp;$C$82&amp;$AU$82&amp;"C"&amp;$A118)))</f>
        <v>#NUM!</v>
      </c>
      <c r="BM118" s="3" t="e">
        <f ca="1">IF($BP$1=1,EA118,-IF(RTD("tos.rtd",,BM$83,"."&amp;$C$82&amp;$AU$82&amp;"P"&amp;$A118)="N/A",0,RTD("tos.rtd",,BM$83,"."&amp;$C$82&amp;$AU$82&amp;"P"&amp;$A118)))</f>
        <v>#NUM!</v>
      </c>
      <c r="BN118" s="3" t="e">
        <f ca="1">IF($BP$1=1,EB118,IF(RTD("tos.rtd",,BN$83,"."&amp;$D$82&amp;$AW$82&amp;"C"&amp;$A118)="N/A",0,RTD("tos.rtd",,BN$83,"."&amp;$D$82&amp;$AW$82&amp;"C"&amp;$A118)))</f>
        <v>#NUM!</v>
      </c>
      <c r="BO118" s="3" t="e">
        <f ca="1">IF($BP$1=1,EC118,-IF(RTD("tos.rtd",,BO$83,"."&amp;$D$82&amp;$AW$82&amp;"P"&amp;$A118)="N/A",0,RTD("tos.rtd",,BO$83,"."&amp;$D$82&amp;$AW$82&amp;"P"&amp;$A118)))</f>
        <v>#NUM!</v>
      </c>
      <c r="BQ118" s="3" t="e">
        <f t="shared" ca="1" si="452"/>
        <v>#NUM!</v>
      </c>
      <c r="BR118" s="3" t="e">
        <f t="shared" ca="1" si="492"/>
        <v>#NUM!</v>
      </c>
      <c r="BS118" s="3" t="e">
        <f t="shared" ca="1" si="453"/>
        <v>#NUM!</v>
      </c>
      <c r="BT118" s="3" t="e">
        <f t="shared" ca="1" si="492"/>
        <v>#NUM!</v>
      </c>
      <c r="BU118" s="3" t="e">
        <f t="shared" ca="1" si="454"/>
        <v>#NUM!</v>
      </c>
      <c r="BV118" s="3" t="e">
        <f t="shared" ca="1" si="492"/>
        <v>#NUM!</v>
      </c>
      <c r="BX118" s="3" t="e">
        <f t="shared" ca="1" si="455"/>
        <v>#NUM!</v>
      </c>
      <c r="BY118" s="3" t="e">
        <f t="shared" ca="1" si="504"/>
        <v>#NUM!</v>
      </c>
      <c r="BZ118" s="3" t="e">
        <f t="shared" ca="1" si="456"/>
        <v>#NUM!</v>
      </c>
      <c r="CA118" s="3" t="e">
        <f t="shared" ca="1" si="504"/>
        <v>#NUM!</v>
      </c>
      <c r="CB118" s="3" t="e">
        <f t="shared" ca="1" si="457"/>
        <v>#NUM!</v>
      </c>
      <c r="CC118" s="3" t="e">
        <f t="shared" ca="1" si="504"/>
        <v>#NUM!</v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1</v>
      </c>
      <c r="CG118" s="3">
        <f>-IF(RTD("tos.rtd",,CG$83,"."&amp;$C$82&amp;$AU$82&amp;"P"&amp;$A118)="N/A",0,RTD("tos.rtd",,CG$83,"."&amp;$C$82&amp;$AU$82&amp;"P"&amp;$A118))</f>
        <v>0</v>
      </c>
      <c r="CH118" s="3">
        <f>IF(RTD("tos.rtd",,CH$83,"."&amp;$D$82&amp;$AW$82&amp;"C"&amp;$A118)="N/A",0,RTD("tos.rtd",,CH$83,"."&amp;$D$82&amp;$AW$82&amp;"C"&amp;$A118))</f>
        <v>0.76</v>
      </c>
      <c r="CI118" s="3">
        <f>-IF(RTD("tos.rtd",,CI$83,"."&amp;$D$82&amp;$AW$82&amp;"P"&amp;$A118)="N/A",0,RTD("tos.rtd",,CI$83,"."&amp;$D$82&amp;$AW$82&amp;"P"&amp;$A118))</f>
        <v>0.23</v>
      </c>
      <c r="CK118" s="3">
        <f t="shared" si="526"/>
        <v>58700</v>
      </c>
      <c r="CL118" s="3"/>
      <c r="CM118" s="3">
        <f t="shared" si="527"/>
        <v>75100</v>
      </c>
      <c r="CN118" s="3"/>
      <c r="CO118" s="3">
        <f t="shared" si="528"/>
        <v>25323</v>
      </c>
      <c r="CP118" s="3">
        <f t="shared" si="458"/>
        <v>159123</v>
      </c>
      <c r="CQ118" s="3">
        <f t="shared" si="459"/>
        <v>0</v>
      </c>
      <c r="CR118" s="3"/>
      <c r="CS118" s="3">
        <f t="shared" si="460"/>
        <v>-6879</v>
      </c>
      <c r="CT118" s="3"/>
      <c r="CU118" s="3">
        <f t="shared" si="461"/>
        <v>-117</v>
      </c>
      <c r="CV118" s="3"/>
      <c r="CW118" s="3" t="e">
        <f t="shared" ca="1" si="529"/>
        <v>#NUM!</v>
      </c>
      <c r="CY118" s="3" t="e">
        <f t="shared" ca="1" si="463"/>
        <v>#NUM!</v>
      </c>
      <c r="CZ118" s="70" t="e">
        <f t="shared" ca="1" si="505"/>
        <v>#NUM!</v>
      </c>
      <c r="DA118" s="3">
        <f>IF(RTD("tos.rtd",,DA$83,"."&amp;$B$82&amp;$AS$82&amp;"C"&amp;$A118)="N/A",0,RTD("tos.rtd",,DA$83,"."&amp;$B$82&amp;$AS$82&amp;"C"&amp;$A118))</f>
        <v>123.43</v>
      </c>
      <c r="DB118" s="3">
        <f>IF(RTD("tos.rtd",,DB$83,"."&amp;$B$82&amp;$AS$82&amp;"P"&amp;$A118)="N/A",0,RTD("tos.rtd",,DB$83,"."&amp;$B$82&amp;$AS$82&amp;"P"&amp;$A118))</f>
        <v>0.05</v>
      </c>
      <c r="DC118" s="3">
        <f>IF(RTD("tos.rtd",,DC$83,"."&amp;$B$82&amp;$AS$82&amp;"C"&amp;$A118)="N/A",0,RTD("tos.rtd",,DC$83,"."&amp;$B$82&amp;$AS$82&amp;"C"&amp;$A118))</f>
        <v>113.5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107.8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7"/>
        <v>-120</v>
      </c>
      <c r="DH118" s="3">
        <f t="shared" si="464"/>
        <v>-230.33684210526317</v>
      </c>
      <c r="DI118" s="3">
        <f t="shared" si="465"/>
        <v>9892</v>
      </c>
      <c r="DJ118" s="3">
        <f t="shared" si="466"/>
        <v>-84</v>
      </c>
      <c r="DK118" s="3">
        <f t="shared" si="467"/>
        <v>9892</v>
      </c>
      <c r="DL118" s="3">
        <f t="shared" si="468"/>
        <v>9661.6631578947363</v>
      </c>
      <c r="DM118" s="3">
        <f t="shared" si="469"/>
        <v>9808</v>
      </c>
      <c r="DN118" s="64" t="str">
        <f t="shared" si="470"/>
        <v>UNKNOWN</v>
      </c>
      <c r="DO118" s="64" t="str">
        <f t="shared" si="471"/>
        <v>UNKNOWN</v>
      </c>
      <c r="DP118" s="3">
        <f t="shared" si="472"/>
        <v>-27935.876421052635</v>
      </c>
      <c r="DQ118" s="3">
        <f t="shared" si="473"/>
        <v>-9873.52</v>
      </c>
      <c r="DR118" s="3" t="e">
        <f t="shared" ca="1" si="474"/>
        <v>#NUM!</v>
      </c>
      <c r="DS118" s="3">
        <f t="shared" si="475"/>
        <v>-84</v>
      </c>
      <c r="DT118" s="3">
        <f t="shared" si="498"/>
        <v>-84</v>
      </c>
      <c r="DU118" s="3">
        <f t="shared" si="499"/>
        <v>9892</v>
      </c>
      <c r="DV118" s="3">
        <f t="shared" si="500"/>
        <v>5</v>
      </c>
      <c r="DW118" s="3">
        <f t="shared" si="501"/>
        <v>-845</v>
      </c>
      <c r="DX118" s="3" t="e">
        <f t="shared" ca="1" si="506"/>
        <v>#NUM!</v>
      </c>
      <c r="DY118" s="3" t="e">
        <f t="shared" ca="1" si="476"/>
        <v>#NUM!</v>
      </c>
      <c r="DZ118" s="3" t="e">
        <f t="shared" ca="1" si="477"/>
        <v>#NUM!</v>
      </c>
      <c r="EA118" s="3" t="e">
        <f t="shared" ca="1" si="478"/>
        <v>#NUM!</v>
      </c>
      <c r="EB118" s="3" t="e">
        <f t="shared" ca="1" si="479"/>
        <v>#NUM!</v>
      </c>
      <c r="EC118" s="3" t="e">
        <f t="shared" ca="1" si="480"/>
        <v>#NUM!</v>
      </c>
      <c r="EE118" s="59">
        <f t="shared" si="481"/>
        <v>0.25</v>
      </c>
      <c r="EF118" s="59">
        <f t="shared" si="482"/>
        <v>0.98640000000000005</v>
      </c>
      <c r="EG118" s="59">
        <f t="shared" si="483"/>
        <v>0.25</v>
      </c>
      <c r="EH118" s="59">
        <f t="shared" si="484"/>
        <v>0.98640000000000005</v>
      </c>
      <c r="EI118" s="59">
        <f t="shared" si="485"/>
        <v>0.26740000000000003</v>
      </c>
      <c r="EJ118" s="59">
        <f t="shared" si="486"/>
        <v>0.25359999999999999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98.64%</v>
      </c>
      <c r="EN118" s="3" t="str">
        <f>RTD("tos.rtd",,EN$83,"."&amp;$C$82&amp;$AU$82&amp;"C"&amp;$A118)</f>
        <v>--</v>
      </c>
      <c r="EO118" s="3" t="str">
        <f>RTD("tos.rtd",,EO$83,"."&amp;$C$82&amp;$AU$82&amp;"P"&amp;$A118)</f>
        <v>98.64%</v>
      </c>
      <c r="EP118" s="3" t="str">
        <f>RTD("tos.rtd",,EP$83,"."&amp;$D$82&amp;$AW$82&amp;"C"&amp;$A118)</f>
        <v>26.74%</v>
      </c>
      <c r="EQ118" s="3" t="str">
        <f>RTD("tos.rtd",,EQ$83,"."&amp;$D$82&amp;$AW$82&amp;"P"&amp;$A118)</f>
        <v>25.36%</v>
      </c>
      <c r="ES118" s="63" t="str">
        <f t="shared" si="487"/>
        <v>5540,-840.00</v>
      </c>
      <c r="ET118" s="64" t="str">
        <f t="shared" ca="1" si="488"/>
        <v>5540,00.00</v>
      </c>
      <c r="EU118" s="67">
        <v>563.27</v>
      </c>
      <c r="EV118" s="67" t="s">
        <v>963</v>
      </c>
      <c r="EW118" s="67">
        <v>485.87</v>
      </c>
      <c r="EX118" s="67" t="s">
        <v>964</v>
      </c>
      <c r="EY118" s="67">
        <v>5646.25</v>
      </c>
      <c r="EZ118" s="67" t="s">
        <v>965</v>
      </c>
      <c r="FA118" s="67">
        <v>19960.5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502"/>
        <v>5530</v>
      </c>
      <c r="B119" s="3">
        <f t="shared" si="447"/>
        <v>1544</v>
      </c>
      <c r="C119" s="3">
        <f t="shared" si="448"/>
        <v>803</v>
      </c>
      <c r="D119" s="3">
        <f t="shared" si="449"/>
        <v>1201</v>
      </c>
      <c r="E119" s="3">
        <f t="shared" si="522"/>
        <v>3548</v>
      </c>
      <c r="F119" s="4">
        <f t="shared" si="523"/>
        <v>5553.4487632508835</v>
      </c>
      <c r="G119" s="4">
        <f t="shared" si="524"/>
        <v>551.82756183745585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123</v>
      </c>
      <c r="AN119" s="20">
        <v>778</v>
      </c>
      <c r="AO119" s="20">
        <v>5530</v>
      </c>
      <c r="AP119" s="20">
        <v>275</v>
      </c>
      <c r="AQ119" s="20">
        <v>-5764</v>
      </c>
      <c r="AR119" s="20"/>
      <c r="AS119" s="54">
        <f>IF(RTD("tos.rtd",,AS$83,"."&amp;$B$82&amp;$AS$82&amp;"C"&amp;$A119)="N/A",0,RTD("tos.rtd",,AS$83,"."&amp;$B$82&amp;$AS$82&amp;"C"&amp;$A119))</f>
        <v>286</v>
      </c>
      <c r="AT119" s="3">
        <f>-IF(RTD("tos.rtd",,AT$83,"."&amp;$B$82&amp;$AS$82&amp;"P"&amp;$A119)="N/A",0,RTD("tos.rtd",,AT$83,"."&amp;$B$82&amp;$AS$82&amp;"P"&amp;$A119))</f>
        <v>-1258</v>
      </c>
      <c r="AU119" s="54">
        <f>IF(RTD("tos.rtd",,AU$83,"."&amp;$C$82&amp;$AU$82&amp;"C"&amp;$A119)="N/A",0,RTD("tos.rtd",,AU$83,"."&amp;$C$82&amp;$AU$82&amp;"C"&amp;$A119))</f>
        <v>134</v>
      </c>
      <c r="AV119" s="3">
        <f>-IF(RTD("tos.rtd",,AV$83,"."&amp;$C$82&amp;$AU$82&amp;"P"&amp;$A119)="N/A",0,RTD("tos.rtd",,AV$83,"."&amp;$C$82&amp;$AU$82&amp;"P"&amp;$A119))</f>
        <v>-669</v>
      </c>
      <c r="AW119" s="54">
        <f>IF(RTD("tos.rtd",,AW$83,"."&amp;$D$82&amp;$AW$82&amp;"C"&amp;$A119)="N/A",0,RTD("tos.rtd",,AW$83,"."&amp;$D$82&amp;$AW$82&amp;"C"&amp;$A119))</f>
        <v>141</v>
      </c>
      <c r="AX119" s="3">
        <f>-IF(RTD("tos.rtd",,AX$83,"."&amp;$D$82&amp;$AW$82&amp;"P"&amp;$A119)="N/A",0,RTD("tos.rtd",,AX$83,"."&amp;$D$82&amp;$AW$82&amp;"P"&amp;$A119))</f>
        <v>-1060</v>
      </c>
      <c r="AY119" s="79">
        <f t="shared" si="525"/>
        <v>-2426</v>
      </c>
      <c r="AZ119" s="8">
        <f t="shared" si="451"/>
        <v>5530</v>
      </c>
      <c r="BA119" s="54">
        <f>IF(RTD("tos.rtd",,BA$83,"."&amp;$B$82&amp;$AS$82&amp;"C"&amp;$A119)="N/A",0,RTD("tos.rtd",,BA$83,"."&amp;$B$82&amp;$AS$82&amp;"C"&amp;$A119))</f>
        <v>0</v>
      </c>
      <c r="BB119" s="3">
        <f>-IF(RTD("tos.rtd",,BB$83,"."&amp;$B$82&amp;$AS$82&amp;"P"&amp;$A119)="N/A",0,RTD("tos.rtd",,BB$83,"."&amp;$B$82&amp;$AS$82&amp;"P"&amp;$A119))</f>
        <v>0</v>
      </c>
      <c r="BC119" s="54">
        <f>IF(RTD("tos.rtd",,BC$83,"."&amp;$C$82&amp;$AU$82&amp;"C"&amp;$A119)="N/A",0,RTD("tos.rtd",,BC$83,"."&amp;$C$82&amp;$AU$82&amp;"C"&amp;$A119))</f>
        <v>88</v>
      </c>
      <c r="BD119" s="3">
        <f>-IF(RTD("tos.rtd",,BD$83,"."&amp;$C$82&amp;$AU$82&amp;"P"&amp;$A119)="N/A",0,RTD("tos.rtd",,BD$83,"."&amp;$C$82&amp;$AU$82&amp;"P"&amp;$A119))</f>
        <v>-4304</v>
      </c>
      <c r="BE119" s="54">
        <f>IF(RTD("tos.rtd",,BE$83,"."&amp;$D$82&amp;$AW$82&amp;"C"&amp;$A119)="N/A",0,RTD("tos.rtd",,BE$83,"."&amp;$D$82&amp;$AW$82&amp;"C"&amp;$A119))</f>
        <v>5</v>
      </c>
      <c r="BF119" s="3">
        <f>-IF(RTD("tos.rtd",,BF$83,"."&amp;$D$82&amp;$AW$82&amp;"P"&amp;$A119)="N/A",0,RTD("tos.rtd",,BF$83,"."&amp;$D$82&amp;$AW$82&amp;"P"&amp;$A119))</f>
        <v>-963</v>
      </c>
      <c r="BG119" s="3">
        <f ca="1">+Hoja2!Y120</f>
        <v>-163</v>
      </c>
      <c r="BH119" s="55">
        <f t="shared" ca="1" si="491"/>
        <v>-5337</v>
      </c>
      <c r="BI119" s="32" t="str">
        <f t="shared" ca="1" si="507"/>
        <v/>
      </c>
      <c r="BJ119" s="3" t="e">
        <f ca="1">IF($BP$1=1,DX119,IF(RTD("tos.rtd",,BJ$83,"."&amp;$B$82&amp;$AS$82&amp;"C"&amp;$A119)="N/A",0,RTD("tos.rtd",,BJ$83,"."&amp;$B$82&amp;$AS$82&amp;"C"&amp;$A119)))</f>
        <v>#NUM!</v>
      </c>
      <c r="BK119" s="3" t="e">
        <f ca="1">IF($BP$1=1,DY119,-IF(RTD("tos.rtd",,BK$83,"."&amp;$B$82&amp;$AS$82&amp;"P"&amp;$A119)="N/A",0,RTD("tos.rtd",,BK$83,"."&amp;$B$82&amp;$AS$82&amp;"P"&amp;$A119)))</f>
        <v>#NUM!</v>
      </c>
      <c r="BL119" s="3" t="e">
        <f ca="1">IF($BP$1=1,DZ119,IF(RTD("tos.rtd",,BL$83,"."&amp;$C$82&amp;$AU$82&amp;"C"&amp;$A119)="N/A",0,RTD("tos.rtd",,BL$83,"."&amp;$C$82&amp;$AU$82&amp;"C"&amp;$A119)))</f>
        <v>#NUM!</v>
      </c>
      <c r="BM119" s="3" t="e">
        <f ca="1">IF($BP$1=1,EA119,-IF(RTD("tos.rtd",,BM$83,"."&amp;$C$82&amp;$AU$82&amp;"P"&amp;$A119)="N/A",0,RTD("tos.rtd",,BM$83,"."&amp;$C$82&amp;$AU$82&amp;"P"&amp;$A119)))</f>
        <v>#NUM!</v>
      </c>
      <c r="BN119" s="3" t="e">
        <f ca="1">IF($BP$1=1,EB119,IF(RTD("tos.rtd",,BN$83,"."&amp;$D$82&amp;$AW$82&amp;"C"&amp;$A119)="N/A",0,RTD("tos.rtd",,BN$83,"."&amp;$D$82&amp;$AW$82&amp;"C"&amp;$A119)))</f>
        <v>#NUM!</v>
      </c>
      <c r="BO119" s="3" t="e">
        <f ca="1">IF($BP$1=1,EC119,-IF(RTD("tos.rtd",,BO$83,"."&amp;$D$82&amp;$AW$82&amp;"P"&amp;$A119)="N/A",0,RTD("tos.rtd",,BO$83,"."&amp;$D$82&amp;$AW$82&amp;"P"&amp;$A119)))</f>
        <v>#NUM!</v>
      </c>
      <c r="BQ119" s="3" t="e">
        <f t="shared" ca="1" si="452"/>
        <v>#NUM!</v>
      </c>
      <c r="BR119" s="3" t="e">
        <f t="shared" ca="1" si="492"/>
        <v>#NUM!</v>
      </c>
      <c r="BS119" s="3" t="e">
        <f t="shared" ca="1" si="453"/>
        <v>#NUM!</v>
      </c>
      <c r="BT119" s="3" t="e">
        <f t="shared" ca="1" si="492"/>
        <v>#NUM!</v>
      </c>
      <c r="BU119" s="3" t="e">
        <f t="shared" ca="1" si="454"/>
        <v>#NUM!</v>
      </c>
      <c r="BV119" s="3" t="e">
        <f t="shared" ca="1" si="492"/>
        <v>#NUM!</v>
      </c>
      <c r="BX119" s="3" t="e">
        <f t="shared" ca="1" si="455"/>
        <v>#NUM!</v>
      </c>
      <c r="BY119" s="3" t="e">
        <f t="shared" ca="1" si="504"/>
        <v>#NUM!</v>
      </c>
      <c r="BZ119" s="3" t="e">
        <f t="shared" ca="1" si="456"/>
        <v>#NUM!</v>
      </c>
      <c r="CA119" s="3" t="e">
        <f t="shared" ca="1" si="504"/>
        <v>#NUM!</v>
      </c>
      <c r="CB119" s="3" t="e">
        <f t="shared" ca="1" si="457"/>
        <v>#NUM!</v>
      </c>
      <c r="CC119" s="3" t="e">
        <f t="shared" ca="1" si="504"/>
        <v>#NUM!</v>
      </c>
      <c r="CD119" s="3">
        <f>IF(RTD("tos.rtd",,CD$83,"."&amp;$B$82&amp;$AS$82&amp;"C"&amp;$A119)="N/A",0,RTD("tos.rtd",,CD$83,"."&amp;$B$82&amp;$AS$82&amp;"C"&amp;$A119))</f>
        <v>1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1</v>
      </c>
      <c r="CG119" s="3">
        <f>-IF(RTD("tos.rtd",,CG$83,"."&amp;$C$82&amp;$AU$82&amp;"P"&amp;$A119)="N/A",0,RTD("tos.rtd",,CG$83,"."&amp;$C$82&amp;$AU$82&amp;"P"&amp;$A119))</f>
        <v>0</v>
      </c>
      <c r="CH119" s="3">
        <f>IF(RTD("tos.rtd",,CH$83,"."&amp;$D$82&amp;$AW$82&amp;"C"&amp;$A119)="N/A",0,RTD("tos.rtd",,CH$83,"."&amp;$D$82&amp;$AW$82&amp;"C"&amp;$A119))</f>
        <v>0.78</v>
      </c>
      <c r="CI119" s="3">
        <f>-IF(RTD("tos.rtd",,CI$83,"."&amp;$D$82&amp;$AW$82&amp;"P"&amp;$A119)="N/A",0,RTD("tos.rtd",,CI$83,"."&amp;$D$82&amp;$AW$82&amp;"P"&amp;$A119))</f>
        <v>0.21</v>
      </c>
      <c r="CK119" s="3">
        <f t="shared" si="526"/>
        <v>28600</v>
      </c>
      <c r="CL119" s="3"/>
      <c r="CM119" s="3">
        <f t="shared" si="527"/>
        <v>13400</v>
      </c>
      <c r="CN119" s="3"/>
      <c r="CO119" s="3">
        <f t="shared" si="528"/>
        <v>-11262</v>
      </c>
      <c r="CP119" s="3">
        <f t="shared" si="458"/>
        <v>30738</v>
      </c>
      <c r="CQ119" s="3">
        <f t="shared" si="459"/>
        <v>0</v>
      </c>
      <c r="CR119" s="3"/>
      <c r="CS119" s="3">
        <f t="shared" si="460"/>
        <v>-4216</v>
      </c>
      <c r="CT119" s="3"/>
      <c r="CU119" s="3">
        <f t="shared" si="461"/>
        <v>-958</v>
      </c>
      <c r="CV119" s="3"/>
      <c r="CW119" s="3" t="e">
        <f t="shared" ca="1" si="529"/>
        <v>#NUM!</v>
      </c>
      <c r="CY119" s="3" t="e">
        <f t="shared" ca="1" si="463"/>
        <v>#NUM!</v>
      </c>
      <c r="CZ119" s="70" t="e">
        <f t="shared" ca="1" si="505"/>
        <v>#NUM!</v>
      </c>
      <c r="DA119" s="3">
        <f>IF(RTD("tos.rtd",,DA$83,"."&amp;$B$82&amp;$AS$82&amp;"C"&amp;$A119)="N/A",0,RTD("tos.rtd",,DA$83,"."&amp;$B$82&amp;$AS$82&amp;"C"&amp;$A119))</f>
        <v>138.02000000000001</v>
      </c>
      <c r="DB119" s="3">
        <f>IF(RTD("tos.rtd",,DB$83,"."&amp;$B$82&amp;$AS$82&amp;"P"&amp;$A119)="N/A",0,RTD("tos.rtd",,DB$83,"."&amp;$B$82&amp;$AS$82&amp;"P"&amp;$A119))</f>
        <v>0.05</v>
      </c>
      <c r="DC119" s="3">
        <f>IF(RTD("tos.rtd",,DC$83,"."&amp;$B$82&amp;$AS$82&amp;"C"&amp;$A119)="N/A",0,RTD("tos.rtd",,DC$83,"."&amp;$B$82&amp;$AS$82&amp;"C"&amp;$A119))</f>
        <v>123.5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117.8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7"/>
        <v>-130</v>
      </c>
      <c r="DH119" s="3">
        <f t="shared" si="464"/>
        <v>-975.52631578947376</v>
      </c>
      <c r="DI119" s="3">
        <f t="shared" si="465"/>
        <v>5764</v>
      </c>
      <c r="DJ119" s="3">
        <f t="shared" si="466"/>
        <v>-275</v>
      </c>
      <c r="DK119" s="3">
        <f t="shared" si="467"/>
        <v>5764</v>
      </c>
      <c r="DL119" s="3">
        <f t="shared" si="468"/>
        <v>4788.4736842105267</v>
      </c>
      <c r="DM119" s="3">
        <f t="shared" si="469"/>
        <v>5489</v>
      </c>
      <c r="DN119" s="64" t="str">
        <f t="shared" si="470"/>
        <v>UNKNOWN</v>
      </c>
      <c r="DO119" s="64" t="str">
        <f t="shared" si="471"/>
        <v>UNKNOWN</v>
      </c>
      <c r="DP119" s="3">
        <f t="shared" si="472"/>
        <v>-134353.94210526318</v>
      </c>
      <c r="DQ119" s="3">
        <f t="shared" si="473"/>
        <v>-37667.300000000003</v>
      </c>
      <c r="DR119" s="3" t="e">
        <f t="shared" ca="1" si="474"/>
        <v>#NUM!</v>
      </c>
      <c r="DS119" s="3">
        <f t="shared" si="475"/>
        <v>-275</v>
      </c>
      <c r="DT119" s="3">
        <f t="shared" si="498"/>
        <v>-275</v>
      </c>
      <c r="DU119" s="3">
        <f t="shared" si="499"/>
        <v>5764</v>
      </c>
      <c r="DV119" s="3">
        <f t="shared" si="500"/>
        <v>123</v>
      </c>
      <c r="DW119" s="3">
        <f t="shared" si="501"/>
        <v>778</v>
      </c>
      <c r="DX119" s="3" t="e">
        <f t="shared" ca="1" si="506"/>
        <v>#NUM!</v>
      </c>
      <c r="DY119" s="3" t="e">
        <f t="shared" ca="1" si="476"/>
        <v>#NUM!</v>
      </c>
      <c r="DZ119" s="3" t="e">
        <f t="shared" ca="1" si="477"/>
        <v>#NUM!</v>
      </c>
      <c r="EA119" s="3" t="e">
        <f t="shared" ca="1" si="478"/>
        <v>#NUM!</v>
      </c>
      <c r="EB119" s="3" t="e">
        <f t="shared" ca="1" si="479"/>
        <v>#NUM!</v>
      </c>
      <c r="EC119" s="3" t="e">
        <f t="shared" ca="1" si="480"/>
        <v>#NUM!</v>
      </c>
      <c r="EE119" s="59">
        <f t="shared" si="481"/>
        <v>0.25</v>
      </c>
      <c r="EF119" s="59">
        <f t="shared" si="482"/>
        <v>1.0616000000000001</v>
      </c>
      <c r="EG119" s="59">
        <f t="shared" si="483"/>
        <v>0.25</v>
      </c>
      <c r="EH119" s="59">
        <f t="shared" si="484"/>
        <v>1.0616000000000001</v>
      </c>
      <c r="EI119" s="59">
        <f t="shared" si="485"/>
        <v>0.27010000000000001</v>
      </c>
      <c r="EJ119" s="59">
        <f t="shared" si="486"/>
        <v>0.2555</v>
      </c>
      <c r="EL119" s="3" t="str">
        <f>RTD("tos.rtd",,EL$83,"."&amp;$B$82&amp;$AS$82&amp;"C"&amp;$A119)</f>
        <v>--</v>
      </c>
      <c r="EM119" s="3" t="str">
        <f>RTD("tos.rtd",,EM$83,"."&amp;$B$82&amp;$AS$82&amp;"P"&amp;$A119)</f>
        <v>106.16%</v>
      </c>
      <c r="EN119" s="3" t="str">
        <f>RTD("tos.rtd",,EN$83,"."&amp;$C$82&amp;$AU$82&amp;"C"&amp;$A119)</f>
        <v>--</v>
      </c>
      <c r="EO119" s="3" t="str">
        <f>RTD("tos.rtd",,EO$83,"."&amp;$C$82&amp;$AU$82&amp;"P"&amp;$A119)</f>
        <v>106.16%</v>
      </c>
      <c r="EP119" s="3" t="str">
        <f>RTD("tos.rtd",,EP$83,"."&amp;$D$82&amp;$AW$82&amp;"C"&amp;$A119)</f>
        <v>27.01%</v>
      </c>
      <c r="EQ119" s="3" t="str">
        <f>RTD("tos.rtd",,EQ$83,"."&amp;$D$82&amp;$AW$82&amp;"P"&amp;$A119)</f>
        <v>25.55%</v>
      </c>
      <c r="ES119" s="63" t="str">
        <f t="shared" si="487"/>
        <v>5530,901.00</v>
      </c>
      <c r="ET119" s="64" t="str">
        <f t="shared" ca="1" si="488"/>
        <v>5530,00.00</v>
      </c>
      <c r="EU119" s="67">
        <v>563.17999999999995</v>
      </c>
      <c r="EV119" s="67" t="s">
        <v>971</v>
      </c>
      <c r="EW119" s="67">
        <v>485.79</v>
      </c>
      <c r="EX119" s="67" t="s">
        <v>972</v>
      </c>
      <c r="EY119" s="67">
        <v>5645.5</v>
      </c>
      <c r="EZ119" s="67" t="s">
        <v>973</v>
      </c>
      <c r="FA119" s="67">
        <v>19956.25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502"/>
        <v>5520</v>
      </c>
      <c r="B120" s="3">
        <f t="shared" si="447"/>
        <v>740</v>
      </c>
      <c r="C120" s="3">
        <f t="shared" si="448"/>
        <v>992</v>
      </c>
      <c r="D120" s="3">
        <f t="shared" si="449"/>
        <v>533</v>
      </c>
      <c r="E120" s="3">
        <f t="shared" si="522"/>
        <v>2265</v>
      </c>
      <c r="F120" s="4">
        <f t="shared" si="523"/>
        <v>5543.4063604240282</v>
      </c>
      <c r="G120" s="4">
        <f t="shared" si="524"/>
        <v>550.82968197879859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150</v>
      </c>
      <c r="AN120" s="20">
        <v>-413</v>
      </c>
      <c r="AO120" s="20">
        <v>5520</v>
      </c>
      <c r="AP120" s="20">
        <v>173</v>
      </c>
      <c r="AQ120" s="20">
        <v>-3356</v>
      </c>
      <c r="AR120" s="20"/>
      <c r="AS120" s="54">
        <f>IF(RTD("tos.rtd",,AS$83,"."&amp;$B$82&amp;$AS$82&amp;"C"&amp;$A120)="N/A",0,RTD("tos.rtd",,AS$83,"."&amp;$B$82&amp;$AS$82&amp;"C"&amp;$A120))</f>
        <v>166</v>
      </c>
      <c r="AT120" s="3">
        <f>-IF(RTD("tos.rtd",,AT$83,"."&amp;$B$82&amp;$AS$82&amp;"P"&amp;$A120)="N/A",0,RTD("tos.rtd",,AT$83,"."&amp;$B$82&amp;$AS$82&amp;"P"&amp;$A120))</f>
        <v>-574</v>
      </c>
      <c r="AU120" s="54">
        <f>IF(RTD("tos.rtd",,AU$83,"."&amp;$C$82&amp;$AU$82&amp;"C"&amp;$A120)="N/A",0,RTD("tos.rtd",,AU$83,"."&amp;$C$82&amp;$AU$82&amp;"C"&amp;$A120))</f>
        <v>341</v>
      </c>
      <c r="AV120" s="3">
        <f>-IF(RTD("tos.rtd",,AV$83,"."&amp;$C$82&amp;$AU$82&amp;"P"&amp;$A120)="N/A",0,RTD("tos.rtd",,AV$83,"."&amp;$C$82&amp;$AU$82&amp;"P"&amp;$A120))</f>
        <v>-651</v>
      </c>
      <c r="AW120" s="54">
        <f>IF(RTD("tos.rtd",,AW$83,"."&amp;$D$82&amp;$AW$82&amp;"C"&amp;$A120)="N/A",0,RTD("tos.rtd",,AW$83,"."&amp;$D$82&amp;$AW$82&amp;"C"&amp;$A120))</f>
        <v>141</v>
      </c>
      <c r="AX120" s="3">
        <f>-IF(RTD("tos.rtd",,AX$83,"."&amp;$D$82&amp;$AW$82&amp;"P"&amp;$A120)="N/A",0,RTD("tos.rtd",,AX$83,"."&amp;$D$82&amp;$AW$82&amp;"P"&amp;$A120))</f>
        <v>-392</v>
      </c>
      <c r="AY120" s="79">
        <f t="shared" si="525"/>
        <v>-969</v>
      </c>
      <c r="AZ120" s="8">
        <f t="shared" si="451"/>
        <v>5520</v>
      </c>
      <c r="BA120" s="54">
        <f>IF(RTD("tos.rtd",,BA$83,"."&amp;$B$82&amp;$AS$82&amp;"C"&amp;$A120)="N/A",0,RTD("tos.rtd",,BA$83,"."&amp;$B$82&amp;$AS$82&amp;"C"&amp;$A120))</f>
        <v>0</v>
      </c>
      <c r="BB120" s="3">
        <f>-IF(RTD("tos.rtd",,BB$83,"."&amp;$B$82&amp;$AS$82&amp;"P"&amp;$A120)="N/A",0,RTD("tos.rtd",,BB$83,"."&amp;$B$82&amp;$AS$82&amp;"P"&amp;$A120))</f>
        <v>0</v>
      </c>
      <c r="BC120" s="54">
        <f>IF(RTD("tos.rtd",,BC$83,"."&amp;$C$82&amp;$AU$82&amp;"C"&amp;$A120)="N/A",0,RTD("tos.rtd",,BC$83,"."&amp;$C$82&amp;$AU$82&amp;"C"&amp;$A120))</f>
        <v>150</v>
      </c>
      <c r="BD120" s="3">
        <f>-IF(RTD("tos.rtd",,BD$83,"."&amp;$C$82&amp;$AU$82&amp;"P"&amp;$A120)="N/A",0,RTD("tos.rtd",,BD$83,"."&amp;$C$82&amp;$AU$82&amp;"P"&amp;$A120))</f>
        <v>-3078</v>
      </c>
      <c r="BE120" s="54">
        <f>IF(RTD("tos.rtd",,BE$83,"."&amp;$D$82&amp;$AW$82&amp;"C"&amp;$A120)="N/A",0,RTD("tos.rtd",,BE$83,"."&amp;$D$82&amp;$AW$82&amp;"C"&amp;$A120))</f>
        <v>13</v>
      </c>
      <c r="BF120" s="3">
        <f>-IF(RTD("tos.rtd",,BF$83,"."&amp;$D$82&amp;$AW$82&amp;"P"&amp;$A120)="N/A",0,RTD("tos.rtd",,BF$83,"."&amp;$D$82&amp;$AW$82&amp;"P"&amp;$A120))</f>
        <v>-457</v>
      </c>
      <c r="BG120" s="3">
        <f ca="1">+Hoja2!Y121</f>
        <v>-80</v>
      </c>
      <c r="BH120" s="55">
        <f t="shared" ca="1" si="491"/>
        <v>-3452</v>
      </c>
      <c r="BI120" s="32" t="str">
        <f t="shared" ca="1" si="507"/>
        <v/>
      </c>
      <c r="BJ120" s="3" t="e">
        <f ca="1">IF($BP$1=1,DX120,IF(RTD("tos.rtd",,BJ$83,"."&amp;$B$82&amp;$AS$82&amp;"C"&amp;$A120)="N/A",0,RTD("tos.rtd",,BJ$83,"."&amp;$B$82&amp;$AS$82&amp;"C"&amp;$A120)))</f>
        <v>#NUM!</v>
      </c>
      <c r="BK120" s="3" t="e">
        <f ca="1">IF($BP$1=1,DY120,-IF(RTD("tos.rtd",,BK$83,"."&amp;$B$82&amp;$AS$82&amp;"P"&amp;$A120)="N/A",0,RTD("tos.rtd",,BK$83,"."&amp;$B$82&amp;$AS$82&amp;"P"&amp;$A120)))</f>
        <v>#NUM!</v>
      </c>
      <c r="BL120" s="3" t="e">
        <f ca="1">IF($BP$1=1,DZ120,IF(RTD("tos.rtd",,BL$83,"."&amp;$C$82&amp;$AU$82&amp;"C"&amp;$A120)="N/A",0,RTD("tos.rtd",,BL$83,"."&amp;$C$82&amp;$AU$82&amp;"C"&amp;$A120)))</f>
        <v>#NUM!</v>
      </c>
      <c r="BM120" s="3" t="e">
        <f ca="1">IF($BP$1=1,EA120,-IF(RTD("tos.rtd",,BM$83,"."&amp;$C$82&amp;$AU$82&amp;"P"&amp;$A120)="N/A",0,RTD("tos.rtd",,BM$83,"."&amp;$C$82&amp;$AU$82&amp;"P"&amp;$A120)))</f>
        <v>#NUM!</v>
      </c>
      <c r="BN120" s="3" t="e">
        <f ca="1">IF($BP$1=1,EB120,IF(RTD("tos.rtd",,BN$83,"."&amp;$D$82&amp;$AW$82&amp;"C"&amp;$A120)="N/A",0,RTD("tos.rtd",,BN$83,"."&amp;$D$82&amp;$AW$82&amp;"C"&amp;$A120)))</f>
        <v>#NUM!</v>
      </c>
      <c r="BO120" s="3" t="e">
        <f ca="1">IF($BP$1=1,EC120,-IF(RTD("tos.rtd",,BO$83,"."&amp;$D$82&amp;$AW$82&amp;"P"&amp;$A120)="N/A",0,RTD("tos.rtd",,BO$83,"."&amp;$D$82&amp;$AW$82&amp;"P"&amp;$A120)))</f>
        <v>#NUM!</v>
      </c>
      <c r="BQ120" s="3" t="e">
        <f t="shared" ca="1" si="452"/>
        <v>#NUM!</v>
      </c>
      <c r="BR120" s="3" t="e">
        <f t="shared" ca="1" si="492"/>
        <v>#NUM!</v>
      </c>
      <c r="BS120" s="3" t="e">
        <f t="shared" ca="1" si="453"/>
        <v>#NUM!</v>
      </c>
      <c r="BT120" s="3" t="e">
        <f t="shared" ca="1" si="492"/>
        <v>#NUM!</v>
      </c>
      <c r="BU120" s="3" t="e">
        <f t="shared" ca="1" si="454"/>
        <v>#NUM!</v>
      </c>
      <c r="BV120" s="3" t="e">
        <f t="shared" ca="1" si="492"/>
        <v>#NUM!</v>
      </c>
      <c r="BX120" s="3" t="e">
        <f t="shared" ca="1" si="455"/>
        <v>#NUM!</v>
      </c>
      <c r="BY120" s="3" t="e">
        <f t="shared" ca="1" si="504"/>
        <v>#NUM!</v>
      </c>
      <c r="BZ120" s="3" t="e">
        <f t="shared" ca="1" si="456"/>
        <v>#NUM!</v>
      </c>
      <c r="CA120" s="3" t="e">
        <f t="shared" ca="1" si="504"/>
        <v>#NUM!</v>
      </c>
      <c r="CB120" s="3" t="e">
        <f t="shared" ca="1" si="457"/>
        <v>#NUM!</v>
      </c>
      <c r="CC120" s="3" t="e">
        <f t="shared" ca="1" si="504"/>
        <v>#NUM!</v>
      </c>
      <c r="CD120" s="3">
        <f>IF(RTD("tos.rtd",,CD$83,"."&amp;$B$82&amp;$AS$82&amp;"C"&amp;$A120)="N/A",0,RTD("tos.rtd",,CD$83,"."&amp;$B$82&amp;$AS$82&amp;"C"&amp;$A120))</f>
        <v>1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1</v>
      </c>
      <c r="CG120" s="3">
        <f>-IF(RTD("tos.rtd",,CG$83,"."&amp;$C$82&amp;$AU$82&amp;"P"&amp;$A120)="N/A",0,RTD("tos.rtd",,CG$83,"."&amp;$C$82&amp;$AU$82&amp;"P"&amp;$A120))</f>
        <v>0</v>
      </c>
      <c r="CH120" s="3">
        <f>IF(RTD("tos.rtd",,CH$83,"."&amp;$D$82&amp;$AW$82&amp;"C"&amp;$A120)="N/A",0,RTD("tos.rtd",,CH$83,"."&amp;$D$82&amp;$AW$82&amp;"C"&amp;$A120))</f>
        <v>0.79</v>
      </c>
      <c r="CI120" s="3">
        <f>-IF(RTD("tos.rtd",,CI$83,"."&amp;$D$82&amp;$AW$82&amp;"P"&amp;$A120)="N/A",0,RTD("tos.rtd",,CI$83,"."&amp;$D$82&amp;$AW$82&amp;"P"&amp;$A120))</f>
        <v>0.19</v>
      </c>
      <c r="CK120" s="3">
        <f t="shared" si="526"/>
        <v>16600</v>
      </c>
      <c r="CL120" s="3"/>
      <c r="CM120" s="3">
        <f t="shared" si="527"/>
        <v>34100</v>
      </c>
      <c r="CN120" s="3"/>
      <c r="CO120" s="3">
        <f t="shared" si="528"/>
        <v>3691</v>
      </c>
      <c r="CP120" s="3">
        <f t="shared" si="458"/>
        <v>54391</v>
      </c>
      <c r="CQ120" s="3">
        <f t="shared" si="459"/>
        <v>0</v>
      </c>
      <c r="CR120" s="3"/>
      <c r="CS120" s="3">
        <f t="shared" si="460"/>
        <v>-2928</v>
      </c>
      <c r="CT120" s="3"/>
      <c r="CU120" s="3">
        <f t="shared" si="461"/>
        <v>-444</v>
      </c>
      <c r="CV120" s="3"/>
      <c r="CW120" s="3" t="e">
        <f t="shared" ca="1" si="529"/>
        <v>#NUM!</v>
      </c>
      <c r="CY120" s="3" t="e">
        <f t="shared" ca="1" si="463"/>
        <v>#NUM!</v>
      </c>
      <c r="CZ120" s="70" t="e">
        <f t="shared" ca="1" si="505"/>
        <v>#NUM!</v>
      </c>
      <c r="DA120" s="3">
        <f>IF(RTD("tos.rtd",,DA$83,"."&amp;$B$82&amp;$AS$82&amp;"C"&amp;$A120)="N/A",0,RTD("tos.rtd",,DA$83,"."&amp;$B$82&amp;$AS$82&amp;"C"&amp;$A120))</f>
        <v>134.66999999999999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133.5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127.8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7"/>
        <v>-140</v>
      </c>
      <c r="DH120" s="3">
        <f t="shared" si="464"/>
        <v>-208.51052631578909</v>
      </c>
      <c r="DI120" s="3">
        <f t="shared" si="465"/>
        <v>2013.6</v>
      </c>
      <c r="DJ120" s="3">
        <f t="shared" si="466"/>
        <v>-173</v>
      </c>
      <c r="DK120" s="3">
        <f t="shared" si="467"/>
        <v>3356</v>
      </c>
      <c r="DL120" s="3">
        <f t="shared" si="468"/>
        <v>1805.0894736842108</v>
      </c>
      <c r="DM120" s="3">
        <f t="shared" si="469"/>
        <v>3183</v>
      </c>
      <c r="DN120" s="64" t="str">
        <f t="shared" si="470"/>
        <v>UNKNOWN</v>
      </c>
      <c r="DO120" s="64" t="str">
        <f t="shared" si="471"/>
        <v>UNKNOWN</v>
      </c>
      <c r="DP120" s="3">
        <f t="shared" si="472"/>
        <v>-28019.704578947316</v>
      </c>
      <c r="DQ120" s="3">
        <f t="shared" si="473"/>
        <v>-23197.229999999996</v>
      </c>
      <c r="DR120" s="3" t="e">
        <f t="shared" ca="1" si="474"/>
        <v>#NUM!</v>
      </c>
      <c r="DS120" s="3">
        <f t="shared" si="475"/>
        <v>-173</v>
      </c>
      <c r="DT120" s="3">
        <f t="shared" si="498"/>
        <v>-173</v>
      </c>
      <c r="DU120" s="3">
        <f t="shared" si="499"/>
        <v>3356</v>
      </c>
      <c r="DV120" s="3">
        <f t="shared" si="500"/>
        <v>150</v>
      </c>
      <c r="DW120" s="3">
        <f t="shared" si="501"/>
        <v>-413</v>
      </c>
      <c r="DX120" s="3" t="e">
        <f t="shared" ca="1" si="506"/>
        <v>#NUM!</v>
      </c>
      <c r="DY120" s="3" t="e">
        <f t="shared" ca="1" si="476"/>
        <v>#NUM!</v>
      </c>
      <c r="DZ120" s="3" t="e">
        <f t="shared" ca="1" si="477"/>
        <v>#NUM!</v>
      </c>
      <c r="EA120" s="3" t="e">
        <f t="shared" ca="1" si="478"/>
        <v>#NUM!</v>
      </c>
      <c r="EB120" s="3" t="e">
        <f t="shared" ca="1" si="479"/>
        <v>#NUM!</v>
      </c>
      <c r="EC120" s="3" t="e">
        <f t="shared" ca="1" si="480"/>
        <v>#NUM!</v>
      </c>
      <c r="EE120" s="59">
        <f t="shared" si="481"/>
        <v>0.25</v>
      </c>
      <c r="EF120" s="59">
        <f t="shared" si="482"/>
        <v>1.1366000000000001</v>
      </c>
      <c r="EG120" s="59">
        <f t="shared" si="483"/>
        <v>0.25</v>
      </c>
      <c r="EH120" s="59">
        <f t="shared" si="484"/>
        <v>1.1366000000000001</v>
      </c>
      <c r="EI120" s="59">
        <f t="shared" si="485"/>
        <v>0.27189999999999998</v>
      </c>
      <c r="EJ120" s="59">
        <f t="shared" si="486"/>
        <v>0.25679999999999997</v>
      </c>
      <c r="EL120" s="3" t="str">
        <f>RTD("tos.rtd",,EL$83,"."&amp;$B$82&amp;$AS$82&amp;"C"&amp;$A120)</f>
        <v>--</v>
      </c>
      <c r="EM120" s="3" t="str">
        <f>RTD("tos.rtd",,EM$83,"."&amp;$B$82&amp;$AS$82&amp;"P"&amp;$A120)</f>
        <v>113.66%</v>
      </c>
      <c r="EN120" s="3" t="str">
        <f>RTD("tos.rtd",,EN$83,"."&amp;$C$82&amp;$AU$82&amp;"C"&amp;$A120)</f>
        <v>--</v>
      </c>
      <c r="EO120" s="3" t="str">
        <f>RTD("tos.rtd",,EO$83,"."&amp;$C$82&amp;$AU$82&amp;"P"&amp;$A120)</f>
        <v>113.66%</v>
      </c>
      <c r="EP120" s="3" t="str">
        <f>RTD("tos.rtd",,EP$83,"."&amp;$D$82&amp;$AW$82&amp;"C"&amp;$A120)</f>
        <v>27.19%</v>
      </c>
      <c r="EQ120" s="3" t="str">
        <f>RTD("tos.rtd",,EQ$83,"."&amp;$D$82&amp;$AW$82&amp;"P"&amp;$A120)</f>
        <v>25.68%</v>
      </c>
      <c r="ES120" s="63" t="str">
        <f t="shared" si="487"/>
        <v>5520,-263.00</v>
      </c>
      <c r="ET120" s="64" t="str">
        <f t="shared" ca="1" si="488"/>
        <v>5520,00.00</v>
      </c>
      <c r="EU120" s="67">
        <v>563.22</v>
      </c>
      <c r="EV120" s="67" t="s">
        <v>979</v>
      </c>
      <c r="EW120" s="67">
        <v>485.81</v>
      </c>
      <c r="EX120" s="67" t="s">
        <v>980</v>
      </c>
      <c r="EY120" s="67">
        <v>5646</v>
      </c>
      <c r="EZ120" s="67" t="s">
        <v>981</v>
      </c>
      <c r="FA120" s="67">
        <v>19956.25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502"/>
        <v>5510</v>
      </c>
      <c r="B121" s="3">
        <f t="shared" si="447"/>
        <v>959</v>
      </c>
      <c r="C121" s="3">
        <f t="shared" si="448"/>
        <v>1221</v>
      </c>
      <c r="D121" s="3">
        <f t="shared" si="449"/>
        <v>535</v>
      </c>
      <c r="E121" s="3">
        <f t="shared" si="522"/>
        <v>2715</v>
      </c>
      <c r="F121" s="4">
        <f t="shared" si="523"/>
        <v>5533.3639575971729</v>
      </c>
      <c r="G121" s="4">
        <f t="shared" si="524"/>
        <v>549.83180212014133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23</v>
      </c>
      <c r="AN121" s="20">
        <v>865</v>
      </c>
      <c r="AO121" s="20">
        <v>5510</v>
      </c>
      <c r="AP121" s="20">
        <v>49</v>
      </c>
      <c r="AQ121" s="20">
        <v>-3300</v>
      </c>
      <c r="AR121" s="20"/>
      <c r="AS121" s="54">
        <f>IF(RTD("tos.rtd",,AS$83,"."&amp;$B$82&amp;$AS$82&amp;"C"&amp;$A121)="N/A",0,RTD("tos.rtd",,AS$83,"."&amp;$B$82&amp;$AS$82&amp;"C"&amp;$A121))</f>
        <v>283</v>
      </c>
      <c r="AT121" s="3">
        <f>-IF(RTD("tos.rtd",,AT$83,"."&amp;$B$82&amp;$AS$82&amp;"P"&amp;$A121)="N/A",0,RTD("tos.rtd",,AT$83,"."&amp;$B$82&amp;$AS$82&amp;"P"&amp;$A121))</f>
        <v>-676</v>
      </c>
      <c r="AU121" s="54">
        <f>IF(RTD("tos.rtd",,AU$83,"."&amp;$C$82&amp;$AU$82&amp;"C"&amp;$A121)="N/A",0,RTD("tos.rtd",,AU$83,"."&amp;$C$82&amp;$AU$82&amp;"C"&amp;$A121))</f>
        <v>377</v>
      </c>
      <c r="AV121" s="3">
        <f>-IF(RTD("tos.rtd",,AV$83,"."&amp;$C$82&amp;$AU$82&amp;"P"&amp;$A121)="N/A",0,RTD("tos.rtd",,AV$83,"."&amp;$C$82&amp;$AU$82&amp;"P"&amp;$A121))</f>
        <v>-844</v>
      </c>
      <c r="AW121" s="54">
        <f>IF(RTD("tos.rtd",,AW$83,"."&amp;$D$82&amp;$AW$82&amp;"C"&amp;$A121)="N/A",0,RTD("tos.rtd",,AW$83,"."&amp;$D$82&amp;$AW$82&amp;"C"&amp;$A121))</f>
        <v>375</v>
      </c>
      <c r="AX121" s="3">
        <f>-IF(RTD("tos.rtd",,AX$83,"."&amp;$D$82&amp;$AW$82&amp;"P"&amp;$A121)="N/A",0,RTD("tos.rtd",,AX$83,"."&amp;$D$82&amp;$AW$82&amp;"P"&amp;$A121))</f>
        <v>-160</v>
      </c>
      <c r="AY121" s="79">
        <f t="shared" si="525"/>
        <v>-645</v>
      </c>
      <c r="AZ121" s="8">
        <f t="shared" si="451"/>
        <v>5510</v>
      </c>
      <c r="BA121" s="54">
        <f>IF(RTD("tos.rtd",,BA$83,"."&amp;$B$82&amp;$AS$82&amp;"C"&amp;$A121)="N/A",0,RTD("tos.rtd",,BA$83,"."&amp;$B$82&amp;$AS$82&amp;"C"&amp;$A121))</f>
        <v>0</v>
      </c>
      <c r="BB121" s="3">
        <f>-IF(RTD("tos.rtd",,BB$83,"."&amp;$B$82&amp;$AS$82&amp;"P"&amp;$A121)="N/A",0,RTD("tos.rtd",,BB$83,"."&amp;$B$82&amp;$AS$82&amp;"P"&amp;$A121))</f>
        <v>0</v>
      </c>
      <c r="BC121" s="54">
        <f>IF(RTD("tos.rtd",,BC$83,"."&amp;$C$82&amp;$AU$82&amp;"C"&amp;$A121)="N/A",0,RTD("tos.rtd",,BC$83,"."&amp;$C$82&amp;$AU$82&amp;"C"&amp;$A121))</f>
        <v>29</v>
      </c>
      <c r="BD121" s="3">
        <f>-IF(RTD("tos.rtd",,BD$83,"."&amp;$C$82&amp;$AU$82&amp;"P"&amp;$A121)="N/A",0,RTD("tos.rtd",,BD$83,"."&amp;$C$82&amp;$AU$82&amp;"P"&amp;$A121))</f>
        <v>-2382</v>
      </c>
      <c r="BE121" s="54">
        <f>IF(RTD("tos.rtd",,BE$83,"."&amp;$D$82&amp;$AW$82&amp;"C"&amp;$A121)="N/A",0,RTD("tos.rtd",,BE$83,"."&amp;$D$82&amp;$AW$82&amp;"C"&amp;$A121))</f>
        <v>1</v>
      </c>
      <c r="BF121" s="3">
        <f>-IF(RTD("tos.rtd",,BF$83,"."&amp;$D$82&amp;$AW$82&amp;"P"&amp;$A121)="N/A",0,RTD("tos.rtd",,BF$83,"."&amp;$D$82&amp;$AW$82&amp;"P"&amp;$A121))</f>
        <v>-237</v>
      </c>
      <c r="BG121" s="3">
        <f ca="1">+Hoja2!Y122</f>
        <v>-38</v>
      </c>
      <c r="BH121" s="55">
        <f t="shared" ca="1" si="491"/>
        <v>-2627</v>
      </c>
      <c r="BI121" s="32" t="str">
        <f t="shared" ca="1" si="507"/>
        <v/>
      </c>
      <c r="BJ121" s="3" t="e">
        <f ca="1">IF($BP$1=1,DX121,IF(RTD("tos.rtd",,BJ$83,"."&amp;$B$82&amp;$AS$82&amp;"C"&amp;$A121)="N/A",0,RTD("tos.rtd",,BJ$83,"."&amp;$B$82&amp;$AS$82&amp;"C"&amp;$A121)))</f>
        <v>#NUM!</v>
      </c>
      <c r="BK121" s="3" t="e">
        <f ca="1">IF($BP$1=1,DY121,-IF(RTD("tos.rtd",,BK$83,"."&amp;$B$82&amp;$AS$82&amp;"P"&amp;$A121)="N/A",0,RTD("tos.rtd",,BK$83,"."&amp;$B$82&amp;$AS$82&amp;"P"&amp;$A121)))</f>
        <v>#NUM!</v>
      </c>
      <c r="BL121" s="3" t="e">
        <f ca="1">IF($BP$1=1,DZ121,IF(RTD("tos.rtd",,BL$83,"."&amp;$C$82&amp;$AU$82&amp;"C"&amp;$A121)="N/A",0,RTD("tos.rtd",,BL$83,"."&amp;$C$82&amp;$AU$82&amp;"C"&amp;$A121)))</f>
        <v>#NUM!</v>
      </c>
      <c r="BM121" s="3" t="e">
        <f ca="1">IF($BP$1=1,EA121,-IF(RTD("tos.rtd",,BM$83,"."&amp;$C$82&amp;$AU$82&amp;"P"&amp;$A121)="N/A",0,RTD("tos.rtd",,BM$83,"."&amp;$C$82&amp;$AU$82&amp;"P"&amp;$A121)))</f>
        <v>#NUM!</v>
      </c>
      <c r="BN121" s="3" t="e">
        <f ca="1">IF($BP$1=1,EB121,IF(RTD("tos.rtd",,BN$83,"."&amp;$D$82&amp;$AW$82&amp;"C"&amp;$A121)="N/A",0,RTD("tos.rtd",,BN$83,"."&amp;$D$82&amp;$AW$82&amp;"C"&amp;$A121)))</f>
        <v>#NUM!</v>
      </c>
      <c r="BO121" s="3" t="e">
        <f ca="1">IF($BP$1=1,EC121,-IF(RTD("tos.rtd",,BO$83,"."&amp;$D$82&amp;$AW$82&amp;"P"&amp;$A121)="N/A",0,RTD("tos.rtd",,BO$83,"."&amp;$D$82&amp;$AW$82&amp;"P"&amp;$A121)))</f>
        <v>#NUM!</v>
      </c>
      <c r="BQ121" s="3" t="e">
        <f t="shared" ca="1" si="452"/>
        <v>#NUM!</v>
      </c>
      <c r="BR121" s="3" t="e">
        <f t="shared" ca="1" si="492"/>
        <v>#NUM!</v>
      </c>
      <c r="BS121" s="3" t="e">
        <f t="shared" ca="1" si="453"/>
        <v>#NUM!</v>
      </c>
      <c r="BT121" s="3" t="e">
        <f t="shared" ca="1" si="492"/>
        <v>#NUM!</v>
      </c>
      <c r="BU121" s="3" t="e">
        <f t="shared" ca="1" si="454"/>
        <v>#NUM!</v>
      </c>
      <c r="BV121" s="3" t="e">
        <f t="shared" ca="1" si="492"/>
        <v>#NUM!</v>
      </c>
      <c r="BX121" s="3" t="e">
        <f t="shared" ca="1" si="455"/>
        <v>#NUM!</v>
      </c>
      <c r="BY121" s="3" t="e">
        <f t="shared" ca="1" si="504"/>
        <v>#NUM!</v>
      </c>
      <c r="BZ121" s="3" t="e">
        <f t="shared" ca="1" si="456"/>
        <v>#NUM!</v>
      </c>
      <c r="CA121" s="3" t="e">
        <f t="shared" ca="1" si="504"/>
        <v>#NUM!</v>
      </c>
      <c r="CB121" s="3" t="e">
        <f t="shared" ca="1" si="457"/>
        <v>#NUM!</v>
      </c>
      <c r="CC121" s="3" t="e">
        <f t="shared" ca="1" si="504"/>
        <v>#NUM!</v>
      </c>
      <c r="CD121" s="3">
        <f>IF(RTD("tos.rtd",,CD$83,"."&amp;$B$82&amp;$AS$82&amp;"C"&amp;$A121)="N/A",0,RTD("tos.rtd",,CD$83,"."&amp;$B$82&amp;$AS$82&amp;"C"&amp;$A121))</f>
        <v>1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1</v>
      </c>
      <c r="CG121" s="3">
        <f>-IF(RTD("tos.rtd",,CG$83,"."&amp;$C$82&amp;$AU$82&amp;"P"&amp;$A121)="N/A",0,RTD("tos.rtd",,CG$83,"."&amp;$C$82&amp;$AU$82&amp;"P"&amp;$A121))</f>
        <v>0</v>
      </c>
      <c r="CH121" s="3">
        <f>IF(RTD("tos.rtd",,CH$83,"."&amp;$D$82&amp;$AW$82&amp;"C"&amp;$A121)="N/A",0,RTD("tos.rtd",,CH$83,"."&amp;$D$82&amp;$AW$82&amp;"C"&amp;$A121))</f>
        <v>0.81</v>
      </c>
      <c r="CI121" s="3">
        <f>-IF(RTD("tos.rtd",,CI$83,"."&amp;$D$82&amp;$AW$82&amp;"P"&amp;$A121)="N/A",0,RTD("tos.rtd",,CI$83,"."&amp;$D$82&amp;$AW$82&amp;"P"&amp;$A121))</f>
        <v>0.18</v>
      </c>
      <c r="CK121" s="3">
        <f t="shared" si="526"/>
        <v>28300</v>
      </c>
      <c r="CL121" s="3"/>
      <c r="CM121" s="3">
        <f t="shared" si="527"/>
        <v>37700</v>
      </c>
      <c r="CN121" s="3"/>
      <c r="CO121" s="3">
        <f t="shared" si="528"/>
        <v>27495</v>
      </c>
      <c r="CP121" s="3">
        <f t="shared" si="458"/>
        <v>93495</v>
      </c>
      <c r="CQ121" s="3">
        <f t="shared" si="459"/>
        <v>0</v>
      </c>
      <c r="CR121" s="3"/>
      <c r="CS121" s="3">
        <f t="shared" si="460"/>
        <v>-2353</v>
      </c>
      <c r="CT121" s="3"/>
      <c r="CU121" s="3">
        <f t="shared" si="461"/>
        <v>-236</v>
      </c>
      <c r="CV121" s="3"/>
      <c r="CW121" s="3" t="e">
        <f t="shared" ca="1" si="529"/>
        <v>#NUM!</v>
      </c>
      <c r="CY121" s="3" t="e">
        <f t="shared" ca="1" si="463"/>
        <v>#NUM!</v>
      </c>
      <c r="CZ121" s="70" t="e">
        <f t="shared" ca="1" si="505"/>
        <v>#NUM!</v>
      </c>
      <c r="DA121" s="3">
        <f>IF(RTD("tos.rtd",,DA$83,"."&amp;$B$82&amp;$AS$82&amp;"C"&amp;$A121)="N/A",0,RTD("tos.rtd",,DA$83,"."&amp;$B$82&amp;$AS$82&amp;"C"&amp;$A121))</f>
        <v>165.8</v>
      </c>
      <c r="DB121" s="3">
        <f>IF(RTD("tos.rtd",,DB$83,"."&amp;$B$82&amp;$AS$82&amp;"P"&amp;$A121)="N/A",0,RTD("tos.rtd",,DB$83,"."&amp;$B$82&amp;$AS$82&amp;"P"&amp;$A121))</f>
        <v>0.05</v>
      </c>
      <c r="DC121" s="3">
        <f>IF(RTD("tos.rtd",,DC$83,"."&amp;$B$82&amp;$AS$82&amp;"C"&amp;$A121)="N/A",0,RTD("tos.rtd",,DC$83,"."&amp;$B$82&amp;$AS$82&amp;"C"&amp;$A121))</f>
        <v>143.5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137.80000000000001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7"/>
        <v>-150</v>
      </c>
      <c r="DH121" s="3">
        <f t="shared" si="464"/>
        <v>-240.70175438596539</v>
      </c>
      <c r="DI121" s="3">
        <f t="shared" si="465"/>
        <v>3300</v>
      </c>
      <c r="DJ121" s="3">
        <f t="shared" si="466"/>
        <v>-49</v>
      </c>
      <c r="DK121" s="3">
        <f t="shared" si="467"/>
        <v>3300</v>
      </c>
      <c r="DL121" s="3">
        <f t="shared" si="468"/>
        <v>3059.2982456140344</v>
      </c>
      <c r="DM121" s="3">
        <f t="shared" si="469"/>
        <v>3251</v>
      </c>
      <c r="DN121" s="64" t="str">
        <f t="shared" si="470"/>
        <v>UNKNOWN</v>
      </c>
      <c r="DO121" s="64" t="str">
        <f t="shared" si="471"/>
        <v>UNKNOWN</v>
      </c>
      <c r="DP121" s="3">
        <f t="shared" si="472"/>
        <v>-39743.350877193065</v>
      </c>
      <c r="DQ121" s="3">
        <f t="shared" si="473"/>
        <v>-7959.2000000000007</v>
      </c>
      <c r="DR121" s="3" t="e">
        <f t="shared" ca="1" si="474"/>
        <v>#NUM!</v>
      </c>
      <c r="DS121" s="3">
        <f t="shared" si="475"/>
        <v>-49</v>
      </c>
      <c r="DT121" s="3">
        <f t="shared" si="498"/>
        <v>-49</v>
      </c>
      <c r="DU121" s="3">
        <f t="shared" si="499"/>
        <v>3300</v>
      </c>
      <c r="DV121" s="3">
        <f t="shared" si="500"/>
        <v>23</v>
      </c>
      <c r="DW121" s="3">
        <f t="shared" si="501"/>
        <v>865</v>
      </c>
      <c r="DX121" s="3" t="e">
        <f t="shared" ca="1" si="506"/>
        <v>#NUM!</v>
      </c>
      <c r="DY121" s="3" t="e">
        <f t="shared" ca="1" si="476"/>
        <v>#NUM!</v>
      </c>
      <c r="DZ121" s="3" t="e">
        <f t="shared" ca="1" si="477"/>
        <v>#NUM!</v>
      </c>
      <c r="EA121" s="3" t="e">
        <f t="shared" ca="1" si="478"/>
        <v>#NUM!</v>
      </c>
      <c r="EB121" s="3" t="e">
        <f t="shared" ca="1" si="479"/>
        <v>#NUM!</v>
      </c>
      <c r="EC121" s="3" t="e">
        <f t="shared" ca="1" si="480"/>
        <v>#NUM!</v>
      </c>
      <c r="EE121" s="59">
        <f t="shared" si="481"/>
        <v>0.25</v>
      </c>
      <c r="EF121" s="59">
        <f t="shared" si="482"/>
        <v>1.2112000000000001</v>
      </c>
      <c r="EG121" s="59">
        <f t="shared" si="483"/>
        <v>0.25</v>
      </c>
      <c r="EH121" s="59">
        <f t="shared" si="484"/>
        <v>1.2112000000000001</v>
      </c>
      <c r="EI121" s="59">
        <f t="shared" si="485"/>
        <v>0.27450000000000002</v>
      </c>
      <c r="EJ121" s="59">
        <f t="shared" si="486"/>
        <v>0.25840000000000002</v>
      </c>
      <c r="EL121" s="3" t="str">
        <f>RTD("tos.rtd",,EL$83,"."&amp;$B$82&amp;$AS$82&amp;"C"&amp;$A121)</f>
        <v>--</v>
      </c>
      <c r="EM121" s="3" t="str">
        <f>RTD("tos.rtd",,EM$83,"."&amp;$B$82&amp;$AS$82&amp;"P"&amp;$A121)</f>
        <v>121.12%</v>
      </c>
      <c r="EN121" s="3" t="str">
        <f>RTD("tos.rtd",,EN$83,"."&amp;$C$82&amp;$AU$82&amp;"C"&amp;$A121)</f>
        <v>--</v>
      </c>
      <c r="EO121" s="3" t="str">
        <f>RTD("tos.rtd",,EO$83,"."&amp;$C$82&amp;$AU$82&amp;"P"&amp;$A121)</f>
        <v>121.12%</v>
      </c>
      <c r="EP121" s="3" t="str">
        <f>RTD("tos.rtd",,EP$83,"."&amp;$D$82&amp;$AW$82&amp;"C"&amp;$A121)</f>
        <v>27.45%</v>
      </c>
      <c r="EQ121" s="3" t="str">
        <f>RTD("tos.rtd",,EQ$83,"."&amp;$D$82&amp;$AW$82&amp;"P"&amp;$A121)</f>
        <v>25.84%</v>
      </c>
      <c r="ES121" s="63" t="str">
        <f t="shared" si="487"/>
        <v>5510,888.00</v>
      </c>
      <c r="ET121" s="64" t="str">
        <f t="shared" ca="1" si="488"/>
        <v>5510,00.00</v>
      </c>
      <c r="EU121" s="67">
        <v>563.21</v>
      </c>
      <c r="EV121" s="67" t="s">
        <v>987</v>
      </c>
      <c r="EW121" s="67">
        <v>485.81</v>
      </c>
      <c r="EX121" s="67" t="s">
        <v>988</v>
      </c>
      <c r="EY121" s="67">
        <v>5645.75</v>
      </c>
      <c r="EZ121" s="67" t="s">
        <v>989</v>
      </c>
      <c r="FA121" s="67">
        <v>19957.25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502"/>
        <v>5500</v>
      </c>
      <c r="B122" s="3">
        <f t="shared" si="447"/>
        <v>10748</v>
      </c>
      <c r="C122" s="3">
        <f t="shared" si="448"/>
        <v>7224</v>
      </c>
      <c r="D122" s="3">
        <f t="shared" si="449"/>
        <v>3795</v>
      </c>
      <c r="E122" s="3">
        <f t="shared" si="517"/>
        <v>21767</v>
      </c>
      <c r="F122" s="4">
        <f t="shared" si="518"/>
        <v>5523.3215547703176</v>
      </c>
      <c r="G122" s="4">
        <f t="shared" si="519"/>
        <v>548.83392226148408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6</v>
      </c>
      <c r="AN122" s="20">
        <v>-1133</v>
      </c>
      <c r="AO122" s="20">
        <v>5500</v>
      </c>
      <c r="AP122" s="20">
        <v>90</v>
      </c>
      <c r="AQ122" s="20">
        <v>-10213</v>
      </c>
      <c r="AR122" s="20"/>
      <c r="AS122" s="54">
        <f>IF(RTD("tos.rtd",,AS$83,"."&amp;$B$82&amp;$AS$82&amp;"C"&amp;$A122)="N/A",0,RTD("tos.rtd",,AS$83,"."&amp;$B$82&amp;$AS$82&amp;"C"&amp;$A122))</f>
        <v>2145</v>
      </c>
      <c r="AT122" s="3">
        <f>-IF(RTD("tos.rtd",,AT$83,"."&amp;$B$82&amp;$AS$82&amp;"P"&amp;$A122)="N/A",0,RTD("tos.rtd",,AT$83,"."&amp;$B$82&amp;$AS$82&amp;"P"&amp;$A122))</f>
        <v>-8603</v>
      </c>
      <c r="AU122" s="54">
        <f>IF(RTD("tos.rtd",,AU$83,"."&amp;$C$82&amp;$AU$82&amp;"C"&amp;$A122)="N/A",0,RTD("tos.rtd",,AU$83,"."&amp;$C$82&amp;$AU$82&amp;"C"&amp;$A122))</f>
        <v>1677</v>
      </c>
      <c r="AV122" s="3">
        <f>-IF(RTD("tos.rtd",,AV$83,"."&amp;$C$82&amp;$AU$82&amp;"P"&amp;$A122)="N/A",0,RTD("tos.rtd",,AV$83,"."&amp;$C$82&amp;$AU$82&amp;"P"&amp;$A122))</f>
        <v>-5547</v>
      </c>
      <c r="AW122" s="54">
        <f>IF(RTD("tos.rtd",,AW$83,"."&amp;$D$82&amp;$AW$82&amp;"C"&amp;$A122)="N/A",0,RTD("tos.rtd",,AW$83,"."&amp;$D$82&amp;$AW$82&amp;"C"&amp;$A122))</f>
        <v>1022</v>
      </c>
      <c r="AX122" s="3">
        <f>-IF(RTD("tos.rtd",,AX$83,"."&amp;$D$82&amp;$AW$82&amp;"P"&amp;$A122)="N/A",0,RTD("tos.rtd",,AX$83,"."&amp;$D$82&amp;$AW$82&amp;"P"&amp;$A122))</f>
        <v>-2773</v>
      </c>
      <c r="AY122" s="79">
        <f t="shared" si="520"/>
        <v>-12079</v>
      </c>
      <c r="AZ122" s="8">
        <f t="shared" si="451"/>
        <v>5500</v>
      </c>
      <c r="BA122" s="54">
        <f>IF(RTD("tos.rtd",,BA$83,"."&amp;$B$82&amp;$AS$82&amp;"C"&amp;$A122)="N/A",0,RTD("tos.rtd",,BA$83,"."&amp;$B$82&amp;$AS$82&amp;"C"&amp;$A122))</f>
        <v>0</v>
      </c>
      <c r="BB122" s="3">
        <f>-IF(RTD("tos.rtd",,BB$83,"."&amp;$B$82&amp;$AS$82&amp;"P"&amp;$A122)="N/A",0,RTD("tos.rtd",,BB$83,"."&amp;$B$82&amp;$AS$82&amp;"P"&amp;$A122))</f>
        <v>0</v>
      </c>
      <c r="BC122" s="54">
        <f>IF(RTD("tos.rtd",,BC$83,"."&amp;$C$82&amp;$AU$82&amp;"C"&amp;$A122)="N/A",0,RTD("tos.rtd",,BC$83,"."&amp;$C$82&amp;$AU$82&amp;"C"&amp;$A122))</f>
        <v>635</v>
      </c>
      <c r="BD122" s="3">
        <f>-IF(RTD("tos.rtd",,BD$83,"."&amp;$C$82&amp;$AU$82&amp;"P"&amp;$A122)="N/A",0,RTD("tos.rtd",,BD$83,"."&amp;$C$82&amp;$AU$82&amp;"P"&amp;$A122))</f>
        <v>-5766</v>
      </c>
      <c r="BE122" s="54">
        <f>IF(RTD("tos.rtd",,BE$83,"."&amp;$D$82&amp;$AW$82&amp;"C"&amp;$A122)="N/A",0,RTD("tos.rtd",,BE$83,"."&amp;$D$82&amp;$AW$82&amp;"C"&amp;$A122))</f>
        <v>140</v>
      </c>
      <c r="BF122" s="3">
        <f>-IF(RTD("tos.rtd",,BF$83,"."&amp;$D$82&amp;$AW$82&amp;"P"&amp;$A122)="N/A",0,RTD("tos.rtd",,BF$83,"."&amp;$D$82&amp;$AW$82&amp;"P"&amp;$A122))</f>
        <v>-1048</v>
      </c>
      <c r="BG122" s="3">
        <f ca="1">+Hoja2!Y123</f>
        <v>-5871</v>
      </c>
      <c r="BH122" s="55">
        <f t="shared" ca="1" si="491"/>
        <v>-11910</v>
      </c>
      <c r="BI122" s="32" t="str">
        <f t="shared" ca="1" si="507"/>
        <v/>
      </c>
      <c r="BJ122" s="3" t="e">
        <f ca="1">IF($BP$1=1,DX122,IF(RTD("tos.rtd",,BJ$83,"."&amp;$B$82&amp;$AS$82&amp;"C"&amp;$A122)="N/A",0,RTD("tos.rtd",,BJ$83,"."&amp;$B$82&amp;$AS$82&amp;"C"&amp;$A122)))</f>
        <v>#NUM!</v>
      </c>
      <c r="BK122" s="3" t="e">
        <f ca="1">IF($BP$1=1,DY122,-IF(RTD("tos.rtd",,BK$83,"."&amp;$B$82&amp;$AS$82&amp;"P"&amp;$A122)="N/A",0,RTD("tos.rtd",,BK$83,"."&amp;$B$82&amp;$AS$82&amp;"P"&amp;$A122)))</f>
        <v>#NUM!</v>
      </c>
      <c r="BL122" s="3" t="e">
        <f ca="1">IF($BP$1=1,DZ122,IF(RTD("tos.rtd",,BL$83,"."&amp;$C$82&amp;$AU$82&amp;"C"&amp;$A122)="N/A",0,RTD("tos.rtd",,BL$83,"."&amp;$C$82&amp;$AU$82&amp;"C"&amp;$A122)))</f>
        <v>#NUM!</v>
      </c>
      <c r="BM122" s="3" t="e">
        <f ca="1">IF($BP$1=1,EA122,-IF(RTD("tos.rtd",,BM$83,"."&amp;$C$82&amp;$AU$82&amp;"P"&amp;$A122)="N/A",0,RTD("tos.rtd",,BM$83,"."&amp;$C$82&amp;$AU$82&amp;"P"&amp;$A122)))</f>
        <v>#NUM!</v>
      </c>
      <c r="BN122" s="3" t="e">
        <f ca="1">IF($BP$1=1,EB122,IF(RTD("tos.rtd",,BN$83,"."&amp;$D$82&amp;$AW$82&amp;"C"&amp;$A122)="N/A",0,RTD("tos.rtd",,BN$83,"."&amp;$D$82&amp;$AW$82&amp;"C"&amp;$A122)))</f>
        <v>#NUM!</v>
      </c>
      <c r="BO122" s="3" t="e">
        <f ca="1">IF($BP$1=1,EC122,-IF(RTD("tos.rtd",,BO$83,"."&amp;$D$82&amp;$AW$82&amp;"P"&amp;$A122)="N/A",0,RTD("tos.rtd",,BO$83,"."&amp;$D$82&amp;$AW$82&amp;"P"&amp;$A122)))</f>
        <v>#NUM!</v>
      </c>
      <c r="BQ122" s="3" t="e">
        <f t="shared" ca="1" si="452"/>
        <v>#NUM!</v>
      </c>
      <c r="BR122" s="3" t="e">
        <f t="shared" ca="1" si="492"/>
        <v>#NUM!</v>
      </c>
      <c r="BS122" s="3" t="e">
        <f t="shared" ca="1" si="453"/>
        <v>#NUM!</v>
      </c>
      <c r="BT122" s="3" t="e">
        <f t="shared" ca="1" si="492"/>
        <v>#NUM!</v>
      </c>
      <c r="BU122" s="3" t="e">
        <f t="shared" ca="1" si="454"/>
        <v>#NUM!</v>
      </c>
      <c r="BV122" s="3" t="e">
        <f t="shared" ca="1" si="492"/>
        <v>#NUM!</v>
      </c>
      <c r="BX122" s="3" t="e">
        <f t="shared" ca="1" si="455"/>
        <v>#NUM!</v>
      </c>
      <c r="BY122" s="3" t="e">
        <f t="shared" ca="1" si="504"/>
        <v>#NUM!</v>
      </c>
      <c r="BZ122" s="3" t="e">
        <f t="shared" ca="1" si="456"/>
        <v>#NUM!</v>
      </c>
      <c r="CA122" s="3" t="e">
        <f t="shared" ca="1" si="504"/>
        <v>#NUM!</v>
      </c>
      <c r="CB122" s="3" t="e">
        <f t="shared" ca="1" si="457"/>
        <v>#NUM!</v>
      </c>
      <c r="CC122" s="3" t="e">
        <f t="shared" ca="1" si="504"/>
        <v>#NUM!</v>
      </c>
      <c r="CD122" s="3">
        <f>IF(RTD("tos.rtd",,CD$83,"."&amp;$B$82&amp;$AS$82&amp;"C"&amp;$A122)="N/A",0,RTD("tos.rtd",,CD$83,"."&amp;$B$82&amp;$AS$82&amp;"C"&amp;$A122))</f>
        <v>1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1</v>
      </c>
      <c r="CG122" s="3">
        <f>-IF(RTD("tos.rtd",,CG$83,"."&amp;$C$82&amp;$AU$82&amp;"P"&amp;$A122)="N/A",0,RTD("tos.rtd",,CG$83,"."&amp;$C$82&amp;$AU$82&amp;"P"&amp;$A122))</f>
        <v>0</v>
      </c>
      <c r="CH122" s="3">
        <f>IF(RTD("tos.rtd",,CH$83,"."&amp;$D$82&amp;$AW$82&amp;"C"&amp;$A122)="N/A",0,RTD("tos.rtd",,CH$83,"."&amp;$D$82&amp;$AW$82&amp;"C"&amp;$A122))</f>
        <v>0.82</v>
      </c>
      <c r="CI122" s="3">
        <f>-IF(RTD("tos.rtd",,CI$83,"."&amp;$D$82&amp;$AW$82&amp;"P"&amp;$A122)="N/A",0,RTD("tos.rtd",,CI$83,"."&amp;$D$82&amp;$AW$82&amp;"P"&amp;$A122))</f>
        <v>0.17</v>
      </c>
      <c r="CK122" s="3">
        <f t="shared" si="493"/>
        <v>214500</v>
      </c>
      <c r="CL122" s="3"/>
      <c r="CM122" s="3">
        <f t="shared" si="494"/>
        <v>167700</v>
      </c>
      <c r="CN122" s="3"/>
      <c r="CO122" s="3">
        <f t="shared" si="495"/>
        <v>36663</v>
      </c>
      <c r="CP122" s="3">
        <f t="shared" si="458"/>
        <v>418863</v>
      </c>
      <c r="CQ122" s="3">
        <f t="shared" si="459"/>
        <v>0</v>
      </c>
      <c r="CR122" s="3"/>
      <c r="CS122" s="3">
        <f t="shared" si="460"/>
        <v>-5131</v>
      </c>
      <c r="CT122" s="3"/>
      <c r="CU122" s="3">
        <f t="shared" si="461"/>
        <v>-908</v>
      </c>
      <c r="CV122" s="3"/>
      <c r="CW122" s="3" t="e">
        <f t="shared" ca="1" si="521"/>
        <v>#NUM!</v>
      </c>
      <c r="CY122" s="3" t="e">
        <f t="shared" ca="1" si="463"/>
        <v>#NUM!</v>
      </c>
      <c r="CZ122" s="70" t="e">
        <f t="shared" ca="1" si="505"/>
        <v>#NUM!</v>
      </c>
      <c r="DA122" s="3">
        <f>IF(RTD("tos.rtd",,DA$83,"."&amp;$B$82&amp;$AS$82&amp;"C"&amp;$A122)="N/A",0,RTD("tos.rtd",,DA$83,"."&amp;$B$82&amp;$AS$82&amp;"C"&amp;$A122))</f>
        <v>154.62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153.5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147.80000000000001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7"/>
        <v>-160</v>
      </c>
      <c r="DH122" s="3">
        <f t="shared" si="464"/>
        <v>-107.68421052631591</v>
      </c>
      <c r="DI122" s="3">
        <f t="shared" si="465"/>
        <v>6127.8</v>
      </c>
      <c r="DJ122" s="3">
        <f t="shared" si="466"/>
        <v>-90</v>
      </c>
      <c r="DK122" s="3">
        <f t="shared" si="467"/>
        <v>10213</v>
      </c>
      <c r="DL122" s="3">
        <f t="shared" si="468"/>
        <v>6020.1157894736843</v>
      </c>
      <c r="DM122" s="3">
        <f t="shared" si="469"/>
        <v>10123</v>
      </c>
      <c r="DN122" s="64" t="str">
        <f t="shared" si="470"/>
        <v>UNKNOWN</v>
      </c>
      <c r="DO122" s="64" t="str">
        <f t="shared" si="471"/>
        <v>UNKNOWN</v>
      </c>
      <c r="DP122" s="3">
        <f t="shared" si="472"/>
        <v>-16466.298631578968</v>
      </c>
      <c r="DQ122" s="3">
        <f t="shared" si="473"/>
        <v>-13609.410000000002</v>
      </c>
      <c r="DR122" s="3" t="e">
        <f t="shared" ca="1" si="474"/>
        <v>#NUM!</v>
      </c>
      <c r="DS122" s="3">
        <f t="shared" si="475"/>
        <v>-90</v>
      </c>
      <c r="DT122" s="3">
        <f t="shared" si="498"/>
        <v>-90</v>
      </c>
      <c r="DU122" s="3">
        <f t="shared" si="499"/>
        <v>10213</v>
      </c>
      <c r="DV122" s="3">
        <f t="shared" si="500"/>
        <v>6</v>
      </c>
      <c r="DW122" s="3">
        <f t="shared" si="501"/>
        <v>-1133</v>
      </c>
      <c r="DX122" s="3" t="e">
        <f t="shared" ca="1" si="506"/>
        <v>#NUM!</v>
      </c>
      <c r="DY122" s="3" t="e">
        <f t="shared" ca="1" si="476"/>
        <v>#NUM!</v>
      </c>
      <c r="DZ122" s="3" t="e">
        <f t="shared" ca="1" si="477"/>
        <v>#NUM!</v>
      </c>
      <c r="EA122" s="3" t="e">
        <f t="shared" ca="1" si="478"/>
        <v>#NUM!</v>
      </c>
      <c r="EB122" s="3" t="e">
        <f t="shared" ca="1" si="479"/>
        <v>#NUM!</v>
      </c>
      <c r="EC122" s="3" t="e">
        <f t="shared" ca="1" si="480"/>
        <v>#NUM!</v>
      </c>
      <c r="EE122" s="59">
        <f t="shared" si="481"/>
        <v>0.25</v>
      </c>
      <c r="EF122" s="59">
        <f t="shared" si="482"/>
        <v>1.2856000000000001</v>
      </c>
      <c r="EG122" s="59">
        <f t="shared" si="483"/>
        <v>0.25</v>
      </c>
      <c r="EH122" s="59">
        <f t="shared" si="484"/>
        <v>1.2856000000000001</v>
      </c>
      <c r="EI122" s="59">
        <f t="shared" si="485"/>
        <v>0.27650000000000002</v>
      </c>
      <c r="EJ122" s="59">
        <f t="shared" si="486"/>
        <v>0.25990000000000002</v>
      </c>
      <c r="EL122" s="3" t="str">
        <f>RTD("tos.rtd",,EL$83,"."&amp;$B$82&amp;$AS$82&amp;"C"&amp;$A122)</f>
        <v>--</v>
      </c>
      <c r="EM122" s="3" t="str">
        <f>RTD("tos.rtd",,EM$83,"."&amp;$B$82&amp;$AS$82&amp;"P"&amp;$A122)</f>
        <v>128.56%</v>
      </c>
      <c r="EN122" s="3" t="str">
        <f>RTD("tos.rtd",,EN$83,"."&amp;$C$82&amp;$AU$82&amp;"C"&amp;$A122)</f>
        <v>--</v>
      </c>
      <c r="EO122" s="3" t="str">
        <f>RTD("tos.rtd",,EO$83,"."&amp;$C$82&amp;$AU$82&amp;"P"&amp;$A122)</f>
        <v>128.56%</v>
      </c>
      <c r="EP122" s="3" t="str">
        <f>RTD("tos.rtd",,EP$83,"."&amp;$D$82&amp;$AW$82&amp;"C"&amp;$A122)</f>
        <v>27.65%</v>
      </c>
      <c r="EQ122" s="3" t="str">
        <f>RTD("tos.rtd",,EQ$83,"."&amp;$D$82&amp;$AW$82&amp;"P"&amp;$A122)</f>
        <v>25.99%</v>
      </c>
      <c r="ES122" s="63" t="str">
        <f t="shared" si="487"/>
        <v>5500,-1127.00</v>
      </c>
      <c r="ET122" s="64" t="str">
        <f t="shared" ca="1" si="488"/>
        <v>5500,00.00</v>
      </c>
      <c r="EU122" s="67">
        <v>563.12</v>
      </c>
      <c r="EV122" s="67" t="s">
        <v>995</v>
      </c>
      <c r="EW122" s="67">
        <v>485.74</v>
      </c>
      <c r="EX122" s="67" t="s">
        <v>996</v>
      </c>
      <c r="EY122" s="67">
        <v>5645</v>
      </c>
      <c r="EZ122" s="67" t="s">
        <v>997</v>
      </c>
      <c r="FA122" s="67">
        <v>19954.75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502"/>
        <v>5490</v>
      </c>
      <c r="B123" s="3">
        <f t="shared" si="447"/>
        <v>663</v>
      </c>
      <c r="C123" s="3">
        <f t="shared" si="448"/>
        <v>1198</v>
      </c>
      <c r="D123" s="3">
        <f t="shared" si="449"/>
        <v>922</v>
      </c>
      <c r="E123" s="3">
        <f t="shared" si="513"/>
        <v>2783</v>
      </c>
      <c r="F123" s="4">
        <f t="shared" si="516"/>
        <v>5513.2791519434631</v>
      </c>
      <c r="G123" s="4">
        <f t="shared" si="514"/>
        <v>547.83604240282682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2</v>
      </c>
      <c r="AN123" s="20">
        <v>1894</v>
      </c>
      <c r="AO123" s="20">
        <v>5490</v>
      </c>
      <c r="AP123" s="20">
        <v>57</v>
      </c>
      <c r="AQ123" s="20">
        <v>-5003</v>
      </c>
      <c r="AR123" s="20"/>
      <c r="AS123" s="54">
        <f>IF(RTD("tos.rtd",,AS$83,"."&amp;$B$82&amp;$AS$82&amp;"C"&amp;$A123)="N/A",0,RTD("tos.rtd",,AS$83,"."&amp;$B$82&amp;$AS$82&amp;"C"&amp;$A123))</f>
        <v>325</v>
      </c>
      <c r="AT123" s="3">
        <f>-IF(RTD("tos.rtd",,AT$83,"."&amp;$B$82&amp;$AS$82&amp;"P"&amp;$A123)="N/A",0,RTD("tos.rtd",,AT$83,"."&amp;$B$82&amp;$AS$82&amp;"P"&amp;$A123))</f>
        <v>-338</v>
      </c>
      <c r="AU123" s="54">
        <f>IF(RTD("tos.rtd",,AU$83,"."&amp;$C$82&amp;$AU$82&amp;"C"&amp;$A123)="N/A",0,RTD("tos.rtd",,AU$83,"."&amp;$C$82&amp;$AU$82&amp;"C"&amp;$A123))</f>
        <v>352</v>
      </c>
      <c r="AV123" s="3">
        <f>-IF(RTD("tos.rtd",,AV$83,"."&amp;$C$82&amp;$AU$82&amp;"P"&amp;$A123)="N/A",0,RTD("tos.rtd",,AV$83,"."&amp;$C$82&amp;$AU$82&amp;"P"&amp;$A123))</f>
        <v>-846</v>
      </c>
      <c r="AW123" s="54">
        <f>IF(RTD("tos.rtd",,AW$83,"."&amp;$D$82&amp;$AW$82&amp;"C"&amp;$A123)="N/A",0,RTD("tos.rtd",,AW$83,"."&amp;$D$82&amp;$AW$82&amp;"C"&amp;$A123))</f>
        <v>447</v>
      </c>
      <c r="AX123" s="3">
        <f>-IF(RTD("tos.rtd",,AX$83,"."&amp;$D$82&amp;$AW$82&amp;"P"&amp;$A123)="N/A",0,RTD("tos.rtd",,AX$83,"."&amp;$D$82&amp;$AW$82&amp;"P"&amp;$A123))</f>
        <v>-475</v>
      </c>
      <c r="AY123" s="79">
        <f t="shared" si="515"/>
        <v>-535</v>
      </c>
      <c r="AZ123" s="8">
        <f t="shared" si="451"/>
        <v>5490</v>
      </c>
      <c r="BA123" s="54">
        <f>IF(RTD("tos.rtd",,BA$83,"."&amp;$B$82&amp;$AS$82&amp;"C"&amp;$A123)="N/A",0,RTD("tos.rtd",,BA$83,"."&amp;$B$82&amp;$AS$82&amp;"C"&amp;$A123))</f>
        <v>0</v>
      </c>
      <c r="BB123" s="3">
        <f>-IF(RTD("tos.rtd",,BB$83,"."&amp;$B$82&amp;$AS$82&amp;"P"&amp;$A123)="N/A",0,RTD("tos.rtd",,BB$83,"."&amp;$B$82&amp;$AS$82&amp;"P"&amp;$A123))</f>
        <v>0</v>
      </c>
      <c r="BC123" s="54">
        <f>IF(RTD("tos.rtd",,BC$83,"."&amp;$C$82&amp;$AU$82&amp;"C"&amp;$A123)="N/A",0,RTD("tos.rtd",,BC$83,"."&amp;$C$82&amp;$AU$82&amp;"C"&amp;$A123))</f>
        <v>269</v>
      </c>
      <c r="BD123" s="3">
        <f>-IF(RTD("tos.rtd",,BD$83,"."&amp;$C$82&amp;$AU$82&amp;"P"&amp;$A123)="N/A",0,RTD("tos.rtd",,BD$83,"."&amp;$C$82&amp;$AU$82&amp;"P"&amp;$A123))</f>
        <v>-1809</v>
      </c>
      <c r="BE123" s="54">
        <f>IF(RTD("tos.rtd",,BE$83,"."&amp;$D$82&amp;$AW$82&amp;"C"&amp;$A123)="N/A",0,RTD("tos.rtd",,BE$83,"."&amp;$D$82&amp;$AW$82&amp;"C"&amp;$A123))</f>
        <v>3</v>
      </c>
      <c r="BF123" s="3">
        <f>-IF(RTD("tos.rtd",,BF$83,"."&amp;$D$82&amp;$AW$82&amp;"P"&amp;$A123)="N/A",0,RTD("tos.rtd",,BF$83,"."&amp;$D$82&amp;$AW$82&amp;"P"&amp;$A123))</f>
        <v>-217</v>
      </c>
      <c r="BG123" s="3">
        <f ca="1">+Hoja2!Y124</f>
        <v>-46</v>
      </c>
      <c r="BH123" s="55">
        <f t="shared" ca="1" si="491"/>
        <v>-1800</v>
      </c>
      <c r="BI123" s="32" t="str">
        <f t="shared" ca="1" si="507"/>
        <v/>
      </c>
      <c r="BJ123" s="3" t="e">
        <f ca="1">IF($BP$1=1,DX123,IF(RTD("tos.rtd",,BJ$83,"."&amp;$B$82&amp;$AS$82&amp;"C"&amp;$A123)="N/A",0,RTD("tos.rtd",,BJ$83,"."&amp;$B$82&amp;$AS$82&amp;"C"&amp;$A123)))</f>
        <v>#NUM!</v>
      </c>
      <c r="BK123" s="3" t="e">
        <f ca="1">IF($BP$1=1,DY123,-IF(RTD("tos.rtd",,BK$83,"."&amp;$B$82&amp;$AS$82&amp;"P"&amp;$A123)="N/A",0,RTD("tos.rtd",,BK$83,"."&amp;$B$82&amp;$AS$82&amp;"P"&amp;$A123)))</f>
        <v>#NUM!</v>
      </c>
      <c r="BL123" s="3" t="e">
        <f ca="1">IF($BP$1=1,DZ123,IF(RTD("tos.rtd",,BL$83,"."&amp;$C$82&amp;$AU$82&amp;"C"&amp;$A123)="N/A",0,RTD("tos.rtd",,BL$83,"."&amp;$C$82&amp;$AU$82&amp;"C"&amp;$A123)))</f>
        <v>#NUM!</v>
      </c>
      <c r="BM123" s="3" t="e">
        <f ca="1">IF($BP$1=1,EA123,-IF(RTD("tos.rtd",,BM$83,"."&amp;$C$82&amp;$AU$82&amp;"P"&amp;$A123)="N/A",0,RTD("tos.rtd",,BM$83,"."&amp;$C$82&amp;$AU$82&amp;"P"&amp;$A123)))</f>
        <v>#NUM!</v>
      </c>
      <c r="BN123" s="3" t="e">
        <f ca="1">IF($BP$1=1,EB123,IF(RTD("tos.rtd",,BN$83,"."&amp;$D$82&amp;$AW$82&amp;"C"&amp;$A123)="N/A",0,RTD("tos.rtd",,BN$83,"."&amp;$D$82&amp;$AW$82&amp;"C"&amp;$A123)))</f>
        <v>#NUM!</v>
      </c>
      <c r="BO123" s="3" t="e">
        <f ca="1">IF($BP$1=1,EC123,-IF(RTD("tos.rtd",,BO$83,"."&amp;$D$82&amp;$AW$82&amp;"P"&amp;$A123)="N/A",0,RTD("tos.rtd",,BO$83,"."&amp;$D$82&amp;$AW$82&amp;"P"&amp;$A123)))</f>
        <v>#NUM!</v>
      </c>
      <c r="BQ123" s="3" t="e">
        <f t="shared" ca="1" si="452"/>
        <v>#NUM!</v>
      </c>
      <c r="BR123" s="3" t="e">
        <f t="shared" ca="1" si="492"/>
        <v>#NUM!</v>
      </c>
      <c r="BS123" s="3" t="e">
        <f t="shared" ca="1" si="453"/>
        <v>#NUM!</v>
      </c>
      <c r="BT123" s="3" t="e">
        <f t="shared" ca="1" si="492"/>
        <v>#NUM!</v>
      </c>
      <c r="BU123" s="3" t="e">
        <f t="shared" ca="1" si="454"/>
        <v>#NUM!</v>
      </c>
      <c r="BV123" s="3" t="e">
        <f t="shared" ca="1" si="492"/>
        <v>#NUM!</v>
      </c>
      <c r="BX123" s="3" t="e">
        <f t="shared" ca="1" si="455"/>
        <v>#NUM!</v>
      </c>
      <c r="BY123" s="3" t="e">
        <f t="shared" ca="1" si="504"/>
        <v>#NUM!</v>
      </c>
      <c r="BZ123" s="3" t="e">
        <f t="shared" ca="1" si="456"/>
        <v>#NUM!</v>
      </c>
      <c r="CA123" s="3" t="e">
        <f t="shared" ca="1" si="504"/>
        <v>#NUM!</v>
      </c>
      <c r="CB123" s="3" t="e">
        <f t="shared" ca="1" si="457"/>
        <v>#NUM!</v>
      </c>
      <c r="CC123" s="3" t="e">
        <f t="shared" ca="1" si="504"/>
        <v>#NUM!</v>
      </c>
      <c r="CD123" s="3">
        <f>IF(RTD("tos.rtd",,CD$83,"."&amp;$B$82&amp;$AS$82&amp;"C"&amp;$A123)="N/A",0,RTD("tos.rtd",,CD$83,"."&amp;$B$82&amp;$AS$82&amp;"C"&amp;$A123))</f>
        <v>1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1</v>
      </c>
      <c r="CG123" s="3">
        <f>-IF(RTD("tos.rtd",,CG$83,"."&amp;$C$82&amp;$AU$82&amp;"P"&amp;$A123)="N/A",0,RTD("tos.rtd",,CG$83,"."&amp;$C$82&amp;$AU$82&amp;"P"&amp;$A123))</f>
        <v>0</v>
      </c>
      <c r="CH123" s="3">
        <f>IF(RTD("tos.rtd",,CH$83,"."&amp;$D$82&amp;$AW$82&amp;"C"&amp;$A123)="N/A",0,RTD("tos.rtd",,CH$83,"."&amp;$D$82&amp;$AW$82&amp;"C"&amp;$A123))</f>
        <v>0.83</v>
      </c>
      <c r="CI123" s="3">
        <f>-IF(RTD("tos.rtd",,CI$83,"."&amp;$D$82&amp;$AW$82&amp;"P"&amp;$A123)="N/A",0,RTD("tos.rtd",,CI$83,"."&amp;$D$82&amp;$AW$82&amp;"P"&amp;$A123))</f>
        <v>0.15</v>
      </c>
      <c r="CK123" s="3">
        <f t="shared" si="493"/>
        <v>32500</v>
      </c>
      <c r="CL123" s="3"/>
      <c r="CM123" s="3">
        <f t="shared" si="494"/>
        <v>35200</v>
      </c>
      <c r="CN123" s="3"/>
      <c r="CO123" s="3">
        <f t="shared" si="495"/>
        <v>29976</v>
      </c>
      <c r="CP123" s="3">
        <f t="shared" si="458"/>
        <v>97676</v>
      </c>
      <c r="CQ123" s="3">
        <f t="shared" si="459"/>
        <v>0</v>
      </c>
      <c r="CR123" s="3"/>
      <c r="CS123" s="3">
        <f t="shared" si="460"/>
        <v>-1540</v>
      </c>
      <c r="CT123" s="3"/>
      <c r="CU123" s="3">
        <f t="shared" si="461"/>
        <v>-214</v>
      </c>
      <c r="CV123" s="3"/>
      <c r="CW123" s="3" t="e">
        <f t="shared" ca="1" si="462"/>
        <v>#NUM!</v>
      </c>
      <c r="CY123" s="3" t="e">
        <f t="shared" ca="1" si="463"/>
        <v>#NUM!</v>
      </c>
      <c r="CZ123" s="70" t="e">
        <f t="shared" ca="1" si="505"/>
        <v>#NUM!</v>
      </c>
      <c r="DA123" s="3">
        <f>IF(RTD("tos.rtd",,DA$83,"."&amp;$B$82&amp;$AS$82&amp;"C"&amp;$A123)="N/A",0,RTD("tos.rtd",,DA$83,"."&amp;$B$82&amp;$AS$82&amp;"C"&amp;$A123))</f>
        <v>185.15</v>
      </c>
      <c r="DB123" s="3">
        <f>IF(RTD("tos.rtd",,DB$83,"."&amp;$B$82&amp;$AS$82&amp;"P"&amp;$A123)="N/A",0,RTD("tos.rtd",,DB$83,"."&amp;$B$82&amp;$AS$82&amp;"P"&amp;$A123))</f>
        <v>0.03</v>
      </c>
      <c r="DC123" s="3">
        <f>IF(RTD("tos.rtd",,DC$83,"."&amp;$B$82&amp;$AS$82&amp;"C"&amp;$A123)="N/A",0,RTD("tos.rtd",,DC$83,"."&amp;$B$82&amp;$AS$82&amp;"C"&amp;$A123))</f>
        <v>168.1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151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7"/>
        <v>-170</v>
      </c>
      <c r="DH123" s="3">
        <f t="shared" si="464"/>
        <v>-113.83333333333339</v>
      </c>
      <c r="DI123" s="3">
        <f t="shared" si="465"/>
        <v>3001.7999999999997</v>
      </c>
      <c r="DJ123" s="3">
        <f t="shared" si="466"/>
        <v>-57</v>
      </c>
      <c r="DK123" s="3">
        <f t="shared" si="467"/>
        <v>5003</v>
      </c>
      <c r="DL123" s="3">
        <f t="shared" si="468"/>
        <v>2887.9666666666662</v>
      </c>
      <c r="DM123" s="3">
        <f t="shared" si="469"/>
        <v>4946</v>
      </c>
      <c r="DN123" s="64" t="str">
        <f t="shared" si="470"/>
        <v>UNKNOWN</v>
      </c>
      <c r="DO123" s="64" t="str">
        <f t="shared" si="471"/>
        <v>UNKNOWN</v>
      </c>
      <c r="DP123" s="3">
        <f t="shared" si="472"/>
        <v>-20986.187666666676</v>
      </c>
      <c r="DQ123" s="3">
        <f t="shared" si="473"/>
        <v>-10403.460000000001</v>
      </c>
      <c r="DR123" s="3" t="e">
        <f t="shared" ca="1" si="474"/>
        <v>#NUM!</v>
      </c>
      <c r="DS123" s="3">
        <f t="shared" si="475"/>
        <v>-57</v>
      </c>
      <c r="DT123" s="3">
        <f t="shared" si="498"/>
        <v>-57</v>
      </c>
      <c r="DU123" s="3">
        <f t="shared" si="499"/>
        <v>5003</v>
      </c>
      <c r="DV123" s="3">
        <f t="shared" si="500"/>
        <v>2</v>
      </c>
      <c r="DW123" s="3">
        <f t="shared" si="501"/>
        <v>1894</v>
      </c>
      <c r="DX123" s="3" t="e">
        <f t="shared" ca="1" si="506"/>
        <v>#NUM!</v>
      </c>
      <c r="DY123" s="3" t="e">
        <f t="shared" ca="1" si="476"/>
        <v>#NUM!</v>
      </c>
      <c r="DZ123" s="3" t="e">
        <f t="shared" ca="1" si="477"/>
        <v>#NUM!</v>
      </c>
      <c r="EA123" s="3" t="e">
        <f t="shared" ca="1" si="478"/>
        <v>#NUM!</v>
      </c>
      <c r="EB123" s="3" t="e">
        <f t="shared" ca="1" si="479"/>
        <v>#NUM!</v>
      </c>
      <c r="EC123" s="3" t="e">
        <f t="shared" ca="1" si="480"/>
        <v>#NUM!</v>
      </c>
      <c r="EE123" s="59">
        <f t="shared" si="481"/>
        <v>0.25</v>
      </c>
      <c r="EF123" s="59">
        <f t="shared" si="482"/>
        <v>1.3624000000000001</v>
      </c>
      <c r="EG123" s="59">
        <f t="shared" si="483"/>
        <v>0.25</v>
      </c>
      <c r="EH123" s="59">
        <f t="shared" si="484"/>
        <v>1.3624000000000001</v>
      </c>
      <c r="EI123" s="59">
        <f t="shared" si="485"/>
        <v>0.27900000000000003</v>
      </c>
      <c r="EJ123" s="59">
        <f t="shared" si="486"/>
        <v>0.26150000000000001</v>
      </c>
      <c r="EL123" s="3" t="str">
        <f>RTD("tos.rtd",,EL$83,"."&amp;$B$82&amp;$AS$82&amp;"C"&amp;$A123)</f>
        <v>--</v>
      </c>
      <c r="EM123" s="3" t="str">
        <f>RTD("tos.rtd",,EM$83,"."&amp;$B$82&amp;$AS$82&amp;"P"&amp;$A123)</f>
        <v>136.24%</v>
      </c>
      <c r="EN123" s="3" t="str">
        <f>RTD("tos.rtd",,EN$83,"."&amp;$C$82&amp;$AU$82&amp;"C"&amp;$A123)</f>
        <v>--</v>
      </c>
      <c r="EO123" s="3" t="str">
        <f>RTD("tos.rtd",,EO$83,"."&amp;$C$82&amp;$AU$82&amp;"P"&amp;$A123)</f>
        <v>136.24%</v>
      </c>
      <c r="EP123" s="3" t="str">
        <f>RTD("tos.rtd",,EP$83,"."&amp;$D$82&amp;$AW$82&amp;"C"&amp;$A123)</f>
        <v>27.90%</v>
      </c>
      <c r="EQ123" s="3" t="str">
        <f>RTD("tos.rtd",,EQ$83,"."&amp;$D$82&amp;$AW$82&amp;"P"&amp;$A123)</f>
        <v>26.15%</v>
      </c>
      <c r="ES123" s="63" t="str">
        <f t="shared" si="487"/>
        <v>5490,1896.00</v>
      </c>
      <c r="ET123" s="64" t="str">
        <f t="shared" ca="1" si="488"/>
        <v>5490,00.00</v>
      </c>
      <c r="EU123" s="67">
        <v>563.14</v>
      </c>
      <c r="EV123" s="67" t="s">
        <v>1003</v>
      </c>
      <c r="EW123" s="67">
        <v>485.75</v>
      </c>
      <c r="EX123" s="67" t="s">
        <v>1004</v>
      </c>
      <c r="EY123" s="67">
        <v>5645</v>
      </c>
      <c r="EZ123" s="67" t="s">
        <v>1005</v>
      </c>
      <c r="FA123" s="67">
        <v>19954.25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502"/>
        <v>5480</v>
      </c>
      <c r="B124" s="3">
        <f t="shared" si="447"/>
        <v>863</v>
      </c>
      <c r="C124" s="3">
        <f t="shared" si="448"/>
        <v>1893</v>
      </c>
      <c r="D124" s="3">
        <f t="shared" si="449"/>
        <v>1907</v>
      </c>
      <c r="E124" s="3">
        <f t="shared" si="513"/>
        <v>4663</v>
      </c>
      <c r="F124" s="4">
        <f t="shared" si="516"/>
        <v>5503.2367491166078</v>
      </c>
      <c r="G124" s="4">
        <f t="shared" si="514"/>
        <v>546.83816254416956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1</v>
      </c>
      <c r="AN124" s="20">
        <v>2049</v>
      </c>
      <c r="AO124" s="20">
        <v>5480</v>
      </c>
      <c r="AP124" s="20">
        <v>18</v>
      </c>
      <c r="AQ124" s="20">
        <v>-5772</v>
      </c>
      <c r="AR124" s="20"/>
      <c r="AS124" s="54">
        <f>IF(RTD("tos.rtd",,AS$83,"."&amp;$B$82&amp;$AS$82&amp;"C"&amp;$A124)="N/A",0,RTD("tos.rtd",,AS$83,"."&amp;$B$82&amp;$AS$82&amp;"C"&amp;$A124))</f>
        <v>120</v>
      </c>
      <c r="AT124" s="3">
        <f>-IF(RTD("tos.rtd",,AT$83,"."&amp;$B$82&amp;$AS$82&amp;"P"&amp;$A124)="N/A",0,RTD("tos.rtd",,AT$83,"."&amp;$B$82&amp;$AS$82&amp;"P"&amp;$A124))</f>
        <v>-743</v>
      </c>
      <c r="AU124" s="54">
        <f>IF(RTD("tos.rtd",,AU$83,"."&amp;$C$82&amp;$AU$82&amp;"C"&amp;$A124)="N/A",0,RTD("tos.rtd",,AU$83,"."&amp;$C$82&amp;$AU$82&amp;"C"&amp;$A124))</f>
        <v>766</v>
      </c>
      <c r="AV124" s="3">
        <f>-IF(RTD("tos.rtd",,AV$83,"."&amp;$C$82&amp;$AU$82&amp;"P"&amp;$A124)="N/A",0,RTD("tos.rtd",,AV$83,"."&amp;$C$82&amp;$AU$82&amp;"P"&amp;$A124))</f>
        <v>-1127</v>
      </c>
      <c r="AW124" s="54">
        <f>IF(RTD("tos.rtd",,AW$83,"."&amp;$D$82&amp;$AW$82&amp;"C"&amp;$A124)="N/A",0,RTD("tos.rtd",,AW$83,"."&amp;$D$82&amp;$AW$82&amp;"C"&amp;$A124))</f>
        <v>153</v>
      </c>
      <c r="AX124" s="3">
        <f>-IF(RTD("tos.rtd",,AX$83,"."&amp;$D$82&amp;$AW$82&amp;"P"&amp;$A124)="N/A",0,RTD("tos.rtd",,AX$83,"."&amp;$D$82&amp;$AW$82&amp;"P"&amp;$A124))</f>
        <v>-1754</v>
      </c>
      <c r="AY124" s="79">
        <f t="shared" si="515"/>
        <v>-2585</v>
      </c>
      <c r="AZ124" s="8">
        <f t="shared" si="451"/>
        <v>5480</v>
      </c>
      <c r="BA124" s="54">
        <f>IF(RTD("tos.rtd",,BA$83,"."&amp;$B$82&amp;$AS$82&amp;"C"&amp;$A124)="N/A",0,RTD("tos.rtd",,BA$83,"."&amp;$B$82&amp;$AS$82&amp;"C"&amp;$A124))</f>
        <v>0</v>
      </c>
      <c r="BB124" s="3">
        <f>-IF(RTD("tos.rtd",,BB$83,"."&amp;$B$82&amp;$AS$82&amp;"P"&amp;$A124)="N/A",0,RTD("tos.rtd",,BB$83,"."&amp;$B$82&amp;$AS$82&amp;"P"&amp;$A124))</f>
        <v>0</v>
      </c>
      <c r="BC124" s="54">
        <f>IF(RTD("tos.rtd",,BC$83,"."&amp;$C$82&amp;$AU$82&amp;"C"&amp;$A124)="N/A",0,RTD("tos.rtd",,BC$83,"."&amp;$C$82&amp;$AU$82&amp;"C"&amp;$A124))</f>
        <v>554</v>
      </c>
      <c r="BD124" s="3">
        <f>-IF(RTD("tos.rtd",,BD$83,"."&amp;$C$82&amp;$AU$82&amp;"P"&amp;$A124)="N/A",0,RTD("tos.rtd",,BD$83,"."&amp;$C$82&amp;$AU$82&amp;"P"&amp;$A124))</f>
        <v>-1885</v>
      </c>
      <c r="BE124" s="54">
        <f>IF(RTD("tos.rtd",,BE$83,"."&amp;$D$82&amp;$AW$82&amp;"C"&amp;$A124)="N/A",0,RTD("tos.rtd",,BE$83,"."&amp;$D$82&amp;$AW$82&amp;"C"&amp;$A124))</f>
        <v>43</v>
      </c>
      <c r="BF124" s="3">
        <f>-IF(RTD("tos.rtd",,BF$83,"."&amp;$D$82&amp;$AW$82&amp;"P"&amp;$A124)="N/A",0,RTD("tos.rtd",,BF$83,"."&amp;$D$82&amp;$AW$82&amp;"P"&amp;$A124))</f>
        <v>-586</v>
      </c>
      <c r="BG124" s="3">
        <f ca="1">+Hoja2!Y125</f>
        <v>-216</v>
      </c>
      <c r="BH124" s="55">
        <f t="shared" ca="1" si="491"/>
        <v>-2090</v>
      </c>
      <c r="BI124" s="32" t="str">
        <f t="shared" ca="1" si="507"/>
        <v/>
      </c>
      <c r="BJ124" s="3" t="e">
        <f ca="1">IF($BP$1=1,DX124,IF(RTD("tos.rtd",,BJ$83,"."&amp;$B$82&amp;$AS$82&amp;"C"&amp;$A124)="N/A",0,RTD("tos.rtd",,BJ$83,"."&amp;$B$82&amp;$AS$82&amp;"C"&amp;$A124)))</f>
        <v>#NUM!</v>
      </c>
      <c r="BK124" s="3" t="e">
        <f ca="1">IF($BP$1=1,DY124,-IF(RTD("tos.rtd",,BK$83,"."&amp;$B$82&amp;$AS$82&amp;"P"&amp;$A124)="N/A",0,RTD("tos.rtd",,BK$83,"."&amp;$B$82&amp;$AS$82&amp;"P"&amp;$A124)))</f>
        <v>#NUM!</v>
      </c>
      <c r="BL124" s="3" t="e">
        <f ca="1">IF($BP$1=1,DZ124,IF(RTD("tos.rtd",,BL$83,"."&amp;$C$82&amp;$AU$82&amp;"C"&amp;$A124)="N/A",0,RTD("tos.rtd",,BL$83,"."&amp;$C$82&amp;$AU$82&amp;"C"&amp;$A124)))</f>
        <v>#NUM!</v>
      </c>
      <c r="BM124" s="3" t="e">
        <f ca="1">IF($BP$1=1,EA124,-IF(RTD("tos.rtd",,BM$83,"."&amp;$C$82&amp;$AU$82&amp;"P"&amp;$A124)="N/A",0,RTD("tos.rtd",,BM$83,"."&amp;$C$82&amp;$AU$82&amp;"P"&amp;$A124)))</f>
        <v>#NUM!</v>
      </c>
      <c r="BN124" s="3" t="e">
        <f ca="1">IF($BP$1=1,EB124,IF(RTD("tos.rtd",,BN$83,"."&amp;$D$82&amp;$AW$82&amp;"C"&amp;$A124)="N/A",0,RTD("tos.rtd",,BN$83,"."&amp;$D$82&amp;$AW$82&amp;"C"&amp;$A124)))</f>
        <v>#NUM!</v>
      </c>
      <c r="BO124" s="3" t="e">
        <f ca="1">IF($BP$1=1,EC124,-IF(RTD("tos.rtd",,BO$83,"."&amp;$D$82&amp;$AW$82&amp;"P"&amp;$A124)="N/A",0,RTD("tos.rtd",,BO$83,"."&amp;$D$82&amp;$AW$82&amp;"P"&amp;$A124)))</f>
        <v>#NUM!</v>
      </c>
      <c r="BQ124" s="3" t="e">
        <f t="shared" ca="1" si="452"/>
        <v>#NUM!</v>
      </c>
      <c r="BR124" s="3" t="e">
        <f t="shared" ca="1" si="492"/>
        <v>#NUM!</v>
      </c>
      <c r="BS124" s="3" t="e">
        <f t="shared" ca="1" si="453"/>
        <v>#NUM!</v>
      </c>
      <c r="BT124" s="3" t="e">
        <f t="shared" ca="1" si="492"/>
        <v>#NUM!</v>
      </c>
      <c r="BU124" s="3" t="e">
        <f t="shared" ca="1" si="454"/>
        <v>#NUM!</v>
      </c>
      <c r="BV124" s="3" t="e">
        <f t="shared" ca="1" si="492"/>
        <v>#NUM!</v>
      </c>
      <c r="BX124" s="3" t="e">
        <f t="shared" ca="1" si="455"/>
        <v>#NUM!</v>
      </c>
      <c r="BY124" s="3" t="e">
        <f t="shared" ca="1" si="504"/>
        <v>#NUM!</v>
      </c>
      <c r="BZ124" s="3" t="e">
        <f t="shared" ca="1" si="456"/>
        <v>#NUM!</v>
      </c>
      <c r="CA124" s="3" t="e">
        <f t="shared" ca="1" si="504"/>
        <v>#NUM!</v>
      </c>
      <c r="CB124" s="3" t="e">
        <f t="shared" ca="1" si="457"/>
        <v>#NUM!</v>
      </c>
      <c r="CC124" s="3" t="e">
        <f t="shared" ca="1" si="504"/>
        <v>#NUM!</v>
      </c>
      <c r="CD124" s="3">
        <f>IF(RTD("tos.rtd",,CD$83,"."&amp;$B$82&amp;$AS$82&amp;"C"&amp;$A124)="N/A",0,RTD("tos.rtd",,CD$83,"."&amp;$B$82&amp;$AS$82&amp;"C"&amp;$A124))</f>
        <v>1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1</v>
      </c>
      <c r="CG124" s="3">
        <f>-IF(RTD("tos.rtd",,CG$83,"."&amp;$C$82&amp;$AU$82&amp;"P"&amp;$A124)="N/A",0,RTD("tos.rtd",,CG$83,"."&amp;$C$82&amp;$AU$82&amp;"P"&amp;$A124))</f>
        <v>0</v>
      </c>
      <c r="CH124" s="3">
        <f>IF(RTD("tos.rtd",,CH$83,"."&amp;$D$82&amp;$AW$82&amp;"C"&amp;$A124)="N/A",0,RTD("tos.rtd",,CH$83,"."&amp;$D$82&amp;$AW$82&amp;"C"&amp;$A124))</f>
        <v>0.84</v>
      </c>
      <c r="CI124" s="3">
        <f>-IF(RTD("tos.rtd",,CI$83,"."&amp;$D$82&amp;$AW$82&amp;"P"&amp;$A124)="N/A",0,RTD("tos.rtd",,CI$83,"."&amp;$D$82&amp;$AW$82&amp;"P"&amp;$A124))</f>
        <v>0.14000000000000001</v>
      </c>
      <c r="CK124" s="3">
        <f t="shared" si="493"/>
        <v>12000</v>
      </c>
      <c r="CL124" s="3"/>
      <c r="CM124" s="3">
        <f t="shared" si="494"/>
        <v>76600</v>
      </c>
      <c r="CN124" s="3"/>
      <c r="CO124" s="3">
        <f t="shared" si="495"/>
        <v>-11704.000000000005</v>
      </c>
      <c r="CP124" s="3">
        <f t="shared" si="458"/>
        <v>76896</v>
      </c>
      <c r="CQ124" s="3">
        <f t="shared" si="459"/>
        <v>0</v>
      </c>
      <c r="CR124" s="3"/>
      <c r="CS124" s="3">
        <f t="shared" si="460"/>
        <v>-1331</v>
      </c>
      <c r="CT124" s="3"/>
      <c r="CU124" s="3">
        <f t="shared" si="461"/>
        <v>-543</v>
      </c>
      <c r="CV124" s="3"/>
      <c r="CW124" s="3" t="e">
        <f t="shared" ca="1" si="462"/>
        <v>#NUM!</v>
      </c>
      <c r="CY124" s="3" t="e">
        <f t="shared" ca="1" si="463"/>
        <v>#NUM!</v>
      </c>
      <c r="CZ124" s="70" t="e">
        <f t="shared" ca="1" si="505"/>
        <v>#NUM!</v>
      </c>
      <c r="DA124" s="3">
        <f>IF(RTD("tos.rtd",,DA$83,"."&amp;$B$82&amp;$AS$82&amp;"C"&amp;$A124)="N/A",0,RTD("tos.rtd",,DA$83,"."&amp;$B$82&amp;$AS$82&amp;"C"&amp;$A124))</f>
        <v>201.92</v>
      </c>
      <c r="DB124" s="3">
        <f>IF(RTD("tos.rtd",,DB$83,"."&amp;$B$82&amp;$AS$82&amp;"P"&amp;$A124)="N/A",0,RTD("tos.rtd",,DB$83,"."&amp;$B$82&amp;$AS$82&amp;"P"&amp;$A124))</f>
        <v>0.03</v>
      </c>
      <c r="DC124" s="3">
        <f>IF(RTD("tos.rtd",,DC$83,"."&amp;$B$82&amp;$AS$82&amp;"C"&amp;$A124)="N/A",0,RTD("tos.rtd",,DC$83,"."&amp;$B$82&amp;$AS$82&amp;"C"&amp;$A124))</f>
        <v>178.1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162.9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7"/>
        <v>-180</v>
      </c>
      <c r="DH124" s="3">
        <f t="shared" si="464"/>
        <v>-46.207894736842121</v>
      </c>
      <c r="DI124" s="3">
        <f t="shared" si="465"/>
        <v>3463.2</v>
      </c>
      <c r="DJ124" s="3">
        <f t="shared" si="466"/>
        <v>-18</v>
      </c>
      <c r="DK124" s="3">
        <f t="shared" si="467"/>
        <v>5772</v>
      </c>
      <c r="DL124" s="3">
        <f t="shared" si="468"/>
        <v>3416.9921052631576</v>
      </c>
      <c r="DM124" s="3">
        <f t="shared" si="469"/>
        <v>5754</v>
      </c>
      <c r="DN124" s="64" t="str">
        <f t="shared" si="470"/>
        <v>UNKNOWN</v>
      </c>
      <c r="DO124" s="64" t="str">
        <f t="shared" si="471"/>
        <v>UNKNOWN</v>
      </c>
      <c r="DP124" s="3">
        <f t="shared" si="472"/>
        <v>-9226.4021052631597</v>
      </c>
      <c r="DQ124" s="3">
        <f t="shared" si="473"/>
        <v>-3461.4</v>
      </c>
      <c r="DR124" s="3" t="e">
        <f t="shared" ca="1" si="474"/>
        <v>#NUM!</v>
      </c>
      <c r="DS124" s="3">
        <f t="shared" si="475"/>
        <v>-18</v>
      </c>
      <c r="DT124" s="3">
        <f t="shared" si="498"/>
        <v>-18</v>
      </c>
      <c r="DU124" s="3">
        <f t="shared" si="499"/>
        <v>5772</v>
      </c>
      <c r="DV124" s="3">
        <f t="shared" si="500"/>
        <v>1</v>
      </c>
      <c r="DW124" s="3">
        <f t="shared" si="501"/>
        <v>2049</v>
      </c>
      <c r="DX124" s="3" t="e">
        <f t="shared" ca="1" si="506"/>
        <v>#NUM!</v>
      </c>
      <c r="DY124" s="3" t="e">
        <f t="shared" ca="1" si="476"/>
        <v>#NUM!</v>
      </c>
      <c r="DZ124" s="3" t="e">
        <f t="shared" ca="1" si="477"/>
        <v>#NUM!</v>
      </c>
      <c r="EA124" s="3" t="e">
        <f t="shared" ca="1" si="478"/>
        <v>#NUM!</v>
      </c>
      <c r="EB124" s="3" t="e">
        <f t="shared" ca="1" si="479"/>
        <v>#NUM!</v>
      </c>
      <c r="EC124" s="3" t="e">
        <f t="shared" ca="1" si="480"/>
        <v>#NUM!</v>
      </c>
      <c r="EE124" s="59">
        <f t="shared" si="481"/>
        <v>0.25</v>
      </c>
      <c r="EF124" s="59">
        <f t="shared" si="482"/>
        <v>1.4367000000000001</v>
      </c>
      <c r="EG124" s="59">
        <f t="shared" si="483"/>
        <v>0.25</v>
      </c>
      <c r="EH124" s="59">
        <f t="shared" si="484"/>
        <v>1.4367000000000001</v>
      </c>
      <c r="EI124" s="59">
        <f t="shared" si="485"/>
        <v>0.28149999999999997</v>
      </c>
      <c r="EJ124" s="59">
        <f t="shared" si="486"/>
        <v>0.26300000000000001</v>
      </c>
      <c r="EL124" s="3" t="str">
        <f>RTD("tos.rtd",,EL$83,"."&amp;$B$82&amp;$AS$82&amp;"C"&amp;$A124)</f>
        <v>--</v>
      </c>
      <c r="EM124" s="3" t="str">
        <f>RTD("tos.rtd",,EM$83,"."&amp;$B$82&amp;$AS$82&amp;"P"&amp;$A124)</f>
        <v>143.67%</v>
      </c>
      <c r="EN124" s="3" t="str">
        <f>RTD("tos.rtd",,EN$83,"."&amp;$C$82&amp;$AU$82&amp;"C"&amp;$A124)</f>
        <v>--</v>
      </c>
      <c r="EO124" s="3" t="str">
        <f>RTD("tos.rtd",,EO$83,"."&amp;$C$82&amp;$AU$82&amp;"P"&amp;$A124)</f>
        <v>143.67%</v>
      </c>
      <c r="EP124" s="3" t="str">
        <f>RTD("tos.rtd",,EP$83,"."&amp;$D$82&amp;$AW$82&amp;"C"&amp;$A124)</f>
        <v>28.15%</v>
      </c>
      <c r="EQ124" s="3" t="str">
        <f>RTD("tos.rtd",,EQ$83,"."&amp;$D$82&amp;$AW$82&amp;"P"&amp;$A124)</f>
        <v>26.30%</v>
      </c>
      <c r="ES124" s="63" t="str">
        <f t="shared" si="487"/>
        <v>5480,2050.00</v>
      </c>
      <c r="ET124" s="64" t="str">
        <f t="shared" ca="1" si="488"/>
        <v>5480,00.00</v>
      </c>
      <c r="EU124" s="67">
        <v>563.1</v>
      </c>
      <c r="EV124" s="67" t="s">
        <v>1011</v>
      </c>
      <c r="EW124" s="67">
        <v>485.67</v>
      </c>
      <c r="EX124" s="67" t="s">
        <v>1012</v>
      </c>
      <c r="EY124" s="67">
        <v>5644.25</v>
      </c>
      <c r="EZ124" s="67" t="s">
        <v>1013</v>
      </c>
      <c r="FA124" s="67">
        <v>19951.25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502"/>
        <v>5470</v>
      </c>
      <c r="B125" s="3">
        <f t="shared" si="447"/>
        <v>741</v>
      </c>
      <c r="C125" s="3">
        <f t="shared" si="448"/>
        <v>773</v>
      </c>
      <c r="D125" s="3">
        <f t="shared" si="449"/>
        <v>450</v>
      </c>
      <c r="E125" s="3">
        <f t="shared" si="513"/>
        <v>1964</v>
      </c>
      <c r="F125" s="4">
        <f t="shared" si="516"/>
        <v>5493.1943462897525</v>
      </c>
      <c r="G125" s="4">
        <f t="shared" si="514"/>
        <v>545.84028268551231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-121</v>
      </c>
      <c r="AN125" s="20">
        <v>-240</v>
      </c>
      <c r="AO125" s="20">
        <v>5470</v>
      </c>
      <c r="AP125" s="20">
        <v>165</v>
      </c>
      <c r="AQ125" s="20">
        <v>-1333</v>
      </c>
      <c r="AR125" s="20"/>
      <c r="AS125" s="54">
        <f>IF(RTD("tos.rtd",,AS$83,"."&amp;$B$82&amp;$AS$82&amp;"C"&amp;$A125)="N/A",0,RTD("tos.rtd",,AS$83,"."&amp;$B$82&amp;$AS$82&amp;"C"&amp;$A125))</f>
        <v>221</v>
      </c>
      <c r="AT125" s="3">
        <f>-IF(RTD("tos.rtd",,AT$83,"."&amp;$B$82&amp;$AS$82&amp;"P"&amp;$A125)="N/A",0,RTD("tos.rtd",,AT$83,"."&amp;$B$82&amp;$AS$82&amp;"P"&amp;$A125))</f>
        <v>-520</v>
      </c>
      <c r="AU125" s="54">
        <f>IF(RTD("tos.rtd",,AU$83,"."&amp;$C$82&amp;$AU$82&amp;"C"&amp;$A125)="N/A",0,RTD("tos.rtd",,AU$83,"."&amp;$C$82&amp;$AU$82&amp;"C"&amp;$A125))</f>
        <v>128</v>
      </c>
      <c r="AV125" s="3">
        <f>-IF(RTD("tos.rtd",,AV$83,"."&amp;$C$82&amp;$AU$82&amp;"P"&amp;$A125)="N/A",0,RTD("tos.rtd",,AV$83,"."&amp;$C$82&amp;$AU$82&amp;"P"&amp;$A125))</f>
        <v>-645</v>
      </c>
      <c r="AW125" s="54">
        <f>IF(RTD("tos.rtd",,AW$83,"."&amp;$D$82&amp;$AW$82&amp;"C"&amp;$A125)="N/A",0,RTD("tos.rtd",,AW$83,"."&amp;$D$82&amp;$AW$82&amp;"C"&amp;$A125))</f>
        <v>117</v>
      </c>
      <c r="AX125" s="3">
        <f>-IF(RTD("tos.rtd",,AX$83,"."&amp;$D$82&amp;$AW$82&amp;"P"&amp;$A125)="N/A",0,RTD("tos.rtd",,AX$83,"."&amp;$D$82&amp;$AW$82&amp;"P"&amp;$A125))</f>
        <v>-333</v>
      </c>
      <c r="AY125" s="79">
        <f t="shared" si="515"/>
        <v>-1032</v>
      </c>
      <c r="AZ125" s="8">
        <f t="shared" si="451"/>
        <v>5470</v>
      </c>
      <c r="BA125" s="54">
        <f>IF(RTD("tos.rtd",,BA$83,"."&amp;$B$82&amp;$AS$82&amp;"C"&amp;$A125)="N/A",0,RTD("tos.rtd",,BA$83,"."&amp;$B$82&amp;$AS$82&amp;"C"&amp;$A125))</f>
        <v>0</v>
      </c>
      <c r="BB125" s="3">
        <f>-IF(RTD("tos.rtd",,BB$83,"."&amp;$B$82&amp;$AS$82&amp;"P"&amp;$A125)="N/A",0,RTD("tos.rtd",,BB$83,"."&amp;$B$82&amp;$AS$82&amp;"P"&amp;$A125))</f>
        <v>0</v>
      </c>
      <c r="BC125" s="54">
        <f>IF(RTD("tos.rtd",,BC$83,"."&amp;$C$82&amp;$AU$82&amp;"C"&amp;$A125)="N/A",0,RTD("tos.rtd",,BC$83,"."&amp;$C$82&amp;$AU$82&amp;"C"&amp;$A125))</f>
        <v>14</v>
      </c>
      <c r="BD125" s="3">
        <f>-IF(RTD("tos.rtd",,BD$83,"."&amp;$C$82&amp;$AU$82&amp;"P"&amp;$A125)="N/A",0,RTD("tos.rtd",,BD$83,"."&amp;$C$82&amp;$AU$82&amp;"P"&amp;$A125))</f>
        <v>-595</v>
      </c>
      <c r="BE125" s="54">
        <f>IF(RTD("tos.rtd",,BE$83,"."&amp;$D$82&amp;$AW$82&amp;"C"&amp;$A125)="N/A",0,RTD("tos.rtd",,BE$83,"."&amp;$D$82&amp;$AW$82&amp;"C"&amp;$A125))</f>
        <v>1</v>
      </c>
      <c r="BF125" s="3">
        <f>-IF(RTD("tos.rtd",,BF$83,"."&amp;$D$82&amp;$AW$82&amp;"P"&amp;$A125)="N/A",0,RTD("tos.rtd",,BF$83,"."&amp;$D$82&amp;$AW$82&amp;"P"&amp;$A125))</f>
        <v>-205</v>
      </c>
      <c r="BG125" s="3">
        <f ca="1">+Hoja2!Y126</f>
        <v>-44</v>
      </c>
      <c r="BH125" s="55">
        <f t="shared" ca="1" si="491"/>
        <v>-829</v>
      </c>
      <c r="BI125" s="32" t="str">
        <f t="shared" ca="1" si="507"/>
        <v/>
      </c>
      <c r="BJ125" s="3" t="e">
        <f ca="1">IF($BP$1=1,DX125,IF(RTD("tos.rtd",,BJ$83,"."&amp;$B$82&amp;$AS$82&amp;"C"&amp;$A125)="N/A",0,RTD("tos.rtd",,BJ$83,"."&amp;$B$82&amp;$AS$82&amp;"C"&amp;$A125)))</f>
        <v>#NUM!</v>
      </c>
      <c r="BK125" s="3" t="e">
        <f ca="1">IF($BP$1=1,DY125,-IF(RTD("tos.rtd",,BK$83,"."&amp;$B$82&amp;$AS$82&amp;"P"&amp;$A125)="N/A",0,RTD("tos.rtd",,BK$83,"."&amp;$B$82&amp;$AS$82&amp;"P"&amp;$A125)))</f>
        <v>#NUM!</v>
      </c>
      <c r="BL125" s="3" t="e">
        <f ca="1">IF($BP$1=1,DZ125,IF(RTD("tos.rtd",,BL$83,"."&amp;$C$82&amp;$AU$82&amp;"C"&amp;$A125)="N/A",0,RTD("tos.rtd",,BL$83,"."&amp;$C$82&amp;$AU$82&amp;"C"&amp;$A125)))</f>
        <v>#NUM!</v>
      </c>
      <c r="BM125" s="3" t="e">
        <f ca="1">IF($BP$1=1,EA125,-IF(RTD("tos.rtd",,BM$83,"."&amp;$C$82&amp;$AU$82&amp;"P"&amp;$A125)="N/A",0,RTD("tos.rtd",,BM$83,"."&amp;$C$82&amp;$AU$82&amp;"P"&amp;$A125)))</f>
        <v>#NUM!</v>
      </c>
      <c r="BN125" s="3" t="e">
        <f ca="1">IF($BP$1=1,EB125,IF(RTD("tos.rtd",,BN$83,"."&amp;$D$82&amp;$AW$82&amp;"C"&amp;$A125)="N/A",0,RTD("tos.rtd",,BN$83,"."&amp;$D$82&amp;$AW$82&amp;"C"&amp;$A125)))</f>
        <v>#NUM!</v>
      </c>
      <c r="BO125" s="3" t="e">
        <f ca="1">IF($BP$1=1,EC125,-IF(RTD("tos.rtd",,BO$83,"."&amp;$D$82&amp;$AW$82&amp;"P"&amp;$A125)="N/A",0,RTD("tos.rtd",,BO$83,"."&amp;$D$82&amp;$AW$82&amp;"P"&amp;$A125)))</f>
        <v>#NUM!</v>
      </c>
      <c r="BQ125" s="3" t="e">
        <f t="shared" ca="1" si="452"/>
        <v>#NUM!</v>
      </c>
      <c r="BR125" s="3" t="e">
        <f t="shared" ca="1" si="492"/>
        <v>#NUM!</v>
      </c>
      <c r="BS125" s="3" t="e">
        <f t="shared" ca="1" si="453"/>
        <v>#NUM!</v>
      </c>
      <c r="BT125" s="3" t="e">
        <f t="shared" ca="1" si="492"/>
        <v>#NUM!</v>
      </c>
      <c r="BU125" s="3" t="e">
        <f t="shared" ca="1" si="454"/>
        <v>#NUM!</v>
      </c>
      <c r="BV125" s="3" t="e">
        <f t="shared" ca="1" si="492"/>
        <v>#NUM!</v>
      </c>
      <c r="BX125" s="3" t="e">
        <f t="shared" ca="1" si="455"/>
        <v>#NUM!</v>
      </c>
      <c r="BY125" s="3" t="e">
        <f t="shared" ca="1" si="504"/>
        <v>#NUM!</v>
      </c>
      <c r="BZ125" s="3" t="e">
        <f t="shared" ca="1" si="456"/>
        <v>#NUM!</v>
      </c>
      <c r="CA125" s="3" t="e">
        <f t="shared" ca="1" si="504"/>
        <v>#NUM!</v>
      </c>
      <c r="CB125" s="3" t="e">
        <f t="shared" ca="1" si="457"/>
        <v>#NUM!</v>
      </c>
      <c r="CC125" s="3" t="e">
        <f t="shared" ca="1" si="504"/>
        <v>#NUM!</v>
      </c>
      <c r="CD125" s="3">
        <f>IF(RTD("tos.rtd",,CD$83,"."&amp;$B$82&amp;$AS$82&amp;"C"&amp;$A125)="N/A",0,RTD("tos.rtd",,CD$83,"."&amp;$B$82&amp;$AS$82&amp;"C"&amp;$A125))</f>
        <v>1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1</v>
      </c>
      <c r="CG125" s="3">
        <f>-IF(RTD("tos.rtd",,CG$83,"."&amp;$C$82&amp;$AU$82&amp;"P"&amp;$A125)="N/A",0,RTD("tos.rtd",,CG$83,"."&amp;$C$82&amp;$AU$82&amp;"P"&amp;$A125))</f>
        <v>0</v>
      </c>
      <c r="CH125" s="3">
        <f>IF(RTD("tos.rtd",,CH$83,"."&amp;$D$82&amp;$AW$82&amp;"C"&amp;$A125)="N/A",0,RTD("tos.rtd",,CH$83,"."&amp;$D$82&amp;$AW$82&amp;"C"&amp;$A125))</f>
        <v>0.85</v>
      </c>
      <c r="CI125" s="3">
        <f>-IF(RTD("tos.rtd",,CI$83,"."&amp;$D$82&amp;$AW$82&amp;"P"&amp;$A125)="N/A",0,RTD("tos.rtd",,CI$83,"."&amp;$D$82&amp;$AW$82&amp;"P"&amp;$A125))</f>
        <v>0.13</v>
      </c>
      <c r="CK125" s="3">
        <f t="shared" si="493"/>
        <v>22100</v>
      </c>
      <c r="CL125" s="3"/>
      <c r="CM125" s="3">
        <f t="shared" si="494"/>
        <v>12800</v>
      </c>
      <c r="CN125" s="3"/>
      <c r="CO125" s="3">
        <f t="shared" si="495"/>
        <v>5616</v>
      </c>
      <c r="CP125" s="3">
        <f t="shared" si="458"/>
        <v>40516</v>
      </c>
      <c r="CQ125" s="3">
        <f t="shared" si="459"/>
        <v>0</v>
      </c>
      <c r="CR125" s="3"/>
      <c r="CS125" s="3">
        <f t="shared" si="460"/>
        <v>-581</v>
      </c>
      <c r="CT125" s="3"/>
      <c r="CU125" s="3">
        <f t="shared" si="461"/>
        <v>-204</v>
      </c>
      <c r="CV125" s="3"/>
      <c r="CW125" s="3" t="e">
        <f t="shared" ca="1" si="462"/>
        <v>#NUM!</v>
      </c>
      <c r="CY125" s="3" t="e">
        <f t="shared" ca="1" si="463"/>
        <v>#NUM!</v>
      </c>
      <c r="CZ125" s="70" t="e">
        <f t="shared" ca="1" si="505"/>
        <v>#NUM!</v>
      </c>
      <c r="DA125" s="3">
        <f>IF(RTD("tos.rtd",,DA$83,"."&amp;$B$82&amp;$AS$82&amp;"C"&amp;$A125)="N/A",0,RTD("tos.rtd",,DA$83,"."&amp;$B$82&amp;$AS$82&amp;"C"&amp;$A125))</f>
        <v>190.8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188.1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172.9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7"/>
        <v>-190</v>
      </c>
      <c r="DH125" s="3">
        <f t="shared" si="464"/>
        <v>-194.30921052631601</v>
      </c>
      <c r="DI125" s="3">
        <f t="shared" si="465"/>
        <v>799.8</v>
      </c>
      <c r="DJ125" s="3">
        <f t="shared" si="466"/>
        <v>-165</v>
      </c>
      <c r="DK125" s="3">
        <f t="shared" si="467"/>
        <v>1333</v>
      </c>
      <c r="DL125" s="3">
        <f t="shared" si="468"/>
        <v>605.49078947368389</v>
      </c>
      <c r="DM125" s="3">
        <f t="shared" si="469"/>
        <v>1168</v>
      </c>
      <c r="DN125" s="64" t="str">
        <f t="shared" si="470"/>
        <v>UNKNOWN</v>
      </c>
      <c r="DO125" s="64" t="str">
        <f t="shared" si="471"/>
        <v>UNKNOWN</v>
      </c>
      <c r="DP125" s="3">
        <f t="shared" si="472"/>
        <v>-37050.203368421098</v>
      </c>
      <c r="DQ125" s="3">
        <f t="shared" si="473"/>
        <v>-31442.010000000002</v>
      </c>
      <c r="DR125" s="3" t="e">
        <f t="shared" ca="1" si="474"/>
        <v>#NUM!</v>
      </c>
      <c r="DS125" s="3">
        <f t="shared" si="475"/>
        <v>-165</v>
      </c>
      <c r="DT125" s="3">
        <f t="shared" si="498"/>
        <v>-165</v>
      </c>
      <c r="DU125" s="3">
        <f t="shared" si="499"/>
        <v>1333</v>
      </c>
      <c r="DV125" s="3">
        <f t="shared" si="500"/>
        <v>-121</v>
      </c>
      <c r="DW125" s="3">
        <f t="shared" si="501"/>
        <v>-240</v>
      </c>
      <c r="DX125" s="3" t="e">
        <f t="shared" ca="1" si="506"/>
        <v>#NUM!</v>
      </c>
      <c r="DY125" s="3" t="e">
        <f t="shared" ca="1" si="476"/>
        <v>#NUM!</v>
      </c>
      <c r="DZ125" s="3" t="e">
        <f t="shared" ca="1" si="477"/>
        <v>#NUM!</v>
      </c>
      <c r="EA125" s="3" t="e">
        <f t="shared" ca="1" si="478"/>
        <v>#NUM!</v>
      </c>
      <c r="EB125" s="3" t="e">
        <f t="shared" ca="1" si="479"/>
        <v>#NUM!</v>
      </c>
      <c r="EC125" s="3" t="e">
        <f t="shared" ca="1" si="480"/>
        <v>#NUM!</v>
      </c>
      <c r="EE125" s="59">
        <f t="shared" si="481"/>
        <v>0.25</v>
      </c>
      <c r="EF125" s="59">
        <f t="shared" si="482"/>
        <v>1.5107999999999999</v>
      </c>
      <c r="EG125" s="59">
        <f t="shared" si="483"/>
        <v>0.25</v>
      </c>
      <c r="EH125" s="59">
        <f t="shared" si="484"/>
        <v>1.5107999999999999</v>
      </c>
      <c r="EI125" s="59">
        <f t="shared" si="485"/>
        <v>0.28399999999999997</v>
      </c>
      <c r="EJ125" s="59">
        <f t="shared" si="486"/>
        <v>0.26450000000000001</v>
      </c>
      <c r="EL125" s="3" t="str">
        <f>RTD("tos.rtd",,EL$83,"."&amp;$B$82&amp;$AS$82&amp;"C"&amp;$A125)</f>
        <v>--</v>
      </c>
      <c r="EM125" s="3" t="str">
        <f>RTD("tos.rtd",,EM$83,"."&amp;$B$82&amp;$AS$82&amp;"P"&amp;$A125)</f>
        <v>151.08%</v>
      </c>
      <c r="EN125" s="3" t="str">
        <f>RTD("tos.rtd",,EN$83,"."&amp;$C$82&amp;$AU$82&amp;"C"&amp;$A125)</f>
        <v>--</v>
      </c>
      <c r="EO125" s="3" t="str">
        <f>RTD("tos.rtd",,EO$83,"."&amp;$C$82&amp;$AU$82&amp;"P"&amp;$A125)</f>
        <v>151.08%</v>
      </c>
      <c r="EP125" s="3" t="str">
        <f>RTD("tos.rtd",,EP$83,"."&amp;$D$82&amp;$AW$82&amp;"C"&amp;$A125)</f>
        <v>28.40%</v>
      </c>
      <c r="EQ125" s="3" t="str">
        <f>RTD("tos.rtd",,EQ$83,"."&amp;$D$82&amp;$AW$82&amp;"P"&amp;$A125)</f>
        <v>26.45%</v>
      </c>
      <c r="ES125" s="63" t="str">
        <f t="shared" si="487"/>
        <v>5470,-361.00</v>
      </c>
      <c r="ET125" s="64" t="str">
        <f t="shared" ca="1" si="488"/>
        <v>5470,00.00</v>
      </c>
      <c r="EU125" s="67">
        <v>563.12</v>
      </c>
      <c r="EV125" s="67" t="s">
        <v>1019</v>
      </c>
      <c r="EW125" s="67">
        <v>485.74</v>
      </c>
      <c r="EX125" s="67" t="s">
        <v>1020</v>
      </c>
      <c r="EY125" s="67">
        <v>5644.75</v>
      </c>
      <c r="EZ125" s="67" t="s">
        <v>1021</v>
      </c>
      <c r="FA125" s="67">
        <v>19954.25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502"/>
        <v>5460</v>
      </c>
      <c r="B126" s="3">
        <f t="shared" si="447"/>
        <v>835</v>
      </c>
      <c r="C126" s="3">
        <f t="shared" si="448"/>
        <v>1520</v>
      </c>
      <c r="D126" s="3">
        <f t="shared" si="449"/>
        <v>797</v>
      </c>
      <c r="E126" s="3">
        <f t="shared" si="513"/>
        <v>3152</v>
      </c>
      <c r="F126" s="4">
        <f t="shared" si="516"/>
        <v>5483.1519434628972</v>
      </c>
      <c r="G126" s="4">
        <f t="shared" si="514"/>
        <v>544.84240282685505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-31</v>
      </c>
      <c r="AN126" s="20">
        <v>-1840</v>
      </c>
      <c r="AO126" s="20">
        <v>5460</v>
      </c>
      <c r="AP126" s="20">
        <v>61</v>
      </c>
      <c r="AQ126" s="20">
        <v>-5268</v>
      </c>
      <c r="AR126" s="20"/>
      <c r="AS126" s="54">
        <f>IF(RTD("tos.rtd",,AS$83,"."&amp;$B$82&amp;$AS$82&amp;"C"&amp;$A126)="N/A",0,RTD("tos.rtd",,AS$83,"."&amp;$B$82&amp;$AS$82&amp;"C"&amp;$A126))</f>
        <v>73</v>
      </c>
      <c r="AT126" s="3">
        <f>-IF(RTD("tos.rtd",,AT$83,"."&amp;$B$82&amp;$AS$82&amp;"P"&amp;$A126)="N/A",0,RTD("tos.rtd",,AT$83,"."&amp;$B$82&amp;$AS$82&amp;"P"&amp;$A126))</f>
        <v>-762</v>
      </c>
      <c r="AU126" s="54">
        <f>IF(RTD("tos.rtd",,AU$83,"."&amp;$C$82&amp;$AU$82&amp;"C"&amp;$A126)="N/A",0,RTD("tos.rtd",,AU$83,"."&amp;$C$82&amp;$AU$82&amp;"C"&amp;$A126))</f>
        <v>318</v>
      </c>
      <c r="AV126" s="3">
        <f>-IF(RTD("tos.rtd",,AV$83,"."&amp;$C$82&amp;$AU$82&amp;"P"&amp;$A126)="N/A",0,RTD("tos.rtd",,AV$83,"."&amp;$C$82&amp;$AU$82&amp;"P"&amp;$A126))</f>
        <v>-1202</v>
      </c>
      <c r="AW126" s="54">
        <f>IF(RTD("tos.rtd",,AW$83,"."&amp;$D$82&amp;$AW$82&amp;"C"&amp;$A126)="N/A",0,RTD("tos.rtd",,AW$83,"."&amp;$D$82&amp;$AW$82&amp;"C"&amp;$A126))</f>
        <v>460</v>
      </c>
      <c r="AX126" s="3">
        <f>-IF(RTD("tos.rtd",,AX$83,"."&amp;$D$82&amp;$AW$82&amp;"P"&amp;$A126)="N/A",0,RTD("tos.rtd",,AX$83,"."&amp;$D$82&amp;$AW$82&amp;"P"&amp;$A126))</f>
        <v>-337</v>
      </c>
      <c r="AY126" s="79">
        <f t="shared" si="515"/>
        <v>-1450</v>
      </c>
      <c r="AZ126" s="8">
        <f t="shared" si="451"/>
        <v>5460</v>
      </c>
      <c r="BA126" s="54">
        <f>IF(RTD("tos.rtd",,BA$83,"."&amp;$B$82&amp;$AS$82&amp;"C"&amp;$A126)="N/A",0,RTD("tos.rtd",,BA$83,"."&amp;$B$82&amp;$AS$82&amp;"C"&amp;$A126))</f>
        <v>0</v>
      </c>
      <c r="BB126" s="3">
        <f>-IF(RTD("tos.rtd",,BB$83,"."&amp;$B$82&amp;$AS$82&amp;"P"&amp;$A126)="N/A",0,RTD("tos.rtd",,BB$83,"."&amp;$B$82&amp;$AS$82&amp;"P"&amp;$A126))</f>
        <v>0</v>
      </c>
      <c r="BC126" s="54">
        <f>IF(RTD("tos.rtd",,BC$83,"."&amp;$C$82&amp;$AU$82&amp;"C"&amp;$A126)="N/A",0,RTD("tos.rtd",,BC$83,"."&amp;$C$82&amp;$AU$82&amp;"C"&amp;$A126))</f>
        <v>44</v>
      </c>
      <c r="BD126" s="3">
        <f>-IF(RTD("tos.rtd",,BD$83,"."&amp;$C$82&amp;$AU$82&amp;"P"&amp;$A126)="N/A",0,RTD("tos.rtd",,BD$83,"."&amp;$C$82&amp;$AU$82&amp;"P"&amp;$A126))</f>
        <v>-382</v>
      </c>
      <c r="BE126" s="54">
        <f>IF(RTD("tos.rtd",,BE$83,"."&amp;$D$82&amp;$AW$82&amp;"C"&amp;$A126)="N/A",0,RTD("tos.rtd",,BE$83,"."&amp;$D$82&amp;$AW$82&amp;"C"&amp;$A126))</f>
        <v>14</v>
      </c>
      <c r="BF126" s="3">
        <f>-IF(RTD("tos.rtd",,BF$83,"."&amp;$D$82&amp;$AW$82&amp;"P"&amp;$A126)="N/A",0,RTD("tos.rtd",,BF$83,"."&amp;$D$82&amp;$AW$82&amp;"P"&amp;$A126))</f>
        <v>-186</v>
      </c>
      <c r="BG126" s="3">
        <f ca="1">+Hoja2!Y127</f>
        <v>-166</v>
      </c>
      <c r="BH126" s="55">
        <f t="shared" ca="1" si="491"/>
        <v>-676</v>
      </c>
      <c r="BI126" s="32" t="str">
        <f t="shared" ca="1" si="507"/>
        <v/>
      </c>
      <c r="BJ126" s="3" t="e">
        <f ca="1">IF($BP$1=1,DX126,IF(RTD("tos.rtd",,BJ$83,"."&amp;$B$82&amp;$AS$82&amp;"C"&amp;$A126)="N/A",0,RTD("tos.rtd",,BJ$83,"."&amp;$B$82&amp;$AS$82&amp;"C"&amp;$A126)))</f>
        <v>#NUM!</v>
      </c>
      <c r="BK126" s="3" t="e">
        <f ca="1">IF($BP$1=1,DY126,-IF(RTD("tos.rtd",,BK$83,"."&amp;$B$82&amp;$AS$82&amp;"P"&amp;$A126)="N/A",0,RTD("tos.rtd",,BK$83,"."&amp;$B$82&amp;$AS$82&amp;"P"&amp;$A126)))</f>
        <v>#NUM!</v>
      </c>
      <c r="BL126" s="3" t="e">
        <f ca="1">IF($BP$1=1,DZ126,IF(RTD("tos.rtd",,BL$83,"."&amp;$C$82&amp;$AU$82&amp;"C"&amp;$A126)="N/A",0,RTD("tos.rtd",,BL$83,"."&amp;$C$82&amp;$AU$82&amp;"C"&amp;$A126)))</f>
        <v>#NUM!</v>
      </c>
      <c r="BM126" s="3" t="e">
        <f ca="1">IF($BP$1=1,EA126,-IF(RTD("tos.rtd",,BM$83,"."&amp;$C$82&amp;$AU$82&amp;"P"&amp;$A126)="N/A",0,RTD("tos.rtd",,BM$83,"."&amp;$C$82&amp;$AU$82&amp;"P"&amp;$A126)))</f>
        <v>#NUM!</v>
      </c>
      <c r="BN126" s="3" t="e">
        <f ca="1">IF($BP$1=1,EB126,IF(RTD("tos.rtd",,BN$83,"."&amp;$D$82&amp;$AW$82&amp;"C"&amp;$A126)="N/A",0,RTD("tos.rtd",,BN$83,"."&amp;$D$82&amp;$AW$82&amp;"C"&amp;$A126)))</f>
        <v>#NUM!</v>
      </c>
      <c r="BO126" s="3" t="e">
        <f ca="1">IF($BP$1=1,EC126,-IF(RTD("tos.rtd",,BO$83,"."&amp;$D$82&amp;$AW$82&amp;"P"&amp;$A126)="N/A",0,RTD("tos.rtd",,BO$83,"."&amp;$D$82&amp;$AW$82&amp;"P"&amp;$A126)))</f>
        <v>#NUM!</v>
      </c>
      <c r="BQ126" s="3" t="e">
        <f t="shared" ca="1" si="452"/>
        <v>#NUM!</v>
      </c>
      <c r="BR126" s="3" t="e">
        <f t="shared" ca="1" si="492"/>
        <v>#NUM!</v>
      </c>
      <c r="BS126" s="3" t="e">
        <f t="shared" ca="1" si="453"/>
        <v>#NUM!</v>
      </c>
      <c r="BT126" s="3" t="e">
        <f t="shared" ca="1" si="492"/>
        <v>#NUM!</v>
      </c>
      <c r="BU126" s="3" t="e">
        <f t="shared" ca="1" si="454"/>
        <v>#NUM!</v>
      </c>
      <c r="BV126" s="3" t="e">
        <f t="shared" ca="1" si="492"/>
        <v>#NUM!</v>
      </c>
      <c r="BX126" s="3" t="e">
        <f t="shared" ca="1" si="455"/>
        <v>#NUM!</v>
      </c>
      <c r="BY126" s="3" t="e">
        <f t="shared" ca="1" si="504"/>
        <v>#NUM!</v>
      </c>
      <c r="BZ126" s="3" t="e">
        <f t="shared" ca="1" si="456"/>
        <v>#NUM!</v>
      </c>
      <c r="CA126" s="3" t="e">
        <f t="shared" ca="1" si="504"/>
        <v>#NUM!</v>
      </c>
      <c r="CB126" s="3" t="e">
        <f t="shared" ca="1" si="457"/>
        <v>#NUM!</v>
      </c>
      <c r="CC126" s="3" t="e">
        <f t="shared" ca="1" si="504"/>
        <v>#NUM!</v>
      </c>
      <c r="CD126" s="3">
        <f>IF(RTD("tos.rtd",,CD$83,"."&amp;$B$82&amp;$AS$82&amp;"C"&amp;$A126)="N/A",0,RTD("tos.rtd",,CD$83,"."&amp;$B$82&amp;$AS$82&amp;"C"&amp;$A126))</f>
        <v>1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1</v>
      </c>
      <c r="CG126" s="3">
        <f>-IF(RTD("tos.rtd",,CG$83,"."&amp;$C$82&amp;$AU$82&amp;"P"&amp;$A126)="N/A",0,RTD("tos.rtd",,CG$83,"."&amp;$C$82&amp;$AU$82&amp;"P"&amp;$A126))</f>
        <v>0</v>
      </c>
      <c r="CH126" s="3">
        <f>IF(RTD("tos.rtd",,CH$83,"."&amp;$D$82&amp;$AW$82&amp;"C"&amp;$A126)="N/A",0,RTD("tos.rtd",,CH$83,"."&amp;$D$82&amp;$AW$82&amp;"C"&amp;$A126))</f>
        <v>0.87</v>
      </c>
      <c r="CI126" s="3">
        <f>-IF(RTD("tos.rtd",,CI$83,"."&amp;$D$82&amp;$AW$82&amp;"P"&amp;$A126)="N/A",0,RTD("tos.rtd",,CI$83,"."&amp;$D$82&amp;$AW$82&amp;"P"&amp;$A126))</f>
        <v>0.12</v>
      </c>
      <c r="CK126" s="3">
        <f t="shared" si="493"/>
        <v>7300</v>
      </c>
      <c r="CL126" s="3"/>
      <c r="CM126" s="3">
        <f t="shared" si="494"/>
        <v>31800</v>
      </c>
      <c r="CN126" s="3"/>
      <c r="CO126" s="3">
        <f t="shared" si="495"/>
        <v>35976</v>
      </c>
      <c r="CP126" s="3">
        <f t="shared" si="458"/>
        <v>75076</v>
      </c>
      <c r="CQ126" s="3">
        <f t="shared" si="459"/>
        <v>0</v>
      </c>
      <c r="CR126" s="3"/>
      <c r="CS126" s="3">
        <f t="shared" si="460"/>
        <v>-338</v>
      </c>
      <c r="CT126" s="3"/>
      <c r="CU126" s="3">
        <f t="shared" si="461"/>
        <v>-172</v>
      </c>
      <c r="CV126" s="3"/>
      <c r="CW126" s="3" t="e">
        <f t="shared" ca="1" si="462"/>
        <v>#NUM!</v>
      </c>
      <c r="CY126" s="3" t="e">
        <f t="shared" ca="1" si="463"/>
        <v>#NUM!</v>
      </c>
      <c r="CZ126" s="70" t="e">
        <f t="shared" ca="1" si="505"/>
        <v>#NUM!</v>
      </c>
      <c r="DA126" s="3">
        <f>IF(RTD("tos.rtd",,DA$83,"."&amp;$B$82&amp;$AS$82&amp;"C"&amp;$A126)="N/A",0,RTD("tos.rtd",,DA$83,"."&amp;$B$82&amp;$AS$82&amp;"C"&amp;$A126))</f>
        <v>207.16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198.1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182.9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7"/>
        <v>-200</v>
      </c>
      <c r="DH126" s="3">
        <f t="shared" si="464"/>
        <v>-97.359210526315834</v>
      </c>
      <c r="DI126" s="3">
        <f t="shared" si="465"/>
        <v>5268</v>
      </c>
      <c r="DJ126" s="3">
        <f t="shared" si="466"/>
        <v>-61</v>
      </c>
      <c r="DK126" s="3">
        <f t="shared" si="467"/>
        <v>5268</v>
      </c>
      <c r="DL126" s="3">
        <f t="shared" si="468"/>
        <v>5170.640789473684</v>
      </c>
      <c r="DM126" s="3">
        <f t="shared" si="469"/>
        <v>5207</v>
      </c>
      <c r="DN126" s="64" t="str">
        <f t="shared" si="470"/>
        <v>UNKNOWN</v>
      </c>
      <c r="DO126" s="64" t="str">
        <f t="shared" si="471"/>
        <v>UNKNOWN</v>
      </c>
      <c r="DP126" s="3">
        <f t="shared" si="472"/>
        <v>-19905.534052631585</v>
      </c>
      <c r="DQ126" s="3">
        <f t="shared" si="473"/>
        <v>-12373.36</v>
      </c>
      <c r="DR126" s="3" t="e">
        <f t="shared" ca="1" si="474"/>
        <v>#NUM!</v>
      </c>
      <c r="DS126" s="3">
        <f t="shared" si="475"/>
        <v>-61</v>
      </c>
      <c r="DT126" s="3">
        <f t="shared" si="498"/>
        <v>-61</v>
      </c>
      <c r="DU126" s="3">
        <f t="shared" si="499"/>
        <v>5268</v>
      </c>
      <c r="DV126" s="3">
        <f t="shared" si="500"/>
        <v>-31</v>
      </c>
      <c r="DW126" s="3">
        <f t="shared" si="501"/>
        <v>-1840</v>
      </c>
      <c r="DX126" s="3" t="e">
        <f t="shared" ca="1" si="506"/>
        <v>#NUM!</v>
      </c>
      <c r="DY126" s="3" t="e">
        <f t="shared" ca="1" si="476"/>
        <v>#NUM!</v>
      </c>
      <c r="DZ126" s="3" t="e">
        <f t="shared" ca="1" si="477"/>
        <v>#NUM!</v>
      </c>
      <c r="EA126" s="3" t="e">
        <f t="shared" ca="1" si="478"/>
        <v>#NUM!</v>
      </c>
      <c r="EB126" s="3" t="e">
        <f t="shared" ca="1" si="479"/>
        <v>#NUM!</v>
      </c>
      <c r="EC126" s="3" t="e">
        <f t="shared" ca="1" si="480"/>
        <v>#NUM!</v>
      </c>
      <c r="EE126" s="59">
        <f t="shared" si="481"/>
        <v>0.25</v>
      </c>
      <c r="EF126" s="59">
        <f t="shared" si="482"/>
        <v>1.5847</v>
      </c>
      <c r="EG126" s="59">
        <f t="shared" si="483"/>
        <v>0.25</v>
      </c>
      <c r="EH126" s="59">
        <f t="shared" si="484"/>
        <v>1.5847</v>
      </c>
      <c r="EI126" s="59">
        <f t="shared" si="485"/>
        <v>0.27950000000000003</v>
      </c>
      <c r="EJ126" s="59">
        <f t="shared" si="486"/>
        <v>0.26629999999999998</v>
      </c>
      <c r="EL126" s="3" t="str">
        <f>RTD("tos.rtd",,EL$83,"."&amp;$B$82&amp;$AS$82&amp;"C"&amp;$A126)</f>
        <v>--</v>
      </c>
      <c r="EM126" s="3" t="str">
        <f>RTD("tos.rtd",,EM$83,"."&amp;$B$82&amp;$AS$82&amp;"P"&amp;$A126)</f>
        <v>158.47%</v>
      </c>
      <c r="EN126" s="3" t="str">
        <f>RTD("tos.rtd",,EN$83,"."&amp;$C$82&amp;$AU$82&amp;"C"&amp;$A126)</f>
        <v>--</v>
      </c>
      <c r="EO126" s="3" t="str">
        <f>RTD("tos.rtd",,EO$83,"."&amp;$C$82&amp;$AU$82&amp;"P"&amp;$A126)</f>
        <v>158.47%</v>
      </c>
      <c r="EP126" s="3" t="str">
        <f>RTD("tos.rtd",,EP$83,"."&amp;$D$82&amp;$AW$82&amp;"C"&amp;$A126)</f>
        <v>27.95%</v>
      </c>
      <c r="EQ126" s="3" t="str">
        <f>RTD("tos.rtd",,EQ$83,"."&amp;$D$82&amp;$AW$82&amp;"P"&amp;$A126)</f>
        <v>26.63%</v>
      </c>
      <c r="ES126" s="63" t="str">
        <f t="shared" si="487"/>
        <v>5460,-1871.00</v>
      </c>
      <c r="ET126" s="64" t="str">
        <f t="shared" ca="1" si="488"/>
        <v>5460,00.00</v>
      </c>
      <c r="EU126" s="67">
        <v>563.12</v>
      </c>
      <c r="EV126" s="67" t="s">
        <v>1027</v>
      </c>
      <c r="EW126" s="67">
        <v>485.75</v>
      </c>
      <c r="EX126" s="67" t="s">
        <v>1028</v>
      </c>
      <c r="EY126" s="67">
        <v>5644.75</v>
      </c>
      <c r="EZ126" s="67" t="s">
        <v>1029</v>
      </c>
      <c r="FA126" s="67">
        <v>19954.25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502"/>
        <v>5450</v>
      </c>
      <c r="B127" s="3">
        <f t="shared" si="447"/>
        <v>2252</v>
      </c>
      <c r="C127" s="3">
        <f t="shared" si="448"/>
        <v>7943</v>
      </c>
      <c r="D127" s="3">
        <f t="shared" si="449"/>
        <v>2837</v>
      </c>
      <c r="E127" s="3">
        <f t="shared" si="513"/>
        <v>13032</v>
      </c>
      <c r="F127" s="4">
        <f t="shared" si="516"/>
        <v>5473.1095406360428</v>
      </c>
      <c r="G127" s="4">
        <f t="shared" si="514"/>
        <v>543.84452296819791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-99</v>
      </c>
      <c r="AN127" s="20">
        <v>235</v>
      </c>
      <c r="AO127" s="20">
        <v>5450</v>
      </c>
      <c r="AP127" s="20">
        <v>204</v>
      </c>
      <c r="AQ127" s="20">
        <v>-2549</v>
      </c>
      <c r="AR127" s="20"/>
      <c r="AS127" s="54">
        <f>IF(RTD("tos.rtd",,AS$83,"."&amp;$B$82&amp;$AS$82&amp;"C"&amp;$A127)="N/A",0,RTD("tos.rtd",,AS$83,"."&amp;$B$82&amp;$AS$82&amp;"C"&amp;$A127))</f>
        <v>566</v>
      </c>
      <c r="AT127" s="3">
        <f>-IF(RTD("tos.rtd",,AT$83,"."&amp;$B$82&amp;$AS$82&amp;"P"&amp;$A127)="N/A",0,RTD("tos.rtd",,AT$83,"."&amp;$B$82&amp;$AS$82&amp;"P"&amp;$A127))</f>
        <v>-1686</v>
      </c>
      <c r="AU127" s="54">
        <f>IF(RTD("tos.rtd",,AU$83,"."&amp;$C$82&amp;$AU$82&amp;"C"&amp;$A127)="N/A",0,RTD("tos.rtd",,AU$83,"."&amp;$C$82&amp;$AU$82&amp;"C"&amp;$A127))</f>
        <v>983</v>
      </c>
      <c r="AV127" s="3">
        <f>-IF(RTD("tos.rtd",,AV$83,"."&amp;$C$82&amp;$AU$82&amp;"P"&amp;$A127)="N/A",0,RTD("tos.rtd",,AV$83,"."&amp;$C$82&amp;$AU$82&amp;"P"&amp;$A127))</f>
        <v>-6960</v>
      </c>
      <c r="AW127" s="54">
        <f>IF(RTD("tos.rtd",,AW$83,"."&amp;$D$82&amp;$AW$82&amp;"C"&amp;$A127)="N/A",0,RTD("tos.rtd",,AW$83,"."&amp;$D$82&amp;$AW$82&amp;"C"&amp;$A127))</f>
        <v>721</v>
      </c>
      <c r="AX127" s="3">
        <f>-IF(RTD("tos.rtd",,AX$83,"."&amp;$D$82&amp;$AW$82&amp;"P"&amp;$A127)="N/A",0,RTD("tos.rtd",,AX$83,"."&amp;$D$82&amp;$AW$82&amp;"P"&amp;$A127))</f>
        <v>-2116</v>
      </c>
      <c r="AY127" s="79">
        <f t="shared" si="515"/>
        <v>-8492</v>
      </c>
      <c r="AZ127" s="8">
        <f t="shared" si="451"/>
        <v>5450</v>
      </c>
      <c r="BA127" s="54">
        <f>IF(RTD("tos.rtd",,BA$83,"."&amp;$B$82&amp;$AS$82&amp;"C"&amp;$A127)="N/A",0,RTD("tos.rtd",,BA$83,"."&amp;$B$82&amp;$AS$82&amp;"C"&amp;$A127))</f>
        <v>0</v>
      </c>
      <c r="BB127" s="3">
        <f>-IF(RTD("tos.rtd",,BB$83,"."&amp;$B$82&amp;$AS$82&amp;"P"&amp;$A127)="N/A",0,RTD("tos.rtd",,BB$83,"."&amp;$B$82&amp;$AS$82&amp;"P"&amp;$A127))</f>
        <v>0</v>
      </c>
      <c r="BC127" s="54">
        <f>IF(RTD("tos.rtd",,BC$83,"."&amp;$C$82&amp;$AU$82&amp;"C"&amp;$A127)="N/A",0,RTD("tos.rtd",,BC$83,"."&amp;$C$82&amp;$AU$82&amp;"C"&amp;$A127))</f>
        <v>35</v>
      </c>
      <c r="BD127" s="3">
        <f>-IF(RTD("tos.rtd",,BD$83,"."&amp;$C$82&amp;$AU$82&amp;"P"&amp;$A127)="N/A",0,RTD("tos.rtd",,BD$83,"."&amp;$C$82&amp;$AU$82&amp;"P"&amp;$A127))</f>
        <v>-3133</v>
      </c>
      <c r="BE127" s="54">
        <f>IF(RTD("tos.rtd",,BE$83,"."&amp;$D$82&amp;$AW$82&amp;"C"&amp;$A127)="N/A",0,RTD("tos.rtd",,BE$83,"."&amp;$D$82&amp;$AW$82&amp;"C"&amp;$A127))</f>
        <v>52</v>
      </c>
      <c r="BF127" s="3">
        <f>-IF(RTD("tos.rtd",,BF$83,"."&amp;$D$82&amp;$AW$82&amp;"P"&amp;$A127)="N/A",0,RTD("tos.rtd",,BF$83,"."&amp;$D$82&amp;$AW$82&amp;"P"&amp;$A127))</f>
        <v>-339</v>
      </c>
      <c r="BG127" s="3">
        <f ca="1">+Hoja2!Y128</f>
        <v>-1211</v>
      </c>
      <c r="BH127" s="55">
        <f t="shared" ca="1" si="491"/>
        <v>-4596</v>
      </c>
      <c r="BI127" s="32" t="str">
        <f t="shared" ca="1" si="507"/>
        <v/>
      </c>
      <c r="BJ127" s="3" t="e">
        <f ca="1">IF($BP$1=1,DX127,IF(RTD("tos.rtd",,BJ$83,"."&amp;$B$82&amp;$AS$82&amp;"C"&amp;$A127)="N/A",0,RTD("tos.rtd",,BJ$83,"."&amp;$B$82&amp;$AS$82&amp;"C"&amp;$A127)))</f>
        <v>#NUM!</v>
      </c>
      <c r="BK127" s="3" t="e">
        <f ca="1">IF($BP$1=1,DY127,-IF(RTD("tos.rtd",,BK$83,"."&amp;$B$82&amp;$AS$82&amp;"P"&amp;$A127)="N/A",0,RTD("tos.rtd",,BK$83,"."&amp;$B$82&amp;$AS$82&amp;"P"&amp;$A127)))</f>
        <v>#NUM!</v>
      </c>
      <c r="BL127" s="3" t="e">
        <f ca="1">IF($BP$1=1,DZ127,IF(RTD("tos.rtd",,BL$83,"."&amp;$C$82&amp;$AU$82&amp;"C"&amp;$A127)="N/A",0,RTD("tos.rtd",,BL$83,"."&amp;$C$82&amp;$AU$82&amp;"C"&amp;$A127)))</f>
        <v>#NUM!</v>
      </c>
      <c r="BM127" s="3" t="e">
        <f ca="1">IF($BP$1=1,EA127,-IF(RTD("tos.rtd",,BM$83,"."&amp;$C$82&amp;$AU$82&amp;"P"&amp;$A127)="N/A",0,RTD("tos.rtd",,BM$83,"."&amp;$C$82&amp;$AU$82&amp;"P"&amp;$A127)))</f>
        <v>#NUM!</v>
      </c>
      <c r="BN127" s="3" t="e">
        <f ca="1">IF($BP$1=1,EB127,IF(RTD("tos.rtd",,BN$83,"."&amp;$D$82&amp;$AW$82&amp;"C"&amp;$A127)="N/A",0,RTD("tos.rtd",,BN$83,"."&amp;$D$82&amp;$AW$82&amp;"C"&amp;$A127)))</f>
        <v>#NUM!</v>
      </c>
      <c r="BO127" s="3" t="e">
        <f ca="1">IF($BP$1=1,EC127,-IF(RTD("tos.rtd",,BO$83,"."&amp;$D$82&amp;$AW$82&amp;"P"&amp;$A127)="N/A",0,RTD("tos.rtd",,BO$83,"."&amp;$D$82&amp;$AW$82&amp;"P"&amp;$A127)))</f>
        <v>#NUM!</v>
      </c>
      <c r="BQ127" s="3" t="e">
        <f t="shared" ca="1" si="452"/>
        <v>#NUM!</v>
      </c>
      <c r="BR127" s="3" t="e">
        <f t="shared" ca="1" si="492"/>
        <v>#NUM!</v>
      </c>
      <c r="BS127" s="3" t="e">
        <f t="shared" ca="1" si="453"/>
        <v>#NUM!</v>
      </c>
      <c r="BT127" s="3" t="e">
        <f t="shared" ca="1" si="492"/>
        <v>#NUM!</v>
      </c>
      <c r="BU127" s="3" t="e">
        <f t="shared" ca="1" si="454"/>
        <v>#NUM!</v>
      </c>
      <c r="BV127" s="3" t="e">
        <f t="shared" ca="1" si="492"/>
        <v>#NUM!</v>
      </c>
      <c r="BX127" s="3" t="e">
        <f t="shared" ca="1" si="455"/>
        <v>#NUM!</v>
      </c>
      <c r="BY127" s="3" t="e">
        <f t="shared" ca="1" si="504"/>
        <v>#NUM!</v>
      </c>
      <c r="BZ127" s="3" t="e">
        <f t="shared" ca="1" si="456"/>
        <v>#NUM!</v>
      </c>
      <c r="CA127" s="3" t="e">
        <f t="shared" ca="1" si="504"/>
        <v>#NUM!</v>
      </c>
      <c r="CB127" s="3" t="e">
        <f t="shared" ca="1" si="457"/>
        <v>#NUM!</v>
      </c>
      <c r="CC127" s="3" t="e">
        <f t="shared" ca="1" si="504"/>
        <v>#NUM!</v>
      </c>
      <c r="CD127" s="3">
        <f>IF(RTD("tos.rtd",,CD$83,"."&amp;$B$82&amp;$AS$82&amp;"C"&amp;$A127)="N/A",0,RTD("tos.rtd",,CD$83,"."&amp;$B$82&amp;$AS$82&amp;"C"&amp;$A127))</f>
        <v>1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1</v>
      </c>
      <c r="CG127" s="3">
        <f>-IF(RTD("tos.rtd",,CG$83,"."&amp;$C$82&amp;$AU$82&amp;"P"&amp;$A127)="N/A",0,RTD("tos.rtd",,CG$83,"."&amp;$C$82&amp;$AU$82&amp;"P"&amp;$A127))</f>
        <v>0</v>
      </c>
      <c r="CH127" s="3">
        <f>IF(RTD("tos.rtd",,CH$83,"."&amp;$D$82&amp;$AW$82&amp;"C"&amp;$A127)="N/A",0,RTD("tos.rtd",,CH$83,"."&amp;$D$82&amp;$AW$82&amp;"C"&amp;$A127))</f>
        <v>0.87</v>
      </c>
      <c r="CI127" s="3">
        <f>-IF(RTD("tos.rtd",,CI$83,"."&amp;$D$82&amp;$AW$82&amp;"P"&amp;$A127)="N/A",0,RTD("tos.rtd",,CI$83,"."&amp;$D$82&amp;$AW$82&amp;"P"&amp;$A127))</f>
        <v>0.11</v>
      </c>
      <c r="CK127" s="3">
        <f t="shared" si="493"/>
        <v>56600</v>
      </c>
      <c r="CL127" s="3"/>
      <c r="CM127" s="3">
        <f t="shared" si="494"/>
        <v>98300</v>
      </c>
      <c r="CN127" s="3"/>
      <c r="CO127" s="3">
        <f t="shared" si="495"/>
        <v>39451</v>
      </c>
      <c r="CP127" s="3">
        <f t="shared" si="458"/>
        <v>194351</v>
      </c>
      <c r="CQ127" s="3">
        <f t="shared" si="459"/>
        <v>0</v>
      </c>
      <c r="CR127" s="3"/>
      <c r="CS127" s="3">
        <f t="shared" si="460"/>
        <v>-3098</v>
      </c>
      <c r="CT127" s="3"/>
      <c r="CU127" s="3">
        <f t="shared" si="461"/>
        <v>-287</v>
      </c>
      <c r="CV127" s="3"/>
      <c r="CW127" s="3" t="e">
        <f t="shared" ca="1" si="462"/>
        <v>#NUM!</v>
      </c>
      <c r="CY127" s="3" t="e">
        <f t="shared" ca="1" si="463"/>
        <v>#NUM!</v>
      </c>
      <c r="CZ127" s="70" t="e">
        <f t="shared" ca="1" si="505"/>
        <v>#NUM!</v>
      </c>
      <c r="DA127" s="3">
        <f>IF(RTD("tos.rtd",,DA$83,"."&amp;$B$82&amp;$AS$82&amp;"C"&amp;$A127)="N/A",0,RTD("tos.rtd",,DA$83,"."&amp;$B$82&amp;$AS$82&amp;"C"&amp;$A127))</f>
        <v>216.53</v>
      </c>
      <c r="DB127" s="3">
        <f>IF(RTD("tos.rtd",,DB$83,"."&amp;$B$82&amp;$AS$82&amp;"P"&amp;$A127)="N/A",0,RTD("tos.rtd",,DB$83,"."&amp;$B$82&amp;$AS$82&amp;"P"&amp;$A127))</f>
        <v>0.03</v>
      </c>
      <c r="DC127" s="3">
        <f>IF(RTD("tos.rtd",,DC$83,"."&amp;$B$82&amp;$AS$82&amp;"C"&amp;$A127)="N/A",0,RTD("tos.rtd",,DC$83,"."&amp;$B$82&amp;$AS$82&amp;"C"&amp;$A127))</f>
        <v>208.1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191.7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7"/>
        <v>-210</v>
      </c>
      <c r="DH127" s="3">
        <f t="shared" si="464"/>
        <v>-308.86097560975617</v>
      </c>
      <c r="DI127" s="3">
        <f t="shared" si="465"/>
        <v>1529.3999999999999</v>
      </c>
      <c r="DJ127" s="3">
        <f t="shared" si="466"/>
        <v>-204</v>
      </c>
      <c r="DK127" s="3">
        <f t="shared" si="467"/>
        <v>2549</v>
      </c>
      <c r="DL127" s="3">
        <f t="shared" si="468"/>
        <v>1220.5390243902436</v>
      </c>
      <c r="DM127" s="3">
        <f t="shared" si="469"/>
        <v>2345</v>
      </c>
      <c r="DN127" s="64" t="str">
        <f t="shared" si="470"/>
        <v>UNKNOWN</v>
      </c>
      <c r="DO127" s="64" t="str">
        <f t="shared" si="471"/>
        <v>UNKNOWN</v>
      </c>
      <c r="DP127" s="3">
        <f t="shared" si="472"/>
        <v>-66831.785048780512</v>
      </c>
      <c r="DQ127" s="3">
        <f t="shared" si="473"/>
        <v>-44095.65</v>
      </c>
      <c r="DR127" s="3" t="e">
        <f t="shared" ca="1" si="474"/>
        <v>#NUM!</v>
      </c>
      <c r="DS127" s="3">
        <f t="shared" si="475"/>
        <v>-204</v>
      </c>
      <c r="DT127" s="3">
        <f t="shared" si="498"/>
        <v>-204</v>
      </c>
      <c r="DU127" s="3">
        <f t="shared" si="499"/>
        <v>2549</v>
      </c>
      <c r="DV127" s="3">
        <f t="shared" si="500"/>
        <v>-99</v>
      </c>
      <c r="DW127" s="3">
        <f t="shared" si="501"/>
        <v>235</v>
      </c>
      <c r="DX127" s="3" t="e">
        <f t="shared" ca="1" si="506"/>
        <v>#NUM!</v>
      </c>
      <c r="DY127" s="3" t="e">
        <f t="shared" ca="1" si="476"/>
        <v>#NUM!</v>
      </c>
      <c r="DZ127" s="3" t="e">
        <f t="shared" ca="1" si="477"/>
        <v>#NUM!</v>
      </c>
      <c r="EA127" s="3" t="e">
        <f t="shared" ca="1" si="478"/>
        <v>#NUM!</v>
      </c>
      <c r="EB127" s="3" t="e">
        <f t="shared" ca="1" si="479"/>
        <v>#NUM!</v>
      </c>
      <c r="EC127" s="3" t="e">
        <f t="shared" ca="1" si="480"/>
        <v>#NUM!</v>
      </c>
      <c r="EE127" s="59">
        <f t="shared" si="481"/>
        <v>0.25</v>
      </c>
      <c r="EF127" s="59">
        <f t="shared" si="482"/>
        <v>1.6586000000000001</v>
      </c>
      <c r="EG127" s="59">
        <f t="shared" si="483"/>
        <v>0.25</v>
      </c>
      <c r="EH127" s="59">
        <f t="shared" si="484"/>
        <v>1.6586000000000001</v>
      </c>
      <c r="EI127" s="59">
        <f t="shared" si="485"/>
        <v>0.28999999999999998</v>
      </c>
      <c r="EJ127" s="59">
        <f t="shared" si="486"/>
        <v>0.26779999999999998</v>
      </c>
      <c r="EL127" s="3" t="str">
        <f>RTD("tos.rtd",,EL$83,"."&amp;$B$82&amp;$AS$82&amp;"C"&amp;$A127)</f>
        <v>--</v>
      </c>
      <c r="EM127" s="3" t="str">
        <f>RTD("tos.rtd",,EM$83,"."&amp;$B$82&amp;$AS$82&amp;"P"&amp;$A127)</f>
        <v>165.86%</v>
      </c>
      <c r="EN127" s="3" t="str">
        <f>RTD("tos.rtd",,EN$83,"."&amp;$C$82&amp;$AU$82&amp;"C"&amp;$A127)</f>
        <v>--</v>
      </c>
      <c r="EO127" s="3" t="str">
        <f>RTD("tos.rtd",,EO$83,"."&amp;$C$82&amp;$AU$82&amp;"P"&amp;$A127)</f>
        <v>165.86%</v>
      </c>
      <c r="EP127" s="3" t="str">
        <f>RTD("tos.rtd",,EP$83,"."&amp;$D$82&amp;$AW$82&amp;"C"&amp;$A127)</f>
        <v>29.00%</v>
      </c>
      <c r="EQ127" s="3" t="str">
        <f>RTD("tos.rtd",,EQ$83,"."&amp;$D$82&amp;$AW$82&amp;"P"&amp;$A127)</f>
        <v>26.78%</v>
      </c>
      <c r="ES127" s="63" t="str">
        <f t="shared" si="487"/>
        <v>5450,136.00</v>
      </c>
      <c r="ET127" s="64" t="str">
        <f t="shared" ca="1" si="488"/>
        <v>5450,00.00</v>
      </c>
      <c r="EU127" s="67">
        <v>562.94000000000005</v>
      </c>
      <c r="EV127" s="67" t="s">
        <v>1035</v>
      </c>
      <c r="EW127" s="67">
        <v>485.47</v>
      </c>
      <c r="EX127" s="67" t="s">
        <v>1036</v>
      </c>
      <c r="EY127" s="67">
        <v>5643</v>
      </c>
      <c r="EZ127" s="67" t="s">
        <v>1037</v>
      </c>
      <c r="FA127" s="67">
        <v>19942.25</v>
      </c>
      <c r="FB127" s="67" t="s">
        <v>1038</v>
      </c>
      <c r="FC127" s="67" t="s">
        <v>1039</v>
      </c>
      <c r="FD127" s="67" t="s">
        <v>1040</v>
      </c>
      <c r="FE127" s="68" t="s">
        <v>1041</v>
      </c>
      <c r="FF127" s="68" t="s">
        <v>1042</v>
      </c>
    </row>
    <row r="128" spans="1:162" s="63" customFormat="1" ht="12" customHeight="1" thickBot="1" x14ac:dyDescent="0.25">
      <c r="A128" s="2">
        <f t="shared" si="502"/>
        <v>5440</v>
      </c>
      <c r="B128" s="3">
        <f t="shared" si="447"/>
        <v>613</v>
      </c>
      <c r="C128" s="3">
        <f t="shared" si="448"/>
        <v>2910</v>
      </c>
      <c r="D128" s="3">
        <f t="shared" si="449"/>
        <v>1873</v>
      </c>
      <c r="E128" s="3">
        <f t="shared" si="513"/>
        <v>5396</v>
      </c>
      <c r="F128" s="4">
        <f t="shared" si="516"/>
        <v>5463.0671378091874</v>
      </c>
      <c r="G128" s="4">
        <f t="shared" si="514"/>
        <v>542.84664310954065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-8</v>
      </c>
      <c r="AN128" s="20">
        <v>-127</v>
      </c>
      <c r="AO128" s="20">
        <v>5440</v>
      </c>
      <c r="AP128" s="20">
        <v>24</v>
      </c>
      <c r="AQ128" s="20">
        <v>-771</v>
      </c>
      <c r="AR128" s="20"/>
      <c r="AS128" s="54">
        <f>IF(RTD("tos.rtd",,AS$83,"."&amp;$B$82&amp;$AS$82&amp;"C"&amp;$A128)="N/A",0,RTD("tos.rtd",,AS$83,"."&amp;$B$82&amp;$AS$82&amp;"C"&amp;$A128))</f>
        <v>216</v>
      </c>
      <c r="AT128" s="3">
        <f>-IF(RTD("tos.rtd",,AT$83,"."&amp;$B$82&amp;$AS$82&amp;"P"&amp;$A128)="N/A",0,RTD("tos.rtd",,AT$83,"."&amp;$B$82&amp;$AS$82&amp;"P"&amp;$A128))</f>
        <v>-397</v>
      </c>
      <c r="AU128" s="54">
        <f>IF(RTD("tos.rtd",,AU$83,"."&amp;$C$82&amp;$AU$82&amp;"C"&amp;$A128)="N/A",0,RTD("tos.rtd",,AU$83,"."&amp;$C$82&amp;$AU$82&amp;"C"&amp;$A128))</f>
        <v>287</v>
      </c>
      <c r="AV128" s="3">
        <f>-IF(RTD("tos.rtd",,AV$83,"."&amp;$C$82&amp;$AU$82&amp;"P"&amp;$A128)="N/A",0,RTD("tos.rtd",,AV$83,"."&amp;$C$82&amp;$AU$82&amp;"P"&amp;$A128))</f>
        <v>-2623</v>
      </c>
      <c r="AW128" s="54">
        <f>IF(RTD("tos.rtd",,AW$83,"."&amp;$D$82&amp;$AW$82&amp;"C"&amp;$A128)="N/A",0,RTD("tos.rtd",,AW$83,"."&amp;$D$82&amp;$AW$82&amp;"C"&amp;$A128))</f>
        <v>659</v>
      </c>
      <c r="AX128" s="3">
        <f>-IF(RTD("tos.rtd",,AX$83,"."&amp;$D$82&amp;$AW$82&amp;"P"&amp;$A128)="N/A",0,RTD("tos.rtd",,AX$83,"."&amp;$D$82&amp;$AW$82&amp;"P"&amp;$A128))</f>
        <v>-1214</v>
      </c>
      <c r="AY128" s="79">
        <f t="shared" si="515"/>
        <v>-3072</v>
      </c>
      <c r="AZ128" s="8">
        <f t="shared" si="451"/>
        <v>5440</v>
      </c>
      <c r="BA128" s="54">
        <f>IF(RTD("tos.rtd",,BA$83,"."&amp;$B$82&amp;$AS$82&amp;"C"&amp;$A128)="N/A",0,RTD("tos.rtd",,BA$83,"."&amp;$B$82&amp;$AS$82&amp;"C"&amp;$A128))</f>
        <v>0</v>
      </c>
      <c r="BB128" s="3">
        <f>-IF(RTD("tos.rtd",,BB$83,"."&amp;$B$82&amp;$AS$82&amp;"P"&amp;$A128)="N/A",0,RTD("tos.rtd",,BB$83,"."&amp;$B$82&amp;$AS$82&amp;"P"&amp;$A128))</f>
        <v>0</v>
      </c>
      <c r="BC128" s="54">
        <f>IF(RTD("tos.rtd",,BC$83,"."&amp;$C$82&amp;$AU$82&amp;"C"&amp;$A128)="N/A",0,RTD("tos.rtd",,BC$83,"."&amp;$C$82&amp;$AU$82&amp;"C"&amp;$A128))</f>
        <v>19</v>
      </c>
      <c r="BD128" s="3">
        <f>-IF(RTD("tos.rtd",,BD$83,"."&amp;$C$82&amp;$AU$82&amp;"P"&amp;$A128)="N/A",0,RTD("tos.rtd",,BD$83,"."&amp;$C$82&amp;$AU$82&amp;"P"&amp;$A128))</f>
        <v>-2438</v>
      </c>
      <c r="BE128" s="54">
        <f>IF(RTD("tos.rtd",,BE$83,"."&amp;$D$82&amp;$AW$82&amp;"C"&amp;$A128)="N/A",0,RTD("tos.rtd",,BE$83,"."&amp;$D$82&amp;$AW$82&amp;"C"&amp;$A128))</f>
        <v>4</v>
      </c>
      <c r="BF128" s="3">
        <f>-IF(RTD("tos.rtd",,BF$83,"."&amp;$D$82&amp;$AW$82&amp;"P"&amp;$A128)="N/A",0,RTD("tos.rtd",,BF$83,"."&amp;$D$82&amp;$AW$82&amp;"P"&amp;$A128))</f>
        <v>-1202</v>
      </c>
      <c r="BG128" s="3">
        <f ca="1">+Hoja2!Y129</f>
        <v>-170</v>
      </c>
      <c r="BH128" s="55">
        <f t="shared" ca="1" si="491"/>
        <v>-3787</v>
      </c>
      <c r="BI128" s="32" t="str">
        <f t="shared" ca="1" si="507"/>
        <v/>
      </c>
      <c r="BJ128" s="3" t="e">
        <f ca="1">IF($BP$1=1,DX128,IF(RTD("tos.rtd",,BJ$83,"."&amp;$B$82&amp;$AS$82&amp;"C"&amp;$A128)="N/A",0,RTD("tos.rtd",,BJ$83,"."&amp;$B$82&amp;$AS$82&amp;"C"&amp;$A128)))</f>
        <v>#NUM!</v>
      </c>
      <c r="BK128" s="3" t="e">
        <f ca="1">IF($BP$1=1,DY128,-IF(RTD("tos.rtd",,BK$83,"."&amp;$B$82&amp;$AS$82&amp;"P"&amp;$A128)="N/A",0,RTD("tos.rtd",,BK$83,"."&amp;$B$82&amp;$AS$82&amp;"P"&amp;$A128)))</f>
        <v>#NUM!</v>
      </c>
      <c r="BL128" s="3" t="e">
        <f ca="1">IF($BP$1=1,DZ128,IF(RTD("tos.rtd",,BL$83,"."&amp;$C$82&amp;$AU$82&amp;"C"&amp;$A128)="N/A",0,RTD("tos.rtd",,BL$83,"."&amp;$C$82&amp;$AU$82&amp;"C"&amp;$A128)))</f>
        <v>#NUM!</v>
      </c>
      <c r="BM128" s="3" t="e">
        <f ca="1">IF($BP$1=1,EA128,-IF(RTD("tos.rtd",,BM$83,"."&amp;$C$82&amp;$AU$82&amp;"P"&amp;$A128)="N/A",0,RTD("tos.rtd",,BM$83,"."&amp;$C$82&amp;$AU$82&amp;"P"&amp;$A128)))</f>
        <v>#NUM!</v>
      </c>
      <c r="BN128" s="3" t="e">
        <f ca="1">IF($BP$1=1,EB128,IF(RTD("tos.rtd",,BN$83,"."&amp;$D$82&amp;$AW$82&amp;"C"&amp;$A128)="N/A",0,RTD("tos.rtd",,BN$83,"."&amp;$D$82&amp;$AW$82&amp;"C"&amp;$A128)))</f>
        <v>#NUM!</v>
      </c>
      <c r="BO128" s="3" t="e">
        <f ca="1">IF($BP$1=1,EC128,-IF(RTD("tos.rtd",,BO$83,"."&amp;$D$82&amp;$AW$82&amp;"P"&amp;$A128)="N/A",0,RTD("tos.rtd",,BO$83,"."&amp;$D$82&amp;$AW$82&amp;"P"&amp;$A128)))</f>
        <v>#NUM!</v>
      </c>
      <c r="BQ128" s="3" t="e">
        <f t="shared" ca="1" si="452"/>
        <v>#NUM!</v>
      </c>
      <c r="BR128" s="3" t="e">
        <f t="shared" ca="1" si="492"/>
        <v>#NUM!</v>
      </c>
      <c r="BS128" s="3" t="e">
        <f t="shared" ca="1" si="453"/>
        <v>#NUM!</v>
      </c>
      <c r="BT128" s="3" t="e">
        <f t="shared" ca="1" si="492"/>
        <v>#NUM!</v>
      </c>
      <c r="BU128" s="3" t="e">
        <f t="shared" ca="1" si="454"/>
        <v>#NUM!</v>
      </c>
      <c r="BV128" s="3" t="e">
        <f t="shared" ca="1" si="492"/>
        <v>#NUM!</v>
      </c>
      <c r="BX128" s="3" t="e">
        <f t="shared" ca="1" si="455"/>
        <v>#NUM!</v>
      </c>
      <c r="BY128" s="3" t="e">
        <f t="shared" ca="1" si="504"/>
        <v>#NUM!</v>
      </c>
      <c r="BZ128" s="3" t="e">
        <f t="shared" ca="1" si="456"/>
        <v>#NUM!</v>
      </c>
      <c r="CA128" s="3" t="e">
        <f t="shared" ca="1" si="504"/>
        <v>#NUM!</v>
      </c>
      <c r="CB128" s="3" t="e">
        <f t="shared" ca="1" si="457"/>
        <v>#NUM!</v>
      </c>
      <c r="CC128" s="3" t="e">
        <f t="shared" ca="1" si="504"/>
        <v>#NUM!</v>
      </c>
      <c r="CD128" s="3">
        <f>IF(RTD("tos.rtd",,CD$83,"."&amp;$B$82&amp;$AS$82&amp;"C"&amp;$A128)="N/A",0,RTD("tos.rtd",,CD$83,"."&amp;$B$82&amp;$AS$82&amp;"C"&amp;$A128))</f>
        <v>1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0.98</v>
      </c>
      <c r="CG128" s="3">
        <f>-IF(RTD("tos.rtd",,CG$83,"."&amp;$C$82&amp;$AU$82&amp;"P"&amp;$A128)="N/A",0,RTD("tos.rtd",,CG$83,"."&amp;$C$82&amp;$AU$82&amp;"P"&amp;$A128))</f>
        <v>0</v>
      </c>
      <c r="CH128" s="3">
        <f>IF(RTD("tos.rtd",,CH$83,"."&amp;$D$82&amp;$AW$82&amp;"C"&amp;$A128)="N/A",0,RTD("tos.rtd",,CH$83,"."&amp;$D$82&amp;$AW$82&amp;"C"&amp;$A128))</f>
        <v>0.88</v>
      </c>
      <c r="CI128" s="3">
        <f>-IF(RTD("tos.rtd",,CI$83,"."&amp;$D$82&amp;$AW$82&amp;"P"&amp;$A128)="N/A",0,RTD("tos.rtd",,CI$83,"."&amp;$D$82&amp;$AW$82&amp;"P"&amp;$A128))</f>
        <v>0.1</v>
      </c>
      <c r="CK128" s="3">
        <f t="shared" si="493"/>
        <v>21600</v>
      </c>
      <c r="CL128" s="3"/>
      <c r="CM128" s="3">
        <f t="shared" si="494"/>
        <v>28126</v>
      </c>
      <c r="CN128" s="3"/>
      <c r="CO128" s="3">
        <f t="shared" si="495"/>
        <v>45851.999999999993</v>
      </c>
      <c r="CP128" s="3">
        <f t="shared" si="458"/>
        <v>95578</v>
      </c>
      <c r="CQ128" s="3">
        <f t="shared" si="459"/>
        <v>0</v>
      </c>
      <c r="CR128" s="3"/>
      <c r="CS128" s="3">
        <f t="shared" si="460"/>
        <v>-2419</v>
      </c>
      <c r="CT128" s="3"/>
      <c r="CU128" s="3">
        <f t="shared" si="461"/>
        <v>-1198</v>
      </c>
      <c r="CV128" s="3"/>
      <c r="CW128" s="3" t="e">
        <f t="shared" ca="1" si="462"/>
        <v>#NUM!</v>
      </c>
      <c r="CY128" s="3" t="e">
        <f t="shared" ca="1" si="463"/>
        <v>#NUM!</v>
      </c>
      <c r="CZ128" s="70" t="e">
        <f t="shared" ca="1" si="505"/>
        <v>#NUM!</v>
      </c>
      <c r="DA128" s="3">
        <f>IF(RTD("tos.rtd",,DA$83,"."&amp;$B$82&amp;$AS$82&amp;"C"&amp;$A128)="N/A",0,RTD("tos.rtd",,DA$83,"."&amp;$B$82&amp;$AS$82&amp;"C"&amp;$A128))</f>
        <v>226.58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218.1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202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7"/>
        <v>-220</v>
      </c>
      <c r="DH128" s="3">
        <f t="shared" si="464"/>
        <v>-36.640993788819905</v>
      </c>
      <c r="DI128" s="3">
        <f t="shared" si="465"/>
        <v>771</v>
      </c>
      <c r="DJ128" s="3">
        <f t="shared" si="466"/>
        <v>-24</v>
      </c>
      <c r="DK128" s="3">
        <f t="shared" si="467"/>
        <v>771</v>
      </c>
      <c r="DL128" s="3">
        <f t="shared" si="468"/>
        <v>734.35900621118014</v>
      </c>
      <c r="DM128" s="3">
        <f t="shared" si="469"/>
        <v>747</v>
      </c>
      <c r="DN128" s="64" t="str">
        <f t="shared" si="470"/>
        <v>UNKNOWN</v>
      </c>
      <c r="DO128" s="64" t="str">
        <f t="shared" si="471"/>
        <v>UNKNOWN</v>
      </c>
      <c r="DP128" s="3">
        <f t="shared" si="472"/>
        <v>-8263.5663726708153</v>
      </c>
      <c r="DQ128" s="3">
        <f t="shared" si="473"/>
        <v>-5399.37</v>
      </c>
      <c r="DR128" s="3" t="e">
        <f t="shared" ca="1" si="474"/>
        <v>#NUM!</v>
      </c>
      <c r="DS128" s="3">
        <f t="shared" si="475"/>
        <v>-24</v>
      </c>
      <c r="DT128" s="3">
        <f t="shared" si="498"/>
        <v>-24</v>
      </c>
      <c r="DU128" s="3">
        <f t="shared" si="499"/>
        <v>771</v>
      </c>
      <c r="DV128" s="3">
        <f t="shared" si="500"/>
        <v>-8</v>
      </c>
      <c r="DW128" s="3">
        <f t="shared" si="501"/>
        <v>-127</v>
      </c>
      <c r="DX128" s="3" t="e">
        <f t="shared" ca="1" si="506"/>
        <v>#NUM!</v>
      </c>
      <c r="DY128" s="3" t="e">
        <f t="shared" ca="1" si="476"/>
        <v>#NUM!</v>
      </c>
      <c r="DZ128" s="3" t="e">
        <f t="shared" ca="1" si="477"/>
        <v>#NUM!</v>
      </c>
      <c r="EA128" s="3" t="e">
        <f t="shared" ca="1" si="478"/>
        <v>#NUM!</v>
      </c>
      <c r="EB128" s="3" t="e">
        <f t="shared" ca="1" si="479"/>
        <v>#NUM!</v>
      </c>
      <c r="EC128" s="3" t="e">
        <f t="shared" ca="1" si="480"/>
        <v>#NUM!</v>
      </c>
      <c r="EE128" s="59">
        <f t="shared" si="481"/>
        <v>0.25</v>
      </c>
      <c r="EF128" s="59">
        <f t="shared" si="482"/>
        <v>1.7323</v>
      </c>
      <c r="EG128" s="59">
        <f t="shared" si="483"/>
        <v>2.6204000000000001</v>
      </c>
      <c r="EH128" s="59">
        <f t="shared" si="484"/>
        <v>1.7323</v>
      </c>
      <c r="EI128" s="59">
        <f t="shared" si="485"/>
        <v>0.29260000000000003</v>
      </c>
      <c r="EJ128" s="59">
        <f t="shared" si="486"/>
        <v>0.26939999999999997</v>
      </c>
      <c r="EL128" s="3" t="str">
        <f>RTD("tos.rtd",,EL$83,"."&amp;$B$82&amp;$AS$82&amp;"C"&amp;$A128)</f>
        <v>--</v>
      </c>
      <c r="EM128" s="3" t="str">
        <f>RTD("tos.rtd",,EM$83,"."&amp;$B$82&amp;$AS$82&amp;"P"&amp;$A128)</f>
        <v>173.23%</v>
      </c>
      <c r="EN128" s="3" t="str">
        <f>RTD("tos.rtd",,EN$83,"."&amp;$C$82&amp;$AU$82&amp;"C"&amp;$A128)</f>
        <v>262.04%</v>
      </c>
      <c r="EO128" s="3" t="str">
        <f>RTD("tos.rtd",,EO$83,"."&amp;$C$82&amp;$AU$82&amp;"P"&amp;$A128)</f>
        <v>173.23%</v>
      </c>
      <c r="EP128" s="3" t="str">
        <f>RTD("tos.rtd",,EP$83,"."&amp;$D$82&amp;$AW$82&amp;"C"&amp;$A128)</f>
        <v>29.26%</v>
      </c>
      <c r="EQ128" s="3" t="str">
        <f>RTD("tos.rtd",,EQ$83,"."&amp;$D$82&amp;$AW$82&amp;"P"&amp;$A128)</f>
        <v>26.94%</v>
      </c>
      <c r="ES128" s="63" t="str">
        <f t="shared" si="487"/>
        <v>5440,-135.00</v>
      </c>
      <c r="ET128" s="64" t="str">
        <f t="shared" ca="1" si="488"/>
        <v>5440,00.00</v>
      </c>
      <c r="EU128" s="67">
        <v>562.88</v>
      </c>
      <c r="EV128" s="67" t="s">
        <v>1043</v>
      </c>
      <c r="EW128" s="67">
        <v>485.36</v>
      </c>
      <c r="EX128" s="67" t="s">
        <v>1044</v>
      </c>
      <c r="EY128" s="67">
        <v>5642.25</v>
      </c>
      <c r="EZ128" s="67" t="s">
        <v>1045</v>
      </c>
      <c r="FA128" s="67">
        <v>19938.75</v>
      </c>
      <c r="FB128" s="67" t="s">
        <v>1046</v>
      </c>
      <c r="FC128" s="67" t="s">
        <v>1047</v>
      </c>
      <c r="FD128" s="67" t="s">
        <v>1048</v>
      </c>
      <c r="FE128" s="68" t="s">
        <v>1049</v>
      </c>
      <c r="FF128" s="68" t="s">
        <v>1050</v>
      </c>
    </row>
    <row r="129" spans="1:162" s="63" customFormat="1" ht="12" customHeight="1" thickBot="1" x14ac:dyDescent="0.25">
      <c r="A129" s="2">
        <f t="shared" si="502"/>
        <v>5430</v>
      </c>
      <c r="B129" s="3">
        <f t="shared" si="447"/>
        <v>322</v>
      </c>
      <c r="C129" s="3">
        <f t="shared" si="448"/>
        <v>1990</v>
      </c>
      <c r="D129" s="3">
        <f t="shared" si="449"/>
        <v>381</v>
      </c>
      <c r="E129" s="3">
        <f t="shared" si="513"/>
        <v>2693</v>
      </c>
      <c r="F129" s="11">
        <f t="shared" si="516"/>
        <v>5453.0247349823321</v>
      </c>
      <c r="G129" s="4">
        <f t="shared" si="514"/>
        <v>541.84876325088339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-1</v>
      </c>
      <c r="AN129" s="20">
        <v>-1326</v>
      </c>
      <c r="AO129" s="20">
        <v>5430</v>
      </c>
      <c r="AP129" s="20">
        <v>25</v>
      </c>
      <c r="AQ129" s="20">
        <v>-2914</v>
      </c>
      <c r="AR129" s="20"/>
      <c r="AS129" s="54">
        <f>IF(RTD("tos.rtd",,AS$83,"."&amp;$B$82&amp;$AS$82&amp;"C"&amp;$A129)="N/A",0,RTD("tos.rtd",,AS$83,"."&amp;$B$82&amp;$AS$82&amp;"C"&amp;$A129))</f>
        <v>83</v>
      </c>
      <c r="AT129" s="3">
        <f>-IF(RTD("tos.rtd",,AT$83,"."&amp;$B$82&amp;$AS$82&amp;"P"&amp;$A129)="N/A",0,RTD("tos.rtd",,AT$83,"."&amp;$B$82&amp;$AS$82&amp;"P"&amp;$A129))</f>
        <v>-239</v>
      </c>
      <c r="AU129" s="54">
        <f>IF(RTD("tos.rtd",,AU$83,"."&amp;$C$82&amp;$AU$82&amp;"C"&amp;$A129)="N/A",0,RTD("tos.rtd",,AU$83,"."&amp;$C$82&amp;$AU$82&amp;"C"&amp;$A129))</f>
        <v>1100</v>
      </c>
      <c r="AV129" s="3">
        <f>-IF(RTD("tos.rtd",,AV$83,"."&amp;$C$82&amp;$AU$82&amp;"P"&amp;$A129)="N/A",0,RTD("tos.rtd",,AV$83,"."&amp;$C$82&amp;$AU$82&amp;"P"&amp;$A129))</f>
        <v>-890</v>
      </c>
      <c r="AW129" s="54">
        <f>IF(RTD("tos.rtd",,AW$83,"."&amp;$D$82&amp;$AW$82&amp;"C"&amp;$A129)="N/A",0,RTD("tos.rtd",,AW$83,"."&amp;$D$82&amp;$AW$82&amp;"C"&amp;$A129))</f>
        <v>116</v>
      </c>
      <c r="AX129" s="3">
        <f>-IF(RTD("tos.rtd",,AX$83,"."&amp;$D$82&amp;$AW$82&amp;"P"&amp;$A129)="N/A",0,RTD("tos.rtd",,AX$83,"."&amp;$D$82&amp;$AW$82&amp;"P"&amp;$A129))</f>
        <v>-265</v>
      </c>
      <c r="AY129" s="79">
        <f t="shared" si="515"/>
        <v>-95</v>
      </c>
      <c r="AZ129" s="8">
        <f t="shared" si="451"/>
        <v>5430</v>
      </c>
      <c r="BA129" s="54">
        <f>IF(RTD("tos.rtd",,BA$83,"."&amp;$B$82&amp;$AS$82&amp;"C"&amp;$A129)="N/A",0,RTD("tos.rtd",,BA$83,"."&amp;$B$82&amp;$AS$82&amp;"C"&amp;$A129))</f>
        <v>0</v>
      </c>
      <c r="BB129" s="3">
        <f>-IF(RTD("tos.rtd",,BB$83,"."&amp;$B$82&amp;$AS$82&amp;"P"&amp;$A129)="N/A",0,RTD("tos.rtd",,BB$83,"."&amp;$B$82&amp;$AS$82&amp;"P"&amp;$A129))</f>
        <v>0</v>
      </c>
      <c r="BC129" s="54">
        <f>IF(RTD("tos.rtd",,BC$83,"."&amp;$C$82&amp;$AU$82&amp;"C"&amp;$A129)="N/A",0,RTD("tos.rtd",,BC$83,"."&amp;$C$82&amp;$AU$82&amp;"C"&amp;$A129))</f>
        <v>19</v>
      </c>
      <c r="BD129" s="3">
        <f>-IF(RTD("tos.rtd",,BD$83,"."&amp;$C$82&amp;$AU$82&amp;"P"&amp;$A129)="N/A",0,RTD("tos.rtd",,BD$83,"."&amp;$C$82&amp;$AU$82&amp;"P"&amp;$A129))</f>
        <v>-951</v>
      </c>
      <c r="BE129" s="54">
        <f>IF(RTD("tos.rtd",,BE$83,"."&amp;$D$82&amp;$AW$82&amp;"C"&amp;$A129)="N/A",0,RTD("tos.rtd",,BE$83,"."&amp;$D$82&amp;$AW$82&amp;"C"&amp;$A129))</f>
        <v>5</v>
      </c>
      <c r="BF129" s="3">
        <f>-IF(RTD("tos.rtd",,BF$83,"."&amp;$D$82&amp;$AW$82&amp;"P"&amp;$A129)="N/A",0,RTD("tos.rtd",,BF$83,"."&amp;$D$82&amp;$AW$82&amp;"P"&amp;$A129))</f>
        <v>-381</v>
      </c>
      <c r="BG129" s="3">
        <f ca="1">+Hoja2!Y130</f>
        <v>-128</v>
      </c>
      <c r="BH129" s="55">
        <f t="shared" ca="1" si="491"/>
        <v>-1436</v>
      </c>
      <c r="BI129" s="32" t="str">
        <f t="shared" ca="1" si="507"/>
        <v/>
      </c>
      <c r="BJ129" s="3" t="e">
        <f ca="1">IF($BP$1=1,DX129,IF(RTD("tos.rtd",,BJ$83,"."&amp;$B$82&amp;$AS$82&amp;"C"&amp;$A129)="N/A",0,RTD("tos.rtd",,BJ$83,"."&amp;$B$82&amp;$AS$82&amp;"C"&amp;$A129)))</f>
        <v>#NUM!</v>
      </c>
      <c r="BK129" s="3" t="e">
        <f ca="1">IF($BP$1=1,DY129,-IF(RTD("tos.rtd",,BK$83,"."&amp;$B$82&amp;$AS$82&amp;"P"&amp;$A129)="N/A",0,RTD("tos.rtd",,BK$83,"."&amp;$B$82&amp;$AS$82&amp;"P"&amp;$A129)))</f>
        <v>#NUM!</v>
      </c>
      <c r="BL129" s="3" t="e">
        <f ca="1">IF($BP$1=1,DZ129,IF(RTD("tos.rtd",,BL$83,"."&amp;$C$82&amp;$AU$82&amp;"C"&amp;$A129)="N/A",0,RTD("tos.rtd",,BL$83,"."&amp;$C$82&amp;$AU$82&amp;"C"&amp;$A129)))</f>
        <v>#NUM!</v>
      </c>
      <c r="BM129" s="3" t="e">
        <f ca="1">IF($BP$1=1,EA129,-IF(RTD("tos.rtd",,BM$83,"."&amp;$C$82&amp;$AU$82&amp;"P"&amp;$A129)="N/A",0,RTD("tos.rtd",,BM$83,"."&amp;$C$82&amp;$AU$82&amp;"P"&amp;$A129)))</f>
        <v>#NUM!</v>
      </c>
      <c r="BN129" s="3" t="e">
        <f ca="1">IF($BP$1=1,EB129,IF(RTD("tos.rtd",,BN$83,"."&amp;$D$82&amp;$AW$82&amp;"C"&amp;$A129)="N/A",0,RTD("tos.rtd",,BN$83,"."&amp;$D$82&amp;$AW$82&amp;"C"&amp;$A129)))</f>
        <v>#NUM!</v>
      </c>
      <c r="BO129" s="3" t="e">
        <f ca="1">IF($BP$1=1,EC129,-IF(RTD("tos.rtd",,BO$83,"."&amp;$D$82&amp;$AW$82&amp;"P"&amp;$A129)="N/A",0,RTD("tos.rtd",,BO$83,"."&amp;$D$82&amp;$AW$82&amp;"P"&amp;$A129)))</f>
        <v>#NUM!</v>
      </c>
      <c r="BQ129" s="3" t="e">
        <f t="shared" ca="1" si="452"/>
        <v>#NUM!</v>
      </c>
      <c r="BR129" s="3" t="e">
        <f t="shared" ca="1" si="492"/>
        <v>#NUM!</v>
      </c>
      <c r="BS129" s="3" t="e">
        <f t="shared" ca="1" si="453"/>
        <v>#NUM!</v>
      </c>
      <c r="BT129" s="3" t="e">
        <f t="shared" ca="1" si="492"/>
        <v>#NUM!</v>
      </c>
      <c r="BU129" s="3" t="e">
        <f t="shared" ca="1" si="454"/>
        <v>#NUM!</v>
      </c>
      <c r="BV129" s="3" t="e">
        <f t="shared" ca="1" si="492"/>
        <v>#NUM!</v>
      </c>
      <c r="BX129" s="3" t="e">
        <f t="shared" ca="1" si="455"/>
        <v>#NUM!</v>
      </c>
      <c r="BY129" s="3" t="e">
        <f t="shared" ca="1" si="504"/>
        <v>#NUM!</v>
      </c>
      <c r="BZ129" s="3" t="e">
        <f t="shared" ca="1" si="456"/>
        <v>#NUM!</v>
      </c>
      <c r="CA129" s="3" t="e">
        <f t="shared" ca="1" si="504"/>
        <v>#NUM!</v>
      </c>
      <c r="CB129" s="3" t="e">
        <f t="shared" ca="1" si="457"/>
        <v>#NUM!</v>
      </c>
      <c r="CC129" s="3" t="e">
        <f t="shared" ca="1" si="504"/>
        <v>#NUM!</v>
      </c>
      <c r="CD129" s="3">
        <f>IF(RTD("tos.rtd",,CD$83,"."&amp;$B$82&amp;$AS$82&amp;"C"&amp;$A129)="N/A",0,RTD("tos.rtd",,CD$83,"."&amp;$B$82&amp;$AS$82&amp;"C"&amp;$A129))</f>
        <v>1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0.98</v>
      </c>
      <c r="CG129" s="3">
        <f>-IF(RTD("tos.rtd",,CG$83,"."&amp;$C$82&amp;$AU$82&amp;"P"&amp;$A129)="N/A",0,RTD("tos.rtd",,CG$83,"."&amp;$C$82&amp;$AU$82&amp;"P"&amp;$A129))</f>
        <v>0</v>
      </c>
      <c r="CH129" s="3">
        <f>IF(RTD("tos.rtd",,CH$83,"."&amp;$D$82&amp;$AW$82&amp;"C"&amp;$A129)="N/A",0,RTD("tos.rtd",,CH$83,"."&amp;$D$82&amp;$AW$82&amp;"C"&amp;$A129))</f>
        <v>0.9</v>
      </c>
      <c r="CI129" s="3">
        <f>-IF(RTD("tos.rtd",,CI$83,"."&amp;$D$82&amp;$AW$82&amp;"P"&amp;$A129)="N/A",0,RTD("tos.rtd",,CI$83,"."&amp;$D$82&amp;$AW$82&amp;"P"&amp;$A129))</f>
        <v>0.09</v>
      </c>
      <c r="CK129" s="3">
        <f t="shared" si="493"/>
        <v>8300</v>
      </c>
      <c r="CL129" s="3"/>
      <c r="CM129" s="3">
        <f t="shared" si="494"/>
        <v>107800</v>
      </c>
      <c r="CN129" s="3"/>
      <c r="CO129" s="3">
        <f t="shared" si="495"/>
        <v>8055</v>
      </c>
      <c r="CP129" s="3">
        <f t="shared" si="458"/>
        <v>124155</v>
      </c>
      <c r="CQ129" s="3">
        <f t="shared" si="459"/>
        <v>0</v>
      </c>
      <c r="CR129" s="3"/>
      <c r="CS129" s="3">
        <f t="shared" si="460"/>
        <v>-932</v>
      </c>
      <c r="CT129" s="3"/>
      <c r="CU129" s="3">
        <f t="shared" si="461"/>
        <v>-376</v>
      </c>
      <c r="CV129" s="3"/>
      <c r="CW129" s="3" t="e">
        <f t="shared" ca="1" si="462"/>
        <v>#NUM!</v>
      </c>
      <c r="CY129" s="3" t="e">
        <f t="shared" ca="1" si="463"/>
        <v>#NUM!</v>
      </c>
      <c r="CZ129" s="70" t="e">
        <f t="shared" ca="1" si="505"/>
        <v>#NUM!</v>
      </c>
      <c r="DA129" s="3">
        <f>IF(RTD("tos.rtd",,DA$83,"."&amp;$B$82&amp;$AS$82&amp;"C"&amp;$A129)="N/A",0,RTD("tos.rtd",,DA$83,"."&amp;$B$82&amp;$AS$82&amp;"C"&amp;$A129))</f>
        <v>243.5</v>
      </c>
      <c r="DB129" s="3">
        <f>IF(RTD("tos.rtd",,DB$83,"."&amp;$B$82&amp;$AS$82&amp;"P"&amp;$A129)="N/A",0,RTD("tos.rtd",,DB$83,"."&amp;$B$82&amp;$AS$82&amp;"P"&amp;$A129))</f>
        <v>0.03</v>
      </c>
      <c r="DC129" s="3">
        <f>IF(RTD("tos.rtd",,DC$83,"."&amp;$B$82&amp;$AS$82&amp;"C"&amp;$A129)="N/A",0,RTD("tos.rtd",,DC$83,"."&amp;$B$82&amp;$AS$82&amp;"C"&amp;$A129))</f>
        <v>233.1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212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7"/>
        <v>-230</v>
      </c>
      <c r="DH129" s="3">
        <f t="shared" si="464"/>
        <v>-37.322274881516599</v>
      </c>
      <c r="DI129" s="3">
        <f t="shared" si="465"/>
        <v>1748.3999999999999</v>
      </c>
      <c r="DJ129" s="3">
        <f t="shared" si="466"/>
        <v>-25</v>
      </c>
      <c r="DK129" s="3">
        <f t="shared" si="467"/>
        <v>2914</v>
      </c>
      <c r="DL129" s="3">
        <f t="shared" si="468"/>
        <v>1711.0777251184832</v>
      </c>
      <c r="DM129" s="3">
        <f t="shared" si="469"/>
        <v>2889</v>
      </c>
      <c r="DN129" s="64" t="str">
        <f t="shared" si="470"/>
        <v>UNKNOWN</v>
      </c>
      <c r="DO129" s="64" t="str">
        <f t="shared" si="471"/>
        <v>UNKNOWN</v>
      </c>
      <c r="DP129" s="3">
        <f t="shared" si="472"/>
        <v>-9035.5219336492919</v>
      </c>
      <c r="DQ129" s="3">
        <f t="shared" si="473"/>
        <v>-6000.08</v>
      </c>
      <c r="DR129" s="3" t="e">
        <f t="shared" ca="1" si="474"/>
        <v>#NUM!</v>
      </c>
      <c r="DS129" s="3">
        <f t="shared" si="475"/>
        <v>-25</v>
      </c>
      <c r="DT129" s="3">
        <f t="shared" si="498"/>
        <v>-25</v>
      </c>
      <c r="DU129" s="3">
        <f t="shared" si="499"/>
        <v>2914</v>
      </c>
      <c r="DV129" s="3">
        <f t="shared" si="500"/>
        <v>-1</v>
      </c>
      <c r="DW129" s="3">
        <f t="shared" si="501"/>
        <v>-1326</v>
      </c>
      <c r="DX129" s="3" t="e">
        <f t="shared" ca="1" si="506"/>
        <v>#NUM!</v>
      </c>
      <c r="DY129" s="3" t="e">
        <f t="shared" ca="1" si="476"/>
        <v>#NUM!</v>
      </c>
      <c r="DZ129" s="3" t="e">
        <f t="shared" ca="1" si="477"/>
        <v>#NUM!</v>
      </c>
      <c r="EA129" s="3" t="e">
        <f t="shared" ca="1" si="478"/>
        <v>#NUM!</v>
      </c>
      <c r="EB129" s="3" t="e">
        <f t="shared" ca="1" si="479"/>
        <v>#NUM!</v>
      </c>
      <c r="EC129" s="3" t="e">
        <f t="shared" ca="1" si="480"/>
        <v>#NUM!</v>
      </c>
      <c r="EE129" s="59">
        <f t="shared" si="481"/>
        <v>0.25</v>
      </c>
      <c r="EF129" s="59">
        <f t="shared" si="482"/>
        <v>1.8059000000000001</v>
      </c>
      <c r="EG129" s="59">
        <f t="shared" si="483"/>
        <v>2.7231000000000001</v>
      </c>
      <c r="EH129" s="59">
        <f t="shared" si="484"/>
        <v>1.8059000000000001</v>
      </c>
      <c r="EI129" s="59">
        <f t="shared" si="485"/>
        <v>0.28120000000000001</v>
      </c>
      <c r="EJ129" s="59">
        <f t="shared" si="486"/>
        <v>0.2712</v>
      </c>
      <c r="EL129" s="3" t="str">
        <f>RTD("tos.rtd",,EL$83,"."&amp;$B$82&amp;$AS$82&amp;"C"&amp;$A129)</f>
        <v>--</v>
      </c>
      <c r="EM129" s="3" t="str">
        <f>RTD("tos.rtd",,EM$83,"."&amp;$B$82&amp;$AS$82&amp;"P"&amp;$A129)</f>
        <v>180.59%</v>
      </c>
      <c r="EN129" s="3" t="str">
        <f>RTD("tos.rtd",,EN$83,"."&amp;$C$82&amp;$AU$82&amp;"C"&amp;$A129)</f>
        <v>272.31%</v>
      </c>
      <c r="EO129" s="3" t="str">
        <f>RTD("tos.rtd",,EO$83,"."&amp;$C$82&amp;$AU$82&amp;"P"&amp;$A129)</f>
        <v>180.59%</v>
      </c>
      <c r="EP129" s="3" t="str">
        <f>RTD("tos.rtd",,EP$83,"."&amp;$D$82&amp;$AW$82&amp;"C"&amp;$A129)</f>
        <v>28.12%</v>
      </c>
      <c r="EQ129" s="3" t="str">
        <f>RTD("tos.rtd",,EQ$83,"."&amp;$D$82&amp;$AW$82&amp;"P"&amp;$A129)</f>
        <v>27.12%</v>
      </c>
      <c r="ES129" s="63" t="str">
        <f t="shared" si="487"/>
        <v>5430,-1327.00</v>
      </c>
      <c r="ET129" s="64" t="str">
        <f t="shared" ca="1" si="488"/>
        <v>5430,00.00</v>
      </c>
      <c r="EU129" s="67">
        <v>562.6</v>
      </c>
      <c r="EV129" s="67" t="s">
        <v>1051</v>
      </c>
      <c r="EW129" s="67">
        <v>485.04</v>
      </c>
      <c r="EX129" s="67" t="s">
        <v>1052</v>
      </c>
      <c r="EY129" s="67">
        <v>5639.5</v>
      </c>
      <c r="EZ129" s="67" t="s">
        <v>1053</v>
      </c>
      <c r="FA129" s="67">
        <v>19925.25</v>
      </c>
      <c r="FB129" s="67" t="s">
        <v>1054</v>
      </c>
      <c r="FC129" s="67" t="s">
        <v>1055</v>
      </c>
      <c r="FD129" s="67" t="s">
        <v>1056</v>
      </c>
      <c r="FE129" s="68" t="s">
        <v>1057</v>
      </c>
      <c r="FF129" s="68" t="s">
        <v>1058</v>
      </c>
    </row>
    <row r="130" spans="1:162" s="63" customFormat="1" ht="12" customHeight="1" thickBot="1" x14ac:dyDescent="0.25">
      <c r="A130" s="2">
        <f t="shared" si="502"/>
        <v>5420</v>
      </c>
      <c r="B130" s="3">
        <f t="shared" si="447"/>
        <v>2700</v>
      </c>
      <c r="C130" s="3">
        <f t="shared" si="448"/>
        <v>1900</v>
      </c>
      <c r="D130" s="3">
        <f t="shared" si="449"/>
        <v>644</v>
      </c>
      <c r="E130" s="3">
        <f>SUM(B130:D130)</f>
        <v>5244</v>
      </c>
      <c r="F130" s="11">
        <f>+$F$84/$A$84*A130</f>
        <v>5442.9823321554768</v>
      </c>
      <c r="G130" s="4">
        <f t="shared" si="514"/>
        <v>540.85088339222614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-15</v>
      </c>
      <c r="AN130" s="20">
        <v>-248</v>
      </c>
      <c r="AO130" s="20">
        <v>5420</v>
      </c>
      <c r="AP130" s="20">
        <v>41</v>
      </c>
      <c r="AQ130" s="20">
        <v>-468</v>
      </c>
      <c r="AR130" s="20"/>
      <c r="AS130" s="56">
        <f>IF(RTD("tos.rtd",,AS$83,"."&amp;$B$82&amp;$AS$82&amp;"C"&amp;$A130)="N/A",0,RTD("tos.rtd",,AS$83,"."&amp;$B$82&amp;$AS$82&amp;"C"&amp;$A130))</f>
        <v>109</v>
      </c>
      <c r="AT130" s="35">
        <f>-IF(RTD("tos.rtd",,AT$83,"."&amp;$B$82&amp;$AS$82&amp;"P"&amp;$A130)="N/A",0,RTD("tos.rtd",,AT$83,"."&amp;$B$82&amp;$AS$82&amp;"P"&amp;$A130))</f>
        <v>-2591</v>
      </c>
      <c r="AU130" s="56">
        <f>IF(RTD("tos.rtd",,AU$83,"."&amp;$C$82&amp;$AU$82&amp;"C"&amp;$A130)="N/A",0,RTD("tos.rtd",,AU$83,"."&amp;$C$82&amp;$AU$82&amp;"C"&amp;$A130))</f>
        <v>147</v>
      </c>
      <c r="AV130" s="35">
        <f>-IF(RTD("tos.rtd",,AV$83,"."&amp;$C$82&amp;$AU$82&amp;"P"&amp;$A130)="N/A",0,RTD("tos.rtd",,AV$83,"."&amp;$C$82&amp;$AU$82&amp;"P"&amp;$A130))</f>
        <v>-1753</v>
      </c>
      <c r="AW130" s="56">
        <f>IF(RTD("tos.rtd",,AW$83,"."&amp;$D$82&amp;$AW$82&amp;"C"&amp;$A130)="N/A",0,RTD("tos.rtd",,AW$83,"."&amp;$D$82&amp;$AW$82&amp;"C"&amp;$A130))</f>
        <v>309</v>
      </c>
      <c r="AX130" s="35">
        <f>-IF(RTD("tos.rtd",,AX$83,"."&amp;$D$82&amp;$AW$82&amp;"P"&amp;$A130)="N/A",0,RTD("tos.rtd",,AX$83,"."&amp;$D$82&amp;$AW$82&amp;"P"&amp;$A130))</f>
        <v>-335</v>
      </c>
      <c r="AY130" s="81">
        <f t="shared" si="515"/>
        <v>-4114</v>
      </c>
      <c r="AZ130" s="8">
        <f t="shared" si="451"/>
        <v>5420</v>
      </c>
      <c r="BA130" s="56">
        <f>IF(RTD("tos.rtd",,BA$83,"."&amp;$B$82&amp;$AS$82&amp;"C"&amp;$A130)="N/A",0,RTD("tos.rtd",,BA$83,"."&amp;$B$82&amp;$AS$82&amp;"C"&amp;$A130))</f>
        <v>0</v>
      </c>
      <c r="BB130" s="35">
        <f>-IF(RTD("tos.rtd",,BB$83,"."&amp;$B$82&amp;$AS$82&amp;"P"&amp;$A130)="N/A",0,RTD("tos.rtd",,BB$83,"."&amp;$B$82&amp;$AS$82&amp;"P"&amp;$A130))</f>
        <v>0</v>
      </c>
      <c r="BC130" s="56">
        <f>IF(RTD("tos.rtd",,BC$83,"."&amp;$C$82&amp;$AU$82&amp;"C"&amp;$A130)="N/A",0,RTD("tos.rtd",,BC$83,"."&amp;$C$82&amp;$AU$82&amp;"C"&amp;$A130))</f>
        <v>32</v>
      </c>
      <c r="BD130" s="35">
        <f>-IF(RTD("tos.rtd",,BD$83,"."&amp;$C$82&amp;$AU$82&amp;"P"&amp;$A130)="N/A",0,RTD("tos.rtd",,BD$83,"."&amp;$C$82&amp;$AU$82&amp;"P"&amp;$A130))</f>
        <v>-1302</v>
      </c>
      <c r="BE130" s="56">
        <f>IF(RTD("tos.rtd",,BE$83,"."&amp;$D$82&amp;$AW$82&amp;"C"&amp;$A130)="N/A",0,RTD("tos.rtd",,BE$83,"."&amp;$D$82&amp;$AW$82&amp;"C"&amp;$A130))</f>
        <v>22</v>
      </c>
      <c r="BF130" s="35">
        <f>-IF(RTD("tos.rtd",,BF$83,"."&amp;$D$82&amp;$AW$82&amp;"P"&amp;$A130)="N/A",0,RTD("tos.rtd",,BF$83,"."&amp;$D$82&amp;$AW$82&amp;"P"&amp;$A130))</f>
        <v>-171</v>
      </c>
      <c r="BG130" s="3">
        <f ca="1">+Hoja2!Y131</f>
        <v>-118</v>
      </c>
      <c r="BH130" s="57">
        <f t="shared" ca="1" si="491"/>
        <v>-1537</v>
      </c>
      <c r="BI130" s="32" t="str">
        <f t="shared" ca="1" si="507"/>
        <v/>
      </c>
      <c r="BJ130" s="3" t="e">
        <f ca="1">IF($BP$1=1,DX130,IF(RTD("tos.rtd",,BJ$83,"."&amp;$B$82&amp;$AS$82&amp;"C"&amp;$A130)="N/A",0,RTD("tos.rtd",,BJ$83,"."&amp;$B$82&amp;$AS$82&amp;"C"&amp;$A130)))</f>
        <v>#NUM!</v>
      </c>
      <c r="BK130" s="3" t="e">
        <f ca="1">IF($BP$1=1,DY130,-IF(RTD("tos.rtd",,BK$83,"."&amp;$B$82&amp;$AS$82&amp;"P"&amp;$A130)="N/A",0,RTD("tos.rtd",,BK$83,"."&amp;$B$82&amp;$AS$82&amp;"P"&amp;$A130)))</f>
        <v>#NUM!</v>
      </c>
      <c r="BL130" s="3" t="e">
        <f ca="1">IF($BP$1=1,DZ130,IF(RTD("tos.rtd",,BL$83,"."&amp;$C$82&amp;$AU$82&amp;"C"&amp;$A130)="N/A",0,RTD("tos.rtd",,BL$83,"."&amp;$C$82&amp;$AU$82&amp;"C"&amp;$A130)))</f>
        <v>#NUM!</v>
      </c>
      <c r="BM130" s="3" t="e">
        <f ca="1">IF($BP$1=1,EA130,-IF(RTD("tos.rtd",,BM$83,"."&amp;$C$82&amp;$AU$82&amp;"P"&amp;$A130)="N/A",0,RTD("tos.rtd",,BM$83,"."&amp;$C$82&amp;$AU$82&amp;"P"&amp;$A130)))</f>
        <v>#NUM!</v>
      </c>
      <c r="BN130" s="3" t="e">
        <f ca="1">IF($BP$1=1,EB130,IF(RTD("tos.rtd",,BN$83,"."&amp;$D$82&amp;$AW$82&amp;"C"&amp;$A130)="N/A",0,RTD("tos.rtd",,BN$83,"."&amp;$D$82&amp;$AW$82&amp;"C"&amp;$A130)))</f>
        <v>#NUM!</v>
      </c>
      <c r="BO130" s="3" t="e">
        <f ca="1">IF($BP$1=1,EC130,-IF(RTD("tos.rtd",,BO$83,"."&amp;$D$82&amp;$AW$82&amp;"P"&amp;$A130)="N/A",0,RTD("tos.rtd",,BO$83,"."&amp;$D$82&amp;$AW$82&amp;"P"&amp;$A130)))</f>
        <v>#NUM!</v>
      </c>
      <c r="BQ130" s="3" t="e">
        <f t="shared" ca="1" si="452"/>
        <v>#NUM!</v>
      </c>
      <c r="BR130" s="3" t="e">
        <f t="shared" ca="1" si="492"/>
        <v>#NUM!</v>
      </c>
      <c r="BS130" s="3" t="e">
        <f t="shared" ca="1" si="453"/>
        <v>#NUM!</v>
      </c>
      <c r="BT130" s="3" t="e">
        <f t="shared" ca="1" si="492"/>
        <v>#NUM!</v>
      </c>
      <c r="BU130" s="3" t="e">
        <f t="shared" ca="1" si="454"/>
        <v>#NUM!</v>
      </c>
      <c r="BV130" s="3" t="e">
        <f t="shared" ca="1" si="492"/>
        <v>#NUM!</v>
      </c>
      <c r="BX130" s="3" t="e">
        <f t="shared" ca="1" si="455"/>
        <v>#NUM!</v>
      </c>
      <c r="BY130" s="3" t="e">
        <f t="shared" ca="1" si="504"/>
        <v>#NUM!</v>
      </c>
      <c r="BZ130" s="3" t="e">
        <f t="shared" ca="1" si="456"/>
        <v>#NUM!</v>
      </c>
      <c r="CA130" s="3" t="e">
        <f t="shared" ca="1" si="504"/>
        <v>#NUM!</v>
      </c>
      <c r="CB130" s="3" t="e">
        <f t="shared" ca="1" si="457"/>
        <v>#NUM!</v>
      </c>
      <c r="CC130" s="3" t="e">
        <f t="shared" ca="1" si="504"/>
        <v>#NUM!</v>
      </c>
      <c r="CD130" s="3">
        <f>IF(RTD("tos.rtd",,CD$83,"."&amp;$B$82&amp;$AS$82&amp;"C"&amp;$A130)="N/A",0,RTD("tos.rtd",,CD$83,"."&amp;$B$82&amp;$AS$82&amp;"C"&amp;$A130))</f>
        <v>1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0.98</v>
      </c>
      <c r="CG130" s="3">
        <f>-IF(RTD("tos.rtd",,CG$83,"."&amp;$C$82&amp;$AU$82&amp;"P"&amp;$A130)="N/A",0,RTD("tos.rtd",,CG$83,"."&amp;$C$82&amp;$AU$82&amp;"P"&amp;$A130))</f>
        <v>0</v>
      </c>
      <c r="CH130" s="3">
        <f>IF(RTD("tos.rtd",,CH$83,"."&amp;$D$82&amp;$AW$82&amp;"C"&amp;$A130)="N/A",0,RTD("tos.rtd",,CH$83,"."&amp;$D$82&amp;$AW$82&amp;"C"&amp;$A130))</f>
        <v>0.9</v>
      </c>
      <c r="CI130" s="3">
        <f>-IF(RTD("tos.rtd",,CI$83,"."&amp;$D$82&amp;$AW$82&amp;"P"&amp;$A130)="N/A",0,RTD("tos.rtd",,CI$83,"."&amp;$D$82&amp;$AW$82&amp;"P"&amp;$A130))</f>
        <v>0.08</v>
      </c>
      <c r="CK130" s="3">
        <f t="shared" si="493"/>
        <v>10900</v>
      </c>
      <c r="CL130" s="3"/>
      <c r="CM130" s="3">
        <f t="shared" si="494"/>
        <v>14406</v>
      </c>
      <c r="CN130" s="3"/>
      <c r="CO130" s="3">
        <f t="shared" si="495"/>
        <v>25130.000000000004</v>
      </c>
      <c r="CP130" s="3">
        <f t="shared" si="458"/>
        <v>50436</v>
      </c>
      <c r="CQ130" s="3">
        <f t="shared" si="459"/>
        <v>0</v>
      </c>
      <c r="CR130" s="3"/>
      <c r="CS130" s="3">
        <f t="shared" si="460"/>
        <v>-1270</v>
      </c>
      <c r="CT130" s="3"/>
      <c r="CU130" s="3">
        <f t="shared" si="461"/>
        <v>-149</v>
      </c>
      <c r="CV130" s="3"/>
      <c r="CW130" s="3" t="e">
        <f t="shared" ca="1" si="462"/>
        <v>#NUM!</v>
      </c>
      <c r="CY130" s="3" t="e">
        <f t="shared" ca="1" si="463"/>
        <v>#NUM!</v>
      </c>
      <c r="CZ130" s="70" t="e">
        <f t="shared" ca="1" si="505"/>
        <v>#NUM!</v>
      </c>
      <c r="DA130" s="3">
        <f>IF(RTD("tos.rtd",,DA$83,"."&amp;$B$82&amp;$AS$82&amp;"C"&amp;$A130)="N/A",0,RTD("tos.rtd",,DA$83,"."&amp;$B$82&amp;$AS$82&amp;"C"&amp;$A130))</f>
        <v>258.43</v>
      </c>
      <c r="DB130" s="3">
        <f>IF(RTD("tos.rtd",,DB$83,"."&amp;$B$82&amp;$AS$82&amp;"P"&amp;$A130)="N/A",0,RTD("tos.rtd",,DB$83,"."&amp;$B$82&amp;$AS$82&amp;"P"&amp;$A130))</f>
        <v>0.03</v>
      </c>
      <c r="DC130" s="3">
        <f>IF(RTD("tos.rtd",,DC$83,"."&amp;$B$82&amp;$AS$82&amp;"C"&amp;$A130)="N/A",0,RTD("tos.rtd",,DC$83,"."&amp;$B$82&amp;$AS$82&amp;"C"&amp;$A130))</f>
        <v>243.1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221.9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7"/>
        <v>-240</v>
      </c>
      <c r="DH130" s="3">
        <f t="shared" si="464"/>
        <v>-70.64764150943401</v>
      </c>
      <c r="DI130" s="3">
        <f t="shared" si="465"/>
        <v>280.8</v>
      </c>
      <c r="DJ130" s="3">
        <f t="shared" si="466"/>
        <v>-41</v>
      </c>
      <c r="DK130" s="3">
        <f t="shared" si="467"/>
        <v>468</v>
      </c>
      <c r="DL130" s="3">
        <f t="shared" si="468"/>
        <v>210.152358490566</v>
      </c>
      <c r="DM130" s="3">
        <f t="shared" si="469"/>
        <v>427</v>
      </c>
      <c r="DN130" s="64" t="str">
        <f t="shared" si="470"/>
        <v>UNKNOWN</v>
      </c>
      <c r="DO130" s="64" t="str">
        <f t="shared" si="471"/>
        <v>UNKNOWN</v>
      </c>
      <c r="DP130" s="3">
        <f t="shared" si="472"/>
        <v>-18249.045995283032</v>
      </c>
      <c r="DQ130" s="3">
        <f t="shared" si="473"/>
        <v>-10581.59</v>
      </c>
      <c r="DR130" s="3" t="e">
        <f t="shared" ca="1" si="474"/>
        <v>#NUM!</v>
      </c>
      <c r="DS130" s="3">
        <f t="shared" si="475"/>
        <v>-41</v>
      </c>
      <c r="DT130" s="3">
        <f t="shared" si="498"/>
        <v>-41</v>
      </c>
      <c r="DU130" s="3">
        <f t="shared" si="499"/>
        <v>468</v>
      </c>
      <c r="DV130" s="3">
        <f t="shared" si="500"/>
        <v>-15</v>
      </c>
      <c r="DW130" s="3">
        <f t="shared" si="501"/>
        <v>-248</v>
      </c>
      <c r="DX130" s="3" t="e">
        <f t="shared" ca="1" si="506"/>
        <v>#NUM!</v>
      </c>
      <c r="DY130" s="3" t="e">
        <f t="shared" ca="1" si="476"/>
        <v>#NUM!</v>
      </c>
      <c r="DZ130" s="3" t="e">
        <f t="shared" ca="1" si="477"/>
        <v>#NUM!</v>
      </c>
      <c r="EA130" s="3" t="e">
        <f t="shared" ca="1" si="478"/>
        <v>#NUM!</v>
      </c>
      <c r="EB130" s="3" t="e">
        <f t="shared" ca="1" si="479"/>
        <v>#NUM!</v>
      </c>
      <c r="EC130" s="3" t="e">
        <f t="shared" ca="1" si="480"/>
        <v>#NUM!</v>
      </c>
      <c r="EE130" s="59">
        <f t="shared" si="481"/>
        <v>0.25</v>
      </c>
      <c r="EF130" s="59">
        <f t="shared" si="482"/>
        <v>1.8794999999999999</v>
      </c>
      <c r="EG130" s="59">
        <f t="shared" si="483"/>
        <v>2.8254999999999999</v>
      </c>
      <c r="EH130" s="59">
        <f t="shared" si="484"/>
        <v>1.8794999999999999</v>
      </c>
      <c r="EI130" s="59">
        <f t="shared" si="485"/>
        <v>0.29020000000000001</v>
      </c>
      <c r="EJ130" s="59">
        <f t="shared" si="486"/>
        <v>0.27329999999999999</v>
      </c>
      <c r="EL130" s="3" t="str">
        <f>RTD("tos.rtd",,EL$83,"."&amp;$B$82&amp;$AS$82&amp;"C"&amp;$A130)</f>
        <v>--</v>
      </c>
      <c r="EM130" s="3" t="str">
        <f>RTD("tos.rtd",,EM$83,"."&amp;$B$82&amp;$AS$82&amp;"P"&amp;$A130)</f>
        <v>187.95%</v>
      </c>
      <c r="EN130" s="3" t="str">
        <f>RTD("tos.rtd",,EN$83,"."&amp;$C$82&amp;$AU$82&amp;"C"&amp;$A130)</f>
        <v>282.55%</v>
      </c>
      <c r="EO130" s="3" t="str">
        <f>RTD("tos.rtd",,EO$83,"."&amp;$C$82&amp;$AU$82&amp;"P"&amp;$A130)</f>
        <v>187.95%</v>
      </c>
      <c r="EP130" s="3" t="str">
        <f>RTD("tos.rtd",,EP$83,"."&amp;$D$82&amp;$AW$82&amp;"C"&amp;$A130)</f>
        <v>29.02%</v>
      </c>
      <c r="EQ130" s="3" t="str">
        <f>RTD("tos.rtd",,EQ$83,"."&amp;$D$82&amp;$AW$82&amp;"P"&amp;$A130)</f>
        <v>27.33%</v>
      </c>
      <c r="ES130" s="63" t="str">
        <f t="shared" si="487"/>
        <v>5420,-263.00</v>
      </c>
      <c r="ET130" s="64" t="str">
        <f t="shared" ca="1" si="488"/>
        <v>5420,00.00</v>
      </c>
      <c r="EU130" s="67">
        <v>562.72</v>
      </c>
      <c r="EV130" s="67" t="s">
        <v>1059</v>
      </c>
      <c r="EW130" s="67">
        <v>485.19</v>
      </c>
      <c r="EX130" s="67" t="s">
        <v>1060</v>
      </c>
      <c r="EY130" s="67">
        <v>5641</v>
      </c>
      <c r="EZ130" s="67" t="s">
        <v>1061</v>
      </c>
      <c r="FA130" s="67">
        <v>19931.25</v>
      </c>
      <c r="FB130" s="67" t="s">
        <v>1062</v>
      </c>
      <c r="FC130" s="67" t="s">
        <v>1063</v>
      </c>
      <c r="FD130" s="67" t="s">
        <v>1064</v>
      </c>
      <c r="FE130" s="68" t="s">
        <v>1065</v>
      </c>
      <c r="FF130" s="68" t="s">
        <v>1066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-70907</v>
      </c>
      <c r="BI131" s="1">
        <f ca="1">IFERROR(IF(MIN(BH85:BH130)&lt;&gt;0,INDEX(A85:A130,MATCH(MIN(BH85:BH130),BH85:BH130,0)),""),"")</f>
        <v>5650</v>
      </c>
      <c r="BP131" s="64" t="e">
        <f ca="1">INDEX(BQ131:BU131,MATCH(MAX(BQ84:BU84),BQ84:BU84,0))</f>
        <v>#NUM!</v>
      </c>
      <c r="BQ131" s="1" t="e">
        <f ca="1">IF(AND(BQ84&gt;0,ABS(MAX(BQ85:BQ130))&gt;ABS(MIN(BQ85:BQ130))),IF(MAX(BQ85:BQ130)&lt;&gt;0,INDEX($A85:$A130,MATCH(MAX(BQ85:BQ130),BQ85:BQ130,0)),""),"")</f>
        <v>#NUM!</v>
      </c>
      <c r="BS131" s="1" t="e">
        <f ca="1">IF(AND(BS84&gt;0,ABS(MAX(BS85:BS130))&gt;ABS(MIN(BS85:BS130))),IF(MAX(BS85:BS130)&lt;&gt;0,INDEX($A85:$A130,MATCH(MAX(BS85:BS130),BS85:BS130,0)),""),"")</f>
        <v>#NUM!</v>
      </c>
      <c r="BU131" s="1" t="e">
        <f ca="1">IF(AND(BU84&gt;0,ABS(MAX(BU85:BU130))&gt;ABS(MIN(BU85:BU130))),IF(MAX(BU85:BU130)&lt;&gt;0,INDEX($A85:$A130,MATCH(MAX(BU85:BU130),BU85:BU130,0)),""),"")</f>
        <v>#NUM!</v>
      </c>
      <c r="BW131" s="64" t="e">
        <f ca="1">INDEX(BX131:CB131,MATCH(MAX(BX84:CB84),BX84:CB84,0))</f>
        <v>#NUM!</v>
      </c>
      <c r="BX131" s="1" t="e">
        <f ca="1">IF(AND(BX84&gt;0,ABS(MAX(BX85:BX130))&gt;ABS(MIN(BX85:BX130))),IF(MAX(BX85:BX130)&lt;&gt;0,INDEX($A85:$A130,MATCH(MAX(BX85:BX130),BX85:BX130,0)),""),"")</f>
        <v>#NUM!</v>
      </c>
      <c r="BY131" s="1" t="e">
        <f ca="1">INDEX($A$85:$A$130,MATCH("Cruce -",BY85:BY130,)+1)</f>
        <v>#N/A</v>
      </c>
      <c r="BZ131" s="1" t="e">
        <f ca="1">IF(AND(BZ84&gt;0,ABS(MAX(BZ85:BZ130))&gt;ABS(MIN(BZ85:BZ130))),IF(MAX(BZ85:BZ130)&lt;&gt;0,INDEX($A85:$A130,MATCH(MAX(BZ85:BZ130),BZ85:BZ130,0)),""),"")</f>
        <v>#NUM!</v>
      </c>
      <c r="CB131" s="1" t="e">
        <f ca="1">IF(AND(CB84&gt;0,ABS(MAX(CB85:CB130))&gt;ABS(MIN(CB85:CB130))),IF(MAX(CB85:CB130)&lt;&gt;0,INDEX($A85:$A130,MATCH(MAX(CB85:CB130),CB85:CB130,0)),""),"")</f>
        <v>#NUM!</v>
      </c>
      <c r="CJ131" s="64">
        <f>INDEX(CK131:CO131,MATCH(MAX(CK84:CO84),CK84:CO84,0))</f>
        <v>5650</v>
      </c>
      <c r="CK131" s="1">
        <f>IF(AND(CK84&gt;0,ABS(MAX(CK85:CK130))&gt;ABS(MIN(CK85:CK130))),IF(MAX(CK85:CK130)&lt;&gt;0,INDEX($A85:$A130,MATCH(MAX(CK85:CK130),CK85:CK130,0)),""),"")</f>
        <v>5500</v>
      </c>
      <c r="CM131" s="1">
        <f>IF(AND(CM84&gt;0,ABS(MAX(CM85:CM130))&gt;ABS(MIN(CM85:CM130))),IF(MAX(CM85:CM130)&lt;&gt;0,INDEX($A85:$A130,MATCH(MAX(CM85:CM130),CM85:CM130,0)),""),"")</f>
        <v>5650</v>
      </c>
      <c r="CO131" s="1" t="str">
        <f>IF(AND(CO84&gt;0,ABS(MAX(CO85:CO130))&gt;ABS(MIN(CO85:CO130))),IF(MAX(CO85:CO130)&lt;&gt;0,INDEX($A85:$A130,MATCH(MAX(CO85:CO130),CO85:CO130,0)),""),"")</f>
        <v/>
      </c>
      <c r="CP131" s="1">
        <f>IF(ABS(MAX(CP85:CP130))&gt;ABS(MIN(CP85:CP130)),IF(MAX(CP85:CP130)&lt;&gt;0,INDEX($A85:$A130,MATCH(MAX(CP85:CP130),CP85:CP130,0)),""),"")</f>
        <v>5600</v>
      </c>
      <c r="CW131" s="1" t="e">
        <f ca="1">IF(ABS(MAX(CW85:CW130))&gt;ABS(MIN(CW85:CW130)),IF(MAX(CW85:CW130)&lt;&gt;0,INDEX($A85:$A130,MATCH(MAX(CW85:CW130),CW85:CW130,0)),""),"")</f>
        <v>#NUM!</v>
      </c>
      <c r="CY131" s="1" t="e">
        <f ca="1">IF(ABS(MAX(CY85:CY130))&gt;ABS(MIN(CY85:CY130)),IF(MAX(CY85:CY130)&lt;&gt;0,INDEX($A85:$A130,MATCH(MAX(CY85:CY130),CY85:CY130,0)),""),"")</f>
        <v>#NUM!</v>
      </c>
      <c r="DH131" s="1" t="e">
        <f t="shared" ref="DH131:DM131" si="530">IF(ABS(MAX(DH85:DH130))&gt;ABS(MIN(DH85:DH130)),IF(MAX(DH85:DH130)&lt;&gt;0,INDEX($A85:$A130,MATCH(MAX(DH85:DH130),DH85:DH130,0)),""),"")</f>
        <v>#DIV/0!</v>
      </c>
      <c r="DI131" s="1" t="e">
        <f t="shared" si="530"/>
        <v>#DIV/0!</v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>
        <f>IF(AND(ABS(MAX(DK85:DK130))&gt;$DG$83,ABS(INDEX($DG$85:$DG$130,MATCH(MAX(DK85:DK130),DK85:DK130,0)))&lt;10,1),IF(MAX(DK85:DK130)&lt;&gt;0,INDEX($A85:$A130,MATCH(MAX(DK85:DK130),DK85:DK130,0)),""),"")</f>
        <v>5660</v>
      </c>
      <c r="DL131" s="1" t="e">
        <f t="shared" si="530"/>
        <v>#DIV/0!</v>
      </c>
      <c r="DM131" s="1" t="str">
        <f t="shared" si="530"/>
        <v/>
      </c>
      <c r="DN131" s="64" t="str">
        <f>DJ131&amp;","&amp;DJ132&amp;","&amp;DK131&amp;","&amp;DK132</f>
        <v>,,5660,</v>
      </c>
      <c r="DP131" s="1" t="e">
        <f>IF(ABS(MAX(DP85:DP130))&gt;ABS(MIN(DP85:DP130)),IF(MAX(DP85:DP130)&lt;&gt;0,INDEX($A85:$A130,MATCH(MAX(DP85:DP130),DP85:DP130,0)),""),"")</f>
        <v>#DIV/0!</v>
      </c>
      <c r="DQ131" s="1">
        <f>IF(ABS(MAX(DQ85:DQ130))&gt;ABS(MIN(DQ85:DQ130)),IF(MAX(DQ85:DQ130)&lt;&gt;0,INDEX($A85:$A130,MATCH(MAX(DQ85:DQ130),DQ85:DQ130,0)),""),"")</f>
        <v>5670</v>
      </c>
      <c r="DR131" s="1" t="e">
        <f ca="1">IF(ABS(MAX(DR85:DR130))&gt;ABS(MIN(DR85:DR130)),IF(MAX(DR85:DR130)&lt;&gt;0,INDEX($A85:$A130,MATCH(MAX(DR85:DR130),DR85:DR130,0)),""),"")</f>
        <v>#NUM!</v>
      </c>
      <c r="DS131" s="1" t="str">
        <f>IF(ABS(MAX(DS85:DS130))&gt;ABS(MIN(DS85:DS130)),IF(MAX(DS85:DS130)&lt;&gt;0,INDEX($A85:$A130,MATCH(MAX(DS85:DS130),DS85:DS130,0)),""),"")</f>
        <v/>
      </c>
      <c r="EU131" s="67">
        <v>562.61</v>
      </c>
      <c r="EV131" s="67" t="s">
        <v>1067</v>
      </c>
      <c r="EW131" s="67">
        <v>484.98</v>
      </c>
      <c r="EX131" s="67" t="s">
        <v>1068</v>
      </c>
      <c r="EY131" s="67">
        <v>5639.25</v>
      </c>
      <c r="EZ131" s="67" t="s">
        <v>1069</v>
      </c>
      <c r="FA131" s="67">
        <v>19922.5</v>
      </c>
      <c r="FB131" s="67" t="s">
        <v>1070</v>
      </c>
      <c r="FC131" s="67" t="s">
        <v>1071</v>
      </c>
      <c r="FD131" s="67" t="s">
        <v>1072</v>
      </c>
      <c r="FE131" s="68" t="s">
        <v>1073</v>
      </c>
      <c r="FF131" s="68" t="s">
        <v>1074</v>
      </c>
    </row>
    <row r="132" spans="1:162" x14ac:dyDescent="0.2">
      <c r="AP132" s="1">
        <v>5680</v>
      </c>
      <c r="AQ132" s="1">
        <v>5650</v>
      </c>
      <c r="BA132" s="1">
        <f>INDEX($A$85:$A$130,MATCH(MAX(BA85:BA130),BA85:BA130,0))</f>
        <v>5870</v>
      </c>
      <c r="BB132" s="38">
        <f>INDEX($A$85:$A$130,MATCH(MIN(BB85:BB130),BB85:BB130,0))</f>
        <v>5870</v>
      </c>
      <c r="BC132" s="1">
        <f>INDEX($A$85:$A$130,MATCH(MAX(BC85:BC130),BC85:BC130,0))</f>
        <v>5680</v>
      </c>
      <c r="BD132" s="38">
        <f>INDEX($A$85:$A$130,MATCH(MIN(BD85:BD130),BD85:BD130,0))</f>
        <v>5650</v>
      </c>
      <c r="BE132" s="1">
        <f>INDEX($A$85:$A$130,MATCH(MAX(BE85:BE130),BE85:BE130,0))</f>
        <v>5800</v>
      </c>
      <c r="BF132" s="38">
        <f>INDEX($A$85:$A$130,MATCH(MIN(BF85:BF130),BF85:BF130,0))</f>
        <v>5600</v>
      </c>
      <c r="BG132" s="38"/>
      <c r="BK132" s="38"/>
      <c r="BM132" s="38"/>
      <c r="BO132" s="38"/>
      <c r="BP132" s="64" t="e">
        <f ca="1">INDEX(BQ132:BU132,MATCH(MIN(BQ84:BU84),BQ84:BU84,0))</f>
        <v>#NUM!</v>
      </c>
      <c r="BQ132" s="1" t="e">
        <f ca="1">IF(AND(BQ84&lt;0,ABS(MIN(BQ85:BQ130))&gt;ABS(MAX(BQ85:BQ130))),IF(MIN(BQ85:BQ130)&lt;&gt;0,INDEX($A85:$A130,MATCH(MIN(BQ85:BQ130),BQ85:BQ130,0)),""),"")</f>
        <v>#NUM!</v>
      </c>
      <c r="BR132" s="38"/>
      <c r="BS132" s="1" t="e">
        <f ca="1">IF(AND(BS84&lt;0,ABS(MIN(BS85:BS130))&gt;ABS(MAX(BS85:BS130))),IF(MIN(BS85:BS130)&lt;&gt;0,INDEX($A85:$A130,MATCH(MIN(BS85:BS130),BS85:BS130,0)),""),"")</f>
        <v>#NUM!</v>
      </c>
      <c r="BT132" s="38"/>
      <c r="BU132" s="1" t="e">
        <f ca="1">IF(AND(BU84&lt;0,ABS(MIN(BU85:BU130))&gt;ABS(MAX(BU85:BU130))),IF(MIN(BU85:BU130)&lt;&gt;0,INDEX($A85:$A130,MATCH(MIN(BU85:BU130),BU85:BU130,0)),""),"")</f>
        <v>#NUM!</v>
      </c>
      <c r="BV132" s="38"/>
      <c r="BW132" s="64" t="e">
        <f ca="1">INDEX(BX132:CB132,MATCH(MIN(BX84:CB84),BX84:CB84,0))</f>
        <v>#NUM!</v>
      </c>
      <c r="BX132" s="1" t="e">
        <f ca="1">IF(AND(BX84&lt;0,ABS(MIN(BX85:BX130))&gt;ABS(MAX(BX85:BX130))),IF(MIN(BX85:BX130)&lt;&gt;0,INDEX($A85:$A130,MATCH(MIN(BX85:BX130),BX85:BX130,0)),""),"")</f>
        <v>#NUM!</v>
      </c>
      <c r="BY132" s="38" t="e">
        <f ca="1">INDEX($A$85:$A$130,MATCH("Cruce -",BY85:BY130,)-1)</f>
        <v>#N/A</v>
      </c>
      <c r="BZ132" s="1" t="e">
        <f ca="1">IF(AND(BZ84&lt;0,ABS(MIN(BZ85:BZ130))&gt;ABS(MAX(BZ85:BZ130))),IF(MIN(BZ85:BZ130)&lt;&gt;0,INDEX($A85:$A130,MATCH(MIN(BZ85:BZ130),BZ85:BZ130,0)),""),"")</f>
        <v>#NUM!</v>
      </c>
      <c r="CA132" s="38"/>
      <c r="CB132" s="1" t="e">
        <f ca="1">IF(AND(CB84&lt;0,ABS(MIN(CB85:CB130))&gt;ABS(MAX(CB85:CB130))),IF(MIN(CB85:CB130)&lt;&gt;0,INDEX($A85:$A130,MATCH(MIN(CB85:CB130),CB85:CB130,0)),""),"")</f>
        <v>#NUM!</v>
      </c>
      <c r="CC132" s="38"/>
      <c r="CE132" s="38"/>
      <c r="CG132" s="38"/>
      <c r="CI132" s="38"/>
      <c r="CJ132" s="64">
        <f>INDEX(CK132:CO132,MATCH(MIN(CK84:CO84),CK84:CO84,0))</f>
        <v>5700</v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>
        <f>IF(AND(CO84&lt;0,ABS(MIN(CO85:CO130))&gt;ABS(MAX(CO85:CO130))),IF(MIN(CO85:CO130)&lt;&gt;0,INDEX($A85:$A130,MATCH(MIN(CO85:CO130),CO85:CO130,0)),""),"")</f>
        <v>5700</v>
      </c>
      <c r="CP132" s="38" t="str">
        <f>IF(ABS(MIN(CP85:CP130))&gt;ABS(MAX(CP85:CP130)),IF(MIN(CP85:CP130)&lt;&gt;0,INDEX($A85:$A130,MATCH(MIN(CP85:CP130),CP85:CP130,0)),""),"")</f>
        <v/>
      </c>
      <c r="CR132" s="38"/>
      <c r="CT132" s="38"/>
      <c r="CV132" s="38"/>
      <c r="CW132" s="38" t="e">
        <f ca="1">IF(ABS(MIN(CW85:CW130))&gt;ABS(MAX(CW85:CW130)),IF(MIN(CW85:CW130)&lt;&gt;0,INDEX($A85:$A130,MATCH(MIN(CW85:CW130),CW85:CW130,0)),""),"")</f>
        <v>#NUM!</v>
      </c>
      <c r="CY132" s="38" t="e">
        <f ca="1">IF(ABS(MIN(CY85:CY130))&gt;ABS(MAX(CY85:CY130)),IF(MIN(CY85:CY130)&lt;&gt;0,INDEX($A85:$A130,MATCH(MIN(CY85:CY130),CY85:CY130,0)),""),"")</f>
        <v>#NUM!</v>
      </c>
      <c r="DB132" s="38"/>
      <c r="DD132" s="38"/>
      <c r="DH132" s="1" t="e">
        <f t="shared" ref="DH132:DM132" si="531">IF(ABS(MIN(DH85:DH130))&gt;ABS(MAX(DH85:DH130)),IF(MIN(DH85:DH130)&lt;&gt;0,INDEX($A85:$A130,MATCH(MIN(DH85:DH130),DH85:DH130,0)),""),"")</f>
        <v>#DIV/0!</v>
      </c>
      <c r="DI132" s="38" t="e">
        <f t="shared" si="531"/>
        <v>#DIV/0!</v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e">
        <f t="shared" si="531"/>
        <v>#DIV/0!</v>
      </c>
      <c r="DM132" s="1">
        <f t="shared" si="531"/>
        <v>5650</v>
      </c>
      <c r="DN132" s="64" t="str">
        <f ca="1">BI82&amp;","&amp;BI131</f>
        <v>5700,5650</v>
      </c>
      <c r="DP132" s="1" t="e">
        <f>IF(ABS(MIN(DP85:DP130))&gt;ABS(MAX(DP85:DP130)),IF(MIN(DP85:DP130)&lt;&gt;0,INDEX($A85:$A130,MATCH(MIN(DP85:DP130),DP85:DP130,0)),""),"")</f>
        <v>#DIV/0!</v>
      </c>
      <c r="DQ132" s="38" t="str">
        <f>IF(ABS(MIN(DQ85:DQ130))&gt;ABS(MAX(DQ85:DQ130)),IF(MIN(DQ85:DQ130)&lt;&gt;0,INDEX($A85:$A130,MATCH(MIN(DQ85:DQ130),DQ85:DQ130,0)),""),"")</f>
        <v/>
      </c>
      <c r="DR132" s="1" t="e">
        <f ca="1">IF(ABS(MIN(DR85:DR130))&gt;ABS(MAX(DR85:DR130)),IF(MIN(DR85:DR130)&lt;&gt;0,INDEX($A85:$A130,MATCH(MIN(DR85:DR130),DR85:DR130,0)),""),"")</f>
        <v>#NUM!</v>
      </c>
      <c r="DS132" s="38">
        <f>IF(ABS(MIN(DS85:DS130))&gt;ABS(MAX(DS85:DS130)),IF(MIN(DS85:DS130)&lt;&gt;0,INDEX($A85:$A130,MATCH(MIN(DS85:DS130),DS85:DS130,0)),""),"")</f>
        <v>5650</v>
      </c>
      <c r="DW132" s="38"/>
      <c r="DY132" s="38"/>
      <c r="EA132" s="38"/>
      <c r="EF132" s="38"/>
      <c r="EH132" s="38"/>
      <c r="EM132" s="38"/>
      <c r="EO132" s="38"/>
      <c r="EU132" s="67">
        <v>562.66</v>
      </c>
      <c r="EV132" s="67" t="s">
        <v>1075</v>
      </c>
      <c r="EW132" s="67">
        <v>485.12</v>
      </c>
      <c r="EX132" s="67" t="s">
        <v>1076</v>
      </c>
      <c r="EY132" s="67">
        <v>5640</v>
      </c>
      <c r="EZ132" s="67" t="s">
        <v>1077</v>
      </c>
      <c r="FA132" s="67">
        <v>19928.5</v>
      </c>
      <c r="FB132" s="67" t="s">
        <v>1078</v>
      </c>
      <c r="FC132" s="67" t="s">
        <v>1079</v>
      </c>
      <c r="FD132" s="67" t="s">
        <v>1080</v>
      </c>
      <c r="FE132" s="68" t="s">
        <v>1081</v>
      </c>
      <c r="FF132" s="68" t="s">
        <v>1082</v>
      </c>
    </row>
    <row r="133" spans="1:162" ht="13.5" thickBot="1" x14ac:dyDescent="0.25">
      <c r="A133" s="49">
        <v>25</v>
      </c>
      <c r="D133" s="50">
        <f>+F136-100</f>
        <v>20046.5</v>
      </c>
      <c r="E133" s="82">
        <v>19900</v>
      </c>
      <c r="EU133" s="67">
        <v>562.83000000000004</v>
      </c>
      <c r="EV133" s="67" t="s">
        <v>1083</v>
      </c>
      <c r="EW133" s="67">
        <v>485.35</v>
      </c>
      <c r="EX133" s="67" t="s">
        <v>1084</v>
      </c>
      <c r="EY133" s="67">
        <v>5641.75</v>
      </c>
      <c r="EZ133" s="67" t="s">
        <v>1085</v>
      </c>
      <c r="FA133" s="67">
        <v>19938</v>
      </c>
      <c r="FB133" s="67" t="s">
        <v>1086</v>
      </c>
      <c r="FC133" s="67" t="s">
        <v>1087</v>
      </c>
      <c r="FD133" s="67" t="s">
        <v>1088</v>
      </c>
      <c r="FE133" s="68" t="s">
        <v>1089</v>
      </c>
      <c r="FF133" s="68" t="s">
        <v>1090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20061.449000000001</v>
      </c>
      <c r="F134" s="20">
        <f>+[3]Sheet1!$AD$2</f>
        <v>5826.8235213891576</v>
      </c>
      <c r="AP134" s="1">
        <v>250505</v>
      </c>
      <c r="AS134" s="22" t="str">
        <f>+B135</f>
        <v>250505</v>
      </c>
      <c r="AT134" s="22"/>
      <c r="AU134" s="22" t="str">
        <f>+C135</f>
        <v>250509</v>
      </c>
      <c r="AV134" s="22"/>
      <c r="AW134" s="22" t="str">
        <f>+D135</f>
        <v>250516</v>
      </c>
      <c r="AX134" s="22"/>
      <c r="BA134" s="22" t="str">
        <f>+B135</f>
        <v>250505</v>
      </c>
      <c r="BB134" s="22"/>
      <c r="BC134" s="22" t="str">
        <f>+C135</f>
        <v>250509</v>
      </c>
      <c r="BD134" s="22"/>
      <c r="BE134" s="22" t="str">
        <f>+D135</f>
        <v>250516</v>
      </c>
      <c r="BF134" s="22"/>
      <c r="BG134" s="96"/>
      <c r="BH134" s="1">
        <f ca="1">MAX(BH137:BH189)</f>
        <v>1169</v>
      </c>
      <c r="BI134" s="1">
        <f ca="1">IFERROR(IF(MAX(BH137:BH189)&lt;&gt;0,INDEX(A137:A189,MATCH(MAX(BH137:BH189),BH137:BH189,0)),""),"")</f>
        <v>20200</v>
      </c>
      <c r="BJ134" s="22"/>
      <c r="BK134" s="22"/>
      <c r="BL134" s="22"/>
      <c r="BM134" s="22"/>
      <c r="BN134" s="22"/>
      <c r="BO134" s="22"/>
      <c r="BQ134" s="22" t="e">
        <f ca="1">IF(BR134&gt;BS134,IF(MAX(BQ137:BQ189)&lt;&gt;0,INDEX(A137:A189,MATCH(MAX(BQ137:BQ189),BQ137:BQ189,0)),A136),IF(MIN(BQ137:BQ189)&lt;&gt;0,INDEX(A137:A189,MATCH(MIN(BQ137:BQ189),BQ137:BQ189,0))))</f>
        <v>#NUM!</v>
      </c>
      <c r="BR134" s="22" t="e">
        <f ca="1">+MAX(BQ137:BQ189)</f>
        <v>#NUM!</v>
      </c>
      <c r="BS134" s="22" t="e">
        <f ca="1">ABS(MIN(BQ137:BQ189))</f>
        <v>#NUM!</v>
      </c>
      <c r="BT134" s="22"/>
      <c r="BU134" s="22"/>
      <c r="BV134" s="22"/>
      <c r="BX134" s="22" t="e">
        <f ca="1">IF(BY134&gt;BZ134,IF(MAX(BX137:BX189)&lt;&gt;0,INDEX(G137:G189,MATCH(MAX(BX137:BX189),BX137:BX189,0)),G136),IF(MIN(BX137:BX189)&lt;&gt;0,INDEX(G137:G189,MATCH(MIN(BX137:BX189),BX137:BX189,0))))</f>
        <v>#NUM!</v>
      </c>
      <c r="BY134" s="22" t="e">
        <f ca="1">+MAX(BX137:BX189)</f>
        <v>#NUM!</v>
      </c>
      <c r="BZ134" s="22" t="e">
        <f ca="1">ABS(MIN(BX137:BX189))</f>
        <v>#NUM!</v>
      </c>
      <c r="CA134" s="22"/>
      <c r="CB134" s="22"/>
      <c r="CC134" s="22" t="e">
        <f ca="1">+AVERAGE(BY190:BY191,CA190:CA191,CC190:CC191)</f>
        <v>#N/A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7320</v>
      </c>
      <c r="CM134" s="22">
        <f>ABS(MIN(CK137:CK189))</f>
        <v>716</v>
      </c>
      <c r="CN134" s="22"/>
      <c r="CO134" s="22"/>
      <c r="CP134" s="22"/>
      <c r="CQ134" s="22" t="b">
        <f>IF(CR134&gt;CS134,IF(MAX(CQ137:CQ189)&lt;&gt;0,INDEX(G137:G189,MATCH(MAX(CQ137:CQ189),CQ137:CQ189,0)),G136),IF(MIN(CQ137:CQ189)&lt;&gt;0,INDEX(G137:G189,MATCH(MIN(CQ137:CQ189),CQ137:CQ189,0))))</f>
        <v>0</v>
      </c>
      <c r="CR134" s="22">
        <f>+MAX(CQ137:CQ189)</f>
        <v>0</v>
      </c>
      <c r="CS134" s="22">
        <f>ABS(MIN(CQ137:CQ189))</f>
        <v>0</v>
      </c>
      <c r="CT134" s="22"/>
      <c r="CU134" s="22"/>
      <c r="CV134" s="22"/>
      <c r="CW134" s="22" t="e">
        <f ca="1">IF(CX134&gt;CY134,IF(MAX(CW137:CW189)&lt;&gt;0,INDEX(M137:M189,MATCH(MAX(CW137:CW189),CW137:CW189,0)),M136),IF(MIN(CW137:CW189)&lt;&gt;0,INDEX(M137:M189,MATCH(MIN(CW137:CW189),CW137:CW189,0))))</f>
        <v>#NUM!</v>
      </c>
      <c r="CX134" s="61" t="e">
        <f ca="1">+MAX(CW137:CW189)</f>
        <v>#NUM!</v>
      </c>
      <c r="CY134" s="22" t="e">
        <f ca="1">ABS(MIN(CW137:CW189))</f>
        <v>#NUM!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562.94000000000005</v>
      </c>
      <c r="EV134" s="67" t="s">
        <v>1091</v>
      </c>
      <c r="EW134" s="67">
        <v>485.49</v>
      </c>
      <c r="EX134" s="67" t="s">
        <v>1092</v>
      </c>
      <c r="EY134" s="67">
        <v>5642.75</v>
      </c>
      <c r="EZ134" s="67" t="s">
        <v>1093</v>
      </c>
      <c r="FA134" s="67">
        <v>19943.5</v>
      </c>
      <c r="FB134" s="67" t="s">
        <v>1094</v>
      </c>
      <c r="FC134" s="67" t="s">
        <v>1095</v>
      </c>
      <c r="FD134" s="67" t="s">
        <v>1096</v>
      </c>
      <c r="FE134" s="68" t="s">
        <v>1097</v>
      </c>
      <c r="FF134" s="68" t="s">
        <v>1098</v>
      </c>
    </row>
    <row r="135" spans="1:162" ht="13.5" thickBot="1" x14ac:dyDescent="0.25">
      <c r="A135" s="45" t="s">
        <v>14</v>
      </c>
      <c r="B135" s="45" t="str">
        <f>+B83</f>
        <v>250505</v>
      </c>
      <c r="C135" s="45" t="str">
        <f>+C83</f>
        <v>250509</v>
      </c>
      <c r="D135" s="45" t="str">
        <f>+D83</f>
        <v>250516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562.99</v>
      </c>
      <c r="EV135" s="67" t="s">
        <v>1099</v>
      </c>
      <c r="EW135" s="67">
        <v>485.57</v>
      </c>
      <c r="EX135" s="67" t="s">
        <v>1100</v>
      </c>
      <c r="EY135" s="67">
        <v>5643.5</v>
      </c>
      <c r="EZ135" s="67" t="s">
        <v>1101</v>
      </c>
      <c r="FA135" s="67">
        <v>19947.25</v>
      </c>
      <c r="FB135" s="67" t="s">
        <v>1102</v>
      </c>
      <c r="FC135" s="67" t="s">
        <v>1103</v>
      </c>
      <c r="FD135" s="67" t="s">
        <v>1104</v>
      </c>
      <c r="FE135" s="68" t="s">
        <v>1105</v>
      </c>
      <c r="FF135" s="68" t="s">
        <v>1106</v>
      </c>
    </row>
    <row r="136" spans="1:162" ht="13.5" thickBot="1" x14ac:dyDescent="0.25">
      <c r="A136" s="46">
        <f>+D133</f>
        <v>20046.5</v>
      </c>
      <c r="B136" s="27">
        <f>+AS136/AT136</f>
        <v>-1.3171806167400881</v>
      </c>
      <c r="C136" s="27">
        <f>+AU136/AV136</f>
        <v>-1.1169154228855722</v>
      </c>
      <c r="D136" s="27">
        <f>+AW136/AX136</f>
        <v>-1.4261954261954262</v>
      </c>
      <c r="E136" s="28">
        <v>0</v>
      </c>
      <c r="F136" s="47">
        <f>RTD("tos.rtd", ,"MARK", F135)</f>
        <v>20146.5</v>
      </c>
      <c r="G136" s="58">
        <f>RTD("tos.rtd", ,"MARK", G135)</f>
        <v>487.92</v>
      </c>
      <c r="AO136" s="1">
        <v>0</v>
      </c>
      <c r="AP136" s="1">
        <v>7628</v>
      </c>
      <c r="AQ136" s="1">
        <v>-9244</v>
      </c>
      <c r="AS136" s="13">
        <f t="shared" ref="AS136:AX136" si="532">SUM(AS137:AS189)</f>
        <v>897</v>
      </c>
      <c r="AT136" s="29">
        <f t="shared" si="532"/>
        <v>-681</v>
      </c>
      <c r="AU136" s="13">
        <f t="shared" si="532"/>
        <v>898</v>
      </c>
      <c r="AV136" s="29">
        <f t="shared" si="532"/>
        <v>-804</v>
      </c>
      <c r="AW136" s="13">
        <f t="shared" si="532"/>
        <v>2058</v>
      </c>
      <c r="AX136" s="29">
        <f t="shared" si="532"/>
        <v>-1443</v>
      </c>
      <c r="AY136" s="29">
        <f>SUM(AY137:AY189)</f>
        <v>925</v>
      </c>
      <c r="AZ136" s="1">
        <v>0</v>
      </c>
      <c r="BA136" s="13">
        <f t="shared" ref="BA136:BF136" si="533">SUM(BA137:BA189)</f>
        <v>0</v>
      </c>
      <c r="BB136" s="29">
        <f t="shared" si="533"/>
        <v>0</v>
      </c>
      <c r="BC136" s="13">
        <f t="shared" si="533"/>
        <v>7182</v>
      </c>
      <c r="BD136" s="29">
        <f t="shared" si="533"/>
        <v>-10439</v>
      </c>
      <c r="BE136" s="13">
        <f t="shared" si="533"/>
        <v>211</v>
      </c>
      <c r="BF136" s="29">
        <f t="shared" si="533"/>
        <v>-649</v>
      </c>
      <c r="BG136" s="29"/>
      <c r="BH136" s="29">
        <f ca="1">SUM(BH137:BH189)</f>
        <v>-3791</v>
      </c>
      <c r="BJ136" s="30" t="e">
        <f t="shared" ref="BJ136:BO136" ca="1" si="534">SUM(BJ137:BJ189)</f>
        <v>#NUM!</v>
      </c>
      <c r="BK136" s="31" t="e">
        <f t="shared" ca="1" si="534"/>
        <v>#NUM!</v>
      </c>
      <c r="BL136" s="30" t="e">
        <f t="shared" ca="1" si="534"/>
        <v>#NUM!</v>
      </c>
      <c r="BM136" s="31" t="e">
        <f t="shared" ca="1" si="534"/>
        <v>#NUM!</v>
      </c>
      <c r="BN136" s="30" t="e">
        <f t="shared" ca="1" si="534"/>
        <v>#NUM!</v>
      </c>
      <c r="BO136" s="31" t="e">
        <f t="shared" ca="1" si="534"/>
        <v>#NUM!</v>
      </c>
      <c r="BQ136" s="30" t="e">
        <f ca="1">SUM(BQ137:BQ189)</f>
        <v>#NUM!</v>
      </c>
      <c r="BR136" s="31"/>
      <c r="BS136" s="30" t="e">
        <f ca="1">SUM(BS137:BS189)</f>
        <v>#NUM!</v>
      </c>
      <c r="BT136" s="31"/>
      <c r="BU136" s="30" t="e">
        <f ca="1">SUM(BU137:BU189)</f>
        <v>#NUM!</v>
      </c>
      <c r="BV136" s="31"/>
      <c r="BX136" s="30" t="e">
        <f ca="1">SUM(BX137:BX189)</f>
        <v>#NUM!</v>
      </c>
      <c r="BY136" s="31"/>
      <c r="BZ136" s="30" t="e">
        <f ca="1">SUM(BZ137:BZ189)</f>
        <v>#NUM!</v>
      </c>
      <c r="CA136" s="31"/>
      <c r="CB136" s="30" t="e">
        <f ca="1">SUM(CB137:CB189)</f>
        <v>#NUM!</v>
      </c>
      <c r="CC136" s="31"/>
      <c r="CD136" s="30">
        <f t="shared" ref="CD136:CI136" si="535">SUM(CD154:CD188)</f>
        <v>35</v>
      </c>
      <c r="CE136" s="31">
        <f t="shared" si="535"/>
        <v>2.34</v>
      </c>
      <c r="CF136" s="30">
        <f t="shared" si="535"/>
        <v>34.75</v>
      </c>
      <c r="CG136" s="31">
        <f t="shared" si="535"/>
        <v>1.7600000000000007</v>
      </c>
      <c r="CH136" s="30">
        <f t="shared" si="535"/>
        <v>26.68</v>
      </c>
      <c r="CI136" s="31">
        <f t="shared" si="535"/>
        <v>8.7799999999999976</v>
      </c>
      <c r="CK136" s="30">
        <f>SUM(CK137:CK188)</f>
        <v>34717</v>
      </c>
      <c r="CL136" s="31"/>
      <c r="CM136" s="30">
        <f>SUM(CM137:CM188)</f>
        <v>33864</v>
      </c>
      <c r="CN136" s="31"/>
      <c r="CO136" s="30">
        <f>SUM(CO137:CO188)</f>
        <v>84012</v>
      </c>
      <c r="CP136" s="31">
        <f t="shared" ref="CP136:CP189" si="536">+CK136+CM136+CO136</f>
        <v>152593</v>
      </c>
      <c r="CQ136" s="30">
        <f>SUM(CQ137:CQ189)</f>
        <v>0</v>
      </c>
      <c r="CR136" s="31"/>
      <c r="CS136" s="30">
        <f>SUM(CS137:CS189)</f>
        <v>-3257</v>
      </c>
      <c r="CT136" s="31"/>
      <c r="CU136" s="30">
        <f>SUM(CU137:CU189)</f>
        <v>-438</v>
      </c>
      <c r="CV136" s="31"/>
      <c r="CW136" s="31" t="e">
        <f ca="1">SUM(CW137:CW189)</f>
        <v>#NUM!</v>
      </c>
      <c r="CY136" s="31" t="e">
        <f ca="1">SUM(CY137:CY189)</f>
        <v>#NUM!</v>
      </c>
      <c r="DA136" s="30">
        <f t="shared" ref="DA136:DB136" si="537">SUM(DA137:DA189)</f>
        <v>12910.53</v>
      </c>
      <c r="DB136" s="31">
        <f t="shared" si="537"/>
        <v>2292.5300000000011</v>
      </c>
      <c r="DC136" s="30">
        <f t="shared" ref="DC136:DF136" si="538">SUM(DC137:DC189)</f>
        <v>14807.550000000003</v>
      </c>
      <c r="DD136" s="31">
        <f t="shared" si="538"/>
        <v>5552.2000000000044</v>
      </c>
      <c r="DE136" s="30">
        <f t="shared" si="538"/>
        <v>12930.2</v>
      </c>
      <c r="DF136" s="30">
        <f t="shared" si="538"/>
        <v>4394.6000000000013</v>
      </c>
      <c r="DH136" s="30">
        <f t="shared" ref="DH136:DM136" si="539">SUM(DH137:DH189)</f>
        <v>-10942.892695129869</v>
      </c>
      <c r="DI136" s="31">
        <f t="shared" si="539"/>
        <v>7508.6987693084257</v>
      </c>
      <c r="DJ136" s="30">
        <f t="shared" si="539"/>
        <v>-6282</v>
      </c>
      <c r="DK136" s="31">
        <f t="shared" si="539"/>
        <v>-636</v>
      </c>
      <c r="DL136" s="30">
        <f t="shared" si="539"/>
        <v>-3434.1939258214466</v>
      </c>
      <c r="DM136" s="30">
        <f t="shared" si="539"/>
        <v>-6918</v>
      </c>
      <c r="DP136" s="30">
        <f>SUM(DP137:DP189)</f>
        <v>-44830.223641188903</v>
      </c>
      <c r="DQ136" s="31">
        <f>SUM(DQ137:DQ189)</f>
        <v>23479.62</v>
      </c>
      <c r="DR136" s="30" t="e">
        <f ca="1">SUM(DR137:DR189)</f>
        <v>#NUM!</v>
      </c>
      <c r="DS136" s="31">
        <f>SUM(DS137:DS189)</f>
        <v>-1317.02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0">SUM(EE137:EE189)</f>
        <v>17.8338</v>
      </c>
      <c r="EF136" s="31">
        <f t="shared" si="540"/>
        <v>111.12720000000002</v>
      </c>
      <c r="EG136" s="30">
        <f t="shared" si="540"/>
        <v>37.262100000000004</v>
      </c>
      <c r="EH136" s="31">
        <f t="shared" si="540"/>
        <v>76.00230000000002</v>
      </c>
      <c r="EI136" s="30">
        <f t="shared" si="540"/>
        <v>14.373799999999999</v>
      </c>
      <c r="EJ136" s="30">
        <f t="shared" si="540"/>
        <v>15.465000000000002</v>
      </c>
      <c r="EL136" s="30">
        <f t="shared" ref="EL136:EQ136" si="541">SUM(EL137:EL189)</f>
        <v>0</v>
      </c>
      <c r="EM136" s="31">
        <f t="shared" si="541"/>
        <v>0</v>
      </c>
      <c r="EN136" s="30">
        <f t="shared" si="541"/>
        <v>0</v>
      </c>
      <c r="EO136" s="31">
        <f t="shared" si="541"/>
        <v>0</v>
      </c>
      <c r="EP136" s="30">
        <f t="shared" si="541"/>
        <v>0</v>
      </c>
      <c r="EQ136" s="30">
        <f t="shared" si="541"/>
        <v>0</v>
      </c>
      <c r="EU136" s="67">
        <v>562.9</v>
      </c>
      <c r="EV136" s="67" t="s">
        <v>1107</v>
      </c>
      <c r="EW136" s="67">
        <v>485.49</v>
      </c>
      <c r="EX136" s="67" t="s">
        <v>1108</v>
      </c>
      <c r="EY136" s="67">
        <v>5642.75</v>
      </c>
      <c r="EZ136" s="67" t="s">
        <v>1109</v>
      </c>
      <c r="FA136" s="67">
        <v>19943.5</v>
      </c>
      <c r="FB136" s="67" t="s">
        <v>1110</v>
      </c>
      <c r="FC136" s="67" t="s">
        <v>1111</v>
      </c>
      <c r="FD136" s="67" t="s">
        <v>1112</v>
      </c>
      <c r="FE136" s="68" t="s">
        <v>1113</v>
      </c>
      <c r="FF136" s="68" t="s">
        <v>1114</v>
      </c>
    </row>
    <row r="137" spans="1:162" ht="11.1" customHeight="1" thickBot="1" x14ac:dyDescent="0.25">
      <c r="A137" s="2">
        <f>ROUND(E133/A133,0)*A133+22*A133</f>
        <v>20450</v>
      </c>
      <c r="B137" s="3">
        <f>+IF($A$1="ABS",AS137-AT137,AS137+AT137)</f>
        <v>41</v>
      </c>
      <c r="C137" s="3">
        <f>+IF($A$1="ABS",AU137-AV137,AU137+AV137)</f>
        <v>42</v>
      </c>
      <c r="D137" s="3">
        <f>+IF($A$1="ABS",AW137-AX137,AW137+AX137)</f>
        <v>17</v>
      </c>
      <c r="E137" s="3">
        <f>SUM(B137:D137)</f>
        <v>100</v>
      </c>
      <c r="F137" s="4">
        <f>+$F$136/$A$136*A137</f>
        <v>20552.012820193049</v>
      </c>
      <c r="G137" s="5">
        <f>+$G$136/$A$136*A137</f>
        <v>497.74095228593518</v>
      </c>
      <c r="AM137" s="1">
        <v>15</v>
      </c>
      <c r="AN137" s="1">
        <v>0</v>
      </c>
      <c r="AO137" s="1">
        <v>20450</v>
      </c>
      <c r="AP137" s="1">
        <v>67</v>
      </c>
      <c r="AQ137" s="1">
        <v>0</v>
      </c>
      <c r="AS137" s="73">
        <f>IF(RTD("tos.rtd",,AS$83,"."&amp;$B$134&amp;$AS$82&amp;"C"&amp;$A137)="N/A",0,RTD("tos.rtd",,AS$83,"."&amp;$B$134&amp;$AS$82&amp;"C"&amp;$A137))</f>
        <v>41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40</v>
      </c>
      <c r="AV137" s="28">
        <f>-IF(RTD("tos.rtd",,AV$2,"."&amp;$C$134&amp;$AU$134&amp;"P"&amp;$A137)="N/A",0,RTD("tos.rtd",,AV$2,"."&amp;$C$134&amp;$AU$134&amp;"P"&amp;$A137))</f>
        <v>-2</v>
      </c>
      <c r="AW137" s="73">
        <f>IF(RTD("tos.rtd",,AW$2,"."&amp;$D$134&amp;$AW$134&amp;"C"&amp;$A137)="N/A",0,RTD("tos.rtd",,AW$2,"."&amp;$D$134&amp;$AW$134&amp;"C"&amp;$A137))</f>
        <v>12</v>
      </c>
      <c r="AX137" s="28">
        <f>-IF(RTD("tos.rtd",,AX$2,"."&amp;$D$134&amp;$AW$134&amp;"P"&amp;$A137)="N/A",0,RTD("tos.rtd",,AX$2,"."&amp;$D$134&amp;$AW$134&amp;"P"&amp;$A137))</f>
        <v>-5</v>
      </c>
      <c r="AY137" s="75">
        <f>SUM(AS137:AX137)</f>
        <v>86</v>
      </c>
      <c r="AZ137" s="8">
        <f t="shared" ref="AZ137:AZ189" si="542">+A137</f>
        <v>20450</v>
      </c>
      <c r="BA137" s="73">
        <f>IF(RTD("tos.rtd",,BA$43,"."&amp;$B$134&amp;$AS$82&amp;"C"&amp;$A137)="N/A",0,RTD("tos.rtd",,BA$43,"."&amp;$B$134&amp;$AS$82&amp;"C"&amp;$A137))</f>
        <v>0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92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1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18</v>
      </c>
      <c r="BH137" s="31">
        <f t="shared" ref="BH137:BH189" ca="1" si="543">SUM(BA137:BG137)</f>
        <v>111</v>
      </c>
      <c r="BJ137" s="3" t="e">
        <f ca="1">IF($BP$1=1,DX137,IF(RTD("tos.rtd",,BJ$43,"."&amp;$B$134&amp;$AS$82&amp;"C"&amp;$A137)="N/A",0,RTD("tos.rtd",,BJ$43,"."&amp;$B$134&amp;$AS$82&amp;"C"&amp;$A137)))</f>
        <v>#NUM!</v>
      </c>
      <c r="BK137" s="3" t="e">
        <f ca="1">IF($BP$1=1,DY137,-IF(RTD("tos.rtd",,BK$43,"."&amp;$B$134&amp;$AS$82&amp;"P"&amp;$A137)="N/A",0,RTD("tos.rtd",,BK$43,"."&amp;$B$134&amp;$AS$82&amp;"P"&amp;$A137)))</f>
        <v>#NUM!</v>
      </c>
      <c r="BL137" s="3" t="e">
        <f ca="1">IF($BP$1=1,DZ137,IF(RTD("tos.rtd",,BL$2,"."&amp;$C$134&amp;$AU$82&amp;"C"&amp;$A137)="N/A",0,RTD("tos.rtd",,BL$2,"."&amp;$C$134&amp;$AU$82&amp;"C"&amp;$A137)))</f>
        <v>#NUM!</v>
      </c>
      <c r="BM137" s="3" t="e">
        <f ca="1">IF($BP$1=1,EA137,-IF(RTD("tos.rtd",,BM$2,"."&amp;$C$134&amp;$AU$82&amp;"P"&amp;$A137)="N/A",0,RTD("tos.rtd",,BM$2,"."&amp;$C$134&amp;$AU$82&amp;"P"&amp;$A137)))</f>
        <v>#NUM!</v>
      </c>
      <c r="BN137" s="3" t="e">
        <f ca="1">IF($BP$1=1,EB137,IF(RTD("tos.rtd",,BN$2,"."&amp;$D$134&amp;$AW$82&amp;"C"&amp;$A137)="N/A",0,RTD("tos.rtd",,BN$2,"."&amp;$D$134&amp;$AW$82&amp;"C"&amp;$A137)))</f>
        <v>#NUM!</v>
      </c>
      <c r="BO137" s="3" t="e">
        <f ca="1">IF($BP$1=1,EC137,-IF(RTD("tos.rtd",,BO$2,"."&amp;$D$134&amp;$AW$82&amp;"P"&amp;$A137)="N/A",0,RTD("tos.rtd",,BO$2,"."&amp;$D$134&amp;$AW$82&amp;"P"&amp;$A137)))</f>
        <v>#NUM!</v>
      </c>
      <c r="BQ137" s="3" t="e">
        <f ca="1">+$A$84*$A$84*AS137*BJ137-$A$84*$A$84*AT137*BK137</f>
        <v>#NUM!</v>
      </c>
      <c r="BR137" s="3" t="e">
        <f t="shared" ref="BR137:BR188" ca="1" si="544">IF(AND(BQ137&lt;0,BQ136&gt;0), "Cruce -", IF(AND(BQ137&gt;0,BQ136&lt;0),"Cruce +", ""))</f>
        <v>#NUM!</v>
      </c>
      <c r="BS137" s="3" t="e">
        <f ca="1">+$A$84*$A$84*AU137*BL137-$A$84*$A$84*AV137*BM137</f>
        <v>#NUM!</v>
      </c>
      <c r="BT137" s="3" t="e">
        <f t="shared" ref="BT137:BV188" ca="1" si="545">IF(AND(BS137&lt;0,BS136&gt;0), "Cruce -", IF(AND(BS137&gt;0,BS136&lt;0),"Cruce +", ""))</f>
        <v>#NUM!</v>
      </c>
      <c r="BU137" s="3" t="e">
        <f ca="1">+$A$84*$A$84*AW137*BN137-$A$84*$A$84*AX137*BO137</f>
        <v>#NUM!</v>
      </c>
      <c r="BV137" s="3"/>
      <c r="BX137" s="3" t="e">
        <f ca="1">+$A$44*$A$44*BA137*BJ137-$A$44*$A$44*BB137*BK137</f>
        <v>#NUM!</v>
      </c>
      <c r="BY137" s="3"/>
      <c r="BZ137" s="3" t="e">
        <f ca="1">+$A$44*$A$44*BC137*BL137-$A$44*$A$44*BD137*BM137</f>
        <v>#NUM!</v>
      </c>
      <c r="CA137" s="3"/>
      <c r="CB137" s="3" t="e">
        <f ca="1">+$A$44*$A$44*BE137*BN137-$A$44*$A$44*BF137*BO137</f>
        <v>#NUM!</v>
      </c>
      <c r="CC137" s="3"/>
      <c r="CD137" s="3">
        <f>IF(RTD("tos.rtd",,CD$43,"."&amp;$B$134&amp;$AS$82&amp;"C"&amp;$A137)="N/A",0,RTD("tos.rtd",,CD$43,"."&amp;$B$134&amp;$AS$82&amp;"C"&amp;$A137))</f>
        <v>0.01</v>
      </c>
      <c r="CE137" s="3">
        <f>-IF(RTD("tos.rtd",,CE$43,"."&amp;$B$134&amp;$AS$82&amp;"P"&amp;$A137)="N/A",0,RTD("tos.rtd",,CE$43,"."&amp;$B$134&amp;$AS$82&amp;"P"&amp;$A137))</f>
        <v>0.73</v>
      </c>
      <c r="CF137" s="3">
        <f>IF(RTD("tos.rtd",,CF$2,"."&amp;$C$134&amp;$AU$82&amp;"C"&amp;$A137)="N/A",0,RTD("tos.rtd",,CF$2,"."&amp;$C$134&amp;$AU$82&amp;"C"&amp;$A137))</f>
        <v>0.04</v>
      </c>
      <c r="CG137" s="3">
        <f>-IF(RTD("tos.rtd",,CG$2,"."&amp;$C$134&amp;$AU$82&amp;"P"&amp;$A137)="N/A",0,RTD("tos.rtd",,CG$2,"."&amp;$C$134&amp;$AU$82&amp;"P"&amp;$A137))</f>
        <v>0.97</v>
      </c>
      <c r="CH137" s="3">
        <f>IF(RTD("tos.rtd",,CH$2,"."&amp;$D$134&amp;$AW$82&amp;"C"&amp;$A137)="N/A",0,RTD("tos.rtd",,CH$2,"."&amp;$D$134&amp;$AW$82&amp;"C"&amp;$A137))</f>
        <v>0.27</v>
      </c>
      <c r="CI137" s="3">
        <f>-IF(RTD("tos.rtd",,CI$2,"."&amp;$D$134&amp;$AW$82&amp;"P"&amp;$A137)="N/A",0,RTD("tos.rtd",,CI$2,"."&amp;$D$134&amp;$AW$82&amp;"P"&amp;$A137))</f>
        <v>0.72</v>
      </c>
      <c r="CK137" s="3">
        <f>+AS137*CD137*100+AT137*CE137*100</f>
        <v>41</v>
      </c>
      <c r="CL137" s="3"/>
      <c r="CM137" s="3">
        <f>+AU137*CF137*100+AV137*CG137*100</f>
        <v>-34</v>
      </c>
      <c r="CN137" s="3"/>
      <c r="CO137" s="3">
        <f>+AW137*CH137*100+AX137*CI137*100</f>
        <v>-35.999999999999943</v>
      </c>
      <c r="CP137" s="3">
        <f t="shared" si="536"/>
        <v>-28.999999999999943</v>
      </c>
      <c r="CQ137" s="3">
        <f t="shared" ref="CQ137:CQ189" si="546">+BA137+BB137</f>
        <v>0</v>
      </c>
      <c r="CR137" s="3"/>
      <c r="CS137" s="3">
        <f t="shared" ref="CS137:CS189" si="547">+BC137+BD137</f>
        <v>92</v>
      </c>
      <c r="CT137" s="3"/>
      <c r="CU137" s="3">
        <f t="shared" ref="CU137:CU189" si="548">+BE137+BF137</f>
        <v>1</v>
      </c>
      <c r="CV137" s="3"/>
      <c r="CW137" s="3" t="e">
        <f t="shared" ref="CW137:CW189" ca="1" si="549">+BQ137+BS137+BU137</f>
        <v>#NUM!</v>
      </c>
      <c r="CY137" s="3" t="e">
        <f t="shared" ref="CY137:CY189" ca="1" si="550">+BX137+BZ137+CB137</f>
        <v>#NUM!</v>
      </c>
      <c r="DA137" s="3">
        <f>IF(RTD("tos.rtd",,DA$43,"."&amp;$B$134&amp;$AS$82&amp;"C"&amp;$A137)="N/A",0,RTD("tos.rtd",,DA$43,"."&amp;$B$134&amp;$AS$82&amp;"C"&amp;$A137))</f>
        <v>0.15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0.8</v>
      </c>
      <c r="DD137" s="3">
        <f>IF(RTD("tos.rtd",,DD$43,"."&amp;$B$134&amp;$AS$82&amp;"P"&amp;$A137)="N/A",0,RTD("tos.rtd",,DD$43,"."&amp;$B$134&amp;$AS$82&amp;"P"&amp;$A137))</f>
        <v>528.1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448.1</v>
      </c>
      <c r="DG137" s="86">
        <f>+$A137-$A$136</f>
        <v>403.5</v>
      </c>
      <c r="DH137" s="3">
        <f t="shared" ref="DH137:DH189" si="551">((DA137-DE137)/(DC137-DE137))*(BA137-AP137)</f>
        <v>-12.562499999999998</v>
      </c>
      <c r="DI137" s="3">
        <f t="shared" ref="DI137:DI189" si="552">((DB137-DF137)/(DD137-DF137))*(BB137-AQ137)</f>
        <v>0</v>
      </c>
      <c r="DJ137" s="3">
        <f t="shared" ref="DJ137:DJ188" si="553">IF(DA137&gt;=(DE137+(DC137-DE137)*0.6),(BA137-AP137),IF(DA137&lt;=(DE137+(DC137-DE137)*0.4),-(BA137-AP137),0))</f>
        <v>67</v>
      </c>
      <c r="DK137" s="3">
        <f t="shared" ref="DK137:DK188" si="554">IF(DB137&lt;=(DF137+(DD137-DF137)*0.4),-(BB137-AQ137),IF(DB137&gt;=(DF137+(DD137-DF137)*0.6),(BB137-AQ137),0))</f>
        <v>0</v>
      </c>
      <c r="DL137" s="3">
        <f t="shared" ref="DL137:DL189" si="555">+DH137+DI137</f>
        <v>-12.562499999999998</v>
      </c>
      <c r="DM137" s="3">
        <f t="shared" ref="DM137:DM189" si="556">+DJ137+DK137</f>
        <v>67</v>
      </c>
      <c r="DN137" s="64" t="str">
        <f t="shared" ref="DN137:DN189" si="557">IF(AND(DA137&gt;=(DE137+(DC137-DE137)*0.6),BA137&gt;AP137),"BUY",IF(AND(DA137&lt;=(DE137+(DC137-DE137)*0.4),BA137&gt;AP137),"SELL","UNKNOWN"))</f>
        <v>UNKNOWN</v>
      </c>
      <c r="DO137" s="64" t="str">
        <f t="shared" ref="DO137:DO189" si="558">IF(AND(DB137&gt;=(DF137+(DD137-DF137)*0.6),ABS(BB137)&gt;ABS(AQ137)),"BUY",IF(AND(DB137&lt;=(DF137+(DD137-DF137)*0.4),ABS(BB137)&gt;ABS(AQ137)),"SELL","UNKNOWN"))</f>
        <v>UNKNOWN</v>
      </c>
      <c r="DP137" s="3">
        <f t="shared" ref="DP137:DP189" si="559">+DH137*DA137+DI137*DB137</f>
        <v>-1.8843749999999997</v>
      </c>
      <c r="DQ137" s="3">
        <f t="shared" ref="DQ137:DQ189" si="560">+DA137*DJ137+DB137*DK137</f>
        <v>10.049999999999999</v>
      </c>
      <c r="DR137" s="3" t="e">
        <f t="shared" ref="DR137:DR189" ca="1" si="561">+BJ137*DJ137+BK137*DK137</f>
        <v>#NUM!</v>
      </c>
      <c r="DS137" s="3">
        <f t="shared" ref="DS137:DS189" si="562">+CD137*DJ137+CE137*DK137</f>
        <v>0.67</v>
      </c>
      <c r="DT137" s="3">
        <f>BA137-VLOOKUP(AZ137,$AO$137:$AQ$189,2,FALSE)</f>
        <v>-67</v>
      </c>
      <c r="DU137" s="3">
        <f>BB137-VLOOKUP(AZ137,$AO$137:$AQ$189,3,FALSE)</f>
        <v>0</v>
      </c>
      <c r="DV137" s="3">
        <f t="shared" ref="DV137:DV189" si="563">AM137+IF(DN137="BUY",DT137,IF(DN137="SELL",-DT137,0))</f>
        <v>15</v>
      </c>
      <c r="DW137" s="3">
        <f t="shared" ref="DW137:DW189" si="564">AN137+IF(DO137="BUY",DU137,IF(DO137="SELL",-DU137,0))</f>
        <v>0</v>
      </c>
      <c r="DX137" s="3" t="e">
        <f t="shared" ref="DX137:DX168" ca="1" si="565">(EXP(-POWER((LN($A$136/$A137)+($EC$1+POWER($EE137,2)/2)*($EM$1/$DY$1))/($EE137*SQRT($EM$1/$DY$1)),2)/2)/SQRT(2*PI())/($A$136*$EE137*SQRT($EM$1/$DY$1)))</f>
        <v>#NUM!</v>
      </c>
      <c r="DY137" s="3" t="e">
        <f t="shared" ref="DY137:DY168" ca="1" si="566">-(EXP(-POWER((LN($A$136/$A137)+($EC$1+POWER($EF137,2)/2)*($EM$1/$DY$1))/($EF137*SQRT($EM$1/$DY$1)),2)/2)/SQRT(2*PI())/($A$136*$EF137*SQRT($EM$1/$DY$1)))</f>
        <v>#NUM!</v>
      </c>
      <c r="DZ137" s="3" t="e">
        <f t="shared" ref="DZ137:DZ168" ca="1" si="567">(EXP(-POWER((LN($A$136/$A137)+($EC$1+POWER($EG137,2)/2)*($EO$1/$DY$1))/($EG137*SQRT($EO$1/$DY$1)),2)/2)/SQRT(2*PI())/($A$136*$EG137*SQRT($EO$1/$DY$1)))</f>
        <v>#NUM!</v>
      </c>
      <c r="EA137" s="3" t="e">
        <f t="shared" ref="EA137:EA168" ca="1" si="568">-(EXP(-POWER((LN($A$136/$A137)+($EC$1+POWER($EH137,2)/2)*($EO$1/$DY$1))/($EH137*SQRT($EO$1/$DY$1)),2)/2)/SQRT(2*PI())/($A$136*$EH137*SQRT($EO$1/$DY$1)))</f>
        <v>#NUM!</v>
      </c>
      <c r="EB137" s="3" t="e">
        <f t="shared" ref="EB137:EB168" ca="1" si="569">(EXP(-POWER((LN($A$136/$A137)+($EC$1+POWER($EI137,2)/2)*($EO$1/$DY$1))/($EI137*SQRT($EO$1/$DY$1)),2)/2)/SQRT(2*PI())/($A$136*$EI137*SQRT($EO$1/$DY$1)))</f>
        <v>#NUM!</v>
      </c>
      <c r="EC137" s="3" t="e">
        <f t="shared" ref="EC137:EC168" ca="1" si="570">-(EXP(-POWER((LN($A$136/$A137)+($EC$1+POWER($EJ137,2)/2)*($EO$1/$DY$1))/($EJ137*SQRT($EO$1/$DY$1)),2)/2)/SQRT(2*PI())/($A$136*$EJ137*SQRT($EO$1/$DY$1)))</f>
        <v>#NUM!</v>
      </c>
      <c r="EE137" s="59">
        <f t="shared" ref="EE137:EE189" si="571">IFERROR(VALUE(IF(OR(EL137="--",EL137="0.00%"),$EE$1,EL137)),$EE$1)</f>
        <v>1.046</v>
      </c>
      <c r="EF137" s="59">
        <f t="shared" ref="EF137:EF189" si="572">IFERROR(VALUE(IF(OR(EM137="--",EM137="0.00%"),$EE$1,EM137)),$EE$1)</f>
        <v>4.0427</v>
      </c>
      <c r="EG137" s="59">
        <f t="shared" ref="EG137:EG189" si="573">IFERROR(VALUE(IF(OR(EN137="--",EN137="0.00%"),$EE$1,EN137)),$EE$1)</f>
        <v>1.4366000000000001</v>
      </c>
      <c r="EH137" s="59">
        <f t="shared" ref="EH137:EH189" si="574">IFERROR(VALUE(IF(OR(EO137="--",EO137="0.00%"),$EE$1,EO137)),$EE$1)</f>
        <v>1.2934000000000001</v>
      </c>
      <c r="EI137" s="59">
        <f t="shared" ref="EI137:EI189" si="575">IFERROR(VALUE(IF(OR(EP137="--",EP137="0.00%"),$EE$1,EP137)),$EE$1)</f>
        <v>0.25650000000000001</v>
      </c>
      <c r="EJ137" s="59">
        <f t="shared" ref="EJ137:EJ189" si="576">IFERROR(VALUE(IF(OR(EQ137="--",EQ137="0.00%"),$EE$1,EQ137)),$EE$1)</f>
        <v>0.27650000000000002</v>
      </c>
      <c r="EL137" s="3" t="str">
        <f>RTD("tos.rtd",,EL$43,"."&amp;$B$134&amp;$AS$82&amp;"C"&amp;$A137)</f>
        <v>104.60%</v>
      </c>
      <c r="EM137" s="3" t="str">
        <f>RTD("tos.rtd",,EM$43,"."&amp;$B$134&amp;$AS$82&amp;"P"&amp;$A137)</f>
        <v>404.27%</v>
      </c>
      <c r="EN137" s="3" t="str">
        <f>RTD("tos.rtd",,EN$2,"."&amp;$C$134&amp;$AU$82&amp;"C"&amp;$A137)</f>
        <v>143.66%</v>
      </c>
      <c r="EO137" s="3" t="str">
        <f>RTD("tos.rtd",,EO$2,"."&amp;$C$134&amp;$AU$82&amp;"P"&amp;$A137)</f>
        <v>129.34%</v>
      </c>
      <c r="EP137" s="3" t="str">
        <f>RTD("tos.rtd",,EP$2,"."&amp;$D$134&amp;$AW$82&amp;"C"&amp;$A137)</f>
        <v>25.65%</v>
      </c>
      <c r="EQ137" s="3" t="str">
        <f>RTD("tos.rtd",,EQ$2,"."&amp;$D$134&amp;$AW$82&amp;"P"&amp;$A137)</f>
        <v>27.65%</v>
      </c>
      <c r="ES137" s="63" t="str">
        <f t="shared" ref="ES137:ES189" si="577">IFERROR(
    A137 &amp; "," &amp; TEXT(IF(ISNUMBER(DV137+DW137), DV137+DW137, 0), "00.00"),    "Error"
)</f>
        <v>20450,15.00</v>
      </c>
      <c r="ET137" s="64" t="str">
        <f t="shared" ref="ET137:ET189" ca="1" si="578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IF(ISNUMBER(DV137+DW137), (DV137+DW137),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IF(ISNUMBER(DV137+DW137), (DV137+DW137), 0)
        )))),
    "00.00")
)</f>
        <v>20450,00.00</v>
      </c>
      <c r="EU137" s="67">
        <v>562.76</v>
      </c>
      <c r="EV137" s="67" t="s">
        <v>1115</v>
      </c>
      <c r="EW137" s="67">
        <v>485.22</v>
      </c>
      <c r="EX137" s="67" t="s">
        <v>1116</v>
      </c>
      <c r="EY137" s="67">
        <v>5641</v>
      </c>
      <c r="EZ137" s="67" t="s">
        <v>1117</v>
      </c>
      <c r="FA137" s="67">
        <v>19932.5</v>
      </c>
      <c r="FB137" s="67" t="s">
        <v>1118</v>
      </c>
      <c r="FC137" s="67" t="s">
        <v>1119</v>
      </c>
      <c r="FD137" s="67" t="s">
        <v>1120</v>
      </c>
      <c r="FE137" s="68" t="s">
        <v>1121</v>
      </c>
      <c r="FF137" s="68" t="s">
        <v>1122</v>
      </c>
    </row>
    <row r="138" spans="1:162" ht="11.1" customHeight="1" thickBot="1" x14ac:dyDescent="0.25">
      <c r="A138" s="2">
        <f>+A137-$A$133</f>
        <v>20425</v>
      </c>
      <c r="B138" s="3">
        <f>+IF($A$1="ABS",AS138-AT138,AS138+AT138)</f>
        <v>9</v>
      </c>
      <c r="C138" s="3">
        <f>+IF($A$1="ABS",AU138-AV138,AU138+AV138)</f>
        <v>7</v>
      </c>
      <c r="D138" s="3">
        <f>+IF($A$1="ABS",AW138-AX138,AW138+AX138)</f>
        <v>67</v>
      </c>
      <c r="E138" s="3">
        <f>SUM(B138:D138)</f>
        <v>83</v>
      </c>
      <c r="F138" s="4">
        <f>+$F$136/$A$136*A138</f>
        <v>20526.888110143915</v>
      </c>
      <c r="G138" s="5">
        <f>+$G$136/$A$136*A138</f>
        <v>497.132467014192</v>
      </c>
      <c r="AM138" s="1">
        <v>3</v>
      </c>
      <c r="AN138" s="1">
        <v>0</v>
      </c>
      <c r="AO138" s="1">
        <v>20425</v>
      </c>
      <c r="AP138" s="1">
        <v>8</v>
      </c>
      <c r="AQ138" s="1">
        <v>0</v>
      </c>
      <c r="AS138" s="54">
        <f>IF(RTD("tos.rtd",,AS$83,"."&amp;$B$134&amp;$AS$82&amp;"C"&amp;$A138)="N/A",0,RTD("tos.rtd",,AS$83,"."&amp;$B$134&amp;$AS$82&amp;"C"&amp;$A138))</f>
        <v>9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4</v>
      </c>
      <c r="AV138" s="3">
        <f>-IF(RTD("tos.rtd",,AV$2,"."&amp;$C$134&amp;$AU$134&amp;"P"&amp;$A138)="N/A",0,RTD("tos.rtd",,AV$2,"."&amp;$C$134&amp;$AU$134&amp;"P"&amp;$A138))</f>
        <v>-3</v>
      </c>
      <c r="AW138" s="54">
        <f>IF(RTD("tos.rtd",,AW$2,"."&amp;$D$134&amp;$AW$134&amp;"C"&amp;$A138)="N/A",0,RTD("tos.rtd",,AW$2,"."&amp;$D$134&amp;$AW$134&amp;"C"&amp;$A138))</f>
        <v>23</v>
      </c>
      <c r="AX138" s="3">
        <f>-IF(RTD("tos.rtd",,AX$2,"."&amp;$D$134&amp;$AW$134&amp;"P"&amp;$A138)="N/A",0,RTD("tos.rtd",,AX$2,"."&amp;$D$134&amp;$AW$134&amp;"P"&amp;$A138))</f>
        <v>-44</v>
      </c>
      <c r="AY138" s="76">
        <f>SUM(AS138:AX138)</f>
        <v>-11</v>
      </c>
      <c r="AZ138" s="8">
        <f t="shared" si="542"/>
        <v>20425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41</v>
      </c>
      <c r="BD138" s="3">
        <f>-IF(RTD("tos.rtd",,BD$2,"."&amp;$C$134&amp;$AU$82&amp;"P"&amp;$A138)="N/A",0,RTD("tos.rtd",,BD$2,"."&amp;$C$134&amp;$AU$82&amp;"P"&amp;$A138))</f>
        <v>-3</v>
      </c>
      <c r="BE138" s="54">
        <f>IF(RTD("tos.rtd",,BE$2,"."&amp;$D$134&amp;$AW$82&amp;"C"&amp;$A138)="N/A",0,RTD("tos.rtd",,BE$2,"."&amp;$D$134&amp;$AW$82&amp;"C"&amp;$A138))</f>
        <v>0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543"/>
        <v>38</v>
      </c>
      <c r="BI138" s="32"/>
      <c r="BJ138" s="3" t="e">
        <f ca="1">IF($BP$1=1,DX138,IF(RTD("tos.rtd",,BJ$43,"."&amp;$B$134&amp;$AS$82&amp;"C"&amp;$A138)="N/A",0,RTD("tos.rtd",,BJ$43,"."&amp;$B$134&amp;$AS$82&amp;"C"&amp;$A138)))</f>
        <v>#NUM!</v>
      </c>
      <c r="BK138" s="3" t="e">
        <f ca="1">IF($BP$1=1,DY138,-IF(RTD("tos.rtd",,BK$43,"."&amp;$B$134&amp;$AS$82&amp;"P"&amp;$A138)="N/A",0,RTD("tos.rtd",,BK$43,"."&amp;$B$134&amp;$AS$82&amp;"P"&amp;$A138)))</f>
        <v>#NUM!</v>
      </c>
      <c r="BL138" s="3" t="e">
        <f ca="1">IF($BP$1=1,DZ138,IF(RTD("tos.rtd",,BL$2,"."&amp;$C$134&amp;$AU$82&amp;"C"&amp;$A138)="N/A",0,RTD("tos.rtd",,BL$2,"."&amp;$C$134&amp;$AU$82&amp;"C"&amp;$A138)))</f>
        <v>#NUM!</v>
      </c>
      <c r="BM138" s="3" t="e">
        <f ca="1">IF($BP$1=1,EA138,-IF(RTD("tos.rtd",,BM$2,"."&amp;$C$134&amp;$AU$82&amp;"P"&amp;$A138)="N/A",0,RTD("tos.rtd",,BM$2,"."&amp;$C$134&amp;$AU$82&amp;"P"&amp;$A138)))</f>
        <v>#NUM!</v>
      </c>
      <c r="BN138" s="3" t="e">
        <f ca="1">IF($BP$1=1,EB138,IF(RTD("tos.rtd",,BN$2,"."&amp;$D$134&amp;$AW$82&amp;"C"&amp;$A138)="N/A",0,RTD("tos.rtd",,BN$2,"."&amp;$D$134&amp;$AW$82&amp;"C"&amp;$A138)))</f>
        <v>#NUM!</v>
      </c>
      <c r="BO138" s="3" t="e">
        <f ca="1">IF($BP$1=1,EC138,-IF(RTD("tos.rtd",,BO$2,"."&amp;$D$134&amp;$AW$82&amp;"P"&amp;$A138)="N/A",0,RTD("tos.rtd",,BO$2,"."&amp;$D$134&amp;$AW$82&amp;"P"&amp;$A138)))</f>
        <v>#NUM!</v>
      </c>
      <c r="BQ138" s="3" t="e">
        <f ca="1">+$A$84*$A$84*AS138*BJ138-$A$84*$A$84*AT138*BK138</f>
        <v>#NUM!</v>
      </c>
      <c r="BR138" s="3" t="e">
        <f t="shared" ca="1" si="544"/>
        <v>#NUM!</v>
      </c>
      <c r="BS138" s="3" t="e">
        <f ca="1">+$A$84*$A$84*AU138*BL138-$A$84*$A$84*AV138*BM138</f>
        <v>#NUM!</v>
      </c>
      <c r="BT138" s="3" t="e">
        <f t="shared" ca="1" si="545"/>
        <v>#NUM!</v>
      </c>
      <c r="BU138" s="3" t="e">
        <f ca="1">+$A$84*$A$84*AW138*BN138-$A$84*$A$84*AX138*BO138</f>
        <v>#NUM!</v>
      </c>
      <c r="BV138" s="3" t="e">
        <f t="shared" ca="1" si="545"/>
        <v>#NUM!</v>
      </c>
      <c r="BX138" s="3" t="e">
        <f t="shared" ref="BX138:BX189" ca="1" si="579">+$A$44*$A$44*BA138*BJ138-$A$44*$A$44*BB138*BK138</f>
        <v>#NUM!</v>
      </c>
      <c r="BY138" s="3" t="e">
        <f t="shared" ref="BY138:CC189" ca="1" si="580">IF(AND(BX138&lt;0,BX137&gt;0), "Cruce -", IF(AND(BX138&gt;0,BX137&lt;0),"Cruce +", ""))</f>
        <v>#NUM!</v>
      </c>
      <c r="BZ138" s="3" t="e">
        <f t="shared" ref="BZ138:BZ189" ca="1" si="581">+$A$44*$A$44*BC138*BL138-$A$44*$A$44*BD138*BM138</f>
        <v>#NUM!</v>
      </c>
      <c r="CA138" s="3" t="e">
        <f t="shared" ca="1" si="580"/>
        <v>#NUM!</v>
      </c>
      <c r="CB138" s="3" t="e">
        <f t="shared" ref="CB138:CB189" ca="1" si="582">+$A$44*$A$44*BE138*BN138-$A$44*$A$44*BF138*BO138</f>
        <v>#NUM!</v>
      </c>
      <c r="CC138" s="3" t="e">
        <f t="shared" ca="1" si="580"/>
        <v>#NUM!</v>
      </c>
      <c r="CD138" s="3">
        <f>IF(RTD("tos.rtd",,CD$43,"."&amp;$B$134&amp;$AS$82&amp;"C"&amp;$A138)="N/A",0,RTD("tos.rtd",,CD$43,"."&amp;$B$134&amp;$AS$82&amp;"C"&amp;$A138))</f>
        <v>0</v>
      </c>
      <c r="CE138" s="3">
        <f>-IF(RTD("tos.rtd",,CE$43,"."&amp;$B$134&amp;$AS$82&amp;"P"&amp;$A138)="N/A",0,RTD("tos.rtd",,CE$43,"."&amp;$B$134&amp;$AS$82&amp;"P"&amp;$A138))</f>
        <v>0.73</v>
      </c>
      <c r="CF138" s="3">
        <f>IF(RTD("tos.rtd",,CF$2,"."&amp;$C$134&amp;$AU$82&amp;"C"&amp;$A138)="N/A",0,RTD("tos.rtd",,CF$2,"."&amp;$C$134&amp;$AU$82&amp;"C"&amp;$A138))</f>
        <v>0.08</v>
      </c>
      <c r="CG138" s="3">
        <f>-IF(RTD("tos.rtd",,CG$2,"."&amp;$C$134&amp;$AU$82&amp;"P"&amp;$A138)="N/A",0,RTD("tos.rtd",,CG$2,"."&amp;$C$134&amp;$AU$82&amp;"P"&amp;$A138))</f>
        <v>0.97</v>
      </c>
      <c r="CH138" s="3">
        <f>IF(RTD("tos.rtd",,CH$2,"."&amp;$D$134&amp;$AW$82&amp;"C"&amp;$A138)="N/A",0,RTD("tos.rtd",,CH$2,"."&amp;$D$134&amp;$AW$82&amp;"C"&amp;$A138))</f>
        <v>0.28000000000000003</v>
      </c>
      <c r="CI138" s="3">
        <f>-IF(RTD("tos.rtd",,CI$2,"."&amp;$D$134&amp;$AW$82&amp;"P"&amp;$A138)="N/A",0,RTD("tos.rtd",,CI$2,"."&amp;$D$134&amp;$AW$82&amp;"P"&amp;$A138))</f>
        <v>0.7</v>
      </c>
      <c r="CK138" s="3">
        <f>+AS138*CD138*100+AT138*CE138*100</f>
        <v>0</v>
      </c>
      <c r="CL138" s="3"/>
      <c r="CM138" s="3">
        <f>+AU138*CF138*100+AV138*CG138*100</f>
        <v>-259</v>
      </c>
      <c r="CN138" s="3"/>
      <c r="CO138" s="3">
        <f>+AW138*CH138*100+AX138*CI138*100</f>
        <v>-2435.9999999999995</v>
      </c>
      <c r="CP138" s="3">
        <f t="shared" si="536"/>
        <v>-2694.9999999999995</v>
      </c>
      <c r="CQ138" s="3">
        <f t="shared" si="546"/>
        <v>0</v>
      </c>
      <c r="CR138" s="3"/>
      <c r="CS138" s="3">
        <f t="shared" si="547"/>
        <v>38</v>
      </c>
      <c r="CT138" s="3"/>
      <c r="CU138" s="3">
        <f t="shared" si="548"/>
        <v>0</v>
      </c>
      <c r="CV138" s="3"/>
      <c r="CW138" s="3" t="e">
        <f t="shared" ca="1" si="549"/>
        <v>#NUM!</v>
      </c>
      <c r="CY138" s="3" t="e">
        <f t="shared" ca="1" si="550"/>
        <v>#NUM!</v>
      </c>
      <c r="CZ138" s="70" t="e">
        <f t="shared" ref="CZ138:CZ189" ca="1" si="583">IF(AND(CY138&lt;0,CY137&gt;0), "Cruce -", IF(AND(CY138&gt;0,CY137&lt;0),"Cruce +", ""))</f>
        <v>#NUM!</v>
      </c>
      <c r="DA138" s="3">
        <f>IF(RTD("tos.rtd",,DA$43,"."&amp;$B$134&amp;$AS$82&amp;"C"&amp;$A138)="N/A",0,RTD("tos.rtd",,DA$43,"."&amp;$B$134&amp;$AS$82&amp;"C"&amp;$A138))</f>
        <v>14.21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0.05</v>
      </c>
      <c r="DD138" s="3">
        <f>IF(RTD("tos.rtd",,DD$43,"."&amp;$B$134&amp;$AS$82&amp;"P"&amp;$A138)="N/A",0,RTD("tos.rtd",,DD$43,"."&amp;$B$134&amp;$AS$82&amp;"P"&amp;$A138))</f>
        <v>500.1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420.1</v>
      </c>
      <c r="DG138" s="86">
        <f t="shared" ref="DG138:DG189" si="584">+$A138-$A$136</f>
        <v>378.5</v>
      </c>
      <c r="DH138" s="3">
        <f t="shared" si="551"/>
        <v>-2273.6</v>
      </c>
      <c r="DI138" s="3">
        <f t="shared" si="552"/>
        <v>0</v>
      </c>
      <c r="DJ138" s="3">
        <f t="shared" si="553"/>
        <v>-8</v>
      </c>
      <c r="DK138" s="3">
        <f t="shared" si="554"/>
        <v>0</v>
      </c>
      <c r="DL138" s="3">
        <f t="shared" si="555"/>
        <v>-2273.6</v>
      </c>
      <c r="DM138" s="3">
        <f t="shared" si="556"/>
        <v>-8</v>
      </c>
      <c r="DN138" s="64" t="str">
        <f t="shared" si="557"/>
        <v>UNKNOWN</v>
      </c>
      <c r="DO138" s="64" t="str">
        <f t="shared" si="558"/>
        <v>UNKNOWN</v>
      </c>
      <c r="DP138" s="3">
        <f t="shared" si="559"/>
        <v>-32307.856</v>
      </c>
      <c r="DQ138" s="3">
        <f t="shared" si="560"/>
        <v>-113.68</v>
      </c>
      <c r="DR138" s="3" t="e">
        <f t="shared" ca="1" si="561"/>
        <v>#NUM!</v>
      </c>
      <c r="DS138" s="3">
        <f t="shared" si="562"/>
        <v>0</v>
      </c>
      <c r="DT138" s="3">
        <f t="shared" ref="DT138:DT189" si="585">BA138-VLOOKUP(AZ138,$AO$137:$AQ$189,2,FALSE)</f>
        <v>-8</v>
      </c>
      <c r="DU138" s="3">
        <f t="shared" ref="DU138:DU189" si="586">BB138-VLOOKUP(AZ138,$AO$137:$AQ$189,3,FALSE)</f>
        <v>0</v>
      </c>
      <c r="DV138" s="3">
        <f t="shared" si="563"/>
        <v>3</v>
      </c>
      <c r="DW138" s="3">
        <f t="shared" si="564"/>
        <v>0</v>
      </c>
      <c r="DX138" s="3" t="e">
        <f t="shared" ca="1" si="565"/>
        <v>#NUM!</v>
      </c>
      <c r="DY138" s="3" t="e">
        <f t="shared" ca="1" si="566"/>
        <v>#NUM!</v>
      </c>
      <c r="DZ138" s="3" t="e">
        <f t="shared" ca="1" si="567"/>
        <v>#NUM!</v>
      </c>
      <c r="EA138" s="3" t="e">
        <f t="shared" ca="1" si="568"/>
        <v>#NUM!</v>
      </c>
      <c r="EB138" s="3" t="e">
        <f t="shared" ca="1" si="569"/>
        <v>#NUM!</v>
      </c>
      <c r="EC138" s="3" t="e">
        <f t="shared" ca="1" si="570"/>
        <v>#NUM!</v>
      </c>
      <c r="EE138" s="59">
        <f t="shared" si="571"/>
        <v>0.75209999999999999</v>
      </c>
      <c r="EF138" s="59">
        <f t="shared" si="572"/>
        <v>3.8527</v>
      </c>
      <c r="EG138" s="59">
        <f t="shared" si="573"/>
        <v>1.7146999999999999</v>
      </c>
      <c r="EH138" s="59">
        <f t="shared" si="574"/>
        <v>1.2742</v>
      </c>
      <c r="EI138" s="59">
        <f t="shared" si="575"/>
        <v>0.25719999999999998</v>
      </c>
      <c r="EJ138" s="59">
        <f t="shared" si="576"/>
        <v>0.27539999999999998</v>
      </c>
      <c r="EL138" s="3" t="str">
        <f>RTD("tos.rtd",,EL$43,"."&amp;$B$134&amp;$AS$82&amp;"C"&amp;$A138)</f>
        <v>75.21%</v>
      </c>
      <c r="EM138" s="3" t="str">
        <f>RTD("tos.rtd",,EM$43,"."&amp;$B$134&amp;$AS$82&amp;"P"&amp;$A138)</f>
        <v>385.27%</v>
      </c>
      <c r="EN138" s="3" t="str">
        <f>RTD("tos.rtd",,EN$2,"."&amp;$C$134&amp;$AU$82&amp;"C"&amp;$A138)</f>
        <v>171.47%</v>
      </c>
      <c r="EO138" s="3" t="str">
        <f>RTD("tos.rtd",,EO$2,"."&amp;$C$134&amp;$AU$82&amp;"P"&amp;$A138)</f>
        <v>127.42%</v>
      </c>
      <c r="EP138" s="3" t="str">
        <f>RTD("tos.rtd",,EP$2,"."&amp;$D$134&amp;$AW$82&amp;"C"&amp;$A138)</f>
        <v>25.72%</v>
      </c>
      <c r="EQ138" s="3" t="str">
        <f>RTD("tos.rtd",,EQ$2,"."&amp;$D$134&amp;$AW$82&amp;"P"&amp;$A138)</f>
        <v>27.54%</v>
      </c>
      <c r="ES138" s="63" t="str">
        <f t="shared" si="577"/>
        <v>20425,03.00</v>
      </c>
      <c r="ET138" s="64" t="str">
        <f t="shared" ca="1" si="578"/>
        <v>20425,00.00</v>
      </c>
      <c r="EU138" s="67">
        <v>562.69000000000005</v>
      </c>
      <c r="EV138" s="67" t="s">
        <v>1123</v>
      </c>
      <c r="EW138" s="67">
        <v>485.16</v>
      </c>
      <c r="EX138" s="67" t="s">
        <v>1124</v>
      </c>
      <c r="EY138" s="67">
        <v>5640.25</v>
      </c>
      <c r="EZ138" s="67" t="s">
        <v>1125</v>
      </c>
      <c r="FA138" s="67">
        <v>19930.25</v>
      </c>
      <c r="FB138" s="67" t="s">
        <v>1126</v>
      </c>
      <c r="FC138" s="67" t="s">
        <v>1127</v>
      </c>
      <c r="FD138" s="67" t="s">
        <v>1128</v>
      </c>
      <c r="FE138" s="68" t="s">
        <v>1129</v>
      </c>
      <c r="FF138" s="68" t="s">
        <v>1130</v>
      </c>
    </row>
    <row r="139" spans="1:162" ht="11.1" customHeight="1" thickBot="1" x14ac:dyDescent="0.25">
      <c r="A139" s="2">
        <f t="shared" ref="A139:A189" si="587">+A138-$A$133</f>
        <v>20400</v>
      </c>
      <c r="B139" s="3">
        <f t="shared" ref="B139:B144" si="588">+IF($A$1="ABS",AS139-AT139,AS139+AT139)</f>
        <v>58</v>
      </c>
      <c r="C139" s="3">
        <f t="shared" ref="C139:C144" si="589">+IF($A$1="ABS",AU139-AV139,AU139+AV139)</f>
        <v>67</v>
      </c>
      <c r="D139" s="3">
        <f>+IF($A$1="ABS",AW139-AX139,AW139+AX139)</f>
        <v>157</v>
      </c>
      <c r="E139" s="3">
        <f t="shared" ref="E139:E147" si="590">SUM(B139:D139)</f>
        <v>282</v>
      </c>
      <c r="F139" s="4">
        <f t="shared" ref="F139:F147" si="591">+$F$136/$A$136*A139</f>
        <v>20501.763400094776</v>
      </c>
      <c r="G139" s="5">
        <f t="shared" ref="G139:G147" si="592">+$G$136/$A$136*A139</f>
        <v>496.52398174244883</v>
      </c>
      <c r="AM139" s="1">
        <v>135</v>
      </c>
      <c r="AN139" s="1">
        <v>1</v>
      </c>
      <c r="AO139" s="1">
        <v>20400</v>
      </c>
      <c r="AP139" s="1">
        <v>240</v>
      </c>
      <c r="AQ139" s="1">
        <v>-1</v>
      </c>
      <c r="AS139" s="54">
        <f>IF(RTD("tos.rtd",,AS$83,"."&amp;$B$134&amp;$AS$82&amp;"C"&amp;$A139)="N/A",0,RTD("tos.rtd",,AS$83,"."&amp;$B$134&amp;$AS$82&amp;"C"&amp;$A139))</f>
        <v>55</v>
      </c>
      <c r="AT139" s="3">
        <f>-IF(RTD("tos.rtd",,AT$83,"."&amp;$B$134&amp;$AS$82&amp;"P"&amp;$A139)="N/A",0,RTD("tos.rtd",,AT$83,"."&amp;$B$134&amp;$AS$82&amp;"P"&amp;$A139))</f>
        <v>-3</v>
      </c>
      <c r="AU139" s="54">
        <f>IF(RTD("tos.rtd",,AU$2,"."&amp;$C$134&amp;$AU$134&amp;"C"&amp;$A139)="N/A",0,RTD("tos.rtd",,AU$2,"."&amp;$C$134&amp;$AU$134&amp;"C"&amp;$A139))</f>
        <v>66</v>
      </c>
      <c r="AV139" s="3">
        <f>-IF(RTD("tos.rtd",,AV$2,"."&amp;$C$134&amp;$AU$134&amp;"P"&amp;$A139)="N/A",0,RTD("tos.rtd",,AV$2,"."&amp;$C$134&amp;$AU$134&amp;"P"&amp;$A139))</f>
        <v>-1</v>
      </c>
      <c r="AW139" s="54">
        <f>IF(RTD("tos.rtd",,AW$2,"."&amp;$D$134&amp;$AW$134&amp;"C"&amp;$A139)="N/A",0,RTD("tos.rtd",,AW$2,"."&amp;$D$134&amp;$AW$134&amp;"C"&amp;$A139))</f>
        <v>62</v>
      </c>
      <c r="AX139" s="3">
        <f>-IF(RTD("tos.rtd",,AX$2,"."&amp;$D$134&amp;$AW$134&amp;"P"&amp;$A139)="N/A",0,RTD("tos.rtd",,AX$2,"."&amp;$D$134&amp;$AW$134&amp;"P"&amp;$A139))</f>
        <v>-95</v>
      </c>
      <c r="AY139" s="76">
        <f t="shared" ref="AY139:AY147" si="593">SUM(AS139:AX139)</f>
        <v>84</v>
      </c>
      <c r="AZ139" s="8">
        <f t="shared" si="542"/>
        <v>20400</v>
      </c>
      <c r="BA139" s="54">
        <f>IF(RTD("tos.rtd",,BA$43,"."&amp;$B$134&amp;$AS$82&amp;"C"&amp;$A139)="N/A",0,RTD("tos.rtd",,BA$43,"."&amp;$B$134&amp;$AS$82&amp;"C"&amp;$A139))</f>
        <v>0</v>
      </c>
      <c r="BB139" s="3">
        <f>-IF(RTD("tos.rtd",,BB$43,"."&amp;$B$134&amp;$AS$82&amp;"P"&amp;$A139)="N/A",0,RTD("tos.rtd",,BB$43,"."&amp;$B$134&amp;$AS$82&amp;"P"&amp;$A139))</f>
        <v>0</v>
      </c>
      <c r="BC139" s="54">
        <f>IF(RTD("tos.rtd",,BC$2,"."&amp;$C$134&amp;$AU$82&amp;"C"&amp;$A139)="N/A",0,RTD("tos.rtd",,BC$2,"."&amp;$C$134&amp;$AU$82&amp;"C"&amp;$A139))</f>
        <v>340</v>
      </c>
      <c r="BD139" s="3">
        <f>-IF(RTD("tos.rtd",,BD$2,"."&amp;$C$134&amp;$AU$82&amp;"P"&amp;$A139)="N/A",0,RTD("tos.rtd",,BD$2,"."&amp;$C$134&amp;$AU$82&amp;"P"&amp;$A139))</f>
        <v>-8</v>
      </c>
      <c r="BE139" s="54">
        <f>IF(RTD("tos.rtd",,BE$2,"."&amp;$D$134&amp;$AW$82&amp;"C"&amp;$A139)="N/A",0,RTD("tos.rtd",,BE$2,"."&amp;$D$134&amp;$AW$82&amp;"C"&amp;$A139))</f>
        <v>33</v>
      </c>
      <c r="BF139" s="3">
        <f>-IF(RTD("tos.rtd",,BF$2,"."&amp;$D$134&amp;$AW$82&amp;"P"&amp;$A139)="N/A",0,RTD("tos.rtd",,BF$2,"."&amp;$D$134&amp;$AW$82&amp;"P"&amp;$A139))</f>
        <v>0</v>
      </c>
      <c r="BG139" s="3">
        <f ca="1">+Hoja2!Y140</f>
        <v>13</v>
      </c>
      <c r="BH139" s="7">
        <f t="shared" ca="1" si="543"/>
        <v>378</v>
      </c>
      <c r="BI139" s="32" t="str">
        <f ca="1">IF(AND(BH139&lt;0,BH138&gt;0), "Cruce -", IF(AND(BH139&gt;0,BH138&lt;0),"Cruce +", ""))</f>
        <v/>
      </c>
      <c r="BJ139" s="3" t="e">
        <f ca="1">IF($BP$1=1,DX139,IF(RTD("tos.rtd",,BJ$43,"."&amp;$B$134&amp;$AS$82&amp;"C"&amp;$A139)="N/A",0,RTD("tos.rtd",,BJ$43,"."&amp;$B$134&amp;$AS$82&amp;"C"&amp;$A139)))</f>
        <v>#NUM!</v>
      </c>
      <c r="BK139" s="3" t="e">
        <f ca="1">IF($BP$1=1,DY139,-IF(RTD("tos.rtd",,BK$43,"."&amp;$B$134&amp;$AS$82&amp;"P"&amp;$A139)="N/A",0,RTD("tos.rtd",,BK$43,"."&amp;$B$134&amp;$AS$82&amp;"P"&amp;$A139)))</f>
        <v>#NUM!</v>
      </c>
      <c r="BL139" s="3" t="e">
        <f ca="1">IF($BP$1=1,DZ139,IF(RTD("tos.rtd",,BL$2,"."&amp;$C$134&amp;$AU$82&amp;"C"&amp;$A139)="N/A",0,RTD("tos.rtd",,BL$2,"."&amp;$C$134&amp;$AU$82&amp;"C"&amp;$A139)))</f>
        <v>#NUM!</v>
      </c>
      <c r="BM139" s="3" t="e">
        <f ca="1">IF($BP$1=1,EA139,-IF(RTD("tos.rtd",,BM$2,"."&amp;$C$134&amp;$AU$82&amp;"P"&amp;$A139)="N/A",0,RTD("tos.rtd",,BM$2,"."&amp;$C$134&amp;$AU$82&amp;"P"&amp;$A139)))</f>
        <v>#NUM!</v>
      </c>
      <c r="BN139" s="3" t="e">
        <f ca="1">IF($BP$1=1,EB139,IF(RTD("tos.rtd",,BN$2,"."&amp;$D$134&amp;$AW$82&amp;"C"&amp;$A139)="N/A",0,RTD("tos.rtd",,BN$2,"."&amp;$D$134&amp;$AW$82&amp;"C"&amp;$A139)))</f>
        <v>#NUM!</v>
      </c>
      <c r="BO139" s="3" t="e">
        <f ca="1">IF($BP$1=1,EC139,-IF(RTD("tos.rtd",,BO$2,"."&amp;$D$134&amp;$AW$82&amp;"P"&amp;$A139)="N/A",0,RTD("tos.rtd",,BO$2,"."&amp;$D$134&amp;$AW$82&amp;"P"&amp;$A139)))</f>
        <v>#NUM!</v>
      </c>
      <c r="BQ139" s="3" t="e">
        <f t="shared" ref="BQ139:BQ147" ca="1" si="594">+$A$84*$A$84*AS139*BJ139-$A$84*$A$84*AT139*BK139</f>
        <v>#NUM!</v>
      </c>
      <c r="BR139" s="3" t="e">
        <f t="shared" ca="1" si="544"/>
        <v>#NUM!</v>
      </c>
      <c r="BS139" s="3" t="e">
        <f t="shared" ref="BS139:BS147" ca="1" si="595">+$A$84*$A$84*AU139*BL139-$A$84*$A$84*AV139*BM139</f>
        <v>#NUM!</v>
      </c>
      <c r="BT139" s="3" t="e">
        <f t="shared" ca="1" si="545"/>
        <v>#NUM!</v>
      </c>
      <c r="BU139" s="3" t="e">
        <f t="shared" ref="BU139:BU147" ca="1" si="596">+$A$84*$A$84*AW139*BN139-$A$84*$A$84*AX139*BO139</f>
        <v>#NUM!</v>
      </c>
      <c r="BV139" s="3" t="e">
        <f t="shared" ca="1" si="545"/>
        <v>#NUM!</v>
      </c>
      <c r="BX139" s="3" t="e">
        <f t="shared" ca="1" si="579"/>
        <v>#NUM!</v>
      </c>
      <c r="BY139" s="3" t="e">
        <f t="shared" ca="1" si="580"/>
        <v>#NUM!</v>
      </c>
      <c r="BZ139" s="3" t="e">
        <f t="shared" ca="1" si="581"/>
        <v>#NUM!</v>
      </c>
      <c r="CA139" s="3" t="e">
        <f t="shared" ca="1" si="580"/>
        <v>#NUM!</v>
      </c>
      <c r="CB139" s="3" t="e">
        <f t="shared" ca="1" si="582"/>
        <v>#NUM!</v>
      </c>
      <c r="CC139" s="3" t="e">
        <f t="shared" ca="1" si="580"/>
        <v>#NUM!</v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0.73</v>
      </c>
      <c r="CF139" s="3">
        <f>IF(RTD("tos.rtd",,CF$2,"."&amp;$C$134&amp;$AU$82&amp;"C"&amp;$A139)="N/A",0,RTD("tos.rtd",,CF$2,"."&amp;$C$134&amp;$AU$82&amp;"C"&amp;$A139))</f>
        <v>0</v>
      </c>
      <c r="CG139" s="3">
        <f>-IF(RTD("tos.rtd",,CG$2,"."&amp;$C$134&amp;$AU$82&amp;"P"&amp;$A139)="N/A",0,RTD("tos.rtd",,CG$2,"."&amp;$C$134&amp;$AU$82&amp;"P"&amp;$A139))</f>
        <v>0.97</v>
      </c>
      <c r="CH139" s="3">
        <f>IF(RTD("tos.rtd",,CH$2,"."&amp;$D$134&amp;$AW$82&amp;"C"&amp;$A139)="N/A",0,RTD("tos.rtd",,CH$2,"."&amp;$D$134&amp;$AW$82&amp;"C"&amp;$A139))</f>
        <v>0.3</v>
      </c>
      <c r="CI139" s="3">
        <f>-IF(RTD("tos.rtd",,CI$2,"."&amp;$D$134&amp;$AW$82&amp;"P"&amp;$A139)="N/A",0,RTD("tos.rtd",,CI$2,"."&amp;$D$134&amp;$AW$82&amp;"P"&amp;$A139))</f>
        <v>0.69</v>
      </c>
      <c r="CK139" s="3">
        <f t="shared" ref="CK139:CK147" si="597">+AS139*CD139*100+AT139*CE139*100</f>
        <v>-219</v>
      </c>
      <c r="CL139" s="3"/>
      <c r="CM139" s="3">
        <f t="shared" ref="CM139:CM147" si="598">+AU139*CF139*100+AV139*CG139*100</f>
        <v>-97</v>
      </c>
      <c r="CN139" s="3"/>
      <c r="CO139" s="3">
        <f t="shared" ref="CO139:CO147" si="599">+AW139*CH139*100+AX139*CI139*100</f>
        <v>-4695</v>
      </c>
      <c r="CP139" s="3">
        <f t="shared" si="536"/>
        <v>-5011</v>
      </c>
      <c r="CQ139" s="3">
        <f t="shared" si="546"/>
        <v>0</v>
      </c>
      <c r="CR139" s="3"/>
      <c r="CS139" s="3">
        <f t="shared" si="547"/>
        <v>332</v>
      </c>
      <c r="CT139" s="3"/>
      <c r="CU139" s="3">
        <f t="shared" si="548"/>
        <v>33</v>
      </c>
      <c r="CV139" s="3"/>
      <c r="CW139" s="3" t="e">
        <f t="shared" ca="1" si="549"/>
        <v>#NUM!</v>
      </c>
      <c r="CY139" s="3" t="e">
        <f t="shared" ca="1" si="550"/>
        <v>#NUM!</v>
      </c>
      <c r="CZ139" s="70" t="e">
        <f t="shared" ca="1" si="583"/>
        <v>#NUM!</v>
      </c>
      <c r="DA139" s="3">
        <f>IF(RTD("tos.rtd",,DA$43,"."&amp;$B$134&amp;$AS$82&amp;"C"&amp;$A139)="N/A",0,RTD("tos.rtd",,DA$43,"."&amp;$B$134&amp;$AS$82&amp;"C"&amp;$A139))</f>
        <v>0.05</v>
      </c>
      <c r="DB139" s="3">
        <f>IF(RTD("tos.rtd",,DB$43,"."&amp;$B$134&amp;$AS$82&amp;"P"&amp;$A139)="N/A",0,RTD("tos.rtd",,DB$43,"."&amp;$B$134&amp;$AS$82&amp;"P"&amp;$A139))</f>
        <v>343.1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447.9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397.9</v>
      </c>
      <c r="DG139" s="86">
        <f t="shared" si="584"/>
        <v>353.5</v>
      </c>
      <c r="DH139" s="3">
        <f t="shared" si="551"/>
        <v>-240</v>
      </c>
      <c r="DI139" s="3">
        <f t="shared" si="552"/>
        <v>-1.0959999999999992</v>
      </c>
      <c r="DJ139" s="3">
        <f t="shared" si="553"/>
        <v>-240</v>
      </c>
      <c r="DK139" s="3">
        <f t="shared" si="554"/>
        <v>-1</v>
      </c>
      <c r="DL139" s="3">
        <f t="shared" si="555"/>
        <v>-241.096</v>
      </c>
      <c r="DM139" s="3">
        <f t="shared" si="556"/>
        <v>-241</v>
      </c>
      <c r="DN139" s="64" t="str">
        <f t="shared" si="557"/>
        <v>UNKNOWN</v>
      </c>
      <c r="DO139" s="64" t="str">
        <f t="shared" si="558"/>
        <v>UNKNOWN</v>
      </c>
      <c r="DP139" s="3">
        <f t="shared" si="559"/>
        <v>-388.03759999999977</v>
      </c>
      <c r="DQ139" s="3">
        <f t="shared" si="560"/>
        <v>-355.1</v>
      </c>
      <c r="DR139" s="3" t="e">
        <f t="shared" ca="1" si="561"/>
        <v>#NUM!</v>
      </c>
      <c r="DS139" s="3">
        <f t="shared" si="562"/>
        <v>-0.73</v>
      </c>
      <c r="DT139" s="3">
        <f t="shared" si="585"/>
        <v>-240</v>
      </c>
      <c r="DU139" s="3">
        <f t="shared" si="586"/>
        <v>1</v>
      </c>
      <c r="DV139" s="3">
        <f t="shared" si="563"/>
        <v>135</v>
      </c>
      <c r="DW139" s="3">
        <f t="shared" si="564"/>
        <v>1</v>
      </c>
      <c r="DX139" s="3" t="e">
        <f t="shared" ca="1" si="565"/>
        <v>#NUM!</v>
      </c>
      <c r="DY139" s="3" t="e">
        <f t="shared" ca="1" si="566"/>
        <v>#NUM!</v>
      </c>
      <c r="DZ139" s="3" t="e">
        <f t="shared" ca="1" si="567"/>
        <v>#NUM!</v>
      </c>
      <c r="EA139" s="3" t="e">
        <f t="shared" ca="1" si="568"/>
        <v>#NUM!</v>
      </c>
      <c r="EB139" s="3" t="e">
        <f t="shared" ca="1" si="569"/>
        <v>#NUM!</v>
      </c>
      <c r="EC139" s="3" t="e">
        <f t="shared" ca="1" si="570"/>
        <v>#NUM!</v>
      </c>
      <c r="EE139" s="59">
        <f t="shared" si="571"/>
        <v>0.70489999999999997</v>
      </c>
      <c r="EF139" s="59">
        <f t="shared" si="572"/>
        <v>3.4788999999999999</v>
      </c>
      <c r="EG139" s="59">
        <f t="shared" si="573"/>
        <v>0.70489999999999997</v>
      </c>
      <c r="EH139" s="59">
        <f t="shared" si="574"/>
        <v>1.1540999999999999</v>
      </c>
      <c r="EI139" s="59">
        <f t="shared" si="575"/>
        <v>0.2581</v>
      </c>
      <c r="EJ139" s="59">
        <f t="shared" si="576"/>
        <v>0.27660000000000001</v>
      </c>
      <c r="EL139" s="3" t="str">
        <f>RTD("tos.rtd",,EL$43,"."&amp;$B$134&amp;$AS$82&amp;"C"&amp;$A139)</f>
        <v>70.49%</v>
      </c>
      <c r="EM139" s="3" t="str">
        <f>RTD("tos.rtd",,EM$43,"."&amp;$B$134&amp;$AS$82&amp;"P"&amp;$A139)</f>
        <v>347.89%</v>
      </c>
      <c r="EN139" s="3" t="str">
        <f>RTD("tos.rtd",,EN$2,"."&amp;$C$134&amp;$AU$82&amp;"C"&amp;$A139)</f>
        <v>70.49%</v>
      </c>
      <c r="EO139" s="3" t="str">
        <f>RTD("tos.rtd",,EO$2,"."&amp;$C$134&amp;$AU$82&amp;"P"&amp;$A139)</f>
        <v>115.41%</v>
      </c>
      <c r="EP139" s="3" t="str">
        <f>RTD("tos.rtd",,EP$2,"."&amp;$D$134&amp;$AW$82&amp;"C"&amp;$A139)</f>
        <v>25.81%</v>
      </c>
      <c r="EQ139" s="3" t="str">
        <f>RTD("tos.rtd",,EQ$2,"."&amp;$D$134&amp;$AW$82&amp;"P"&amp;$A139)</f>
        <v>27.66%</v>
      </c>
      <c r="ES139" s="63" t="str">
        <f t="shared" si="577"/>
        <v>20400,136.00</v>
      </c>
      <c r="ET139" s="64" t="str">
        <f t="shared" ca="1" si="578"/>
        <v>20400,00.00</v>
      </c>
      <c r="EU139" s="67">
        <v>562.70000000000005</v>
      </c>
      <c r="EV139" s="67" t="s">
        <v>1131</v>
      </c>
      <c r="EW139" s="67">
        <v>485.2</v>
      </c>
      <c r="EX139" s="67" t="s">
        <v>1132</v>
      </c>
      <c r="EY139" s="67">
        <v>5640.5</v>
      </c>
      <c r="EZ139" s="67" t="s">
        <v>1133</v>
      </c>
      <c r="FA139" s="67">
        <v>19932.25</v>
      </c>
      <c r="FB139" s="67" t="s">
        <v>1134</v>
      </c>
      <c r="FC139" s="67" t="s">
        <v>1135</v>
      </c>
      <c r="FD139" s="67" t="s">
        <v>1136</v>
      </c>
      <c r="FE139" s="68" t="s">
        <v>1137</v>
      </c>
      <c r="FF139" s="68" t="s">
        <v>1138</v>
      </c>
    </row>
    <row r="140" spans="1:162" ht="11.1" customHeight="1" thickBot="1" x14ac:dyDescent="0.25">
      <c r="A140" s="2">
        <f t="shared" si="587"/>
        <v>20375</v>
      </c>
      <c r="B140" s="3">
        <f t="shared" si="588"/>
        <v>7</v>
      </c>
      <c r="C140" s="3">
        <f t="shared" si="589"/>
        <v>8</v>
      </c>
      <c r="D140" s="3">
        <f t="shared" ref="D140:D144" si="600">+IF($A$1="ABS",AW140-AX140,AW140+AX140)</f>
        <v>22</v>
      </c>
      <c r="E140" s="3">
        <f t="shared" si="590"/>
        <v>37</v>
      </c>
      <c r="F140" s="4">
        <f t="shared" si="591"/>
        <v>20476.638690045642</v>
      </c>
      <c r="G140" s="5">
        <f t="shared" si="592"/>
        <v>495.91549647070559</v>
      </c>
      <c r="AM140" s="1">
        <v>-2</v>
      </c>
      <c r="AN140" s="1">
        <v>0</v>
      </c>
      <c r="AO140" s="1">
        <v>20375</v>
      </c>
      <c r="AP140" s="1">
        <v>39</v>
      </c>
      <c r="AQ140" s="1">
        <v>0</v>
      </c>
      <c r="AS140" s="54">
        <f>IF(RTD("tos.rtd",,AS$83,"."&amp;$B$134&amp;$AS$82&amp;"C"&amp;$A140)="N/A",0,RTD("tos.rtd",,AS$83,"."&amp;$B$134&amp;$AS$82&amp;"C"&amp;$A140))</f>
        <v>7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7</v>
      </c>
      <c r="AV140" s="3">
        <f>-IF(RTD("tos.rtd",,AV$2,"."&amp;$C$134&amp;$AU$134&amp;"P"&amp;$A140)="N/A",0,RTD("tos.rtd",,AV$2,"."&amp;$C$134&amp;$AU$134&amp;"P"&amp;$A140))</f>
        <v>-1</v>
      </c>
      <c r="AW140" s="54">
        <f>IF(RTD("tos.rtd",,AW$2,"."&amp;$D$134&amp;$AW$134&amp;"C"&amp;$A140)="N/A",0,RTD("tos.rtd",,AW$2,"."&amp;$D$134&amp;$AW$134&amp;"C"&amp;$A140))</f>
        <v>16</v>
      </c>
      <c r="AX140" s="3">
        <f>-IF(RTD("tos.rtd",,AX$2,"."&amp;$D$134&amp;$AW$134&amp;"P"&amp;$A140)="N/A",0,RTD("tos.rtd",,AX$2,"."&amp;$D$134&amp;$AW$134&amp;"P"&amp;$A140))</f>
        <v>-6</v>
      </c>
      <c r="AY140" s="76">
        <f t="shared" si="593"/>
        <v>23</v>
      </c>
      <c r="AZ140" s="8">
        <f t="shared" si="542"/>
        <v>20375</v>
      </c>
      <c r="BA140" s="54">
        <f>IF(RTD("tos.rtd",,BA$43,"."&amp;$B$134&amp;$AS$82&amp;"C"&amp;$A140)="N/A",0,RTD("tos.rtd",,BA$43,"."&amp;$B$134&amp;$AS$82&amp;"C"&amp;$A140))</f>
        <v>0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117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2</v>
      </c>
      <c r="BH140" s="7">
        <f t="shared" ca="1" si="543"/>
        <v>119</v>
      </c>
      <c r="BI140" s="32" t="str">
        <f t="shared" ref="BI140:BI189" ca="1" si="601">IF(AND(BH140&lt;0,BH139&gt;0), "Cruce -", IF(AND(BH140&gt;0,BH139&lt;0),"Cruce +", ""))</f>
        <v/>
      </c>
      <c r="BJ140" s="3" t="e">
        <f ca="1">IF($BP$1=1,DX140,IF(RTD("tos.rtd",,BJ$43,"."&amp;$B$134&amp;$AS$82&amp;"C"&amp;$A140)="N/A",0,RTD("tos.rtd",,BJ$43,"."&amp;$B$134&amp;$AS$82&amp;"C"&amp;$A140)))</f>
        <v>#NUM!</v>
      </c>
      <c r="BK140" s="3" t="e">
        <f ca="1">IF($BP$1=1,DY140,-IF(RTD("tos.rtd",,BK$43,"."&amp;$B$134&amp;$AS$82&amp;"P"&amp;$A140)="N/A",0,RTD("tos.rtd",,BK$43,"."&amp;$B$134&amp;$AS$82&amp;"P"&amp;$A140)))</f>
        <v>#NUM!</v>
      </c>
      <c r="BL140" s="3" t="e">
        <f ca="1">IF($BP$1=1,DZ140,IF(RTD("tos.rtd",,BL$2,"."&amp;$C$134&amp;$AU$82&amp;"C"&amp;$A140)="N/A",0,RTD("tos.rtd",,BL$2,"."&amp;$C$134&amp;$AU$82&amp;"C"&amp;$A140)))</f>
        <v>#NUM!</v>
      </c>
      <c r="BM140" s="3" t="e">
        <f ca="1">IF($BP$1=1,EA140,-IF(RTD("tos.rtd",,BM$2,"."&amp;$C$134&amp;$AU$82&amp;"P"&amp;$A140)="N/A",0,RTD("tos.rtd",,BM$2,"."&amp;$C$134&amp;$AU$82&amp;"P"&amp;$A140)))</f>
        <v>#NUM!</v>
      </c>
      <c r="BN140" s="3" t="e">
        <f ca="1">IF($BP$1=1,EB140,IF(RTD("tos.rtd",,BN$2,"."&amp;$D$134&amp;$AW$82&amp;"C"&amp;$A140)="N/A",0,RTD("tos.rtd",,BN$2,"."&amp;$D$134&amp;$AW$82&amp;"C"&amp;$A140)))</f>
        <v>#NUM!</v>
      </c>
      <c r="BO140" s="3" t="e">
        <f ca="1">IF($BP$1=1,EC140,-IF(RTD("tos.rtd",,BO$2,"."&amp;$D$134&amp;$AW$82&amp;"P"&amp;$A140)="N/A",0,RTD("tos.rtd",,BO$2,"."&amp;$D$134&amp;$AW$82&amp;"P"&amp;$A140)))</f>
        <v>#NUM!</v>
      </c>
      <c r="BQ140" s="3" t="e">
        <f t="shared" ca="1" si="594"/>
        <v>#NUM!</v>
      </c>
      <c r="BR140" s="3" t="e">
        <f t="shared" ca="1" si="544"/>
        <v>#NUM!</v>
      </c>
      <c r="BS140" s="3" t="e">
        <f t="shared" ca="1" si="595"/>
        <v>#NUM!</v>
      </c>
      <c r="BT140" s="3" t="e">
        <f t="shared" ca="1" si="545"/>
        <v>#NUM!</v>
      </c>
      <c r="BU140" s="3" t="e">
        <f t="shared" ca="1" si="596"/>
        <v>#NUM!</v>
      </c>
      <c r="BV140" s="3" t="e">
        <f t="shared" ca="1" si="545"/>
        <v>#NUM!</v>
      </c>
      <c r="BX140" s="3" t="e">
        <f t="shared" ca="1" si="579"/>
        <v>#NUM!</v>
      </c>
      <c r="BY140" s="3" t="e">
        <f t="shared" ca="1" si="580"/>
        <v>#NUM!</v>
      </c>
      <c r="BZ140" s="3" t="e">
        <f t="shared" ca="1" si="581"/>
        <v>#NUM!</v>
      </c>
      <c r="CA140" s="3" t="e">
        <f t="shared" ca="1" si="580"/>
        <v>#NUM!</v>
      </c>
      <c r="CB140" s="3" t="e">
        <f t="shared" ca="1" si="582"/>
        <v>#NUM!</v>
      </c>
      <c r="CC140" s="3" t="e">
        <f t="shared" ca="1" si="580"/>
        <v>#NUM!</v>
      </c>
      <c r="CD140" s="3">
        <f>IF(RTD("tos.rtd",,CD$43,"."&amp;$B$134&amp;$AS$82&amp;"C"&amp;$A140)="N/A",0,RTD("tos.rtd",,CD$43,"."&amp;$B$134&amp;$AS$82&amp;"C"&amp;$A140))</f>
        <v>0</v>
      </c>
      <c r="CE140" s="3">
        <f>-IF(RTD("tos.rtd",,CE$43,"."&amp;$B$134&amp;$AS$82&amp;"P"&amp;$A140)="N/A",0,RTD("tos.rtd",,CE$43,"."&amp;$B$134&amp;$AS$82&amp;"P"&amp;$A140))</f>
        <v>0.73</v>
      </c>
      <c r="CF140" s="3">
        <f>IF(RTD("tos.rtd",,CF$2,"."&amp;$C$134&amp;$AU$82&amp;"C"&amp;$A140)="N/A",0,RTD("tos.rtd",,CF$2,"."&amp;$C$134&amp;$AU$82&amp;"C"&amp;$A140))</f>
        <v>0.01</v>
      </c>
      <c r="CG140" s="3">
        <f>-IF(RTD("tos.rtd",,CG$2,"."&amp;$C$134&amp;$AU$82&amp;"P"&amp;$A140)="N/A",0,RTD("tos.rtd",,CG$2,"."&amp;$C$134&amp;$AU$82&amp;"P"&amp;$A140))</f>
        <v>0.97</v>
      </c>
      <c r="CH140" s="3">
        <f>IF(RTD("tos.rtd",,CH$2,"."&amp;$D$134&amp;$AW$82&amp;"C"&amp;$A140)="N/A",0,RTD("tos.rtd",,CH$2,"."&amp;$D$134&amp;$AW$82&amp;"C"&amp;$A140))</f>
        <v>0.31</v>
      </c>
      <c r="CI140" s="3">
        <f>-IF(RTD("tos.rtd",,CI$2,"."&amp;$D$134&amp;$AW$82&amp;"P"&amp;$A140)="N/A",0,RTD("tos.rtd",,CI$2,"."&amp;$D$134&amp;$AW$82&amp;"P"&amp;$A140))</f>
        <v>0.67</v>
      </c>
      <c r="CK140" s="3">
        <f t="shared" si="597"/>
        <v>0</v>
      </c>
      <c r="CL140" s="3"/>
      <c r="CM140" s="3">
        <f t="shared" si="598"/>
        <v>-90</v>
      </c>
      <c r="CN140" s="3"/>
      <c r="CO140" s="3">
        <f t="shared" si="599"/>
        <v>93.999999999999943</v>
      </c>
      <c r="CP140" s="3">
        <f t="shared" si="536"/>
        <v>3.9999999999999432</v>
      </c>
      <c r="CQ140" s="3">
        <f t="shared" si="546"/>
        <v>0</v>
      </c>
      <c r="CR140" s="3"/>
      <c r="CS140" s="3">
        <f t="shared" si="547"/>
        <v>117</v>
      </c>
      <c r="CT140" s="3"/>
      <c r="CU140" s="3">
        <f t="shared" si="548"/>
        <v>0</v>
      </c>
      <c r="CV140" s="3"/>
      <c r="CW140" s="3" t="e">
        <f t="shared" ca="1" si="549"/>
        <v>#NUM!</v>
      </c>
      <c r="CY140" s="3" t="e">
        <f t="shared" ca="1" si="550"/>
        <v>#NUM!</v>
      </c>
      <c r="CZ140" s="70" t="e">
        <f t="shared" ca="1" si="583"/>
        <v>#NUM!</v>
      </c>
      <c r="DA140" s="3">
        <f>IF(RTD("tos.rtd",,DA$43,"."&amp;$B$134&amp;$AS$82&amp;"C"&amp;$A140)="N/A",0,RTD("tos.rtd",,DA$43,"."&amp;$B$134&amp;$AS$82&amp;"C"&amp;$A140))</f>
        <v>0.15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0.05</v>
      </c>
      <c r="DD140" s="3">
        <f>IF(RTD("tos.rtd",,DD$43,"."&amp;$B$134&amp;$AS$82&amp;"P"&amp;$A140)="N/A",0,RTD("tos.rtd",,DD$43,"."&amp;$B$134&amp;$AS$82&amp;"P"&amp;$A140))</f>
        <v>422.9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372.9</v>
      </c>
      <c r="DG140" s="86">
        <f t="shared" si="584"/>
        <v>328.5</v>
      </c>
      <c r="DH140" s="3">
        <f t="shared" si="551"/>
        <v>-116.99999999999999</v>
      </c>
      <c r="DI140" s="3">
        <f t="shared" si="552"/>
        <v>0</v>
      </c>
      <c r="DJ140" s="3">
        <f t="shared" si="553"/>
        <v>-39</v>
      </c>
      <c r="DK140" s="3">
        <f t="shared" si="554"/>
        <v>0</v>
      </c>
      <c r="DL140" s="3">
        <f t="shared" si="555"/>
        <v>-116.99999999999999</v>
      </c>
      <c r="DM140" s="3">
        <f t="shared" si="556"/>
        <v>-39</v>
      </c>
      <c r="DN140" s="64" t="str">
        <f t="shared" si="557"/>
        <v>UNKNOWN</v>
      </c>
      <c r="DO140" s="64" t="str">
        <f t="shared" si="558"/>
        <v>UNKNOWN</v>
      </c>
      <c r="DP140" s="3">
        <f t="shared" si="559"/>
        <v>-17.549999999999997</v>
      </c>
      <c r="DQ140" s="3">
        <f t="shared" si="560"/>
        <v>-5.85</v>
      </c>
      <c r="DR140" s="3" t="e">
        <f t="shared" ca="1" si="561"/>
        <v>#NUM!</v>
      </c>
      <c r="DS140" s="3">
        <f t="shared" si="562"/>
        <v>0</v>
      </c>
      <c r="DT140" s="3">
        <f t="shared" si="585"/>
        <v>-39</v>
      </c>
      <c r="DU140" s="3">
        <f t="shared" si="586"/>
        <v>0</v>
      </c>
      <c r="DV140" s="3">
        <f t="shared" si="563"/>
        <v>-2</v>
      </c>
      <c r="DW140" s="3">
        <f t="shared" si="564"/>
        <v>0</v>
      </c>
      <c r="DX140" s="3" t="e">
        <f t="shared" ca="1" si="565"/>
        <v>#NUM!</v>
      </c>
      <c r="DY140" s="3" t="e">
        <f t="shared" ca="1" si="566"/>
        <v>#NUM!</v>
      </c>
      <c r="DZ140" s="3" t="e">
        <f t="shared" ca="1" si="567"/>
        <v>#NUM!</v>
      </c>
      <c r="EA140" s="3" t="e">
        <f t="shared" ca="1" si="568"/>
        <v>#NUM!</v>
      </c>
      <c r="EB140" s="3" t="e">
        <f t="shared" ca="1" si="569"/>
        <v>#NUM!</v>
      </c>
      <c r="EC140" s="3" t="e">
        <f t="shared" ca="1" si="570"/>
        <v>#NUM!</v>
      </c>
      <c r="EE140" s="59">
        <f t="shared" si="571"/>
        <v>0.65839999999999999</v>
      </c>
      <c r="EF140" s="59">
        <f t="shared" si="572"/>
        <v>3.3483999999999998</v>
      </c>
      <c r="EG140" s="59">
        <f t="shared" si="573"/>
        <v>0.94289999999999996</v>
      </c>
      <c r="EH140" s="59">
        <f t="shared" si="574"/>
        <v>1.1293</v>
      </c>
      <c r="EI140" s="59">
        <f t="shared" si="575"/>
        <v>0.25850000000000001</v>
      </c>
      <c r="EJ140" s="59">
        <f t="shared" si="576"/>
        <v>0.28000000000000003</v>
      </c>
      <c r="EL140" s="3" t="str">
        <f>RTD("tos.rtd",,EL$43,"."&amp;$B$134&amp;$AS$82&amp;"C"&amp;$A140)</f>
        <v>65.84%</v>
      </c>
      <c r="EM140" s="3" t="str">
        <f>RTD("tos.rtd",,EM$43,"."&amp;$B$134&amp;$AS$82&amp;"P"&amp;$A140)</f>
        <v>334.84%</v>
      </c>
      <c r="EN140" s="3" t="str">
        <f>RTD("tos.rtd",,EN$2,"."&amp;$C$134&amp;$AU$82&amp;"C"&amp;$A140)</f>
        <v>94.29%</v>
      </c>
      <c r="EO140" s="3" t="str">
        <f>RTD("tos.rtd",,EO$2,"."&amp;$C$134&amp;$AU$82&amp;"P"&amp;$A140)</f>
        <v>112.93%</v>
      </c>
      <c r="EP140" s="3" t="str">
        <f>RTD("tos.rtd",,EP$2,"."&amp;$D$134&amp;$AW$82&amp;"C"&amp;$A140)</f>
        <v>25.85%</v>
      </c>
      <c r="EQ140" s="3" t="str">
        <f>RTD("tos.rtd",,EQ$2,"."&amp;$D$134&amp;$AW$82&amp;"P"&amp;$A140)</f>
        <v>28.00%</v>
      </c>
      <c r="ES140" s="63" t="str">
        <f t="shared" si="577"/>
        <v>20375,-02.00</v>
      </c>
      <c r="ET140" s="64" t="str">
        <f t="shared" ca="1" si="578"/>
        <v>20375,00.00</v>
      </c>
      <c r="EU140" s="67">
        <v>562.87</v>
      </c>
      <c r="EV140" s="67" t="s">
        <v>1139</v>
      </c>
      <c r="EW140" s="67">
        <v>485.44</v>
      </c>
      <c r="EX140" s="67" t="s">
        <v>1140</v>
      </c>
      <c r="EY140" s="67">
        <v>5642.5</v>
      </c>
      <c r="EZ140" s="67" t="s">
        <v>1141</v>
      </c>
      <c r="FA140" s="67">
        <v>19942</v>
      </c>
      <c r="FB140" s="67" t="s">
        <v>1142</v>
      </c>
      <c r="FC140" s="67" t="s">
        <v>1143</v>
      </c>
      <c r="FD140" s="67" t="s">
        <v>1144</v>
      </c>
      <c r="FE140" s="68" t="s">
        <v>1145</v>
      </c>
      <c r="FF140" s="68" t="s">
        <v>1146</v>
      </c>
    </row>
    <row r="141" spans="1:162" ht="11.1" customHeight="1" thickBot="1" x14ac:dyDescent="0.25">
      <c r="A141" s="2">
        <f t="shared" si="587"/>
        <v>20350</v>
      </c>
      <c r="B141" s="3">
        <f t="shared" si="588"/>
        <v>22</v>
      </c>
      <c r="C141" s="3">
        <f t="shared" si="589"/>
        <v>60</v>
      </c>
      <c r="D141" s="3">
        <f t="shared" si="600"/>
        <v>35</v>
      </c>
      <c r="E141" s="3">
        <f t="shared" si="590"/>
        <v>117</v>
      </c>
      <c r="F141" s="4">
        <f t="shared" si="591"/>
        <v>20451.513979996507</v>
      </c>
      <c r="G141" s="5">
        <f t="shared" si="592"/>
        <v>495.30701119896241</v>
      </c>
      <c r="AM141" s="1">
        <v>91</v>
      </c>
      <c r="AN141" s="1">
        <v>-1</v>
      </c>
      <c r="AO141" s="1">
        <v>20350</v>
      </c>
      <c r="AP141" s="1">
        <v>188</v>
      </c>
      <c r="AQ141" s="1">
        <v>-1</v>
      </c>
      <c r="AS141" s="54">
        <f>IF(RTD("tos.rtd",,AS$83,"."&amp;$B$134&amp;$AS$82&amp;"C"&amp;$A141)="N/A",0,RTD("tos.rtd",,AS$83,"."&amp;$B$134&amp;$AS$82&amp;"C"&amp;$A141))</f>
        <v>21</v>
      </c>
      <c r="AT141" s="3">
        <f>-IF(RTD("tos.rtd",,AT$83,"."&amp;$B$134&amp;$AS$82&amp;"P"&amp;$A141)="N/A",0,RTD("tos.rtd",,AT$83,"."&amp;$B$134&amp;$AS$82&amp;"P"&amp;$A141))</f>
        <v>-1</v>
      </c>
      <c r="AU141" s="54">
        <f>IF(RTD("tos.rtd",,AU$2,"."&amp;$C$134&amp;$AU$134&amp;"C"&amp;$A141)="N/A",0,RTD("tos.rtd",,AU$2,"."&amp;$C$134&amp;$AU$134&amp;"C"&amp;$A141))</f>
        <v>60</v>
      </c>
      <c r="AV141" s="3">
        <f>-IF(RTD("tos.rtd",,AV$2,"."&amp;$C$134&amp;$AU$134&amp;"P"&amp;$A141)="N/A",0,RTD("tos.rtd",,AV$2,"."&amp;$C$134&amp;$AU$134&amp;"P"&amp;$A141))</f>
        <v>0</v>
      </c>
      <c r="AW141" s="54">
        <f>IF(RTD("tos.rtd",,AW$2,"."&amp;$D$134&amp;$AW$134&amp;"C"&amp;$A141)="N/A",0,RTD("tos.rtd",,AW$2,"."&amp;$D$134&amp;$AW$134&amp;"C"&amp;$A141))</f>
        <v>22</v>
      </c>
      <c r="AX141" s="3">
        <f>-IF(RTD("tos.rtd",,AX$2,"."&amp;$D$134&amp;$AW$134&amp;"P"&amp;$A141)="N/A",0,RTD("tos.rtd",,AX$2,"."&amp;$D$134&amp;$AW$134&amp;"P"&amp;$A141))</f>
        <v>-13</v>
      </c>
      <c r="AY141" s="76">
        <f t="shared" si="593"/>
        <v>89</v>
      </c>
      <c r="AZ141" s="8">
        <f t="shared" si="542"/>
        <v>20350</v>
      </c>
      <c r="BA141" s="54">
        <f>IF(RTD("tos.rtd",,BA$43,"."&amp;$B$134&amp;$AS$82&amp;"C"&amp;$A141)="N/A",0,RTD("tos.rtd",,BA$43,"."&amp;$B$134&amp;$AS$82&amp;"C"&amp;$A141))</f>
        <v>0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360</v>
      </c>
      <c r="BD141" s="3">
        <f>-IF(RTD("tos.rtd",,BD$2,"."&amp;$C$134&amp;$AU$82&amp;"P"&amp;$A141)="N/A",0,RTD("tos.rtd",,BD$2,"."&amp;$C$134&amp;$AU$82&amp;"P"&amp;$A141))</f>
        <v>-8</v>
      </c>
      <c r="BE141" s="54">
        <f>IF(RTD("tos.rtd",,BE$2,"."&amp;$D$134&amp;$AW$82&amp;"C"&amp;$A141)="N/A",0,RTD("tos.rtd",,BE$2,"."&amp;$D$134&amp;$AW$82&amp;"C"&amp;$A141))</f>
        <v>1</v>
      </c>
      <c r="BF141" s="3">
        <f>-IF(RTD("tos.rtd",,BF$2,"."&amp;$D$134&amp;$AW$82&amp;"P"&amp;$A141)="N/A",0,RTD("tos.rtd",,BF$2,"."&amp;$D$134&amp;$AW$82&amp;"P"&amp;$A141))</f>
        <v>-8</v>
      </c>
      <c r="BG141" s="3">
        <f ca="1">+Hoja2!Y142</f>
        <v>0</v>
      </c>
      <c r="BH141" s="7">
        <f t="shared" ca="1" si="543"/>
        <v>345</v>
      </c>
      <c r="BI141" s="32" t="str">
        <f t="shared" ca="1" si="601"/>
        <v/>
      </c>
      <c r="BJ141" s="3" t="e">
        <f ca="1">IF($BP$1=1,DX141,IF(RTD("tos.rtd",,BJ$43,"."&amp;$B$134&amp;$AS$82&amp;"C"&amp;$A141)="N/A",0,RTD("tos.rtd",,BJ$43,"."&amp;$B$134&amp;$AS$82&amp;"C"&amp;$A141)))</f>
        <v>#NUM!</v>
      </c>
      <c r="BK141" s="3" t="e">
        <f ca="1">IF($BP$1=1,DY141,-IF(RTD("tos.rtd",,BK$43,"."&amp;$B$134&amp;$AS$82&amp;"P"&amp;$A141)="N/A",0,RTD("tos.rtd",,BK$43,"."&amp;$B$134&amp;$AS$82&amp;"P"&amp;$A141)))</f>
        <v>#NUM!</v>
      </c>
      <c r="BL141" s="3" t="e">
        <f ca="1">IF($BP$1=1,DZ141,IF(RTD("tos.rtd",,BL$2,"."&amp;$C$134&amp;$AU$82&amp;"C"&amp;$A141)="N/A",0,RTD("tos.rtd",,BL$2,"."&amp;$C$134&amp;$AU$82&amp;"C"&amp;$A141)))</f>
        <v>#NUM!</v>
      </c>
      <c r="BM141" s="3" t="e">
        <f ca="1">IF($BP$1=1,EA141,-IF(RTD("tos.rtd",,BM$2,"."&amp;$C$134&amp;$AU$82&amp;"P"&amp;$A141)="N/A",0,RTD("tos.rtd",,BM$2,"."&amp;$C$134&amp;$AU$82&amp;"P"&amp;$A141)))</f>
        <v>#NUM!</v>
      </c>
      <c r="BN141" s="3" t="e">
        <f ca="1">IF($BP$1=1,EB141,IF(RTD("tos.rtd",,BN$2,"."&amp;$D$134&amp;$AW$82&amp;"C"&amp;$A141)="N/A",0,RTD("tos.rtd",,BN$2,"."&amp;$D$134&amp;$AW$82&amp;"C"&amp;$A141)))</f>
        <v>#NUM!</v>
      </c>
      <c r="BO141" s="3" t="e">
        <f ca="1">IF($BP$1=1,EC141,-IF(RTD("tos.rtd",,BO$2,"."&amp;$D$134&amp;$AW$82&amp;"P"&amp;$A141)="N/A",0,RTD("tos.rtd",,BO$2,"."&amp;$D$134&amp;$AW$82&amp;"P"&amp;$A141)))</f>
        <v>#NUM!</v>
      </c>
      <c r="BQ141" s="3" t="e">
        <f t="shared" ca="1" si="594"/>
        <v>#NUM!</v>
      </c>
      <c r="BR141" s="3" t="e">
        <f t="shared" ca="1" si="544"/>
        <v>#NUM!</v>
      </c>
      <c r="BS141" s="3" t="e">
        <f t="shared" ca="1" si="595"/>
        <v>#NUM!</v>
      </c>
      <c r="BT141" s="3" t="e">
        <f t="shared" ca="1" si="545"/>
        <v>#NUM!</v>
      </c>
      <c r="BU141" s="3" t="e">
        <f t="shared" ca="1" si="596"/>
        <v>#NUM!</v>
      </c>
      <c r="BV141" s="3" t="e">
        <f t="shared" ca="1" si="545"/>
        <v>#NUM!</v>
      </c>
      <c r="BX141" s="3" t="e">
        <f t="shared" ca="1" si="579"/>
        <v>#NUM!</v>
      </c>
      <c r="BY141" s="3" t="e">
        <f t="shared" ca="1" si="580"/>
        <v>#NUM!</v>
      </c>
      <c r="BZ141" s="3" t="e">
        <f t="shared" ca="1" si="581"/>
        <v>#NUM!</v>
      </c>
      <c r="CA141" s="3" t="e">
        <f t="shared" ca="1" si="580"/>
        <v>#NUM!</v>
      </c>
      <c r="CB141" s="3" t="e">
        <f t="shared" ca="1" si="582"/>
        <v>#NUM!</v>
      </c>
      <c r="CC141" s="3" t="e">
        <f t="shared" ca="1" si="580"/>
        <v>#NUM!</v>
      </c>
      <c r="CD141" s="3">
        <f>IF(RTD("tos.rtd",,CD$43,"."&amp;$B$134&amp;$AS$82&amp;"C"&amp;$A141)="N/A",0,RTD("tos.rtd",,CD$43,"."&amp;$B$134&amp;$AS$82&amp;"C"&amp;$A141))</f>
        <v>0</v>
      </c>
      <c r="CE141" s="3">
        <f>-IF(RTD("tos.rtd",,CE$43,"."&amp;$B$134&amp;$AS$82&amp;"P"&amp;$A141)="N/A",0,RTD("tos.rtd",,CE$43,"."&amp;$B$134&amp;$AS$82&amp;"P"&amp;$A141))</f>
        <v>0.72</v>
      </c>
      <c r="CF141" s="3">
        <f>IF(RTD("tos.rtd",,CF$2,"."&amp;$C$134&amp;$AU$82&amp;"C"&amp;$A141)="N/A",0,RTD("tos.rtd",,CF$2,"."&amp;$C$134&amp;$AU$82&amp;"C"&amp;$A141))</f>
        <v>0.01</v>
      </c>
      <c r="CG141" s="3">
        <f>-IF(RTD("tos.rtd",,CG$2,"."&amp;$C$134&amp;$AU$82&amp;"P"&amp;$A141)="N/A",0,RTD("tos.rtd",,CG$2,"."&amp;$C$134&amp;$AU$82&amp;"P"&amp;$A141))</f>
        <v>0.97</v>
      </c>
      <c r="CH141" s="3">
        <f>IF(RTD("tos.rtd",,CH$2,"."&amp;$D$134&amp;$AW$82&amp;"C"&amp;$A141)="N/A",0,RTD("tos.rtd",,CH$2,"."&amp;$D$134&amp;$AW$82&amp;"C"&amp;$A141))</f>
        <v>0.33</v>
      </c>
      <c r="CI141" s="3">
        <f>-IF(RTD("tos.rtd",,CI$2,"."&amp;$D$134&amp;$AW$82&amp;"P"&amp;$A141)="N/A",0,RTD("tos.rtd",,CI$2,"."&amp;$D$134&amp;$AW$82&amp;"P"&amp;$A141))</f>
        <v>0.66</v>
      </c>
      <c r="CK141" s="3">
        <f t="shared" si="597"/>
        <v>-72</v>
      </c>
      <c r="CL141" s="3"/>
      <c r="CM141" s="3">
        <f t="shared" si="598"/>
        <v>60</v>
      </c>
      <c r="CN141" s="3"/>
      <c r="CO141" s="3">
        <f t="shared" si="599"/>
        <v>-131.99999999999989</v>
      </c>
      <c r="CP141" s="3">
        <f t="shared" si="536"/>
        <v>-143.99999999999989</v>
      </c>
      <c r="CQ141" s="3">
        <f t="shared" si="546"/>
        <v>0</v>
      </c>
      <c r="CR141" s="3"/>
      <c r="CS141" s="3">
        <f t="shared" si="547"/>
        <v>352</v>
      </c>
      <c r="CT141" s="3"/>
      <c r="CU141" s="3">
        <f t="shared" si="548"/>
        <v>-7</v>
      </c>
      <c r="CV141" s="3"/>
      <c r="CW141" s="3" t="e">
        <f t="shared" ca="1" si="549"/>
        <v>#NUM!</v>
      </c>
      <c r="CY141" s="3" t="e">
        <f t="shared" ca="1" si="550"/>
        <v>#NUM!</v>
      </c>
      <c r="CZ141" s="70" t="e">
        <f t="shared" ca="1" si="583"/>
        <v>#NUM!</v>
      </c>
      <c r="DA141" s="3">
        <f>IF(RTD("tos.rtd",,DA$43,"."&amp;$B$134&amp;$AS$82&amp;"C"&amp;$A141)="N/A",0,RTD("tos.rtd",,DA$43,"."&amp;$B$134&amp;$AS$82&amp;"C"&amp;$A141))</f>
        <v>0.05</v>
      </c>
      <c r="DB141" s="3">
        <f>IF(RTD("tos.rtd",,DB$43,"."&amp;$B$134&amp;$AS$82&amp;"P"&amp;$A141)="N/A",0,RTD("tos.rtd",,DB$43,"."&amp;$B$134&amp;$AS$82&amp;"P"&amp;$A141))</f>
        <v>276.7</v>
      </c>
      <c r="DC141" s="3">
        <f>IF(RTD("tos.rtd",,DC$43,"."&amp;$B$134&amp;$AS$82&amp;"C"&amp;$A141)="N/A",0,RTD("tos.rtd",,DC$43,"."&amp;$B$134&amp;$AS$82&amp;"C"&amp;$A141))</f>
        <v>0.35</v>
      </c>
      <c r="DD141" s="3">
        <f>IF(RTD("tos.rtd",,DD$43,"."&amp;$B$134&amp;$AS$82&amp;"P"&amp;$A141)="N/A",0,RTD("tos.rtd",,DD$43,"."&amp;$B$134&amp;$AS$82&amp;"P"&amp;$A141))</f>
        <v>397.9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347.9</v>
      </c>
      <c r="DG141" s="86">
        <f t="shared" si="584"/>
        <v>303.5</v>
      </c>
      <c r="DH141" s="3">
        <f t="shared" si="551"/>
        <v>-26.857142857142861</v>
      </c>
      <c r="DI141" s="3">
        <f t="shared" si="552"/>
        <v>-1.4239999999999997</v>
      </c>
      <c r="DJ141" s="3">
        <f t="shared" si="553"/>
        <v>188</v>
      </c>
      <c r="DK141" s="3">
        <f t="shared" si="554"/>
        <v>-1</v>
      </c>
      <c r="DL141" s="3">
        <f t="shared" si="555"/>
        <v>-28.281142857142861</v>
      </c>
      <c r="DM141" s="3">
        <f t="shared" si="556"/>
        <v>187</v>
      </c>
      <c r="DN141" s="64" t="str">
        <f t="shared" si="557"/>
        <v>UNKNOWN</v>
      </c>
      <c r="DO141" s="64" t="str">
        <f t="shared" si="558"/>
        <v>UNKNOWN</v>
      </c>
      <c r="DP141" s="3">
        <f t="shared" si="559"/>
        <v>-395.36365714285705</v>
      </c>
      <c r="DQ141" s="3">
        <f t="shared" si="560"/>
        <v>-267.3</v>
      </c>
      <c r="DR141" s="3" t="e">
        <f t="shared" ca="1" si="561"/>
        <v>#NUM!</v>
      </c>
      <c r="DS141" s="3">
        <f t="shared" si="562"/>
        <v>-0.72</v>
      </c>
      <c r="DT141" s="3">
        <f t="shared" si="585"/>
        <v>-188</v>
      </c>
      <c r="DU141" s="3">
        <f t="shared" si="586"/>
        <v>1</v>
      </c>
      <c r="DV141" s="3">
        <f t="shared" si="563"/>
        <v>91</v>
      </c>
      <c r="DW141" s="3">
        <f t="shared" si="564"/>
        <v>-1</v>
      </c>
      <c r="DX141" s="3" t="e">
        <f t="shared" ca="1" si="565"/>
        <v>#NUM!</v>
      </c>
      <c r="DY141" s="3" t="e">
        <f t="shared" ca="1" si="566"/>
        <v>#NUM!</v>
      </c>
      <c r="DZ141" s="3" t="e">
        <f t="shared" ca="1" si="567"/>
        <v>#NUM!</v>
      </c>
      <c r="EA141" s="3" t="e">
        <f t="shared" ca="1" si="568"/>
        <v>#NUM!</v>
      </c>
      <c r="EB141" s="3" t="e">
        <f t="shared" ca="1" si="569"/>
        <v>#NUM!</v>
      </c>
      <c r="EC141" s="3" t="e">
        <f t="shared" ca="1" si="570"/>
        <v>#NUM!</v>
      </c>
      <c r="EE141" s="59">
        <f t="shared" si="571"/>
        <v>0.73299999999999998</v>
      </c>
      <c r="EF141" s="59">
        <f t="shared" si="572"/>
        <v>3.2155999999999998</v>
      </c>
      <c r="EG141" s="59">
        <f t="shared" si="573"/>
        <v>0.8256</v>
      </c>
      <c r="EH141" s="59">
        <f t="shared" si="574"/>
        <v>1.0118</v>
      </c>
      <c r="EI141" s="59">
        <f t="shared" si="575"/>
        <v>0.2591</v>
      </c>
      <c r="EJ141" s="59">
        <f t="shared" si="576"/>
        <v>0.27750000000000002</v>
      </c>
      <c r="EL141" s="3" t="str">
        <f>RTD("tos.rtd",,EL$43,"."&amp;$B$134&amp;$AS$82&amp;"C"&amp;$A141)</f>
        <v>73.30%</v>
      </c>
      <c r="EM141" s="3" t="str">
        <f>RTD("tos.rtd",,EM$43,"."&amp;$B$134&amp;$AS$82&amp;"P"&amp;$A141)</f>
        <v>321.56%</v>
      </c>
      <c r="EN141" s="3" t="str">
        <f>RTD("tos.rtd",,EN$2,"."&amp;$C$134&amp;$AU$82&amp;"C"&amp;$A141)</f>
        <v>82.56%</v>
      </c>
      <c r="EO141" s="3" t="str">
        <f>RTD("tos.rtd",,EO$2,"."&amp;$C$134&amp;$AU$82&amp;"P"&amp;$A141)</f>
        <v>101.18%</v>
      </c>
      <c r="EP141" s="3" t="str">
        <f>RTD("tos.rtd",,EP$2,"."&amp;$D$134&amp;$AW$82&amp;"C"&amp;$A141)</f>
        <v>25.91%</v>
      </c>
      <c r="EQ141" s="3" t="str">
        <f>RTD("tos.rtd",,EQ$2,"."&amp;$D$134&amp;$AW$82&amp;"P"&amp;$A141)</f>
        <v>27.75%</v>
      </c>
      <c r="ES141" s="63" t="str">
        <f t="shared" si="577"/>
        <v>20350,90.00</v>
      </c>
      <c r="ET141" s="64" t="str">
        <f t="shared" ca="1" si="578"/>
        <v>20350,00.00</v>
      </c>
      <c r="EU141" s="67">
        <v>562.89</v>
      </c>
      <c r="EV141" s="67" t="s">
        <v>1147</v>
      </c>
      <c r="EW141" s="67">
        <v>485.48</v>
      </c>
      <c r="EX141" s="67" t="s">
        <v>1148</v>
      </c>
      <c r="EY141" s="67">
        <v>5642.5</v>
      </c>
      <c r="EZ141" s="67" t="s">
        <v>1149</v>
      </c>
      <c r="FA141" s="67">
        <v>19943.25</v>
      </c>
      <c r="FB141" s="67" t="s">
        <v>1150</v>
      </c>
      <c r="FC141" s="67" t="s">
        <v>1151</v>
      </c>
      <c r="FD141" s="67" t="s">
        <v>1152</v>
      </c>
      <c r="FE141" s="68" t="s">
        <v>1153</v>
      </c>
      <c r="FF141" s="68" t="s">
        <v>1154</v>
      </c>
    </row>
    <row r="142" spans="1:162" ht="11.1" customHeight="1" thickBot="1" x14ac:dyDescent="0.25">
      <c r="A142" s="2">
        <f t="shared" si="587"/>
        <v>20325</v>
      </c>
      <c r="B142" s="3">
        <f t="shared" si="588"/>
        <v>1</v>
      </c>
      <c r="C142" s="3">
        <f t="shared" si="589"/>
        <v>3</v>
      </c>
      <c r="D142" s="3">
        <f t="shared" si="600"/>
        <v>21</v>
      </c>
      <c r="E142" s="3">
        <f t="shared" si="590"/>
        <v>25</v>
      </c>
      <c r="F142" s="4">
        <f t="shared" si="591"/>
        <v>20426.389269947369</v>
      </c>
      <c r="G142" s="5">
        <f t="shared" si="592"/>
        <v>494.69852592721918</v>
      </c>
      <c r="AM142" s="1">
        <v>0</v>
      </c>
      <c r="AN142" s="1">
        <v>0</v>
      </c>
      <c r="AO142" s="1">
        <v>20325</v>
      </c>
      <c r="AP142" s="1">
        <v>10</v>
      </c>
      <c r="AQ142" s="1">
        <v>0</v>
      </c>
      <c r="AS142" s="54">
        <f>IF(RTD("tos.rtd",,AS$83,"."&amp;$B$134&amp;$AS$82&amp;"C"&amp;$A142)="N/A",0,RTD("tos.rtd",,AS$83,"."&amp;$B$134&amp;$AS$82&amp;"C"&amp;$A142))</f>
        <v>1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3</v>
      </c>
      <c r="AV142" s="3">
        <f>-IF(RTD("tos.rtd",,AV$2,"."&amp;$C$134&amp;$AU$134&amp;"P"&amp;$A142)="N/A",0,RTD("tos.rtd",,AV$2,"."&amp;$C$134&amp;$AU$134&amp;"P"&amp;$A142))</f>
        <v>0</v>
      </c>
      <c r="AW142" s="54">
        <f>IF(RTD("tos.rtd",,AW$2,"."&amp;$D$134&amp;$AW$134&amp;"C"&amp;$A142)="N/A",0,RTD("tos.rtd",,AW$2,"."&amp;$D$134&amp;$AW$134&amp;"C"&amp;$A142))</f>
        <v>14</v>
      </c>
      <c r="AX142" s="3">
        <f>-IF(RTD("tos.rtd",,AX$2,"."&amp;$D$134&amp;$AW$134&amp;"P"&amp;$A142)="N/A",0,RTD("tos.rtd",,AX$2,"."&amp;$D$134&amp;$AW$134&amp;"P"&amp;$A142))</f>
        <v>-7</v>
      </c>
      <c r="AY142" s="76">
        <f t="shared" si="593"/>
        <v>11</v>
      </c>
      <c r="AZ142" s="8">
        <f t="shared" si="542"/>
        <v>20325</v>
      </c>
      <c r="BA142" s="54">
        <f>IF(RTD("tos.rtd",,BA$43,"."&amp;$B$134&amp;$AS$82&amp;"C"&amp;$A142)="N/A",0,RTD("tos.rtd",,BA$43,"."&amp;$B$134&amp;$AS$82&amp;"C"&amp;$A142))</f>
        <v>0</v>
      </c>
      <c r="BB142" s="3">
        <f>-IF(RTD("tos.rtd",,BB$43,"."&amp;$B$134&amp;$AS$82&amp;"P"&amp;$A142)="N/A",0,RTD("tos.rtd",,BB$43,"."&amp;$B$134&amp;$AS$82&amp;"P"&amp;$A142))</f>
        <v>0</v>
      </c>
      <c r="BC142" s="54">
        <f>IF(RTD("tos.rtd",,BC$2,"."&amp;$C$134&amp;$AU$82&amp;"C"&amp;$A142)="N/A",0,RTD("tos.rtd",,BC$2,"."&amp;$C$134&amp;$AU$82&amp;"C"&amp;$A142))</f>
        <v>100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1</v>
      </c>
      <c r="BF142" s="3">
        <f>-IF(RTD("tos.rtd",,BF$2,"."&amp;$D$134&amp;$AW$82&amp;"P"&amp;$A142)="N/A",0,RTD("tos.rtd",,BF$2,"."&amp;$D$134&amp;$AW$82&amp;"P"&amp;$A142))</f>
        <v>-11</v>
      </c>
      <c r="BG142" s="3">
        <f ca="1">+Hoja2!Y143</f>
        <v>1</v>
      </c>
      <c r="BH142" s="7">
        <f t="shared" ca="1" si="543"/>
        <v>91</v>
      </c>
      <c r="BI142" s="32" t="str">
        <f t="shared" ca="1" si="601"/>
        <v/>
      </c>
      <c r="BJ142" s="3" t="e">
        <f ca="1">IF($BP$1=1,DX142,IF(RTD("tos.rtd",,BJ$43,"."&amp;$B$134&amp;$AS$82&amp;"C"&amp;$A142)="N/A",0,RTD("tos.rtd",,BJ$43,"."&amp;$B$134&amp;$AS$82&amp;"C"&amp;$A142)))</f>
        <v>#NUM!</v>
      </c>
      <c r="BK142" s="3" t="e">
        <f ca="1">IF($BP$1=1,DY142,-IF(RTD("tos.rtd",,BK$43,"."&amp;$B$134&amp;$AS$82&amp;"P"&amp;$A142)="N/A",0,RTD("tos.rtd",,BK$43,"."&amp;$B$134&amp;$AS$82&amp;"P"&amp;$A142)))</f>
        <v>#NUM!</v>
      </c>
      <c r="BL142" s="3" t="e">
        <f ca="1">IF($BP$1=1,DZ142,IF(RTD("tos.rtd",,BL$2,"."&amp;$C$134&amp;$AU$82&amp;"C"&amp;$A142)="N/A",0,RTD("tos.rtd",,BL$2,"."&amp;$C$134&amp;$AU$82&amp;"C"&amp;$A142)))</f>
        <v>#NUM!</v>
      </c>
      <c r="BM142" s="3" t="e">
        <f ca="1">IF($BP$1=1,EA142,-IF(RTD("tos.rtd",,BM$2,"."&amp;$C$134&amp;$AU$82&amp;"P"&amp;$A142)="N/A",0,RTD("tos.rtd",,BM$2,"."&amp;$C$134&amp;$AU$82&amp;"P"&amp;$A142)))</f>
        <v>#NUM!</v>
      </c>
      <c r="BN142" s="3" t="e">
        <f ca="1">IF($BP$1=1,EB142,IF(RTD("tos.rtd",,BN$2,"."&amp;$D$134&amp;$AW$82&amp;"C"&amp;$A142)="N/A",0,RTD("tos.rtd",,BN$2,"."&amp;$D$134&amp;$AW$82&amp;"C"&amp;$A142)))</f>
        <v>#NUM!</v>
      </c>
      <c r="BO142" s="3" t="e">
        <f ca="1">IF($BP$1=1,EC142,-IF(RTD("tos.rtd",,BO$2,"."&amp;$D$134&amp;$AW$82&amp;"P"&amp;$A142)="N/A",0,RTD("tos.rtd",,BO$2,"."&amp;$D$134&amp;$AW$82&amp;"P"&amp;$A142)))</f>
        <v>#NUM!</v>
      </c>
      <c r="BQ142" s="3" t="e">
        <f t="shared" ca="1" si="594"/>
        <v>#NUM!</v>
      </c>
      <c r="BR142" s="3" t="e">
        <f t="shared" ca="1" si="544"/>
        <v>#NUM!</v>
      </c>
      <c r="BS142" s="3" t="e">
        <f t="shared" ca="1" si="595"/>
        <v>#NUM!</v>
      </c>
      <c r="BT142" s="3" t="e">
        <f t="shared" ca="1" si="545"/>
        <v>#NUM!</v>
      </c>
      <c r="BU142" s="3" t="e">
        <f t="shared" ca="1" si="596"/>
        <v>#NUM!</v>
      </c>
      <c r="BV142" s="3" t="e">
        <f t="shared" ca="1" si="545"/>
        <v>#NUM!</v>
      </c>
      <c r="BX142" s="3" t="e">
        <f t="shared" ca="1" si="579"/>
        <v>#NUM!</v>
      </c>
      <c r="BY142" s="3" t="e">
        <f t="shared" ca="1" si="580"/>
        <v>#NUM!</v>
      </c>
      <c r="BZ142" s="3" t="e">
        <f t="shared" ca="1" si="581"/>
        <v>#NUM!</v>
      </c>
      <c r="CA142" s="3" t="e">
        <f t="shared" ca="1" si="580"/>
        <v>#NUM!</v>
      </c>
      <c r="CB142" s="3" t="e">
        <f t="shared" ca="1" si="582"/>
        <v>#NUM!</v>
      </c>
      <c r="CC142" s="3" t="e">
        <f t="shared" ca="1" si="580"/>
        <v>#NUM!</v>
      </c>
      <c r="CD142" s="3">
        <f>IF(RTD("tos.rtd",,CD$43,"."&amp;$B$134&amp;$AS$82&amp;"C"&amp;$A142)="N/A",0,RTD("tos.rtd",,CD$43,"."&amp;$B$134&amp;$AS$82&amp;"C"&amp;$A142))</f>
        <v>0.1</v>
      </c>
      <c r="CE142" s="3">
        <f>-IF(RTD("tos.rtd",,CE$43,"."&amp;$B$134&amp;$AS$82&amp;"P"&amp;$A142)="N/A",0,RTD("tos.rtd",,CE$43,"."&amp;$B$134&amp;$AS$82&amp;"P"&amp;$A142))</f>
        <v>0.71</v>
      </c>
      <c r="CF142" s="3">
        <f>IF(RTD("tos.rtd",,CF$2,"."&amp;$C$134&amp;$AU$82&amp;"C"&amp;$A142)="N/A",0,RTD("tos.rtd",,CF$2,"."&amp;$C$134&amp;$AU$82&amp;"C"&amp;$A142))</f>
        <v>0.09</v>
      </c>
      <c r="CG142" s="3">
        <f>-IF(RTD("tos.rtd",,CG$2,"."&amp;$C$134&amp;$AU$82&amp;"P"&amp;$A142)="N/A",0,RTD("tos.rtd",,CG$2,"."&amp;$C$134&amp;$AU$82&amp;"P"&amp;$A142))</f>
        <v>0.96</v>
      </c>
      <c r="CH142" s="3">
        <f>IF(RTD("tos.rtd",,CH$2,"."&amp;$D$134&amp;$AW$82&amp;"C"&amp;$A142)="N/A",0,RTD("tos.rtd",,CH$2,"."&amp;$D$134&amp;$AW$82&amp;"C"&amp;$A142))</f>
        <v>0.34</v>
      </c>
      <c r="CI142" s="3">
        <f>-IF(RTD("tos.rtd",,CI$2,"."&amp;$D$134&amp;$AW$82&amp;"P"&amp;$A142)="N/A",0,RTD("tos.rtd",,CI$2,"."&amp;$D$134&amp;$AW$82&amp;"P"&amp;$A142))</f>
        <v>0.65</v>
      </c>
      <c r="CK142" s="3">
        <f t="shared" si="597"/>
        <v>10</v>
      </c>
      <c r="CL142" s="3"/>
      <c r="CM142" s="3">
        <f t="shared" si="598"/>
        <v>27</v>
      </c>
      <c r="CN142" s="3"/>
      <c r="CO142" s="3">
        <f t="shared" si="599"/>
        <v>21.000000000000057</v>
      </c>
      <c r="CP142" s="3">
        <f t="shared" si="536"/>
        <v>58.000000000000057</v>
      </c>
      <c r="CQ142" s="3">
        <f t="shared" si="546"/>
        <v>0</v>
      </c>
      <c r="CR142" s="3"/>
      <c r="CS142" s="3">
        <f t="shared" si="547"/>
        <v>100</v>
      </c>
      <c r="CT142" s="3"/>
      <c r="CU142" s="3">
        <f t="shared" si="548"/>
        <v>-10</v>
      </c>
      <c r="CV142" s="3"/>
      <c r="CW142" s="3" t="e">
        <f t="shared" ca="1" si="549"/>
        <v>#NUM!</v>
      </c>
      <c r="CY142" s="3" t="e">
        <f t="shared" ca="1" si="550"/>
        <v>#NUM!</v>
      </c>
      <c r="CZ142" s="70" t="e">
        <f t="shared" ca="1" si="583"/>
        <v>#NUM!</v>
      </c>
      <c r="DA142" s="3">
        <f>IF(RTD("tos.rtd",,DA$43,"."&amp;$B$134&amp;$AS$82&amp;"C"&amp;$A142)="N/A",0,RTD("tos.rtd",,DA$43,"."&amp;$B$134&amp;$AS$82&amp;"C"&amp;$A142))</f>
        <v>0.15</v>
      </c>
      <c r="DB142" s="3">
        <f>IF(RTD("tos.rtd",,DB$43,"."&amp;$B$134&amp;$AS$82&amp;"P"&amp;$A142)="N/A",0,RTD("tos.rtd",,DB$43,"."&amp;$B$134&amp;$AS$82&amp;"P"&amp;$A142))</f>
        <v>0</v>
      </c>
      <c r="DC142" s="3">
        <f>IF(RTD("tos.rtd",,DC$43,"."&amp;$B$134&amp;$AS$82&amp;"C"&amp;$A142)="N/A",0,RTD("tos.rtd",,DC$43,"."&amp;$B$134&amp;$AS$82&amp;"C"&amp;$A142))</f>
        <v>19.8</v>
      </c>
      <c r="DD142" s="3">
        <f>IF(RTD("tos.rtd",,DD$43,"."&amp;$B$134&amp;$AS$82&amp;"P"&amp;$A142)="N/A",0,RTD("tos.rtd",,DD$43,"."&amp;$B$134&amp;$AS$82&amp;"P"&amp;$A142))</f>
        <v>372.9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322.89999999999998</v>
      </c>
      <c r="DG142" s="86">
        <f t="shared" si="584"/>
        <v>278.5</v>
      </c>
      <c r="DH142" s="3">
        <f t="shared" si="551"/>
        <v>-7.5757575757575746E-2</v>
      </c>
      <c r="DI142" s="3">
        <f t="shared" si="552"/>
        <v>0</v>
      </c>
      <c r="DJ142" s="3">
        <f t="shared" si="553"/>
        <v>10</v>
      </c>
      <c r="DK142" s="3">
        <f t="shared" si="554"/>
        <v>0</v>
      </c>
      <c r="DL142" s="3">
        <f t="shared" si="555"/>
        <v>-7.5757575757575746E-2</v>
      </c>
      <c r="DM142" s="3">
        <f t="shared" si="556"/>
        <v>10</v>
      </c>
      <c r="DN142" s="64" t="str">
        <f t="shared" si="557"/>
        <v>UNKNOWN</v>
      </c>
      <c r="DO142" s="64" t="str">
        <f t="shared" si="558"/>
        <v>UNKNOWN</v>
      </c>
      <c r="DP142" s="3">
        <f t="shared" si="559"/>
        <v>-1.1363636363636362E-2</v>
      </c>
      <c r="DQ142" s="3">
        <f t="shared" si="560"/>
        <v>1.5</v>
      </c>
      <c r="DR142" s="3" t="e">
        <f t="shared" ca="1" si="561"/>
        <v>#NUM!</v>
      </c>
      <c r="DS142" s="3">
        <f t="shared" si="562"/>
        <v>1</v>
      </c>
      <c r="DT142" s="3">
        <f t="shared" si="585"/>
        <v>-10</v>
      </c>
      <c r="DU142" s="3">
        <f t="shared" si="586"/>
        <v>0</v>
      </c>
      <c r="DV142" s="3">
        <f t="shared" si="563"/>
        <v>0</v>
      </c>
      <c r="DW142" s="3">
        <f t="shared" si="564"/>
        <v>0</v>
      </c>
      <c r="DX142" s="3" t="e">
        <f t="shared" ca="1" si="565"/>
        <v>#NUM!</v>
      </c>
      <c r="DY142" s="3" t="e">
        <f t="shared" ca="1" si="566"/>
        <v>#NUM!</v>
      </c>
      <c r="DZ142" s="3" t="e">
        <f t="shared" ca="1" si="567"/>
        <v>#NUM!</v>
      </c>
      <c r="EA142" s="3" t="e">
        <f t="shared" ca="1" si="568"/>
        <v>#NUM!</v>
      </c>
      <c r="EB142" s="3" t="e">
        <f t="shared" ca="1" si="569"/>
        <v>#NUM!</v>
      </c>
      <c r="EC142" s="3" t="e">
        <f t="shared" ca="1" si="570"/>
        <v>#NUM!</v>
      </c>
      <c r="EE142" s="59">
        <f t="shared" si="571"/>
        <v>1.3544</v>
      </c>
      <c r="EF142" s="59">
        <f t="shared" si="572"/>
        <v>3.0804999999999998</v>
      </c>
      <c r="EG142" s="59">
        <f t="shared" si="573"/>
        <v>1.3106</v>
      </c>
      <c r="EH142" s="59">
        <f t="shared" si="574"/>
        <v>0.99970000000000003</v>
      </c>
      <c r="EI142" s="59">
        <f t="shared" si="575"/>
        <v>0.25990000000000002</v>
      </c>
      <c r="EJ142" s="59">
        <f t="shared" si="576"/>
        <v>0.27900000000000003</v>
      </c>
      <c r="EL142" s="3" t="str">
        <f>RTD("tos.rtd",,EL$43,"."&amp;$B$134&amp;$AS$82&amp;"C"&amp;$A142)</f>
        <v>135.44%</v>
      </c>
      <c r="EM142" s="3" t="str">
        <f>RTD("tos.rtd",,EM$43,"."&amp;$B$134&amp;$AS$82&amp;"P"&amp;$A142)</f>
        <v>308.05%</v>
      </c>
      <c r="EN142" s="3" t="str">
        <f>RTD("tos.rtd",,EN$2,"."&amp;$C$134&amp;$AU$82&amp;"C"&amp;$A142)</f>
        <v>131.06%</v>
      </c>
      <c r="EO142" s="3" t="str">
        <f>RTD("tos.rtd",,EO$2,"."&amp;$C$134&amp;$AU$82&amp;"P"&amp;$A142)</f>
        <v>99.97%</v>
      </c>
      <c r="EP142" s="3" t="str">
        <f>RTD("tos.rtd",,EP$2,"."&amp;$D$134&amp;$AW$82&amp;"C"&amp;$A142)</f>
        <v>25.99%</v>
      </c>
      <c r="EQ142" s="3" t="str">
        <f>RTD("tos.rtd",,EQ$2,"."&amp;$D$134&amp;$AW$82&amp;"P"&amp;$A142)</f>
        <v>27.90%</v>
      </c>
      <c r="ES142" s="63" t="str">
        <f t="shared" si="577"/>
        <v>20325,00.00</v>
      </c>
      <c r="ET142" s="64" t="str">
        <f t="shared" ca="1" si="578"/>
        <v>20325,00.00</v>
      </c>
      <c r="EU142" s="67">
        <v>562.91</v>
      </c>
      <c r="EV142" s="67" t="s">
        <v>1155</v>
      </c>
      <c r="EW142" s="67">
        <v>485.49</v>
      </c>
      <c r="EX142" s="67" t="s">
        <v>1156</v>
      </c>
      <c r="EY142" s="67">
        <v>5642.75</v>
      </c>
      <c r="EZ142" s="67" t="s">
        <v>1157</v>
      </c>
      <c r="FA142" s="67">
        <v>19944.75</v>
      </c>
      <c r="FB142" s="67" t="s">
        <v>1158</v>
      </c>
      <c r="FC142" s="67" t="s">
        <v>1159</v>
      </c>
      <c r="FD142" s="67" t="s">
        <v>1160</v>
      </c>
      <c r="FE142" s="68" t="s">
        <v>1161</v>
      </c>
      <c r="FF142" s="68" t="s">
        <v>1162</v>
      </c>
    </row>
    <row r="143" spans="1:162" ht="11.1" customHeight="1" thickBot="1" x14ac:dyDescent="0.25">
      <c r="A143" s="2">
        <f t="shared" si="587"/>
        <v>20300</v>
      </c>
      <c r="B143" s="3">
        <f t="shared" si="588"/>
        <v>239</v>
      </c>
      <c r="C143" s="3">
        <f t="shared" si="589"/>
        <v>26</v>
      </c>
      <c r="D143" s="3">
        <f t="shared" si="600"/>
        <v>79</v>
      </c>
      <c r="E143" s="3">
        <f t="shared" si="590"/>
        <v>344</v>
      </c>
      <c r="F143" s="4">
        <f t="shared" si="591"/>
        <v>20401.264559898234</v>
      </c>
      <c r="G143" s="5">
        <f t="shared" si="592"/>
        <v>494.090040655476</v>
      </c>
      <c r="AM143" s="1">
        <v>-74</v>
      </c>
      <c r="AN143" s="1">
        <v>0</v>
      </c>
      <c r="AO143" s="1">
        <v>20300</v>
      </c>
      <c r="AP143" s="1">
        <v>623</v>
      </c>
      <c r="AQ143" s="1">
        <v>0</v>
      </c>
      <c r="AS143" s="54">
        <f>IF(RTD("tos.rtd",,AS$83,"."&amp;$B$134&amp;$AS$82&amp;"C"&amp;$A143)="N/A",0,RTD("tos.rtd",,AS$83,"."&amp;$B$134&amp;$AS$82&amp;"C"&amp;$A143))</f>
        <v>239</v>
      </c>
      <c r="AT143" s="3">
        <f>-IF(RTD("tos.rtd",,AT$83,"."&amp;$B$134&amp;$AS$82&amp;"P"&amp;$A143)="N/A",0,RTD("tos.rtd",,AT$83,"."&amp;$B$134&amp;$AS$82&amp;"P"&amp;$A143))</f>
        <v>0</v>
      </c>
      <c r="AU143" s="54">
        <f>IF(RTD("tos.rtd",,AU$2,"."&amp;$C$134&amp;$AU$134&amp;"C"&amp;$A143)="N/A",0,RTD("tos.rtd",,AU$2,"."&amp;$C$134&amp;$AU$134&amp;"C"&amp;$A143))</f>
        <v>23</v>
      </c>
      <c r="AV143" s="3">
        <f>-IF(RTD("tos.rtd",,AV$2,"."&amp;$C$134&amp;$AU$134&amp;"P"&amp;$A143)="N/A",0,RTD("tos.rtd",,AV$2,"."&amp;$C$134&amp;$AU$134&amp;"P"&amp;$A143))</f>
        <v>-3</v>
      </c>
      <c r="AW143" s="54">
        <f>IF(RTD("tos.rtd",,AW$2,"."&amp;$D$134&amp;$AW$134&amp;"C"&amp;$A143)="N/A",0,RTD("tos.rtd",,AW$2,"."&amp;$D$134&amp;$AW$134&amp;"C"&amp;$A143))</f>
        <v>54</v>
      </c>
      <c r="AX143" s="3">
        <f>-IF(RTD("tos.rtd",,AX$2,"."&amp;$D$134&amp;$AW$134&amp;"P"&amp;$A143)="N/A",0,RTD("tos.rtd",,AX$2,"."&amp;$D$134&amp;$AW$134&amp;"P"&amp;$A143))</f>
        <v>-25</v>
      </c>
      <c r="AY143" s="76">
        <f t="shared" si="593"/>
        <v>288</v>
      </c>
      <c r="AZ143" s="8">
        <f t="shared" si="542"/>
        <v>20300</v>
      </c>
      <c r="BA143" s="54">
        <f>IF(RTD("tos.rtd",,BA$43,"."&amp;$B$134&amp;$AS$82&amp;"C"&amp;$A143)="N/A",0,RTD("tos.rtd",,BA$43,"."&amp;$B$134&amp;$AS$82&amp;"C"&amp;$A143))</f>
        <v>0</v>
      </c>
      <c r="BB143" s="3">
        <f>-IF(RTD("tos.rtd",,BB$43,"."&amp;$B$134&amp;$AS$82&amp;"P"&amp;$A143)="N/A",0,RTD("tos.rtd",,BB$43,"."&amp;$B$134&amp;$AS$82&amp;"P"&amp;$A143))</f>
        <v>0</v>
      </c>
      <c r="BC143" s="54">
        <f>IF(RTD("tos.rtd",,BC$2,"."&amp;$C$134&amp;$AU$82&amp;"C"&amp;$A143)="N/A",0,RTD("tos.rtd",,BC$2,"."&amp;$C$134&amp;$AU$82&amp;"C"&amp;$A143))</f>
        <v>755</v>
      </c>
      <c r="BD143" s="3">
        <f>-IF(RTD("tos.rtd",,BD$2,"."&amp;$C$134&amp;$AU$82&amp;"P"&amp;$A143)="N/A",0,RTD("tos.rtd",,BD$2,"."&amp;$C$134&amp;$AU$82&amp;"P"&amp;$A143))</f>
        <v>-3</v>
      </c>
      <c r="BE143" s="54">
        <f>IF(RTD("tos.rtd",,BE$2,"."&amp;$D$134&amp;$AW$82&amp;"C"&amp;$A143)="N/A",0,RTD("tos.rtd",,BE$2,"."&amp;$D$134&amp;$AW$82&amp;"C"&amp;$A143))</f>
        <v>8</v>
      </c>
      <c r="BF143" s="3">
        <f>-IF(RTD("tos.rtd",,BF$2,"."&amp;$D$134&amp;$AW$82&amp;"P"&amp;$A143)="N/A",0,RTD("tos.rtd",,BF$2,"."&amp;$D$134&amp;$AW$82&amp;"P"&amp;$A143))</f>
        <v>-6</v>
      </c>
      <c r="BG143" s="3">
        <f ca="1">+Hoja2!Y144</f>
        <v>13</v>
      </c>
      <c r="BH143" s="7">
        <f t="shared" ca="1" si="543"/>
        <v>767</v>
      </c>
      <c r="BI143" s="32" t="str">
        <f t="shared" ca="1" si="601"/>
        <v/>
      </c>
      <c r="BJ143" s="3" t="e">
        <f ca="1">IF($BP$1=1,DX143,IF(RTD("tos.rtd",,BJ$43,"."&amp;$B$134&amp;$AS$82&amp;"C"&amp;$A143)="N/A",0,RTD("tos.rtd",,BJ$43,"."&amp;$B$134&amp;$AS$82&amp;"C"&amp;$A143)))</f>
        <v>#NUM!</v>
      </c>
      <c r="BK143" s="3" t="e">
        <f ca="1">IF($BP$1=1,DY143,-IF(RTD("tos.rtd",,BK$43,"."&amp;$B$134&amp;$AS$82&amp;"P"&amp;$A143)="N/A",0,RTD("tos.rtd",,BK$43,"."&amp;$B$134&amp;$AS$82&amp;"P"&amp;$A143)))</f>
        <v>#NUM!</v>
      </c>
      <c r="BL143" s="3" t="e">
        <f ca="1">IF($BP$1=1,DZ143,IF(RTD("tos.rtd",,BL$2,"."&amp;$C$134&amp;$AU$82&amp;"C"&amp;$A143)="N/A",0,RTD("tos.rtd",,BL$2,"."&amp;$C$134&amp;$AU$82&amp;"C"&amp;$A143)))</f>
        <v>#NUM!</v>
      </c>
      <c r="BM143" s="3" t="e">
        <f ca="1">IF($BP$1=1,EA143,-IF(RTD("tos.rtd",,BM$2,"."&amp;$C$134&amp;$AU$82&amp;"P"&amp;$A143)="N/A",0,RTD("tos.rtd",,BM$2,"."&amp;$C$134&amp;$AU$82&amp;"P"&amp;$A143)))</f>
        <v>#NUM!</v>
      </c>
      <c r="BN143" s="3" t="e">
        <f ca="1">IF($BP$1=1,EB143,IF(RTD("tos.rtd",,BN$2,"."&amp;$D$134&amp;$AW$82&amp;"C"&amp;$A143)="N/A",0,RTD("tos.rtd",,BN$2,"."&amp;$D$134&amp;$AW$82&amp;"C"&amp;$A143)))</f>
        <v>#NUM!</v>
      </c>
      <c r="BO143" s="3" t="e">
        <f ca="1">IF($BP$1=1,EC143,-IF(RTD("tos.rtd",,BO$2,"."&amp;$D$134&amp;$AW$82&amp;"P"&amp;$A143)="N/A",0,RTD("tos.rtd",,BO$2,"."&amp;$D$134&amp;$AW$82&amp;"P"&amp;$A143)))</f>
        <v>#NUM!</v>
      </c>
      <c r="BQ143" s="3" t="e">
        <f t="shared" ca="1" si="594"/>
        <v>#NUM!</v>
      </c>
      <c r="BR143" s="3" t="e">
        <f t="shared" ca="1" si="544"/>
        <v>#NUM!</v>
      </c>
      <c r="BS143" s="3" t="e">
        <f t="shared" ca="1" si="595"/>
        <v>#NUM!</v>
      </c>
      <c r="BT143" s="3" t="e">
        <f t="shared" ca="1" si="545"/>
        <v>#NUM!</v>
      </c>
      <c r="BU143" s="3" t="e">
        <f t="shared" ca="1" si="596"/>
        <v>#NUM!</v>
      </c>
      <c r="BV143" s="3" t="e">
        <f t="shared" ca="1" si="545"/>
        <v>#NUM!</v>
      </c>
      <c r="BX143" s="3" t="e">
        <f t="shared" ca="1" si="579"/>
        <v>#NUM!</v>
      </c>
      <c r="BY143" s="3" t="e">
        <f t="shared" ca="1" si="580"/>
        <v>#NUM!</v>
      </c>
      <c r="BZ143" s="3" t="e">
        <f t="shared" ca="1" si="581"/>
        <v>#NUM!</v>
      </c>
      <c r="CA143" s="3" t="e">
        <f t="shared" ca="1" si="580"/>
        <v>#NUM!</v>
      </c>
      <c r="CB143" s="3" t="e">
        <f t="shared" ca="1" si="582"/>
        <v>#NUM!</v>
      </c>
      <c r="CC143" s="3" t="e">
        <f t="shared" ca="1" si="580"/>
        <v>#NUM!</v>
      </c>
      <c r="CD143" s="3">
        <f>IF(RTD("tos.rtd",,CD$43,"."&amp;$B$134&amp;$AS$82&amp;"C"&amp;$A143)="N/A",0,RTD("tos.rtd",,CD$43,"."&amp;$B$134&amp;$AS$82&amp;"C"&amp;$A143))</f>
        <v>0</v>
      </c>
      <c r="CE143" s="3">
        <f>-IF(RTD("tos.rtd",,CE$43,"."&amp;$B$134&amp;$AS$82&amp;"P"&amp;$A143)="N/A",0,RTD("tos.rtd",,CE$43,"."&amp;$B$134&amp;$AS$82&amp;"P"&amp;$A143))</f>
        <v>0.7</v>
      </c>
      <c r="CF143" s="3">
        <f>IF(RTD("tos.rtd",,CF$2,"."&amp;$C$134&amp;$AU$82&amp;"C"&amp;$A143)="N/A",0,RTD("tos.rtd",,CF$2,"."&amp;$C$134&amp;$AU$82&amp;"C"&amp;$A143))</f>
        <v>0</v>
      </c>
      <c r="CG143" s="3">
        <f>-IF(RTD("tos.rtd",,CG$2,"."&amp;$C$134&amp;$AU$82&amp;"P"&amp;$A143)="N/A",0,RTD("tos.rtd",,CG$2,"."&amp;$C$134&amp;$AU$82&amp;"P"&amp;$A143))</f>
        <v>0.96</v>
      </c>
      <c r="CH143" s="3">
        <f>IF(RTD("tos.rtd",,CH$2,"."&amp;$D$134&amp;$AW$82&amp;"C"&amp;$A143)="N/A",0,RTD("tos.rtd",,CH$2,"."&amp;$D$134&amp;$AW$82&amp;"C"&amp;$A143))</f>
        <v>0.36</v>
      </c>
      <c r="CI143" s="3">
        <f>-IF(RTD("tos.rtd",,CI$2,"."&amp;$D$134&amp;$AW$82&amp;"P"&amp;$A143)="N/A",0,RTD("tos.rtd",,CI$2,"."&amp;$D$134&amp;$AW$82&amp;"P"&amp;$A143))</f>
        <v>0.63</v>
      </c>
      <c r="CK143" s="3">
        <f t="shared" si="597"/>
        <v>0</v>
      </c>
      <c r="CL143" s="3"/>
      <c r="CM143" s="3">
        <f t="shared" si="598"/>
        <v>-288</v>
      </c>
      <c r="CN143" s="3"/>
      <c r="CO143" s="3">
        <f t="shared" si="599"/>
        <v>368.99999999999977</v>
      </c>
      <c r="CP143" s="3">
        <f t="shared" si="536"/>
        <v>80.999999999999773</v>
      </c>
      <c r="CQ143" s="3">
        <f t="shared" si="546"/>
        <v>0</v>
      </c>
      <c r="CR143" s="3"/>
      <c r="CS143" s="3">
        <f t="shared" si="547"/>
        <v>752</v>
      </c>
      <c r="CT143" s="3"/>
      <c r="CU143" s="3">
        <f t="shared" si="548"/>
        <v>2</v>
      </c>
      <c r="CV143" s="3"/>
      <c r="CW143" s="3" t="e">
        <f t="shared" ca="1" si="549"/>
        <v>#NUM!</v>
      </c>
      <c r="CY143" s="3" t="e">
        <f t="shared" ca="1" si="550"/>
        <v>#NUM!</v>
      </c>
      <c r="CZ143" s="70" t="e">
        <f t="shared" ca="1" si="583"/>
        <v>#NUM!</v>
      </c>
      <c r="DA143" s="3">
        <f>IF(RTD("tos.rtd",,DA$43,"."&amp;$B$134&amp;$AS$82&amp;"C"&amp;$A143)="N/A",0,RTD("tos.rtd",,DA$43,"."&amp;$B$134&amp;$AS$82&amp;"C"&amp;$A143))</f>
        <v>0.05</v>
      </c>
      <c r="DB143" s="3">
        <f>IF(RTD("tos.rtd",,DB$43,"."&amp;$B$134&amp;$AS$82&amp;"P"&amp;$A143)="N/A",0,RTD("tos.rtd",,DB$43,"."&amp;$B$134&amp;$AS$82&amp;"P"&amp;$A143))</f>
        <v>0</v>
      </c>
      <c r="DC143" s="3">
        <f>IF(RTD("tos.rtd",,DC$43,"."&amp;$B$134&amp;$AS$82&amp;"C"&amp;$A143)="N/A",0,RTD("tos.rtd",,DC$43,"."&amp;$B$134&amp;$AS$82&amp;"C"&amp;$A143))</f>
        <v>0.05</v>
      </c>
      <c r="DD143" s="3">
        <f>IF(RTD("tos.rtd",,DD$43,"."&amp;$B$134&amp;$AS$82&amp;"P"&amp;$A143)="N/A",0,RTD("tos.rtd",,DD$43,"."&amp;$B$134&amp;$AS$82&amp;"P"&amp;$A143))</f>
        <v>347.9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297.89999999999998</v>
      </c>
      <c r="DG143" s="86">
        <f t="shared" si="584"/>
        <v>253.5</v>
      </c>
      <c r="DH143" s="3">
        <f t="shared" si="551"/>
        <v>-623</v>
      </c>
      <c r="DI143" s="3">
        <f t="shared" si="552"/>
        <v>0</v>
      </c>
      <c r="DJ143" s="3">
        <f t="shared" si="553"/>
        <v>-623</v>
      </c>
      <c r="DK143" s="3">
        <f t="shared" si="554"/>
        <v>0</v>
      </c>
      <c r="DL143" s="3">
        <f t="shared" si="555"/>
        <v>-623</v>
      </c>
      <c r="DM143" s="3">
        <f t="shared" si="556"/>
        <v>-623</v>
      </c>
      <c r="DN143" s="64" t="str">
        <f t="shared" si="557"/>
        <v>UNKNOWN</v>
      </c>
      <c r="DO143" s="64" t="str">
        <f t="shared" si="558"/>
        <v>UNKNOWN</v>
      </c>
      <c r="DP143" s="3">
        <f t="shared" si="559"/>
        <v>-31.150000000000002</v>
      </c>
      <c r="DQ143" s="3">
        <f t="shared" si="560"/>
        <v>-31.150000000000002</v>
      </c>
      <c r="DR143" s="3" t="e">
        <f t="shared" ca="1" si="561"/>
        <v>#NUM!</v>
      </c>
      <c r="DS143" s="3">
        <f t="shared" si="562"/>
        <v>0</v>
      </c>
      <c r="DT143" s="3">
        <f t="shared" si="585"/>
        <v>-623</v>
      </c>
      <c r="DU143" s="3">
        <f t="shared" si="586"/>
        <v>0</v>
      </c>
      <c r="DV143" s="3">
        <f t="shared" si="563"/>
        <v>-74</v>
      </c>
      <c r="DW143" s="3">
        <f t="shared" si="564"/>
        <v>0</v>
      </c>
      <c r="DX143" s="3" t="e">
        <f t="shared" ca="1" si="565"/>
        <v>#NUM!</v>
      </c>
      <c r="DY143" s="3" t="e">
        <f t="shared" ca="1" si="566"/>
        <v>#NUM!</v>
      </c>
      <c r="DZ143" s="3" t="e">
        <f t="shared" ca="1" si="567"/>
        <v>#NUM!</v>
      </c>
      <c r="EA143" s="3" t="e">
        <f t="shared" ca="1" si="568"/>
        <v>#NUM!</v>
      </c>
      <c r="EB143" s="3" t="e">
        <f t="shared" ca="1" si="569"/>
        <v>#NUM!</v>
      </c>
      <c r="EC143" s="3" t="e">
        <f t="shared" ca="1" si="570"/>
        <v>#NUM!</v>
      </c>
      <c r="EE143" s="59">
        <f t="shared" si="571"/>
        <v>0.5131</v>
      </c>
      <c r="EF143" s="59">
        <f t="shared" si="572"/>
        <v>2.9428999999999998</v>
      </c>
      <c r="EG143" s="59">
        <f t="shared" si="573"/>
        <v>0.5131</v>
      </c>
      <c r="EH143" s="59">
        <f t="shared" si="574"/>
        <v>0.8901</v>
      </c>
      <c r="EI143" s="59">
        <f t="shared" si="575"/>
        <v>0.2606</v>
      </c>
      <c r="EJ143" s="59">
        <f t="shared" si="576"/>
        <v>0.2787</v>
      </c>
      <c r="EL143" s="3" t="str">
        <f>RTD("tos.rtd",,EL$43,"."&amp;$B$134&amp;$AS$82&amp;"C"&amp;$A143)</f>
        <v>51.31%</v>
      </c>
      <c r="EM143" s="3" t="str">
        <f>RTD("tos.rtd",,EM$43,"."&amp;$B$134&amp;$AS$82&amp;"P"&amp;$A143)</f>
        <v>294.29%</v>
      </c>
      <c r="EN143" s="3" t="str">
        <f>RTD("tos.rtd",,EN$2,"."&amp;$C$134&amp;$AU$82&amp;"C"&amp;$A143)</f>
        <v>51.31%</v>
      </c>
      <c r="EO143" s="3" t="str">
        <f>RTD("tos.rtd",,EO$2,"."&amp;$C$134&amp;$AU$82&amp;"P"&amp;$A143)</f>
        <v>89.01%</v>
      </c>
      <c r="EP143" s="3" t="str">
        <f>RTD("tos.rtd",,EP$2,"."&amp;$D$134&amp;$AW$82&amp;"C"&amp;$A143)</f>
        <v>26.06%</v>
      </c>
      <c r="EQ143" s="3" t="str">
        <f>RTD("tos.rtd",,EQ$2,"."&amp;$D$134&amp;$AW$82&amp;"P"&amp;$A143)</f>
        <v>27.87%</v>
      </c>
      <c r="ES143" s="63" t="str">
        <f t="shared" si="577"/>
        <v>20300,-74.00</v>
      </c>
      <c r="ET143" s="64" t="str">
        <f t="shared" ca="1" si="578"/>
        <v>20300,00.00</v>
      </c>
      <c r="EU143" s="67">
        <v>562.91999999999996</v>
      </c>
      <c r="EV143" s="67" t="s">
        <v>1163</v>
      </c>
      <c r="EW143" s="67">
        <v>485.53</v>
      </c>
      <c r="EX143" s="67" t="s">
        <v>1164</v>
      </c>
      <c r="EY143" s="67">
        <v>5642.75</v>
      </c>
      <c r="EZ143" s="67" t="s">
        <v>1165</v>
      </c>
      <c r="FA143" s="67">
        <v>19945.75</v>
      </c>
      <c r="FB143" s="67" t="s">
        <v>1166</v>
      </c>
      <c r="FC143" s="67" t="s">
        <v>1167</v>
      </c>
      <c r="FD143" s="67" t="s">
        <v>1168</v>
      </c>
      <c r="FE143" s="68" t="s">
        <v>1169</v>
      </c>
      <c r="FF143" s="68" t="s">
        <v>1170</v>
      </c>
    </row>
    <row r="144" spans="1:162" ht="11.1" customHeight="1" thickBot="1" x14ac:dyDescent="0.25">
      <c r="A144" s="2">
        <f t="shared" si="587"/>
        <v>20275</v>
      </c>
      <c r="B144" s="3">
        <f t="shared" si="588"/>
        <v>7</v>
      </c>
      <c r="C144" s="3">
        <f t="shared" si="589"/>
        <v>29</v>
      </c>
      <c r="D144" s="3">
        <f t="shared" si="600"/>
        <v>26</v>
      </c>
      <c r="E144" s="3">
        <f t="shared" si="590"/>
        <v>62</v>
      </c>
      <c r="F144" s="4">
        <f t="shared" si="591"/>
        <v>20376.1398498491</v>
      </c>
      <c r="G144" s="5">
        <f t="shared" si="592"/>
        <v>493.48155538373283</v>
      </c>
      <c r="AM144" s="1">
        <v>18</v>
      </c>
      <c r="AN144" s="1">
        <v>7</v>
      </c>
      <c r="AO144" s="1">
        <v>20275</v>
      </c>
      <c r="AP144" s="1">
        <v>34</v>
      </c>
      <c r="AQ144" s="1">
        <v>-13</v>
      </c>
      <c r="AS144" s="54">
        <f>IF(RTD("tos.rtd",,AS$83,"."&amp;$B$134&amp;$AS$82&amp;"C"&amp;$A144)="N/A",0,RTD("tos.rtd",,AS$83,"."&amp;$B$134&amp;$AS$82&amp;"C"&amp;$A144))</f>
        <v>7</v>
      </c>
      <c r="AT144" s="3">
        <f>-IF(RTD("tos.rtd",,AT$83,"."&amp;$B$134&amp;$AS$82&amp;"P"&amp;$A144)="N/A",0,RTD("tos.rtd",,AT$83,"."&amp;$B$134&amp;$AS$82&amp;"P"&amp;$A144))</f>
        <v>0</v>
      </c>
      <c r="AU144" s="54">
        <f>IF(RTD("tos.rtd",,AU$2,"."&amp;$C$134&amp;$AU$134&amp;"C"&amp;$A144)="N/A",0,RTD("tos.rtd",,AU$2,"."&amp;$C$134&amp;$AU$134&amp;"C"&amp;$A144))</f>
        <v>28</v>
      </c>
      <c r="AV144" s="3">
        <f>-IF(RTD("tos.rtd",,AV$2,"."&amp;$C$134&amp;$AU$134&amp;"P"&amp;$A144)="N/A",0,RTD("tos.rtd",,AV$2,"."&amp;$C$134&amp;$AU$134&amp;"P"&amp;$A144))</f>
        <v>-1</v>
      </c>
      <c r="AW144" s="54">
        <f>IF(RTD("tos.rtd",,AW$2,"."&amp;$D$134&amp;$AW$134&amp;"C"&amp;$A144)="N/A",0,RTD("tos.rtd",,AW$2,"."&amp;$D$134&amp;$AW$134&amp;"C"&amp;$A144))</f>
        <v>24</v>
      </c>
      <c r="AX144" s="3">
        <f>-IF(RTD("tos.rtd",,AX$2,"."&amp;$D$134&amp;$AW$134&amp;"P"&amp;$A144)="N/A",0,RTD("tos.rtd",,AX$2,"."&amp;$D$134&amp;$AW$134&amp;"P"&amp;$A144))</f>
        <v>-2</v>
      </c>
      <c r="AY144" s="76">
        <f t="shared" si="593"/>
        <v>56</v>
      </c>
      <c r="AZ144" s="8">
        <f t="shared" si="542"/>
        <v>20275</v>
      </c>
      <c r="BA144" s="54">
        <f>IF(RTD("tos.rtd",,BA$43,"."&amp;$B$134&amp;$AS$82&amp;"C"&amp;$A144)="N/A",0,RTD("tos.rtd",,BA$43,"."&amp;$B$134&amp;$AS$82&amp;"C"&amp;$A144))</f>
        <v>0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110</v>
      </c>
      <c r="BD144" s="3">
        <f>-IF(RTD("tos.rtd",,BD$2,"."&amp;$C$134&amp;$AU$82&amp;"P"&amp;$A144)="N/A",0,RTD("tos.rtd",,BD$2,"."&amp;$C$134&amp;$AU$82&amp;"P"&amp;$A144))</f>
        <v>-1</v>
      </c>
      <c r="BE144" s="54">
        <f>IF(RTD("tos.rtd",,BE$2,"."&amp;$D$134&amp;$AW$82&amp;"C"&amp;$A144)="N/A",0,RTD("tos.rtd",,BE$2,"."&amp;$D$134&amp;$AW$82&amp;"C"&amp;$A144))</f>
        <v>8</v>
      </c>
      <c r="BF144" s="3">
        <f>-IF(RTD("tos.rtd",,BF$2,"."&amp;$D$134&amp;$AW$82&amp;"P"&amp;$A144)="N/A",0,RTD("tos.rtd",,BF$2,"."&amp;$D$134&amp;$AW$82&amp;"P"&amp;$A144))</f>
        <v>-2</v>
      </c>
      <c r="BG144" s="3">
        <f ca="1">+Hoja2!Y145</f>
        <v>18</v>
      </c>
      <c r="BH144" s="7">
        <f t="shared" ca="1" si="543"/>
        <v>133</v>
      </c>
      <c r="BI144" s="32" t="str">
        <f t="shared" ca="1" si="601"/>
        <v/>
      </c>
      <c r="BJ144" s="3" t="e">
        <f ca="1">IF($BP$1=1,DX144,IF(RTD("tos.rtd",,BJ$43,"."&amp;$B$134&amp;$AS$82&amp;"C"&amp;$A144)="N/A",0,RTD("tos.rtd",,BJ$43,"."&amp;$B$134&amp;$AS$82&amp;"C"&amp;$A144)))</f>
        <v>#NUM!</v>
      </c>
      <c r="BK144" s="3" t="e">
        <f ca="1">IF($BP$1=1,DY144,-IF(RTD("tos.rtd",,BK$43,"."&amp;$B$134&amp;$AS$82&amp;"P"&amp;$A144)="N/A",0,RTD("tos.rtd",,BK$43,"."&amp;$B$134&amp;$AS$82&amp;"P"&amp;$A144)))</f>
        <v>#NUM!</v>
      </c>
      <c r="BL144" s="3" t="e">
        <f ca="1">IF($BP$1=1,DZ144,IF(RTD("tos.rtd",,BL$2,"."&amp;$C$134&amp;$AU$82&amp;"C"&amp;$A144)="N/A",0,RTD("tos.rtd",,BL$2,"."&amp;$C$134&amp;$AU$82&amp;"C"&amp;$A144)))</f>
        <v>#NUM!</v>
      </c>
      <c r="BM144" s="3" t="e">
        <f ca="1">IF($BP$1=1,EA144,-IF(RTD("tos.rtd",,BM$2,"."&amp;$C$134&amp;$AU$82&amp;"P"&amp;$A144)="N/A",0,RTD("tos.rtd",,BM$2,"."&amp;$C$134&amp;$AU$82&amp;"P"&amp;$A144)))</f>
        <v>#NUM!</v>
      </c>
      <c r="BN144" s="3" t="e">
        <f ca="1">IF($BP$1=1,EB144,IF(RTD("tos.rtd",,BN$2,"."&amp;$D$134&amp;$AW$82&amp;"C"&amp;$A144)="N/A",0,RTD("tos.rtd",,BN$2,"."&amp;$D$134&amp;$AW$82&amp;"C"&amp;$A144)))</f>
        <v>#NUM!</v>
      </c>
      <c r="BO144" s="3" t="e">
        <f ca="1">IF($BP$1=1,EC144,-IF(RTD("tos.rtd",,BO$2,"."&amp;$D$134&amp;$AW$82&amp;"P"&amp;$A144)="N/A",0,RTD("tos.rtd",,BO$2,"."&amp;$D$134&amp;$AW$82&amp;"P"&amp;$A144)))</f>
        <v>#NUM!</v>
      </c>
      <c r="BQ144" s="3" t="e">
        <f t="shared" ca="1" si="594"/>
        <v>#NUM!</v>
      </c>
      <c r="BR144" s="3" t="e">
        <f t="shared" ca="1" si="544"/>
        <v>#NUM!</v>
      </c>
      <c r="BS144" s="3" t="e">
        <f t="shared" ca="1" si="595"/>
        <v>#NUM!</v>
      </c>
      <c r="BT144" s="3" t="e">
        <f t="shared" ca="1" si="545"/>
        <v>#NUM!</v>
      </c>
      <c r="BU144" s="3" t="e">
        <f t="shared" ca="1" si="596"/>
        <v>#NUM!</v>
      </c>
      <c r="BV144" s="3" t="e">
        <f t="shared" ca="1" si="545"/>
        <v>#NUM!</v>
      </c>
      <c r="BX144" s="3" t="e">
        <f t="shared" ca="1" si="579"/>
        <v>#NUM!</v>
      </c>
      <c r="BY144" s="3" t="e">
        <f t="shared" ca="1" si="580"/>
        <v>#NUM!</v>
      </c>
      <c r="BZ144" s="3" t="e">
        <f t="shared" ca="1" si="581"/>
        <v>#NUM!</v>
      </c>
      <c r="CA144" s="3" t="e">
        <f t="shared" ca="1" si="580"/>
        <v>#NUM!</v>
      </c>
      <c r="CB144" s="3" t="e">
        <f t="shared" ca="1" si="582"/>
        <v>#NUM!</v>
      </c>
      <c r="CC144" s="3" t="e">
        <f t="shared" ca="1" si="580"/>
        <v>#NUM!</v>
      </c>
      <c r="CD144" s="3">
        <f>IF(RTD("tos.rtd",,CD$43,"."&amp;$B$134&amp;$AS$82&amp;"C"&amp;$A144)="N/A",0,RTD("tos.rtd",,CD$43,"."&amp;$B$134&amp;$AS$82&amp;"C"&amp;$A144))</f>
        <v>0</v>
      </c>
      <c r="CE144" s="3">
        <f>-IF(RTD("tos.rtd",,CE$43,"."&amp;$B$134&amp;$AS$82&amp;"P"&amp;$A144)="N/A",0,RTD("tos.rtd",,CE$43,"."&amp;$B$134&amp;$AS$82&amp;"P"&amp;$A144))</f>
        <v>0.69</v>
      </c>
      <c r="CF144" s="3">
        <f>IF(RTD("tos.rtd",,CF$2,"."&amp;$C$134&amp;$AU$82&amp;"C"&amp;$A144)="N/A",0,RTD("tos.rtd",,CF$2,"."&amp;$C$134&amp;$AU$82&amp;"C"&amp;$A144))</f>
        <v>0.01</v>
      </c>
      <c r="CG144" s="3">
        <f>-IF(RTD("tos.rtd",,CG$2,"."&amp;$C$134&amp;$AU$82&amp;"P"&amp;$A144)="N/A",0,RTD("tos.rtd",,CG$2,"."&amp;$C$134&amp;$AU$82&amp;"P"&amp;$A144))</f>
        <v>0.93</v>
      </c>
      <c r="CH144" s="3">
        <f>IF(RTD("tos.rtd",,CH$2,"."&amp;$D$134&amp;$AW$82&amp;"C"&amp;$A144)="N/A",0,RTD("tos.rtd",,CH$2,"."&amp;$D$134&amp;$AW$82&amp;"C"&amp;$A144))</f>
        <v>0.37</v>
      </c>
      <c r="CI144" s="3">
        <f>-IF(RTD("tos.rtd",,CI$2,"."&amp;$D$134&amp;$AW$82&amp;"P"&amp;$A144)="N/A",0,RTD("tos.rtd",,CI$2,"."&amp;$D$134&amp;$AW$82&amp;"P"&amp;$A144))</f>
        <v>0.62</v>
      </c>
      <c r="CK144" s="3">
        <f t="shared" si="597"/>
        <v>0</v>
      </c>
      <c r="CL144" s="3"/>
      <c r="CM144" s="3">
        <f t="shared" si="598"/>
        <v>-65</v>
      </c>
      <c r="CN144" s="3"/>
      <c r="CO144" s="3">
        <f t="shared" si="599"/>
        <v>763.99999999999989</v>
      </c>
      <c r="CP144" s="3">
        <f t="shared" si="536"/>
        <v>698.99999999999989</v>
      </c>
      <c r="CQ144" s="3">
        <f t="shared" si="546"/>
        <v>0</v>
      </c>
      <c r="CR144" s="3"/>
      <c r="CS144" s="3">
        <f t="shared" si="547"/>
        <v>109</v>
      </c>
      <c r="CT144" s="3"/>
      <c r="CU144" s="3">
        <f t="shared" si="548"/>
        <v>6</v>
      </c>
      <c r="CV144" s="3"/>
      <c r="CW144" s="3" t="e">
        <f t="shared" ca="1" si="549"/>
        <v>#NUM!</v>
      </c>
      <c r="CY144" s="3" t="e">
        <f t="shared" ca="1" si="550"/>
        <v>#NUM!</v>
      </c>
      <c r="CZ144" s="70" t="e">
        <f t="shared" ca="1" si="583"/>
        <v>#NUM!</v>
      </c>
      <c r="DA144" s="3">
        <f>IF(RTD("tos.rtd",,DA$43,"."&amp;$B$134&amp;$AS$82&amp;"C"&amp;$A144)="N/A",0,RTD("tos.rtd",,DA$43,"."&amp;$B$134&amp;$AS$82&amp;"C"&amp;$A144))</f>
        <v>0.25</v>
      </c>
      <c r="DB144" s="3">
        <f>IF(RTD("tos.rtd",,DB$43,"."&amp;$B$134&amp;$AS$82&amp;"P"&amp;$A144)="N/A",0,RTD("tos.rtd",,DB$43,"."&amp;$B$134&amp;$AS$82&amp;"P"&amp;$A144))</f>
        <v>210</v>
      </c>
      <c r="DC144" s="3">
        <f>IF(RTD("tos.rtd",,DC$43,"."&amp;$B$134&amp;$AS$82&amp;"C"&amp;$A144)="N/A",0,RTD("tos.rtd",,DC$43,"."&amp;$B$134&amp;$AS$82&amp;"C"&amp;$A144))</f>
        <v>0.05</v>
      </c>
      <c r="DD144" s="3">
        <f>IF(RTD("tos.rtd",,DD$43,"."&amp;$B$134&amp;$AS$82&amp;"P"&amp;$A144)="N/A",0,RTD("tos.rtd",,DD$43,"."&amp;$B$134&amp;$AS$82&amp;"P"&amp;$A144))</f>
        <v>322.89999999999998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272.89999999999998</v>
      </c>
      <c r="DG144" s="86">
        <f t="shared" si="584"/>
        <v>228.5</v>
      </c>
      <c r="DH144" s="3">
        <f t="shared" si="551"/>
        <v>-170</v>
      </c>
      <c r="DI144" s="3">
        <f t="shared" si="552"/>
        <v>-16.353999999999996</v>
      </c>
      <c r="DJ144" s="3">
        <f t="shared" si="553"/>
        <v>-34</v>
      </c>
      <c r="DK144" s="3">
        <f t="shared" si="554"/>
        <v>-13</v>
      </c>
      <c r="DL144" s="3">
        <f t="shared" si="555"/>
        <v>-186.35399999999998</v>
      </c>
      <c r="DM144" s="3">
        <f t="shared" si="556"/>
        <v>-47</v>
      </c>
      <c r="DN144" s="64" t="str">
        <f t="shared" si="557"/>
        <v>UNKNOWN</v>
      </c>
      <c r="DO144" s="64" t="str">
        <f t="shared" si="558"/>
        <v>UNKNOWN</v>
      </c>
      <c r="DP144" s="3">
        <f t="shared" si="559"/>
        <v>-3476.8399999999992</v>
      </c>
      <c r="DQ144" s="3">
        <f t="shared" si="560"/>
        <v>-2738.5</v>
      </c>
      <c r="DR144" s="3" t="e">
        <f t="shared" ca="1" si="561"/>
        <v>#NUM!</v>
      </c>
      <c r="DS144" s="3">
        <f t="shared" si="562"/>
        <v>-8.9699999999999989</v>
      </c>
      <c r="DT144" s="3">
        <f t="shared" si="585"/>
        <v>-34</v>
      </c>
      <c r="DU144" s="3">
        <f t="shared" si="586"/>
        <v>13</v>
      </c>
      <c r="DV144" s="3">
        <f t="shared" si="563"/>
        <v>18</v>
      </c>
      <c r="DW144" s="3">
        <f t="shared" si="564"/>
        <v>7</v>
      </c>
      <c r="DX144" s="3" t="e">
        <f t="shared" ca="1" si="565"/>
        <v>#NUM!</v>
      </c>
      <c r="DY144" s="3" t="e">
        <f t="shared" ca="1" si="566"/>
        <v>#NUM!</v>
      </c>
      <c r="DZ144" s="3" t="e">
        <f t="shared" ca="1" si="567"/>
        <v>#NUM!</v>
      </c>
      <c r="EA144" s="3" t="e">
        <f t="shared" ca="1" si="568"/>
        <v>#NUM!</v>
      </c>
      <c r="EB144" s="3" t="e">
        <f t="shared" ca="1" si="569"/>
        <v>#NUM!</v>
      </c>
      <c r="EC144" s="3" t="e">
        <f t="shared" ca="1" si="570"/>
        <v>#NUM!</v>
      </c>
      <c r="EE144" s="59">
        <f t="shared" si="571"/>
        <v>0.46450000000000002</v>
      </c>
      <c r="EF144" s="59">
        <f t="shared" si="572"/>
        <v>2.8022999999999998</v>
      </c>
      <c r="EG144" s="59">
        <f t="shared" si="573"/>
        <v>0.58630000000000004</v>
      </c>
      <c r="EH144" s="59">
        <f t="shared" si="574"/>
        <v>0.96289999999999998</v>
      </c>
      <c r="EI144" s="59">
        <f t="shared" si="575"/>
        <v>0.26129999999999998</v>
      </c>
      <c r="EJ144" s="59">
        <f t="shared" si="576"/>
        <v>0.28029999999999999</v>
      </c>
      <c r="EL144" s="3" t="str">
        <f>RTD("tos.rtd",,EL$43,"."&amp;$B$134&amp;$AS$82&amp;"C"&amp;$A144)</f>
        <v>46.45%</v>
      </c>
      <c r="EM144" s="3" t="str">
        <f>RTD("tos.rtd",,EM$43,"."&amp;$B$134&amp;$AS$82&amp;"P"&amp;$A144)</f>
        <v>280.23%</v>
      </c>
      <c r="EN144" s="3" t="str">
        <f>RTD("tos.rtd",,EN$2,"."&amp;$C$134&amp;$AU$82&amp;"C"&amp;$A144)</f>
        <v>58.63%</v>
      </c>
      <c r="EO144" s="3" t="str">
        <f>RTD("tos.rtd",,EO$2,"."&amp;$C$134&amp;$AU$82&amp;"P"&amp;$A144)</f>
        <v>96.29%</v>
      </c>
      <c r="EP144" s="3" t="str">
        <f>RTD("tos.rtd",,EP$2,"."&amp;$D$134&amp;$AW$82&amp;"C"&amp;$A144)</f>
        <v>26.13%</v>
      </c>
      <c r="EQ144" s="3" t="str">
        <f>RTD("tos.rtd",,EQ$2,"."&amp;$D$134&amp;$AW$82&amp;"P"&amp;$A144)</f>
        <v>28.03%</v>
      </c>
      <c r="ES144" s="63" t="str">
        <f t="shared" si="577"/>
        <v>20275,25.00</v>
      </c>
      <c r="ET144" s="64" t="str">
        <f t="shared" ca="1" si="578"/>
        <v>20275,00.00</v>
      </c>
      <c r="EU144" s="67">
        <v>562.98</v>
      </c>
      <c r="EV144" s="67" t="s">
        <v>1171</v>
      </c>
      <c r="EW144" s="67">
        <v>485.61</v>
      </c>
      <c r="EX144" s="67" t="s">
        <v>1172</v>
      </c>
      <c r="EY144" s="67">
        <v>5643.5</v>
      </c>
      <c r="EZ144" s="67" t="s">
        <v>1173</v>
      </c>
      <c r="FA144" s="67">
        <v>19949.25</v>
      </c>
      <c r="FB144" s="67" t="s">
        <v>1174</v>
      </c>
      <c r="FC144" s="67" t="s">
        <v>1175</v>
      </c>
      <c r="FD144" s="67" t="s">
        <v>1176</v>
      </c>
      <c r="FE144" s="68" t="s">
        <v>1177</v>
      </c>
      <c r="FF144" s="68" t="s">
        <v>1178</v>
      </c>
    </row>
    <row r="145" spans="1:162" ht="11.1" customHeight="1" thickBot="1" x14ac:dyDescent="0.25">
      <c r="A145" s="2">
        <f t="shared" si="587"/>
        <v>20250</v>
      </c>
      <c r="B145" s="3">
        <f t="shared" ref="B145:B154" si="602">+IF($A$1="ABS",AS145-AT145,AS145+AT145)</f>
        <v>15</v>
      </c>
      <c r="C145" s="3">
        <f t="shared" ref="C145:C154" si="603">+IF($A$1="ABS",AU145-AV145,AU145+AV145)</f>
        <v>80</v>
      </c>
      <c r="D145" s="3">
        <f t="shared" ref="D145:D154" si="604">+IF($A$1="ABS",AW145-AX145,AW145+AX145)</f>
        <v>63</v>
      </c>
      <c r="E145" s="3">
        <f t="shared" si="590"/>
        <v>158</v>
      </c>
      <c r="F145" s="4">
        <f t="shared" si="591"/>
        <v>20351.015139799962</v>
      </c>
      <c r="G145" s="5">
        <f t="shared" si="592"/>
        <v>492.87307011198959</v>
      </c>
      <c r="AM145" s="1">
        <v>77</v>
      </c>
      <c r="AN145" s="1">
        <v>6</v>
      </c>
      <c r="AO145" s="1">
        <v>20250</v>
      </c>
      <c r="AP145" s="1">
        <v>345</v>
      </c>
      <c r="AQ145" s="1">
        <v>-8</v>
      </c>
      <c r="AS145" s="54">
        <f>IF(RTD("tos.rtd",,AS$83,"."&amp;$B$134&amp;$AS$82&amp;"C"&amp;$A145)="N/A",0,RTD("tos.rtd",,AS$83,"."&amp;$B$134&amp;$AS$82&amp;"C"&amp;$A145))</f>
        <v>15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72</v>
      </c>
      <c r="AV145" s="3">
        <f>-IF(RTD("tos.rtd",,AV$2,"."&amp;$C$134&amp;$AU$134&amp;"P"&amp;$A145)="N/A",0,RTD("tos.rtd",,AV$2,"."&amp;$C$134&amp;$AU$134&amp;"P"&amp;$A145))</f>
        <v>-8</v>
      </c>
      <c r="AW145" s="54">
        <f>IF(RTD("tos.rtd",,AW$2,"."&amp;$D$134&amp;$AW$134&amp;"C"&amp;$A145)="N/A",0,RTD("tos.rtd",,AW$2,"."&amp;$D$134&amp;$AW$134&amp;"C"&amp;$A145))</f>
        <v>58</v>
      </c>
      <c r="AX145" s="3">
        <f>-IF(RTD("tos.rtd",,AX$2,"."&amp;$D$134&amp;$AW$134&amp;"P"&amp;$A145)="N/A",0,RTD("tos.rtd",,AX$2,"."&amp;$D$134&amp;$AW$134&amp;"P"&amp;$A145))</f>
        <v>-5</v>
      </c>
      <c r="AY145" s="76">
        <f t="shared" si="593"/>
        <v>132</v>
      </c>
      <c r="AZ145" s="8">
        <f t="shared" si="542"/>
        <v>20250</v>
      </c>
      <c r="BA145" s="54">
        <f>IF(RTD("tos.rtd",,BA$43,"."&amp;$B$134&amp;$AS$82&amp;"C"&amp;$A145)="N/A",0,RTD("tos.rtd",,BA$43,"."&amp;$B$134&amp;$AS$82&amp;"C"&amp;$A145))</f>
        <v>0</v>
      </c>
      <c r="BB145" s="3">
        <f>-IF(RTD("tos.rtd",,BB$43,"."&amp;$B$134&amp;$AS$82&amp;"P"&amp;$A145)="N/A",0,RTD("tos.rtd",,BB$43,"."&amp;$B$134&amp;$AS$82&amp;"P"&amp;$A145))</f>
        <v>0</v>
      </c>
      <c r="BC145" s="54">
        <f>IF(RTD("tos.rtd",,BC$2,"."&amp;$C$134&amp;$AU$82&amp;"C"&amp;$A145)="N/A",0,RTD("tos.rtd",,BC$2,"."&amp;$C$134&amp;$AU$82&amp;"C"&amp;$A145))</f>
        <v>400</v>
      </c>
      <c r="BD145" s="3">
        <f>-IF(RTD("tos.rtd",,BD$2,"."&amp;$C$134&amp;$AU$82&amp;"P"&amp;$A145)="N/A",0,RTD("tos.rtd",,BD$2,"."&amp;$C$134&amp;$AU$82&amp;"P"&amp;$A145))</f>
        <v>-27</v>
      </c>
      <c r="BE145" s="54">
        <f>IF(RTD("tos.rtd",,BE$2,"."&amp;$D$134&amp;$AW$82&amp;"C"&amp;$A145)="N/A",0,RTD("tos.rtd",,BE$2,"."&amp;$D$134&amp;$AW$82&amp;"C"&amp;$A145))</f>
        <v>8</v>
      </c>
      <c r="BF145" s="3">
        <f>-IF(RTD("tos.rtd",,BF$2,"."&amp;$D$134&amp;$AW$82&amp;"P"&amp;$A145)="N/A",0,RTD("tos.rtd",,BF$2,"."&amp;$D$134&amp;$AW$82&amp;"P"&amp;$A145))</f>
        <v>-2</v>
      </c>
      <c r="BG145" s="3">
        <f ca="1">+Hoja2!Y146</f>
        <v>-24</v>
      </c>
      <c r="BH145" s="7">
        <f t="shared" ca="1" si="543"/>
        <v>355</v>
      </c>
      <c r="BI145" s="32" t="str">
        <f t="shared" ca="1" si="601"/>
        <v/>
      </c>
      <c r="BJ145" s="3" t="e">
        <f ca="1">IF($BP$1=1,DX145,IF(RTD("tos.rtd",,BJ$43,"."&amp;$B$134&amp;$AS$82&amp;"C"&amp;$A145)="N/A",0,RTD("tos.rtd",,BJ$43,"."&amp;$B$134&amp;$AS$82&amp;"C"&amp;$A145)))</f>
        <v>#NUM!</v>
      </c>
      <c r="BK145" s="3" t="e">
        <f ca="1">IF($BP$1=1,DY145,-IF(RTD("tos.rtd",,BK$43,"."&amp;$B$134&amp;$AS$82&amp;"P"&amp;$A145)="N/A",0,RTD("tos.rtd",,BK$43,"."&amp;$B$134&amp;$AS$82&amp;"P"&amp;$A145)))</f>
        <v>#NUM!</v>
      </c>
      <c r="BL145" s="3" t="e">
        <f ca="1">IF($BP$1=1,DZ145,IF(RTD("tos.rtd",,BL$2,"."&amp;$C$134&amp;$AU$82&amp;"C"&amp;$A145)="N/A",0,RTD("tos.rtd",,BL$2,"."&amp;$C$134&amp;$AU$82&amp;"C"&amp;$A145)))</f>
        <v>#NUM!</v>
      </c>
      <c r="BM145" s="3" t="e">
        <f ca="1">IF($BP$1=1,EA145,-IF(RTD("tos.rtd",,BM$2,"."&amp;$C$134&amp;$AU$82&amp;"P"&amp;$A145)="N/A",0,RTD("tos.rtd",,BM$2,"."&amp;$C$134&amp;$AU$82&amp;"P"&amp;$A145)))</f>
        <v>#NUM!</v>
      </c>
      <c r="BN145" s="3" t="e">
        <f ca="1">IF($BP$1=1,EB145,IF(RTD("tos.rtd",,BN$2,"."&amp;$D$134&amp;$AW$82&amp;"C"&amp;$A145)="N/A",0,RTD("tos.rtd",,BN$2,"."&amp;$D$134&amp;$AW$82&amp;"C"&amp;$A145)))</f>
        <v>#NUM!</v>
      </c>
      <c r="BO145" s="3" t="e">
        <f ca="1">IF($BP$1=1,EC145,-IF(RTD("tos.rtd",,BO$2,"."&amp;$D$134&amp;$AW$82&amp;"P"&amp;$A145)="N/A",0,RTD("tos.rtd",,BO$2,"."&amp;$D$134&amp;$AW$82&amp;"P"&amp;$A145)))</f>
        <v>#NUM!</v>
      </c>
      <c r="BQ145" s="3" t="e">
        <f t="shared" ca="1" si="594"/>
        <v>#NUM!</v>
      </c>
      <c r="BR145" s="3" t="e">
        <f t="shared" ca="1" si="544"/>
        <v>#NUM!</v>
      </c>
      <c r="BS145" s="3" t="e">
        <f t="shared" ca="1" si="595"/>
        <v>#NUM!</v>
      </c>
      <c r="BT145" s="3" t="e">
        <f t="shared" ca="1" si="545"/>
        <v>#NUM!</v>
      </c>
      <c r="BU145" s="3" t="e">
        <f t="shared" ca="1" si="596"/>
        <v>#NUM!</v>
      </c>
      <c r="BV145" s="3" t="e">
        <f t="shared" ca="1" si="545"/>
        <v>#NUM!</v>
      </c>
      <c r="BX145" s="3" t="e">
        <f t="shared" ca="1" si="579"/>
        <v>#NUM!</v>
      </c>
      <c r="BY145" s="3" t="e">
        <f t="shared" ca="1" si="580"/>
        <v>#NUM!</v>
      </c>
      <c r="BZ145" s="3" t="e">
        <f t="shared" ca="1" si="581"/>
        <v>#NUM!</v>
      </c>
      <c r="CA145" s="3" t="e">
        <f t="shared" ca="1" si="580"/>
        <v>#NUM!</v>
      </c>
      <c r="CB145" s="3" t="e">
        <f t="shared" ca="1" si="582"/>
        <v>#NUM!</v>
      </c>
      <c r="CC145" s="3" t="e">
        <f t="shared" ca="1" si="580"/>
        <v>#NUM!</v>
      </c>
      <c r="CD145" s="3">
        <f>IF(RTD("tos.rtd",,CD$43,"."&amp;$B$134&amp;$AS$82&amp;"C"&amp;$A145)="N/A",0,RTD("tos.rtd",,CD$43,"."&amp;$B$134&amp;$AS$82&amp;"C"&amp;$A145))</f>
        <v>0</v>
      </c>
      <c r="CE145" s="3">
        <f>-IF(RTD("tos.rtd",,CE$43,"."&amp;$B$134&amp;$AS$82&amp;"P"&amp;$A145)="N/A",0,RTD("tos.rtd",,CE$43,"."&amp;$B$134&amp;$AS$82&amp;"P"&amp;$A145))</f>
        <v>0.68</v>
      </c>
      <c r="CF145" s="3">
        <f>IF(RTD("tos.rtd",,CF$2,"."&amp;$C$134&amp;$AU$82&amp;"C"&amp;$A145)="N/A",0,RTD("tos.rtd",,CF$2,"."&amp;$C$134&amp;$AU$82&amp;"C"&amp;$A145))</f>
        <v>0.01</v>
      </c>
      <c r="CG145" s="3">
        <f>-IF(RTD("tos.rtd",,CG$2,"."&amp;$C$134&amp;$AU$82&amp;"P"&amp;$A145)="N/A",0,RTD("tos.rtd",,CG$2,"."&amp;$C$134&amp;$AU$82&amp;"P"&amp;$A145))</f>
        <v>0.93</v>
      </c>
      <c r="CH145" s="3">
        <f>IF(RTD("tos.rtd",,CH$2,"."&amp;$D$134&amp;$AW$82&amp;"C"&amp;$A145)="N/A",0,RTD("tos.rtd",,CH$2,"."&amp;$D$134&amp;$AW$82&amp;"C"&amp;$A145))</f>
        <v>0.39</v>
      </c>
      <c r="CI145" s="3">
        <f>-IF(RTD("tos.rtd",,CI$2,"."&amp;$D$134&amp;$AW$82&amp;"P"&amp;$A145)="N/A",0,RTD("tos.rtd",,CI$2,"."&amp;$D$134&amp;$AW$82&amp;"P"&amp;$A145))</f>
        <v>0.6</v>
      </c>
      <c r="CK145" s="3">
        <f t="shared" si="597"/>
        <v>0</v>
      </c>
      <c r="CL145" s="3"/>
      <c r="CM145" s="3">
        <f t="shared" si="598"/>
        <v>-672</v>
      </c>
      <c r="CN145" s="3"/>
      <c r="CO145" s="3">
        <f t="shared" si="599"/>
        <v>1962</v>
      </c>
      <c r="CP145" s="3">
        <f t="shared" si="536"/>
        <v>1290</v>
      </c>
      <c r="CQ145" s="3">
        <f t="shared" si="546"/>
        <v>0</v>
      </c>
      <c r="CR145" s="3"/>
      <c r="CS145" s="3">
        <f t="shared" si="547"/>
        <v>373</v>
      </c>
      <c r="CT145" s="3"/>
      <c r="CU145" s="3">
        <f t="shared" si="548"/>
        <v>6</v>
      </c>
      <c r="CV145" s="3"/>
      <c r="CW145" s="3" t="e">
        <f t="shared" ca="1" si="549"/>
        <v>#NUM!</v>
      </c>
      <c r="CY145" s="3" t="e">
        <f t="shared" ca="1" si="550"/>
        <v>#NUM!</v>
      </c>
      <c r="CZ145" s="70" t="e">
        <f t="shared" ca="1" si="583"/>
        <v>#NUM!</v>
      </c>
      <c r="DA145" s="3">
        <f>IF(RTD("tos.rtd",,DA$43,"."&amp;$B$134&amp;$AS$82&amp;"C"&amp;$A145)="N/A",0,RTD("tos.rtd",,DA$43,"."&amp;$B$134&amp;$AS$82&amp;"C"&amp;$A145))</f>
        <v>0.1</v>
      </c>
      <c r="DB145" s="3">
        <f>IF(RTD("tos.rtd",,DB$43,"."&amp;$B$134&amp;$AS$82&amp;"P"&amp;$A145)="N/A",0,RTD("tos.rtd",,DB$43,"."&amp;$B$134&amp;$AS$82&amp;"P"&amp;$A145))</f>
        <v>272.95999999999998</v>
      </c>
      <c r="DC145" s="3">
        <f>IF(RTD("tos.rtd",,DC$43,"."&amp;$B$134&amp;$AS$82&amp;"C"&amp;$A145)="N/A",0,RTD("tos.rtd",,DC$43,"."&amp;$B$134&amp;$AS$82&amp;"C"&amp;$A145))</f>
        <v>0.05</v>
      </c>
      <c r="DD145" s="3">
        <f>IF(RTD("tos.rtd",,DD$43,"."&amp;$B$134&amp;$AS$82&amp;"P"&amp;$A145)="N/A",0,RTD("tos.rtd",,DD$43,"."&amp;$B$134&amp;$AS$82&amp;"P"&amp;$A145))</f>
        <v>297.89999999999998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247.9</v>
      </c>
      <c r="DG145" s="86">
        <f t="shared" si="584"/>
        <v>203.5</v>
      </c>
      <c r="DH145" s="3">
        <f t="shared" si="551"/>
        <v>-690</v>
      </c>
      <c r="DI145" s="3">
        <f t="shared" si="552"/>
        <v>4.0095999999999981</v>
      </c>
      <c r="DJ145" s="3">
        <f t="shared" si="553"/>
        <v>-345</v>
      </c>
      <c r="DK145" s="3">
        <f t="shared" si="554"/>
        <v>0</v>
      </c>
      <c r="DL145" s="3">
        <f t="shared" si="555"/>
        <v>-685.99040000000002</v>
      </c>
      <c r="DM145" s="3">
        <f t="shared" si="556"/>
        <v>-345</v>
      </c>
      <c r="DN145" s="64" t="str">
        <f t="shared" si="557"/>
        <v>UNKNOWN</v>
      </c>
      <c r="DO145" s="64" t="str">
        <f t="shared" si="558"/>
        <v>UNKNOWN</v>
      </c>
      <c r="DP145" s="3">
        <f t="shared" si="559"/>
        <v>1025.4604159999994</v>
      </c>
      <c r="DQ145" s="3">
        <f t="shared" si="560"/>
        <v>-34.5</v>
      </c>
      <c r="DR145" s="3" t="e">
        <f t="shared" ca="1" si="561"/>
        <v>#NUM!</v>
      </c>
      <c r="DS145" s="3">
        <f t="shared" si="562"/>
        <v>0</v>
      </c>
      <c r="DT145" s="3">
        <f t="shared" si="585"/>
        <v>-345</v>
      </c>
      <c r="DU145" s="3">
        <f t="shared" si="586"/>
        <v>8</v>
      </c>
      <c r="DV145" s="3">
        <f t="shared" si="563"/>
        <v>77</v>
      </c>
      <c r="DW145" s="3">
        <f t="shared" si="564"/>
        <v>6</v>
      </c>
      <c r="DX145" s="3" t="e">
        <f t="shared" ca="1" si="565"/>
        <v>#NUM!</v>
      </c>
      <c r="DY145" s="3" t="e">
        <f t="shared" ca="1" si="566"/>
        <v>#NUM!</v>
      </c>
      <c r="DZ145" s="3" t="e">
        <f t="shared" ca="1" si="567"/>
        <v>#NUM!</v>
      </c>
      <c r="EA145" s="3" t="e">
        <f t="shared" ca="1" si="568"/>
        <v>#NUM!</v>
      </c>
      <c r="EB145" s="3" t="e">
        <f t="shared" ca="1" si="569"/>
        <v>#NUM!</v>
      </c>
      <c r="EC145" s="3" t="e">
        <f t="shared" ca="1" si="570"/>
        <v>#NUM!</v>
      </c>
      <c r="EE145" s="59">
        <f t="shared" si="571"/>
        <v>0.41449999999999998</v>
      </c>
      <c r="EF145" s="59">
        <f t="shared" si="572"/>
        <v>2.6585000000000001</v>
      </c>
      <c r="EG145" s="59">
        <f t="shared" si="573"/>
        <v>0.53839999999999999</v>
      </c>
      <c r="EH145" s="59">
        <f t="shared" si="574"/>
        <v>0.85329999999999995</v>
      </c>
      <c r="EI145" s="59">
        <f t="shared" si="575"/>
        <v>0.2621</v>
      </c>
      <c r="EJ145" s="59">
        <f t="shared" si="576"/>
        <v>0.2797</v>
      </c>
      <c r="EL145" s="3" t="str">
        <f>RTD("tos.rtd",,EL$43,"."&amp;$B$134&amp;$AS$82&amp;"C"&amp;$A145)</f>
        <v>41.45%</v>
      </c>
      <c r="EM145" s="3" t="str">
        <f>RTD("tos.rtd",,EM$43,"."&amp;$B$134&amp;$AS$82&amp;"P"&amp;$A145)</f>
        <v>265.85%</v>
      </c>
      <c r="EN145" s="3" t="str">
        <f>RTD("tos.rtd",,EN$2,"."&amp;$C$134&amp;$AU$82&amp;"C"&amp;$A145)</f>
        <v>53.84%</v>
      </c>
      <c r="EO145" s="3" t="str">
        <f>RTD("tos.rtd",,EO$2,"."&amp;$C$134&amp;$AU$82&amp;"P"&amp;$A145)</f>
        <v>85.33%</v>
      </c>
      <c r="EP145" s="3" t="str">
        <f>RTD("tos.rtd",,EP$2,"."&amp;$D$134&amp;$AW$82&amp;"C"&amp;$A145)</f>
        <v>26.21%</v>
      </c>
      <c r="EQ145" s="3" t="str">
        <f>RTD("tos.rtd",,EQ$2,"."&amp;$D$134&amp;$AW$82&amp;"P"&amp;$A145)</f>
        <v>27.97%</v>
      </c>
      <c r="ES145" s="63" t="str">
        <f t="shared" si="577"/>
        <v>20250,83.00</v>
      </c>
      <c r="ET145" s="64" t="str">
        <f t="shared" ca="1" si="578"/>
        <v>20250,00.00</v>
      </c>
      <c r="EU145" s="68">
        <v>562.91</v>
      </c>
      <c r="EV145" s="68" t="s">
        <v>1179</v>
      </c>
      <c r="EW145" s="68">
        <v>485.55</v>
      </c>
      <c r="EX145" s="68" t="s">
        <v>1180</v>
      </c>
      <c r="EY145" s="68">
        <v>5642.5</v>
      </c>
      <c r="EZ145" s="68" t="s">
        <v>1181</v>
      </c>
      <c r="FA145" s="68">
        <v>19945.5</v>
      </c>
      <c r="FB145" s="68" t="s">
        <v>1182</v>
      </c>
      <c r="FC145" s="68" t="s">
        <v>1183</v>
      </c>
      <c r="FD145" s="68" t="s">
        <v>1184</v>
      </c>
      <c r="FE145" s="68" t="s">
        <v>1185</v>
      </c>
      <c r="FF145" s="68" t="s">
        <v>1186</v>
      </c>
    </row>
    <row r="146" spans="1:162" ht="11.1" customHeight="1" thickBot="1" x14ac:dyDescent="0.25">
      <c r="A146" s="2">
        <f t="shared" si="587"/>
        <v>20225</v>
      </c>
      <c r="B146" s="3">
        <f t="shared" si="602"/>
        <v>3</v>
      </c>
      <c r="C146" s="3">
        <f t="shared" si="603"/>
        <v>26</v>
      </c>
      <c r="D146" s="3">
        <f t="shared" si="604"/>
        <v>63</v>
      </c>
      <c r="E146" s="3">
        <f t="shared" si="590"/>
        <v>92</v>
      </c>
      <c r="F146" s="4">
        <f t="shared" si="591"/>
        <v>20325.890429750827</v>
      </c>
      <c r="G146" s="5">
        <f t="shared" si="592"/>
        <v>492.26458484024641</v>
      </c>
      <c r="AM146" s="1">
        <v>-18</v>
      </c>
      <c r="AN146" s="1">
        <v>0</v>
      </c>
      <c r="AO146" s="1">
        <v>20225</v>
      </c>
      <c r="AP146" s="1">
        <v>120</v>
      </c>
      <c r="AQ146" s="1">
        <v>-2</v>
      </c>
      <c r="AS146" s="54">
        <f>IF(RTD("tos.rtd",,AS$83,"."&amp;$B$134&amp;$AS$82&amp;"C"&amp;$A146)="N/A",0,RTD("tos.rtd",,AS$83,"."&amp;$B$134&amp;$AS$82&amp;"C"&amp;$A146))</f>
        <v>3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10</v>
      </c>
      <c r="AV146" s="3">
        <f>-IF(RTD("tos.rtd",,AV$2,"."&amp;$C$134&amp;$AU$134&amp;"P"&amp;$A146)="N/A",0,RTD("tos.rtd",,AV$2,"."&amp;$C$134&amp;$AU$134&amp;"P"&amp;$A146))</f>
        <v>-16</v>
      </c>
      <c r="AW146" s="54">
        <f>IF(RTD("tos.rtd",,AW$2,"."&amp;$D$134&amp;$AW$134&amp;"C"&amp;$A146)="N/A",0,RTD("tos.rtd",,AW$2,"."&amp;$D$134&amp;$AW$134&amp;"C"&amp;$A146))</f>
        <v>34</v>
      </c>
      <c r="AX146" s="3">
        <f>-IF(RTD("tos.rtd",,AX$2,"."&amp;$D$134&amp;$AW$134&amp;"P"&amp;$A146)="N/A",0,RTD("tos.rtd",,AX$2,"."&amp;$D$134&amp;$AW$134&amp;"P"&amp;$A146))</f>
        <v>-29</v>
      </c>
      <c r="AY146" s="76">
        <f t="shared" si="593"/>
        <v>2</v>
      </c>
      <c r="AZ146" s="8">
        <f t="shared" si="542"/>
        <v>20225</v>
      </c>
      <c r="BA146" s="54">
        <f>IF(RTD("tos.rtd",,BA$43,"."&amp;$B$134&amp;$AS$82&amp;"C"&amp;$A146)="N/A",0,RTD("tos.rtd",,BA$43,"."&amp;$B$134&amp;$AS$82&amp;"C"&amp;$A146))</f>
        <v>0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97</v>
      </c>
      <c r="BD146" s="3">
        <f>-IF(RTD("tos.rtd",,BD$2,"."&amp;$C$134&amp;$AU$82&amp;"P"&amp;$A146)="N/A",0,RTD("tos.rtd",,BD$2,"."&amp;$C$134&amp;$AU$82&amp;"P"&amp;$A146))</f>
        <v>-33</v>
      </c>
      <c r="BE146" s="54">
        <f>IF(RTD("tos.rtd",,BE$2,"."&amp;$D$134&amp;$AW$82&amp;"C"&amp;$A146)="N/A",0,RTD("tos.rtd",,BE$2,"."&amp;$D$134&amp;$AW$82&amp;"C"&amp;$A146))</f>
        <v>4</v>
      </c>
      <c r="BF146" s="3">
        <f>-IF(RTD("tos.rtd",,BF$2,"."&amp;$D$134&amp;$AW$82&amp;"P"&amp;$A146)="N/A",0,RTD("tos.rtd",,BF$2,"."&amp;$D$134&amp;$AW$82&amp;"P"&amp;$A146))</f>
        <v>-5</v>
      </c>
      <c r="BG146" s="3">
        <f ca="1">+Hoja2!Y147</f>
        <v>19</v>
      </c>
      <c r="BH146" s="7">
        <f t="shared" ca="1" si="543"/>
        <v>82</v>
      </c>
      <c r="BI146" s="32" t="str">
        <f t="shared" ca="1" si="601"/>
        <v/>
      </c>
      <c r="BJ146" s="3" t="e">
        <f ca="1">IF($BP$1=1,DX146,IF(RTD("tos.rtd",,BJ$43,"."&amp;$B$134&amp;$AS$82&amp;"C"&amp;$A146)="N/A",0,RTD("tos.rtd",,BJ$43,"."&amp;$B$134&amp;$AS$82&amp;"C"&amp;$A146)))</f>
        <v>#NUM!</v>
      </c>
      <c r="BK146" s="3" t="e">
        <f ca="1">IF($BP$1=1,DY146,-IF(RTD("tos.rtd",,BK$43,"."&amp;$B$134&amp;$AS$82&amp;"P"&amp;$A146)="N/A",0,RTD("tos.rtd",,BK$43,"."&amp;$B$134&amp;$AS$82&amp;"P"&amp;$A146)))</f>
        <v>#NUM!</v>
      </c>
      <c r="BL146" s="3" t="e">
        <f ca="1">IF($BP$1=1,DZ146,IF(RTD("tos.rtd",,BL$2,"."&amp;$C$134&amp;$AU$82&amp;"C"&amp;$A146)="N/A",0,RTD("tos.rtd",,BL$2,"."&amp;$C$134&amp;$AU$82&amp;"C"&amp;$A146)))</f>
        <v>#NUM!</v>
      </c>
      <c r="BM146" s="3" t="e">
        <f ca="1">IF($BP$1=1,EA146,-IF(RTD("tos.rtd",,BM$2,"."&amp;$C$134&amp;$AU$82&amp;"P"&amp;$A146)="N/A",0,RTD("tos.rtd",,BM$2,"."&amp;$C$134&amp;$AU$82&amp;"P"&amp;$A146)))</f>
        <v>#NUM!</v>
      </c>
      <c r="BN146" s="3" t="e">
        <f ca="1">IF($BP$1=1,EB146,IF(RTD("tos.rtd",,BN$2,"."&amp;$D$134&amp;$AW$82&amp;"C"&amp;$A146)="N/A",0,RTD("tos.rtd",,BN$2,"."&amp;$D$134&amp;$AW$82&amp;"C"&amp;$A146)))</f>
        <v>#NUM!</v>
      </c>
      <c r="BO146" s="3" t="e">
        <f ca="1">IF($BP$1=1,EC146,-IF(RTD("tos.rtd",,BO$2,"."&amp;$D$134&amp;$AW$82&amp;"P"&amp;$A146)="N/A",0,RTD("tos.rtd",,BO$2,"."&amp;$D$134&amp;$AW$82&amp;"P"&amp;$A146)))</f>
        <v>#NUM!</v>
      </c>
      <c r="BQ146" s="3" t="e">
        <f t="shared" ca="1" si="594"/>
        <v>#NUM!</v>
      </c>
      <c r="BR146" s="3" t="e">
        <f t="shared" ca="1" si="544"/>
        <v>#NUM!</v>
      </c>
      <c r="BS146" s="3" t="e">
        <f t="shared" ca="1" si="595"/>
        <v>#NUM!</v>
      </c>
      <c r="BT146" s="3" t="e">
        <f t="shared" ca="1" si="545"/>
        <v>#NUM!</v>
      </c>
      <c r="BU146" s="3" t="e">
        <f t="shared" ca="1" si="596"/>
        <v>#NUM!</v>
      </c>
      <c r="BV146" s="3" t="e">
        <f t="shared" ca="1" si="545"/>
        <v>#NUM!</v>
      </c>
      <c r="BX146" s="3" t="e">
        <f t="shared" ca="1" si="579"/>
        <v>#NUM!</v>
      </c>
      <c r="BY146" s="3" t="e">
        <f t="shared" ca="1" si="580"/>
        <v>#NUM!</v>
      </c>
      <c r="BZ146" s="3" t="e">
        <f t="shared" ca="1" si="581"/>
        <v>#NUM!</v>
      </c>
      <c r="CA146" s="3" t="e">
        <f t="shared" ca="1" si="580"/>
        <v>#NUM!</v>
      </c>
      <c r="CB146" s="3" t="e">
        <f t="shared" ca="1" si="582"/>
        <v>#NUM!</v>
      </c>
      <c r="CC146" s="3" t="e">
        <f t="shared" ca="1" si="580"/>
        <v>#NUM!</v>
      </c>
      <c r="CD146" s="3">
        <f>IF(RTD("tos.rtd",,CD$43,"."&amp;$B$134&amp;$AS$82&amp;"C"&amp;$A146)="N/A",0,RTD("tos.rtd",,CD$43,"."&amp;$B$134&amp;$AS$82&amp;"C"&amp;$A146))</f>
        <v>0</v>
      </c>
      <c r="CE146" s="3">
        <f>-IF(RTD("tos.rtd",,CE$43,"."&amp;$B$134&amp;$AS$82&amp;"P"&amp;$A146)="N/A",0,RTD("tos.rtd",,CE$43,"."&amp;$B$134&amp;$AS$82&amp;"P"&amp;$A146))</f>
        <v>0.66</v>
      </c>
      <c r="CF146" s="3">
        <f>IF(RTD("tos.rtd",,CF$2,"."&amp;$C$134&amp;$AU$82&amp;"C"&amp;$A146)="N/A",0,RTD("tos.rtd",,CF$2,"."&amp;$C$134&amp;$AU$82&amp;"C"&amp;$A146))</f>
        <v>7.0000000000000007E-2</v>
      </c>
      <c r="CG146" s="3">
        <f>-IF(RTD("tos.rtd",,CG$2,"."&amp;$C$134&amp;$AU$82&amp;"P"&amp;$A146)="N/A",0,RTD("tos.rtd",,CG$2,"."&amp;$C$134&amp;$AU$82&amp;"P"&amp;$A146))</f>
        <v>0.92</v>
      </c>
      <c r="CH146" s="3">
        <f>IF(RTD("tos.rtd",,CH$2,"."&amp;$D$134&amp;$AW$82&amp;"C"&amp;$A146)="N/A",0,RTD("tos.rtd",,CH$2,"."&amp;$D$134&amp;$AW$82&amp;"C"&amp;$A146))</f>
        <v>0.41</v>
      </c>
      <c r="CI146" s="3">
        <f>-IF(RTD("tos.rtd",,CI$2,"."&amp;$D$134&amp;$AW$82&amp;"P"&amp;$A146)="N/A",0,RTD("tos.rtd",,CI$2,"."&amp;$D$134&amp;$AW$82&amp;"P"&amp;$A146))</f>
        <v>0.59</v>
      </c>
      <c r="CK146" s="3">
        <f t="shared" si="597"/>
        <v>0</v>
      </c>
      <c r="CL146" s="3"/>
      <c r="CM146" s="3">
        <f t="shared" si="598"/>
        <v>-1402</v>
      </c>
      <c r="CN146" s="3"/>
      <c r="CO146" s="3">
        <f t="shared" si="599"/>
        <v>-317</v>
      </c>
      <c r="CP146" s="3">
        <f t="shared" si="536"/>
        <v>-1719</v>
      </c>
      <c r="CQ146" s="3">
        <f t="shared" si="546"/>
        <v>0</v>
      </c>
      <c r="CR146" s="3"/>
      <c r="CS146" s="3">
        <f t="shared" si="547"/>
        <v>64</v>
      </c>
      <c r="CT146" s="3"/>
      <c r="CU146" s="3">
        <f t="shared" si="548"/>
        <v>-1</v>
      </c>
      <c r="CV146" s="3"/>
      <c r="CW146" s="3" t="e">
        <f t="shared" ca="1" si="549"/>
        <v>#NUM!</v>
      </c>
      <c r="CY146" s="3" t="e">
        <f t="shared" ca="1" si="550"/>
        <v>#NUM!</v>
      </c>
      <c r="CZ146" s="70" t="e">
        <f t="shared" ca="1" si="583"/>
        <v>#NUM!</v>
      </c>
      <c r="DA146" s="3">
        <f>IF(RTD("tos.rtd",,DA$43,"."&amp;$B$134&amp;$AS$82&amp;"C"&amp;$A146)="N/A",0,RTD("tos.rtd",,DA$43,"."&amp;$B$134&amp;$AS$82&amp;"C"&amp;$A146))</f>
        <v>0.05</v>
      </c>
      <c r="DB146" s="3">
        <f>IF(RTD("tos.rtd",,DB$43,"."&amp;$B$134&amp;$AS$82&amp;"P"&amp;$A146)="N/A",0,RTD("tos.rtd",,DB$43,"."&amp;$B$134&amp;$AS$82&amp;"P"&amp;$A146))</f>
        <v>189.8</v>
      </c>
      <c r="DC146" s="3">
        <f>IF(RTD("tos.rtd",,DC$43,"."&amp;$B$134&amp;$AS$82&amp;"C"&amp;$A146)="N/A",0,RTD("tos.rtd",,DC$43,"."&amp;$B$134&amp;$AS$82&amp;"C"&amp;$A146))</f>
        <v>0.05</v>
      </c>
      <c r="DD146" s="3">
        <f>IF(RTD("tos.rtd",,DD$43,"."&amp;$B$134&amp;$AS$82&amp;"P"&amp;$A146)="N/A",0,RTD("tos.rtd",,DD$43,"."&amp;$B$134&amp;$AS$82&amp;"P"&amp;$A146))</f>
        <v>272.89999999999998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222.9</v>
      </c>
      <c r="DG146" s="86">
        <f t="shared" si="584"/>
        <v>178.5</v>
      </c>
      <c r="DH146" s="3">
        <f t="shared" si="551"/>
        <v>-120</v>
      </c>
      <c r="DI146" s="3">
        <f t="shared" si="552"/>
        <v>-1.3240000000000005</v>
      </c>
      <c r="DJ146" s="3">
        <f t="shared" si="553"/>
        <v>-120</v>
      </c>
      <c r="DK146" s="3">
        <f t="shared" si="554"/>
        <v>-2</v>
      </c>
      <c r="DL146" s="3">
        <f t="shared" si="555"/>
        <v>-121.324</v>
      </c>
      <c r="DM146" s="3">
        <f t="shared" si="556"/>
        <v>-122</v>
      </c>
      <c r="DN146" s="64" t="str">
        <f t="shared" si="557"/>
        <v>UNKNOWN</v>
      </c>
      <c r="DO146" s="64" t="str">
        <f t="shared" si="558"/>
        <v>UNKNOWN</v>
      </c>
      <c r="DP146" s="3">
        <f t="shared" si="559"/>
        <v>-257.29520000000014</v>
      </c>
      <c r="DQ146" s="3">
        <f t="shared" si="560"/>
        <v>-385.6</v>
      </c>
      <c r="DR146" s="3" t="e">
        <f t="shared" ca="1" si="561"/>
        <v>#NUM!</v>
      </c>
      <c r="DS146" s="3">
        <f t="shared" si="562"/>
        <v>-1.32</v>
      </c>
      <c r="DT146" s="3">
        <f t="shared" si="585"/>
        <v>-120</v>
      </c>
      <c r="DU146" s="3">
        <f t="shared" si="586"/>
        <v>2</v>
      </c>
      <c r="DV146" s="3">
        <f t="shared" si="563"/>
        <v>-18</v>
      </c>
      <c r="DW146" s="3">
        <f t="shared" si="564"/>
        <v>0</v>
      </c>
      <c r="DX146" s="3" t="e">
        <f t="shared" ca="1" si="565"/>
        <v>#NUM!</v>
      </c>
      <c r="DY146" s="3" t="e">
        <f t="shared" ca="1" si="566"/>
        <v>#NUM!</v>
      </c>
      <c r="DZ146" s="3" t="e">
        <f t="shared" ca="1" si="567"/>
        <v>#NUM!</v>
      </c>
      <c r="EA146" s="3" t="e">
        <f t="shared" ca="1" si="568"/>
        <v>#NUM!</v>
      </c>
      <c r="EB146" s="3" t="e">
        <f t="shared" ca="1" si="569"/>
        <v>#NUM!</v>
      </c>
      <c r="EC146" s="3" t="e">
        <f t="shared" ca="1" si="570"/>
        <v>#NUM!</v>
      </c>
      <c r="EE146" s="59">
        <f t="shared" si="571"/>
        <v>0.36409999999999998</v>
      </c>
      <c r="EF146" s="59">
        <f t="shared" si="572"/>
        <v>2.5110999999999999</v>
      </c>
      <c r="EG146" s="59">
        <f t="shared" si="573"/>
        <v>0.73650000000000004</v>
      </c>
      <c r="EH146" s="59">
        <f t="shared" si="574"/>
        <v>0.76629999999999998</v>
      </c>
      <c r="EI146" s="59">
        <f t="shared" si="575"/>
        <v>0.26279999999999998</v>
      </c>
      <c r="EJ146" s="59">
        <f t="shared" si="576"/>
        <v>0.28029999999999999</v>
      </c>
      <c r="EL146" s="3" t="str">
        <f>RTD("tos.rtd",,EL$43,"."&amp;$B$134&amp;$AS$82&amp;"C"&amp;$A146)</f>
        <v>36.41%</v>
      </c>
      <c r="EM146" s="3" t="str">
        <f>RTD("tos.rtd",,EM$43,"."&amp;$B$134&amp;$AS$82&amp;"P"&amp;$A146)</f>
        <v>251.11%</v>
      </c>
      <c r="EN146" s="3" t="str">
        <f>RTD("tos.rtd",,EN$2,"."&amp;$C$134&amp;$AU$82&amp;"C"&amp;$A146)</f>
        <v>73.65%</v>
      </c>
      <c r="EO146" s="3" t="str">
        <f>RTD("tos.rtd",,EO$2,"."&amp;$C$134&amp;$AU$82&amp;"P"&amp;$A146)</f>
        <v>76.63%</v>
      </c>
      <c r="EP146" s="3" t="str">
        <f>RTD("tos.rtd",,EP$2,"."&amp;$D$134&amp;$AW$82&amp;"C"&amp;$A146)</f>
        <v>26.28%</v>
      </c>
      <c r="EQ146" s="3" t="str">
        <f>RTD("tos.rtd",,EQ$2,"."&amp;$D$134&amp;$AW$82&amp;"P"&amp;$A146)</f>
        <v>28.03%</v>
      </c>
      <c r="ES146" s="63" t="str">
        <f t="shared" si="577"/>
        <v>20225,-18.00</v>
      </c>
      <c r="ET146" s="64" t="str">
        <f t="shared" ca="1" si="578"/>
        <v>20225,00.00</v>
      </c>
      <c r="EU146" s="68">
        <v>562.86</v>
      </c>
      <c r="EV146" s="68" t="s">
        <v>1187</v>
      </c>
      <c r="EW146" s="68">
        <v>485.46</v>
      </c>
      <c r="EX146" s="68" t="s">
        <v>1188</v>
      </c>
      <c r="EY146" s="68">
        <v>5642.25</v>
      </c>
      <c r="EZ146" s="68" t="s">
        <v>1189</v>
      </c>
      <c r="FA146" s="68">
        <v>19941.75</v>
      </c>
      <c r="FB146" s="68" t="s">
        <v>1190</v>
      </c>
      <c r="FC146" s="68" t="s">
        <v>1191</v>
      </c>
      <c r="FD146" s="68" t="s">
        <v>1192</v>
      </c>
      <c r="FE146" s="68" t="s">
        <v>1193</v>
      </c>
      <c r="FF146" s="68" t="s">
        <v>1194</v>
      </c>
    </row>
    <row r="147" spans="1:162" ht="11.1" customHeight="1" thickBot="1" x14ac:dyDescent="0.25">
      <c r="A147" s="2">
        <f t="shared" si="587"/>
        <v>20200</v>
      </c>
      <c r="B147" s="3">
        <f t="shared" si="602"/>
        <v>33</v>
      </c>
      <c r="C147" s="3">
        <f t="shared" si="603"/>
        <v>63</v>
      </c>
      <c r="D147" s="3">
        <f t="shared" si="604"/>
        <v>72</v>
      </c>
      <c r="E147" s="3">
        <f t="shared" si="590"/>
        <v>168</v>
      </c>
      <c r="F147" s="4">
        <f t="shared" si="591"/>
        <v>20300.765719701692</v>
      </c>
      <c r="G147" s="5">
        <f t="shared" si="592"/>
        <v>491.65609956850324</v>
      </c>
      <c r="AM147" s="1">
        <v>-115</v>
      </c>
      <c r="AN147" s="1">
        <v>-1</v>
      </c>
      <c r="AO147" s="1">
        <v>20200</v>
      </c>
      <c r="AP147" s="1">
        <v>717</v>
      </c>
      <c r="AQ147" s="1">
        <v>-11</v>
      </c>
      <c r="AS147" s="54">
        <f>IF(RTD("tos.rtd",,AS$83,"."&amp;$B$134&amp;$AS$82&amp;"C"&amp;$A147)="N/A",0,RTD("tos.rtd",,AS$83,"."&amp;$B$134&amp;$AS$82&amp;"C"&amp;$A147))</f>
        <v>30</v>
      </c>
      <c r="AT147" s="3">
        <f>-IF(RTD("tos.rtd",,AT$83,"."&amp;$B$134&amp;$AS$82&amp;"P"&amp;$A147)="N/A",0,RTD("tos.rtd",,AT$83,"."&amp;$B$134&amp;$AS$82&amp;"P"&amp;$A147))</f>
        <v>-3</v>
      </c>
      <c r="AU147" s="54">
        <f>IF(RTD("tos.rtd",,AU$2,"."&amp;$C$134&amp;$AU$134&amp;"C"&amp;$A147)="N/A",0,RTD("tos.rtd",,AU$2,"."&amp;$C$134&amp;$AU$134&amp;"C"&amp;$A147))</f>
        <v>51</v>
      </c>
      <c r="AV147" s="3">
        <f>-IF(RTD("tos.rtd",,AV$2,"."&amp;$C$134&amp;$AU$134&amp;"P"&amp;$A147)="N/A",0,RTD("tos.rtd",,AV$2,"."&amp;$C$134&amp;$AU$134&amp;"P"&amp;$A147))</f>
        <v>-12</v>
      </c>
      <c r="AW147" s="54">
        <f>IF(RTD("tos.rtd",,AW$2,"."&amp;$D$134&amp;$AW$134&amp;"C"&amp;$A147)="N/A",0,RTD("tos.rtd",,AW$2,"."&amp;$D$134&amp;$AW$134&amp;"C"&amp;$A147))</f>
        <v>56</v>
      </c>
      <c r="AX147" s="3">
        <f>-IF(RTD("tos.rtd",,AX$2,"."&amp;$D$134&amp;$AW$134&amp;"P"&amp;$A147)="N/A",0,RTD("tos.rtd",,AX$2,"."&amp;$D$134&amp;$AW$134&amp;"P"&amp;$A147))</f>
        <v>-16</v>
      </c>
      <c r="AY147" s="76">
        <f t="shared" si="593"/>
        <v>106</v>
      </c>
      <c r="AZ147" s="8">
        <f t="shared" si="542"/>
        <v>20200</v>
      </c>
      <c r="BA147" s="54">
        <f>IF(RTD("tos.rtd",,BA$43,"."&amp;$B$134&amp;$AS$82&amp;"C"&amp;$A147)="N/A",0,RTD("tos.rtd",,BA$43,"."&amp;$B$134&amp;$AS$82&amp;"C"&amp;$A147))</f>
        <v>0</v>
      </c>
      <c r="BB147" s="3">
        <f>-IF(RTD("tos.rtd",,BB$43,"."&amp;$B$134&amp;$AS$82&amp;"P"&amp;$A147)="N/A",0,RTD("tos.rtd",,BB$43,"."&amp;$B$134&amp;$AS$82&amp;"P"&amp;$A147))</f>
        <v>0</v>
      </c>
      <c r="BC147" s="54">
        <f>IF(RTD("tos.rtd",,BC$2,"."&amp;$C$134&amp;$AU$82&amp;"C"&amp;$A147)="N/A",0,RTD("tos.rtd",,BC$2,"."&amp;$C$134&amp;$AU$82&amp;"C"&amp;$A147))</f>
        <v>1232</v>
      </c>
      <c r="BD147" s="3">
        <f>-IF(RTD("tos.rtd",,BD$2,"."&amp;$C$134&amp;$AU$82&amp;"P"&amp;$A147)="N/A",0,RTD("tos.rtd",,BD$2,"."&amp;$C$134&amp;$AU$82&amp;"P"&amp;$A147))</f>
        <v>-58</v>
      </c>
      <c r="BE147" s="54">
        <f>IF(RTD("tos.rtd",,BE$2,"."&amp;$D$134&amp;$AW$82&amp;"C"&amp;$A147)="N/A",0,RTD("tos.rtd",,BE$2,"."&amp;$D$134&amp;$AW$82&amp;"C"&amp;$A147))</f>
        <v>6</v>
      </c>
      <c r="BF147" s="3">
        <f>-IF(RTD("tos.rtd",,BF$2,"."&amp;$D$134&amp;$AW$82&amp;"P"&amp;$A147)="N/A",0,RTD("tos.rtd",,BF$2,"."&amp;$D$134&amp;$AW$82&amp;"P"&amp;$A147))</f>
        <v>-12</v>
      </c>
      <c r="BG147" s="3">
        <f ca="1">+Hoja2!Y148</f>
        <v>1</v>
      </c>
      <c r="BH147" s="7">
        <f t="shared" ca="1" si="543"/>
        <v>1169</v>
      </c>
      <c r="BI147" s="32" t="str">
        <f t="shared" ca="1" si="601"/>
        <v/>
      </c>
      <c r="BJ147" s="3" t="e">
        <f ca="1">IF($BP$1=1,DX147,IF(RTD("tos.rtd",,BJ$43,"."&amp;$B$134&amp;$AS$82&amp;"C"&amp;$A147)="N/A",0,RTD("tos.rtd",,BJ$43,"."&amp;$B$134&amp;$AS$82&amp;"C"&amp;$A147)))</f>
        <v>#NUM!</v>
      </c>
      <c r="BK147" s="3" t="e">
        <f ca="1">IF($BP$1=1,DY147,-IF(RTD("tos.rtd",,BK$43,"."&amp;$B$134&amp;$AS$82&amp;"P"&amp;$A147)="N/A",0,RTD("tos.rtd",,BK$43,"."&amp;$B$134&amp;$AS$82&amp;"P"&amp;$A147)))</f>
        <v>#NUM!</v>
      </c>
      <c r="BL147" s="3" t="e">
        <f ca="1">IF($BP$1=1,DZ147,IF(RTD("tos.rtd",,BL$2,"."&amp;$C$134&amp;$AU$82&amp;"C"&amp;$A147)="N/A",0,RTD("tos.rtd",,BL$2,"."&amp;$C$134&amp;$AU$82&amp;"C"&amp;$A147)))</f>
        <v>#NUM!</v>
      </c>
      <c r="BM147" s="3" t="e">
        <f ca="1">IF($BP$1=1,EA147,-IF(RTD("tos.rtd",,BM$2,"."&amp;$C$134&amp;$AU$82&amp;"P"&amp;$A147)="N/A",0,RTD("tos.rtd",,BM$2,"."&amp;$C$134&amp;$AU$82&amp;"P"&amp;$A147)))</f>
        <v>#NUM!</v>
      </c>
      <c r="BN147" s="3" t="e">
        <f ca="1">IF($BP$1=1,EB147,IF(RTD("tos.rtd",,BN$2,"."&amp;$D$134&amp;$AW$82&amp;"C"&amp;$A147)="N/A",0,RTD("tos.rtd",,BN$2,"."&amp;$D$134&amp;$AW$82&amp;"C"&amp;$A147)))</f>
        <v>#NUM!</v>
      </c>
      <c r="BO147" s="3" t="e">
        <f ca="1">IF($BP$1=1,EC147,-IF(RTD("tos.rtd",,BO$2,"."&amp;$D$134&amp;$AW$82&amp;"P"&amp;$A147)="N/A",0,RTD("tos.rtd",,BO$2,"."&amp;$D$134&amp;$AW$82&amp;"P"&amp;$A147)))</f>
        <v>#NUM!</v>
      </c>
      <c r="BQ147" s="3" t="e">
        <f t="shared" ca="1" si="594"/>
        <v>#NUM!</v>
      </c>
      <c r="BR147" s="3" t="e">
        <f t="shared" ca="1" si="544"/>
        <v>#NUM!</v>
      </c>
      <c r="BS147" s="3" t="e">
        <f t="shared" ca="1" si="595"/>
        <v>#NUM!</v>
      </c>
      <c r="BT147" s="3" t="e">
        <f t="shared" ca="1" si="545"/>
        <v>#NUM!</v>
      </c>
      <c r="BU147" s="3" t="e">
        <f t="shared" ca="1" si="596"/>
        <v>#NUM!</v>
      </c>
      <c r="BV147" s="3" t="e">
        <f t="shared" ca="1" si="545"/>
        <v>#NUM!</v>
      </c>
      <c r="BX147" s="3" t="e">
        <f t="shared" ca="1" si="579"/>
        <v>#NUM!</v>
      </c>
      <c r="BY147" s="3" t="e">
        <f t="shared" ca="1" si="580"/>
        <v>#NUM!</v>
      </c>
      <c r="BZ147" s="3" t="e">
        <f t="shared" ca="1" si="581"/>
        <v>#NUM!</v>
      </c>
      <c r="CA147" s="3" t="e">
        <f t="shared" ca="1" si="580"/>
        <v>#NUM!</v>
      </c>
      <c r="CB147" s="3" t="e">
        <f t="shared" ca="1" si="582"/>
        <v>#NUM!</v>
      </c>
      <c r="CC147" s="3" t="e">
        <f t="shared" ca="1" si="580"/>
        <v>#NUM!</v>
      </c>
      <c r="CD147" s="3">
        <f>IF(RTD("tos.rtd",,CD$43,"."&amp;$B$134&amp;$AS$82&amp;"C"&amp;$A147)="N/A",0,RTD("tos.rtd",,CD$43,"."&amp;$B$134&amp;$AS$82&amp;"C"&amp;$A147))</f>
        <v>0</v>
      </c>
      <c r="CE147" s="3">
        <f>-IF(RTD("tos.rtd",,CE$43,"."&amp;$B$134&amp;$AS$82&amp;"P"&amp;$A147)="N/A",0,RTD("tos.rtd",,CE$43,"."&amp;$B$134&amp;$AS$82&amp;"P"&amp;$A147))</f>
        <v>0.65</v>
      </c>
      <c r="CF147" s="3">
        <f>IF(RTD("tos.rtd",,CF$2,"."&amp;$C$134&amp;$AU$82&amp;"C"&amp;$A147)="N/A",0,RTD("tos.rtd",,CF$2,"."&amp;$C$134&amp;$AU$82&amp;"C"&amp;$A147))</f>
        <v>0</v>
      </c>
      <c r="CG147" s="3">
        <f>-IF(RTD("tos.rtd",,CG$2,"."&amp;$C$134&amp;$AU$82&amp;"P"&amp;$A147)="N/A",0,RTD("tos.rtd",,CG$2,"."&amp;$C$134&amp;$AU$82&amp;"P"&amp;$A147))</f>
        <v>0.91</v>
      </c>
      <c r="CH147" s="3">
        <f>IF(RTD("tos.rtd",,CH$2,"."&amp;$D$134&amp;$AW$82&amp;"C"&amp;$A147)="N/A",0,RTD("tos.rtd",,CH$2,"."&amp;$D$134&amp;$AW$82&amp;"C"&amp;$A147))</f>
        <v>0.42</v>
      </c>
      <c r="CI147" s="3">
        <f>-IF(RTD("tos.rtd",,CI$2,"."&amp;$D$134&amp;$AW$82&amp;"P"&amp;$A147)="N/A",0,RTD("tos.rtd",,CI$2,"."&amp;$D$134&amp;$AW$82&amp;"P"&amp;$A147))</f>
        <v>0.56999999999999995</v>
      </c>
      <c r="CK147" s="3">
        <f t="shared" si="597"/>
        <v>-195.00000000000003</v>
      </c>
      <c r="CL147" s="3"/>
      <c r="CM147" s="3">
        <f t="shared" si="598"/>
        <v>-1092</v>
      </c>
      <c r="CN147" s="3"/>
      <c r="CO147" s="3">
        <f t="shared" si="599"/>
        <v>1440</v>
      </c>
      <c r="CP147" s="3">
        <f t="shared" si="536"/>
        <v>153</v>
      </c>
      <c r="CQ147" s="3">
        <f t="shared" si="546"/>
        <v>0</v>
      </c>
      <c r="CR147" s="3"/>
      <c r="CS147" s="3">
        <f t="shared" si="547"/>
        <v>1174</v>
      </c>
      <c r="CT147" s="3"/>
      <c r="CU147" s="3">
        <f t="shared" si="548"/>
        <v>-6</v>
      </c>
      <c r="CV147" s="3"/>
      <c r="CW147" s="3" t="e">
        <f t="shared" ca="1" si="549"/>
        <v>#NUM!</v>
      </c>
      <c r="CY147" s="3" t="e">
        <f t="shared" ca="1" si="550"/>
        <v>#NUM!</v>
      </c>
      <c r="CZ147" s="70" t="e">
        <f t="shared" ca="1" si="583"/>
        <v>#NUM!</v>
      </c>
      <c r="DA147" s="3">
        <f>IF(RTD("tos.rtd",,DA$43,"."&amp;$B$134&amp;$AS$82&amp;"C"&amp;$A147)="N/A",0,RTD("tos.rtd",,DA$43,"."&amp;$B$134&amp;$AS$82&amp;"C"&amp;$A147))</f>
        <v>0.05</v>
      </c>
      <c r="DB147" s="3">
        <f>IF(RTD("tos.rtd",,DB$43,"."&amp;$B$134&amp;$AS$82&amp;"P"&amp;$A147)="N/A",0,RTD("tos.rtd",,DB$43,"."&amp;$B$134&amp;$AS$82&amp;"P"&amp;$A147))</f>
        <v>200.1</v>
      </c>
      <c r="DC147" s="3">
        <f>IF(RTD("tos.rtd",,DC$43,"."&amp;$B$134&amp;$AS$82&amp;"C"&amp;$A147)="N/A",0,RTD("tos.rtd",,DC$43,"."&amp;$B$134&amp;$AS$82&amp;"C"&amp;$A147))</f>
        <v>0.05</v>
      </c>
      <c r="DD147" s="3">
        <f>IF(RTD("tos.rtd",,DD$43,"."&amp;$B$134&amp;$AS$82&amp;"P"&amp;$A147)="N/A",0,RTD("tos.rtd",,DD$43,"."&amp;$B$134&amp;$AS$82&amp;"P"&amp;$A147))</f>
        <v>232.9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212.9</v>
      </c>
      <c r="DG147" s="86">
        <f t="shared" si="584"/>
        <v>153.5</v>
      </c>
      <c r="DH147" s="3">
        <f t="shared" si="551"/>
        <v>-717</v>
      </c>
      <c r="DI147" s="3">
        <f t="shared" si="552"/>
        <v>-7.0400000000000063</v>
      </c>
      <c r="DJ147" s="3">
        <f t="shared" si="553"/>
        <v>-717</v>
      </c>
      <c r="DK147" s="3">
        <f t="shared" si="554"/>
        <v>-11</v>
      </c>
      <c r="DL147" s="3">
        <f t="shared" si="555"/>
        <v>-724.04</v>
      </c>
      <c r="DM147" s="3">
        <f t="shared" si="556"/>
        <v>-728</v>
      </c>
      <c r="DN147" s="64" t="str">
        <f t="shared" si="557"/>
        <v>UNKNOWN</v>
      </c>
      <c r="DO147" s="64" t="str">
        <f t="shared" si="558"/>
        <v>UNKNOWN</v>
      </c>
      <c r="DP147" s="3">
        <f t="shared" si="559"/>
        <v>-1444.5540000000012</v>
      </c>
      <c r="DQ147" s="3">
        <f t="shared" si="560"/>
        <v>-2236.9499999999998</v>
      </c>
      <c r="DR147" s="3" t="e">
        <f t="shared" ca="1" si="561"/>
        <v>#NUM!</v>
      </c>
      <c r="DS147" s="3">
        <f t="shared" si="562"/>
        <v>-7.15</v>
      </c>
      <c r="DT147" s="3">
        <f t="shared" si="585"/>
        <v>-717</v>
      </c>
      <c r="DU147" s="3">
        <f t="shared" si="586"/>
        <v>11</v>
      </c>
      <c r="DV147" s="3">
        <f t="shared" si="563"/>
        <v>-115</v>
      </c>
      <c r="DW147" s="3">
        <f t="shared" si="564"/>
        <v>-1</v>
      </c>
      <c r="DX147" s="3" t="e">
        <f t="shared" ca="1" si="565"/>
        <v>#NUM!</v>
      </c>
      <c r="DY147" s="3" t="e">
        <f t="shared" ca="1" si="566"/>
        <v>#NUM!</v>
      </c>
      <c r="DZ147" s="3" t="e">
        <f t="shared" ca="1" si="567"/>
        <v>#NUM!</v>
      </c>
      <c r="EA147" s="3" t="e">
        <f t="shared" ca="1" si="568"/>
        <v>#NUM!</v>
      </c>
      <c r="EB147" s="3" t="e">
        <f t="shared" ca="1" si="569"/>
        <v>#NUM!</v>
      </c>
      <c r="EC147" s="3" t="e">
        <f t="shared" ca="1" si="570"/>
        <v>#NUM!</v>
      </c>
      <c r="EE147" s="59">
        <f t="shared" si="571"/>
        <v>0.31319999999999998</v>
      </c>
      <c r="EF147" s="59">
        <f t="shared" si="572"/>
        <v>2.3595999999999999</v>
      </c>
      <c r="EG147" s="59">
        <f t="shared" si="573"/>
        <v>0.31319999999999998</v>
      </c>
      <c r="EH147" s="59">
        <f t="shared" si="574"/>
        <v>0.67700000000000005</v>
      </c>
      <c r="EI147" s="59">
        <f t="shared" si="575"/>
        <v>0.2636</v>
      </c>
      <c r="EJ147" s="59">
        <f t="shared" si="576"/>
        <v>0.28070000000000001</v>
      </c>
      <c r="EL147" s="3" t="str">
        <f>RTD("tos.rtd",,EL$43,"."&amp;$B$134&amp;$AS$82&amp;"C"&amp;$A147)</f>
        <v>31.32%</v>
      </c>
      <c r="EM147" s="3" t="str">
        <f>RTD("tos.rtd",,EM$43,"."&amp;$B$134&amp;$AS$82&amp;"P"&amp;$A147)</f>
        <v>235.96%</v>
      </c>
      <c r="EN147" s="3" t="str">
        <f>RTD("tos.rtd",,EN$2,"."&amp;$C$134&amp;$AU$82&amp;"C"&amp;$A147)</f>
        <v>31.32%</v>
      </c>
      <c r="EO147" s="3" t="str">
        <f>RTD("tos.rtd",,EO$2,"."&amp;$C$134&amp;$AU$82&amp;"P"&amp;$A147)</f>
        <v>67.70%</v>
      </c>
      <c r="EP147" s="3" t="str">
        <f>RTD("tos.rtd",,EP$2,"."&amp;$D$134&amp;$AW$82&amp;"C"&amp;$A147)</f>
        <v>26.36%</v>
      </c>
      <c r="EQ147" s="3" t="str">
        <f>RTD("tos.rtd",,EQ$2,"."&amp;$D$134&amp;$AW$82&amp;"P"&amp;$A147)</f>
        <v>28.07%</v>
      </c>
      <c r="ES147" s="63" t="str">
        <f t="shared" si="577"/>
        <v>20200,-116.00</v>
      </c>
      <c r="ET147" s="64" t="str">
        <f t="shared" ca="1" si="578"/>
        <v>20200,00.00</v>
      </c>
      <c r="EU147" s="68">
        <v>562.87</v>
      </c>
      <c r="EV147" s="68" t="s">
        <v>1195</v>
      </c>
      <c r="EW147" s="68">
        <v>485.48</v>
      </c>
      <c r="EX147" s="68" t="s">
        <v>1196</v>
      </c>
      <c r="EY147" s="68">
        <v>5642.5</v>
      </c>
      <c r="EZ147" s="68" t="s">
        <v>1197</v>
      </c>
      <c r="FA147" s="68">
        <v>19942.75</v>
      </c>
      <c r="FB147" s="68" t="s">
        <v>1198</v>
      </c>
      <c r="FC147" s="68" t="s">
        <v>1199</v>
      </c>
      <c r="FD147" s="68" t="s">
        <v>1200</v>
      </c>
      <c r="FE147" s="68" t="s">
        <v>1201</v>
      </c>
      <c r="FF147" s="68" t="s">
        <v>1202</v>
      </c>
    </row>
    <row r="148" spans="1:162" ht="11.1" customHeight="1" thickBot="1" x14ac:dyDescent="0.25">
      <c r="A148" s="2">
        <f t="shared" si="587"/>
        <v>20175</v>
      </c>
      <c r="B148" s="3">
        <f t="shared" si="602"/>
        <v>7</v>
      </c>
      <c r="C148" s="3">
        <f t="shared" si="603"/>
        <v>22</v>
      </c>
      <c r="D148" s="3">
        <f t="shared" si="604"/>
        <v>28</v>
      </c>
      <c r="E148" s="3">
        <f t="shared" ref="E148:E166" si="605">SUM(B148:D148)</f>
        <v>57</v>
      </c>
      <c r="F148" s="4">
        <f t="shared" ref="F148:F153" si="606">+$F$136/$A$136*A148</f>
        <v>20275.641009652554</v>
      </c>
      <c r="G148" s="5">
        <f t="shared" ref="G148:G166" si="607">+$G$136/$A$136*A148</f>
        <v>491.04761429676</v>
      </c>
      <c r="AM148" s="1">
        <v>-9</v>
      </c>
      <c r="AN148" s="1">
        <v>1</v>
      </c>
      <c r="AO148" s="1">
        <v>20175</v>
      </c>
      <c r="AP148" s="1">
        <v>106</v>
      </c>
      <c r="AQ148" s="1">
        <v>-1</v>
      </c>
      <c r="AS148" s="54">
        <f>IF(RTD("tos.rtd",,AS$83,"."&amp;$B$134&amp;$AS$82&amp;"C"&amp;$A148)="N/A",0,RTD("tos.rtd",,AS$83,"."&amp;$B$134&amp;$AS$82&amp;"C"&amp;$A148))</f>
        <v>6</v>
      </c>
      <c r="AT148" s="3">
        <f>-IF(RTD("tos.rtd",,AT$83,"."&amp;$B$134&amp;$AS$82&amp;"P"&amp;$A148)="N/A",0,RTD("tos.rtd",,AT$83,"."&amp;$B$134&amp;$AS$82&amp;"P"&amp;$A148))</f>
        <v>-1</v>
      </c>
      <c r="AU148" s="54">
        <f>IF(RTD("tos.rtd",,AU$2,"."&amp;$C$134&amp;$AU$134&amp;"C"&amp;$A148)="N/A",0,RTD("tos.rtd",,AU$2,"."&amp;$C$134&amp;$AU$134&amp;"C"&amp;$A148))</f>
        <v>21</v>
      </c>
      <c r="AV148" s="3">
        <f>-IF(RTD("tos.rtd",,AV$2,"."&amp;$C$134&amp;$AU$134&amp;"P"&amp;$A148)="N/A",0,RTD("tos.rtd",,AV$2,"."&amp;$C$134&amp;$AU$134&amp;"P"&amp;$A148))</f>
        <v>-1</v>
      </c>
      <c r="AW148" s="54">
        <f>IF(RTD("tos.rtd",,AW$2,"."&amp;$D$134&amp;$AW$134&amp;"C"&amp;$A148)="N/A",0,RTD("tos.rtd",,AW$2,"."&amp;$D$134&amp;$AW$134&amp;"C"&amp;$A148))</f>
        <v>17</v>
      </c>
      <c r="AX148" s="3">
        <f>-IF(RTD("tos.rtd",,AX$2,"."&amp;$D$134&amp;$AW$134&amp;"P"&amp;$A148)="N/A",0,RTD("tos.rtd",,AX$2,"."&amp;$D$134&amp;$AW$134&amp;"P"&amp;$A148))</f>
        <v>-11</v>
      </c>
      <c r="AY148" s="76">
        <f t="shared" ref="AY148:AY153" si="608">SUM(AS148:AX148)</f>
        <v>31</v>
      </c>
      <c r="AZ148" s="8">
        <f t="shared" si="542"/>
        <v>20175</v>
      </c>
      <c r="BA148" s="54">
        <f>IF(RTD("tos.rtd",,BA$43,"."&amp;$B$134&amp;$AS$82&amp;"C"&amp;$A148)="N/A",0,RTD("tos.rtd",,BA$43,"."&amp;$B$134&amp;$AS$82&amp;"C"&amp;$A148))</f>
        <v>0</v>
      </c>
      <c r="BB148" s="3">
        <f>-IF(RTD("tos.rtd",,BB$43,"."&amp;$B$134&amp;$AS$82&amp;"P"&amp;$A148)="N/A",0,RTD("tos.rtd",,BB$43,"."&amp;$B$134&amp;$AS$82&amp;"P"&amp;$A148))</f>
        <v>0</v>
      </c>
      <c r="BC148" s="54">
        <f>IF(RTD("tos.rtd",,BC$2,"."&amp;$C$134&amp;$AU$82&amp;"C"&amp;$A148)="N/A",0,RTD("tos.rtd",,BC$2,"."&amp;$C$134&amp;$AU$82&amp;"C"&amp;$A148))</f>
        <v>178</v>
      </c>
      <c r="BD148" s="3">
        <f>-IF(RTD("tos.rtd",,BD$2,"."&amp;$C$134&amp;$AU$82&amp;"P"&amp;$A148)="N/A",0,RTD("tos.rtd",,BD$2,"."&amp;$C$134&amp;$AU$82&amp;"P"&amp;$A148))</f>
        <v>-16</v>
      </c>
      <c r="BE148" s="54">
        <f>IF(RTD("tos.rtd",,BE$2,"."&amp;$D$134&amp;$AW$82&amp;"C"&amp;$A148)="N/A",0,RTD("tos.rtd",,BE$2,"."&amp;$D$134&amp;$AW$82&amp;"C"&amp;$A148))</f>
        <v>11</v>
      </c>
      <c r="BF148" s="3">
        <f>-IF(RTD("tos.rtd",,BF$2,"."&amp;$D$134&amp;$AW$82&amp;"P"&amp;$A148)="N/A",0,RTD("tos.rtd",,BF$2,"."&amp;$D$134&amp;$AW$82&amp;"P"&amp;$A148))</f>
        <v>-8</v>
      </c>
      <c r="BG148" s="3">
        <f ca="1">+Hoja2!Y149</f>
        <v>0</v>
      </c>
      <c r="BH148" s="7">
        <f t="shared" ca="1" si="543"/>
        <v>165</v>
      </c>
      <c r="BI148" s="32" t="str">
        <f t="shared" ca="1" si="601"/>
        <v/>
      </c>
      <c r="BJ148" s="3" t="e">
        <f ca="1">IF($BP$1=1,DX148,IF(RTD("tos.rtd",,BJ$43,"."&amp;$B$134&amp;$AS$82&amp;"C"&amp;$A148)="N/A",0,RTD("tos.rtd",,BJ$43,"."&amp;$B$134&amp;$AS$82&amp;"C"&amp;$A148)))</f>
        <v>#NUM!</v>
      </c>
      <c r="BK148" s="3" t="e">
        <f ca="1">IF($BP$1=1,DY148,-IF(RTD("tos.rtd",,BK$43,"."&amp;$B$134&amp;$AS$82&amp;"P"&amp;$A148)="N/A",0,RTD("tos.rtd",,BK$43,"."&amp;$B$134&amp;$AS$82&amp;"P"&amp;$A148)))</f>
        <v>#NUM!</v>
      </c>
      <c r="BL148" s="3" t="e">
        <f ca="1">IF($BP$1=1,DZ148,IF(RTD("tos.rtd",,BL$2,"."&amp;$C$134&amp;$AU$82&amp;"C"&amp;$A148)="N/A",0,RTD("tos.rtd",,BL$2,"."&amp;$C$134&amp;$AU$82&amp;"C"&amp;$A148)))</f>
        <v>#NUM!</v>
      </c>
      <c r="BM148" s="3" t="e">
        <f ca="1">IF($BP$1=1,EA148,-IF(RTD("tos.rtd",,BM$2,"."&amp;$C$134&amp;$AU$82&amp;"P"&amp;$A148)="N/A",0,RTD("tos.rtd",,BM$2,"."&amp;$C$134&amp;$AU$82&amp;"P"&amp;$A148)))</f>
        <v>#NUM!</v>
      </c>
      <c r="BN148" s="3" t="e">
        <f ca="1">IF($BP$1=1,EB148,IF(RTD("tos.rtd",,BN$2,"."&amp;$D$134&amp;$AW$82&amp;"C"&amp;$A148)="N/A",0,RTD("tos.rtd",,BN$2,"."&amp;$D$134&amp;$AW$82&amp;"C"&amp;$A148)))</f>
        <v>#NUM!</v>
      </c>
      <c r="BO148" s="3" t="e">
        <f ca="1">IF($BP$1=1,EC148,-IF(RTD("tos.rtd",,BO$2,"."&amp;$D$134&amp;$AW$82&amp;"P"&amp;$A148)="N/A",0,RTD("tos.rtd",,BO$2,"."&amp;$D$134&amp;$AW$82&amp;"P"&amp;$A148)))</f>
        <v>#NUM!</v>
      </c>
      <c r="BQ148" s="3" t="e">
        <f t="shared" ref="BQ148:BQ153" ca="1" si="609">+$A$84*$A$84*AS148*BJ148-$A$84*$A$84*AT148*BK148</f>
        <v>#NUM!</v>
      </c>
      <c r="BR148" s="3" t="e">
        <f t="shared" ca="1" si="544"/>
        <v>#NUM!</v>
      </c>
      <c r="BS148" s="3" t="e">
        <f t="shared" ref="BS148:BS153" ca="1" si="610">+$A$84*$A$84*AU148*BL148-$A$84*$A$84*AV148*BM148</f>
        <v>#NUM!</v>
      </c>
      <c r="BT148" s="3" t="e">
        <f t="shared" ca="1" si="545"/>
        <v>#NUM!</v>
      </c>
      <c r="BU148" s="3" t="e">
        <f t="shared" ref="BU148:BU153" ca="1" si="611">+$A$84*$A$84*AW148*BN148-$A$84*$A$84*AX148*BO148</f>
        <v>#NUM!</v>
      </c>
      <c r="BV148" s="3" t="e">
        <f t="shared" ca="1" si="545"/>
        <v>#NUM!</v>
      </c>
      <c r="BX148" s="3" t="e">
        <f t="shared" ca="1" si="579"/>
        <v>#NUM!</v>
      </c>
      <c r="BY148" s="3" t="e">
        <f t="shared" ca="1" si="580"/>
        <v>#NUM!</v>
      </c>
      <c r="BZ148" s="3" t="e">
        <f t="shared" ca="1" si="581"/>
        <v>#NUM!</v>
      </c>
      <c r="CA148" s="3" t="e">
        <f t="shared" ca="1" si="580"/>
        <v>#NUM!</v>
      </c>
      <c r="CB148" s="3" t="e">
        <f t="shared" ca="1" si="582"/>
        <v>#NUM!</v>
      </c>
      <c r="CC148" s="3" t="e">
        <f t="shared" ca="1" si="580"/>
        <v>#NUM!</v>
      </c>
      <c r="CD148" s="3">
        <f>IF(RTD("tos.rtd",,CD$43,"."&amp;$B$134&amp;$AS$82&amp;"C"&amp;$A148)="N/A",0,RTD("tos.rtd",,CD$43,"."&amp;$B$134&amp;$AS$82&amp;"C"&amp;$A148))</f>
        <v>0.16</v>
      </c>
      <c r="CE148" s="3">
        <f>-IF(RTD("tos.rtd",,CE$43,"."&amp;$B$134&amp;$AS$82&amp;"P"&amp;$A148)="N/A",0,RTD("tos.rtd",,CE$43,"."&amp;$B$134&amp;$AS$82&amp;"P"&amp;$A148))</f>
        <v>0.63</v>
      </c>
      <c r="CF148" s="3">
        <f>IF(RTD("tos.rtd",,CF$2,"."&amp;$C$134&amp;$AU$82&amp;"C"&amp;$A148)="N/A",0,RTD("tos.rtd",,CF$2,"."&amp;$C$134&amp;$AU$82&amp;"C"&amp;$A148))</f>
        <v>0.16</v>
      </c>
      <c r="CG148" s="3">
        <f>-IF(RTD("tos.rtd",,CG$2,"."&amp;$C$134&amp;$AU$82&amp;"P"&amp;$A148)="N/A",0,RTD("tos.rtd",,CG$2,"."&amp;$C$134&amp;$AU$82&amp;"P"&amp;$A148))</f>
        <v>0.88</v>
      </c>
      <c r="CH148" s="3">
        <f>IF(RTD("tos.rtd",,CH$2,"."&amp;$D$134&amp;$AW$82&amp;"C"&amp;$A148)="N/A",0,RTD("tos.rtd",,CH$2,"."&amp;$D$134&amp;$AW$82&amp;"C"&amp;$A148))</f>
        <v>0.44</v>
      </c>
      <c r="CI148" s="3">
        <f>-IF(RTD("tos.rtd",,CI$2,"."&amp;$D$134&amp;$AW$82&amp;"P"&amp;$A148)="N/A",0,RTD("tos.rtd",,CI$2,"."&amp;$D$134&amp;$AW$82&amp;"P"&amp;$A148))</f>
        <v>0.56000000000000005</v>
      </c>
      <c r="CK148" s="3">
        <f t="shared" ref="CK148:CK167" si="612">+AS148*CD148*100+AT148*CE148*100</f>
        <v>33</v>
      </c>
      <c r="CL148" s="3"/>
      <c r="CM148" s="3">
        <f t="shared" ref="CM148:CM167" si="613">+AU148*CF148*100+AV148*CG148*100</f>
        <v>248</v>
      </c>
      <c r="CN148" s="3"/>
      <c r="CO148" s="3">
        <f t="shared" ref="CO148:CO167" si="614">+AW148*CH148*100+AX148*CI148*100</f>
        <v>132</v>
      </c>
      <c r="CP148" s="3">
        <f t="shared" si="536"/>
        <v>413</v>
      </c>
      <c r="CQ148" s="3">
        <f t="shared" si="546"/>
        <v>0</v>
      </c>
      <c r="CR148" s="3"/>
      <c r="CS148" s="3">
        <f t="shared" si="547"/>
        <v>162</v>
      </c>
      <c r="CT148" s="3"/>
      <c r="CU148" s="3">
        <f t="shared" si="548"/>
        <v>3</v>
      </c>
      <c r="CV148" s="3"/>
      <c r="CW148" s="3" t="e">
        <f t="shared" ca="1" si="549"/>
        <v>#NUM!</v>
      </c>
      <c r="CY148" s="3" t="e">
        <f t="shared" ca="1" si="550"/>
        <v>#NUM!</v>
      </c>
      <c r="CZ148" s="70" t="e">
        <f t="shared" ca="1" si="583"/>
        <v>#NUM!</v>
      </c>
      <c r="DA148" s="3">
        <f>IF(RTD("tos.rtd",,DA$43,"."&amp;$B$134&amp;$AS$82&amp;"C"&amp;$A148)="N/A",0,RTD("tos.rtd",,DA$43,"."&amp;$B$134&amp;$AS$82&amp;"C"&amp;$A148))</f>
        <v>0.3</v>
      </c>
      <c r="DB148" s="3">
        <f>IF(RTD("tos.rtd",,DB$43,"."&amp;$B$134&amp;$AS$82&amp;"P"&amp;$A148)="N/A",0,RTD("tos.rtd",,DB$43,"."&amp;$B$134&amp;$AS$82&amp;"P"&amp;$A148))</f>
        <v>169.8</v>
      </c>
      <c r="DC148" s="3">
        <f>IF(RTD("tos.rtd",,DC$43,"."&amp;$B$134&amp;$AS$82&amp;"C"&amp;$A148)="N/A",0,RTD("tos.rtd",,DC$43,"."&amp;$B$134&amp;$AS$82&amp;"C"&amp;$A148))</f>
        <v>19.8</v>
      </c>
      <c r="DD148" s="3">
        <f>IF(RTD("tos.rtd",,DD$43,"."&amp;$B$134&amp;$AS$82&amp;"P"&amp;$A148)="N/A",0,RTD("tos.rtd",,DD$43,"."&amp;$B$134&amp;$AS$82&amp;"P"&amp;$A148))</f>
        <v>211.5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191.5</v>
      </c>
      <c r="DG148" s="86">
        <f t="shared" si="584"/>
        <v>128.5</v>
      </c>
      <c r="DH148" s="3">
        <f t="shared" si="551"/>
        <v>-1.606060606060606</v>
      </c>
      <c r="DI148" s="3">
        <f t="shared" si="552"/>
        <v>-1.0849999999999995</v>
      </c>
      <c r="DJ148" s="3">
        <f t="shared" si="553"/>
        <v>106</v>
      </c>
      <c r="DK148" s="3">
        <f t="shared" si="554"/>
        <v>-1</v>
      </c>
      <c r="DL148" s="3">
        <f t="shared" si="555"/>
        <v>-2.6910606060606055</v>
      </c>
      <c r="DM148" s="3">
        <f t="shared" si="556"/>
        <v>105</v>
      </c>
      <c r="DN148" s="64" t="str">
        <f t="shared" si="557"/>
        <v>UNKNOWN</v>
      </c>
      <c r="DO148" s="64" t="str">
        <f t="shared" si="558"/>
        <v>UNKNOWN</v>
      </c>
      <c r="DP148" s="3">
        <f t="shared" si="559"/>
        <v>-184.71481818181809</v>
      </c>
      <c r="DQ148" s="3">
        <f t="shared" si="560"/>
        <v>-138</v>
      </c>
      <c r="DR148" s="3" t="e">
        <f t="shared" ca="1" si="561"/>
        <v>#NUM!</v>
      </c>
      <c r="DS148" s="3">
        <f t="shared" si="562"/>
        <v>16.330000000000002</v>
      </c>
      <c r="DT148" s="3">
        <f t="shared" si="585"/>
        <v>-106</v>
      </c>
      <c r="DU148" s="3">
        <f t="shared" si="586"/>
        <v>1</v>
      </c>
      <c r="DV148" s="3">
        <f t="shared" si="563"/>
        <v>-9</v>
      </c>
      <c r="DW148" s="3">
        <f t="shared" si="564"/>
        <v>1</v>
      </c>
      <c r="DX148" s="3" t="e">
        <f t="shared" ca="1" si="565"/>
        <v>#NUM!</v>
      </c>
      <c r="DY148" s="3" t="e">
        <f t="shared" ca="1" si="566"/>
        <v>#NUM!</v>
      </c>
      <c r="DZ148" s="3" t="e">
        <f t="shared" ca="1" si="567"/>
        <v>#NUM!</v>
      </c>
      <c r="EA148" s="3" t="e">
        <f t="shared" ca="1" si="568"/>
        <v>#NUM!</v>
      </c>
      <c r="EB148" s="3" t="e">
        <f t="shared" ca="1" si="569"/>
        <v>#NUM!</v>
      </c>
      <c r="EC148" s="3" t="e">
        <f t="shared" ca="1" si="570"/>
        <v>#NUM!</v>
      </c>
      <c r="EE148" s="59">
        <f t="shared" si="571"/>
        <v>0.75900000000000001</v>
      </c>
      <c r="EF148" s="59">
        <f t="shared" si="572"/>
        <v>2.266</v>
      </c>
      <c r="EG148" s="59">
        <f t="shared" si="573"/>
        <v>0.75900000000000001</v>
      </c>
      <c r="EH148" s="59">
        <f t="shared" si="574"/>
        <v>0.62739999999999996</v>
      </c>
      <c r="EI148" s="59">
        <f t="shared" si="575"/>
        <v>0.26419999999999999</v>
      </c>
      <c r="EJ148" s="59">
        <f t="shared" si="576"/>
        <v>0.28129999999999999</v>
      </c>
      <c r="EL148" s="3" t="str">
        <f>RTD("tos.rtd",,EL$43,"."&amp;$B$134&amp;$AS$82&amp;"C"&amp;$A148)</f>
        <v>75.90%</v>
      </c>
      <c r="EM148" s="3" t="str">
        <f>RTD("tos.rtd",,EM$43,"."&amp;$B$134&amp;$AS$82&amp;"P"&amp;$A148)</f>
        <v>226.60%</v>
      </c>
      <c r="EN148" s="3" t="str">
        <f>RTD("tos.rtd",,EN$2,"."&amp;$C$134&amp;$AU$82&amp;"C"&amp;$A148)</f>
        <v>75.90%</v>
      </c>
      <c r="EO148" s="3" t="str">
        <f>RTD("tos.rtd",,EO$2,"."&amp;$C$134&amp;$AU$82&amp;"P"&amp;$A148)</f>
        <v>62.74%</v>
      </c>
      <c r="EP148" s="3" t="str">
        <f>RTD("tos.rtd",,EP$2,"."&amp;$D$134&amp;$AW$82&amp;"C"&amp;$A148)</f>
        <v>26.42%</v>
      </c>
      <c r="EQ148" s="3" t="str">
        <f>RTD("tos.rtd",,EQ$2,"."&amp;$D$134&amp;$AW$82&amp;"P"&amp;$A148)</f>
        <v>28.13%</v>
      </c>
      <c r="ES148" s="63" t="str">
        <f t="shared" si="577"/>
        <v>20175,-08.00</v>
      </c>
      <c r="ET148" s="64" t="str">
        <f t="shared" ca="1" si="578"/>
        <v>20175,00.00</v>
      </c>
      <c r="EU148" s="68">
        <v>562.79999999999995</v>
      </c>
      <c r="EV148" s="68" t="s">
        <v>1203</v>
      </c>
      <c r="EW148" s="68">
        <v>485.35</v>
      </c>
      <c r="EX148" s="68" t="s">
        <v>1204</v>
      </c>
      <c r="EY148" s="68">
        <v>5641.75</v>
      </c>
      <c r="EZ148" s="68" t="s">
        <v>1205</v>
      </c>
      <c r="FA148" s="68">
        <v>19938</v>
      </c>
      <c r="FB148" s="68" t="s">
        <v>1206</v>
      </c>
      <c r="FC148" s="68" t="s">
        <v>1207</v>
      </c>
      <c r="FD148" s="68" t="s">
        <v>1208</v>
      </c>
      <c r="FE148" s="68" t="s">
        <v>1209</v>
      </c>
      <c r="FF148" s="68" t="s">
        <v>1210</v>
      </c>
    </row>
    <row r="149" spans="1:162" ht="11.1" customHeight="1" thickBot="1" x14ac:dyDescent="0.25">
      <c r="A149" s="2">
        <f t="shared" si="587"/>
        <v>20150</v>
      </c>
      <c r="B149" s="3">
        <f t="shared" si="602"/>
        <v>14</v>
      </c>
      <c r="C149" s="3">
        <f t="shared" si="603"/>
        <v>37</v>
      </c>
      <c r="D149" s="3">
        <f t="shared" si="604"/>
        <v>29</v>
      </c>
      <c r="E149" s="3">
        <f t="shared" si="605"/>
        <v>80</v>
      </c>
      <c r="F149" s="4">
        <f t="shared" si="606"/>
        <v>20250.51629960342</v>
      </c>
      <c r="G149" s="5">
        <f t="shared" si="607"/>
        <v>490.43912902501683</v>
      </c>
      <c r="AM149" s="1">
        <v>-168</v>
      </c>
      <c r="AN149" s="1">
        <v>-2</v>
      </c>
      <c r="AO149" s="1">
        <v>20150</v>
      </c>
      <c r="AP149" s="1">
        <v>934</v>
      </c>
      <c r="AQ149" s="1">
        <v>-22</v>
      </c>
      <c r="AS149" s="54">
        <f>IF(RTD("tos.rtd",,AS$83,"."&amp;$B$134&amp;$AS$82&amp;"C"&amp;$A149)="N/A",0,RTD("tos.rtd",,AS$83,"."&amp;$B$134&amp;$AS$82&amp;"C"&amp;$A149))</f>
        <v>10</v>
      </c>
      <c r="AT149" s="3">
        <f>-IF(RTD("tos.rtd",,AT$83,"."&amp;$B$134&amp;$AS$82&amp;"P"&amp;$A149)="N/A",0,RTD("tos.rtd",,AT$83,"."&amp;$B$134&amp;$AS$82&amp;"P"&amp;$A149))</f>
        <v>-4</v>
      </c>
      <c r="AU149" s="54">
        <f>IF(RTD("tos.rtd",,AU$2,"."&amp;$C$134&amp;$AU$134&amp;"C"&amp;$A149)="N/A",0,RTD("tos.rtd",,AU$2,"."&amp;$C$134&amp;$AU$134&amp;"C"&amp;$A149))</f>
        <v>14</v>
      </c>
      <c r="AV149" s="3">
        <f>-IF(RTD("tos.rtd",,AV$2,"."&amp;$C$134&amp;$AU$134&amp;"P"&amp;$A149)="N/A",0,RTD("tos.rtd",,AV$2,"."&amp;$C$134&amp;$AU$134&amp;"P"&amp;$A149))</f>
        <v>-23</v>
      </c>
      <c r="AW149" s="54">
        <f>IF(RTD("tos.rtd",,AW$2,"."&amp;$D$134&amp;$AW$134&amp;"C"&amp;$A149)="N/A",0,RTD("tos.rtd",,AW$2,"."&amp;$D$134&amp;$AW$134&amp;"C"&amp;$A149))</f>
        <v>21</v>
      </c>
      <c r="AX149" s="3">
        <f>-IF(RTD("tos.rtd",,AX$2,"."&amp;$D$134&amp;$AW$134&amp;"P"&amp;$A149)="N/A",0,RTD("tos.rtd",,AX$2,"."&amp;$D$134&amp;$AW$134&amp;"P"&amp;$A149))</f>
        <v>-8</v>
      </c>
      <c r="AY149" s="76">
        <f t="shared" si="608"/>
        <v>10</v>
      </c>
      <c r="AZ149" s="8">
        <f t="shared" si="542"/>
        <v>20150</v>
      </c>
      <c r="BA149" s="54">
        <f>IF(RTD("tos.rtd",,BA$43,"."&amp;$B$134&amp;$AS$82&amp;"C"&amp;$A149)="N/A",0,RTD("tos.rtd",,BA$43,"."&amp;$B$134&amp;$AS$82&amp;"C"&amp;$A149))</f>
        <v>0</v>
      </c>
      <c r="BB149" s="3">
        <f>-IF(RTD("tos.rtd",,BB$43,"."&amp;$B$134&amp;$AS$82&amp;"P"&amp;$A149)="N/A",0,RTD("tos.rtd",,BB$43,"."&amp;$B$134&amp;$AS$82&amp;"P"&amp;$A149))</f>
        <v>0</v>
      </c>
      <c r="BC149" s="54">
        <f>IF(RTD("tos.rtd",,BC$2,"."&amp;$C$134&amp;$AU$82&amp;"C"&amp;$A149)="N/A",0,RTD("tos.rtd",,BC$2,"."&amp;$C$134&amp;$AU$82&amp;"C"&amp;$A149))</f>
        <v>763</v>
      </c>
      <c r="BD149" s="3">
        <f>-IF(RTD("tos.rtd",,BD$2,"."&amp;$C$134&amp;$AU$82&amp;"P"&amp;$A149)="N/A",0,RTD("tos.rtd",,BD$2,"."&amp;$C$134&amp;$AU$82&amp;"P"&amp;$A149))</f>
        <v>-135</v>
      </c>
      <c r="BE149" s="54">
        <f>IF(RTD("tos.rtd",,BE$2,"."&amp;$D$134&amp;$AW$82&amp;"C"&amp;$A149)="N/A",0,RTD("tos.rtd",,BE$2,"."&amp;$D$134&amp;$AW$82&amp;"C"&amp;$A149))</f>
        <v>10</v>
      </c>
      <c r="BF149" s="3">
        <f>-IF(RTD("tos.rtd",,BF$2,"."&amp;$D$134&amp;$AW$82&amp;"P"&amp;$A149)="N/A",0,RTD("tos.rtd",,BF$2,"."&amp;$D$134&amp;$AW$82&amp;"P"&amp;$A149))</f>
        <v>-7</v>
      </c>
      <c r="BG149" s="3">
        <f ca="1">+Hoja2!Y150</f>
        <v>-4</v>
      </c>
      <c r="BH149" s="7">
        <f t="shared" ca="1" si="543"/>
        <v>627</v>
      </c>
      <c r="BI149" s="32" t="str">
        <f t="shared" ca="1" si="601"/>
        <v/>
      </c>
      <c r="BJ149" s="3" t="e">
        <f ca="1">IF($BP$1=1,DX149,IF(RTD("tos.rtd",,BJ$43,"."&amp;$B$134&amp;$AS$82&amp;"C"&amp;$A149)="N/A",0,RTD("tos.rtd",,BJ$43,"."&amp;$B$134&amp;$AS$82&amp;"C"&amp;$A149)))</f>
        <v>#NUM!</v>
      </c>
      <c r="BK149" s="3" t="e">
        <f ca="1">IF($BP$1=1,DY149,-IF(RTD("tos.rtd",,BK$43,"."&amp;$B$134&amp;$AS$82&amp;"P"&amp;$A149)="N/A",0,RTD("tos.rtd",,BK$43,"."&amp;$B$134&amp;$AS$82&amp;"P"&amp;$A149)))</f>
        <v>#NUM!</v>
      </c>
      <c r="BL149" s="3" t="e">
        <f ca="1">IF($BP$1=1,DZ149,IF(RTD("tos.rtd",,BL$2,"."&amp;$C$134&amp;$AU$82&amp;"C"&amp;$A149)="N/A",0,RTD("tos.rtd",,BL$2,"."&amp;$C$134&amp;$AU$82&amp;"C"&amp;$A149)))</f>
        <v>#NUM!</v>
      </c>
      <c r="BM149" s="3" t="e">
        <f ca="1">IF($BP$1=1,EA149,-IF(RTD("tos.rtd",,BM$2,"."&amp;$C$134&amp;$AU$82&amp;"P"&amp;$A149)="N/A",0,RTD("tos.rtd",,BM$2,"."&amp;$C$134&amp;$AU$82&amp;"P"&amp;$A149)))</f>
        <v>#NUM!</v>
      </c>
      <c r="BN149" s="3" t="e">
        <f ca="1">IF($BP$1=1,EB149,IF(RTD("tos.rtd",,BN$2,"."&amp;$D$134&amp;$AW$82&amp;"C"&amp;$A149)="N/A",0,RTD("tos.rtd",,BN$2,"."&amp;$D$134&amp;$AW$82&amp;"C"&amp;$A149)))</f>
        <v>#NUM!</v>
      </c>
      <c r="BO149" s="3" t="e">
        <f ca="1">IF($BP$1=1,EC149,-IF(RTD("tos.rtd",,BO$2,"."&amp;$D$134&amp;$AW$82&amp;"P"&amp;$A149)="N/A",0,RTD("tos.rtd",,BO$2,"."&amp;$D$134&amp;$AW$82&amp;"P"&amp;$A149)))</f>
        <v>#NUM!</v>
      </c>
      <c r="BQ149" s="3" t="e">
        <f t="shared" ca="1" si="609"/>
        <v>#NUM!</v>
      </c>
      <c r="BR149" s="3" t="e">
        <f t="shared" ca="1" si="544"/>
        <v>#NUM!</v>
      </c>
      <c r="BS149" s="3" t="e">
        <f t="shared" ca="1" si="610"/>
        <v>#NUM!</v>
      </c>
      <c r="BT149" s="3" t="e">
        <f t="shared" ca="1" si="545"/>
        <v>#NUM!</v>
      </c>
      <c r="BU149" s="3" t="e">
        <f t="shared" ca="1" si="611"/>
        <v>#NUM!</v>
      </c>
      <c r="BV149" s="3" t="e">
        <f t="shared" ca="1" si="545"/>
        <v>#NUM!</v>
      </c>
      <c r="BX149" s="3" t="e">
        <f t="shared" ca="1" si="579"/>
        <v>#NUM!</v>
      </c>
      <c r="BY149" s="3" t="e">
        <f t="shared" ca="1" si="580"/>
        <v>#NUM!</v>
      </c>
      <c r="BZ149" s="3" t="e">
        <f t="shared" ca="1" si="581"/>
        <v>#NUM!</v>
      </c>
      <c r="CA149" s="3" t="e">
        <f t="shared" ca="1" si="580"/>
        <v>#NUM!</v>
      </c>
      <c r="CB149" s="3" t="e">
        <f t="shared" ca="1" si="582"/>
        <v>#NUM!</v>
      </c>
      <c r="CC149" s="3" t="e">
        <f t="shared" ca="1" si="580"/>
        <v>#NUM!</v>
      </c>
      <c r="CD149" s="3">
        <f>IF(RTD("tos.rtd",,CD$43,"."&amp;$B$134&amp;$AS$82&amp;"C"&amp;$A149)="N/A",0,RTD("tos.rtd",,CD$43,"."&amp;$B$134&amp;$AS$82&amp;"C"&amp;$A149))</f>
        <v>0</v>
      </c>
      <c r="CE149" s="3">
        <f>-IF(RTD("tos.rtd",,CE$43,"."&amp;$B$134&amp;$AS$82&amp;"P"&amp;$A149)="N/A",0,RTD("tos.rtd",,CE$43,"."&amp;$B$134&amp;$AS$82&amp;"P"&amp;$A149))</f>
        <v>0.61</v>
      </c>
      <c r="CF149" s="3">
        <f>IF(RTD("tos.rtd",,CF$2,"."&amp;$C$134&amp;$AU$82&amp;"C"&amp;$A149)="N/A",0,RTD("tos.rtd",,CF$2,"."&amp;$C$134&amp;$AU$82&amp;"C"&amp;$A149))</f>
        <v>0</v>
      </c>
      <c r="CG149" s="3">
        <f>-IF(RTD("tos.rtd",,CG$2,"."&amp;$C$134&amp;$AU$82&amp;"P"&amp;$A149)="N/A",0,RTD("tos.rtd",,CG$2,"."&amp;$C$134&amp;$AU$82&amp;"P"&amp;$A149))</f>
        <v>0.86</v>
      </c>
      <c r="CH149" s="3">
        <f>IF(RTD("tos.rtd",,CH$2,"."&amp;$D$134&amp;$AW$82&amp;"C"&amp;$A149)="N/A",0,RTD("tos.rtd",,CH$2,"."&amp;$D$134&amp;$AW$82&amp;"C"&amp;$A149))</f>
        <v>0.46</v>
      </c>
      <c r="CI149" s="3">
        <f>-IF(RTD("tos.rtd",,CI$2,"."&amp;$D$134&amp;$AW$82&amp;"P"&amp;$A149)="N/A",0,RTD("tos.rtd",,CI$2,"."&amp;$D$134&amp;$AW$82&amp;"P"&amp;$A149))</f>
        <v>0.54</v>
      </c>
      <c r="CK149" s="3">
        <f t="shared" si="612"/>
        <v>-244</v>
      </c>
      <c r="CL149" s="3"/>
      <c r="CM149" s="3">
        <f t="shared" si="613"/>
        <v>-1978</v>
      </c>
      <c r="CN149" s="3"/>
      <c r="CO149" s="3">
        <f t="shared" si="614"/>
        <v>534</v>
      </c>
      <c r="CP149" s="3">
        <f t="shared" si="536"/>
        <v>-1688</v>
      </c>
      <c r="CQ149" s="3">
        <f t="shared" si="546"/>
        <v>0</v>
      </c>
      <c r="CR149" s="3"/>
      <c r="CS149" s="3">
        <f t="shared" si="547"/>
        <v>628</v>
      </c>
      <c r="CT149" s="3"/>
      <c r="CU149" s="3">
        <f t="shared" si="548"/>
        <v>3</v>
      </c>
      <c r="CV149" s="3"/>
      <c r="CW149" s="3" t="e">
        <f t="shared" ca="1" si="549"/>
        <v>#NUM!</v>
      </c>
      <c r="CY149" s="3" t="e">
        <f t="shared" ca="1" si="550"/>
        <v>#NUM!</v>
      </c>
      <c r="CZ149" s="70" t="e">
        <f t="shared" ca="1" si="583"/>
        <v>#NUM!</v>
      </c>
      <c r="DA149" s="3">
        <f>IF(RTD("tos.rtd",,DA$43,"."&amp;$B$134&amp;$AS$82&amp;"C"&amp;$A149)="N/A",0,RTD("tos.rtd",,DA$43,"."&amp;$B$134&amp;$AS$82&amp;"C"&amp;$A149))</f>
        <v>0.05</v>
      </c>
      <c r="DB149" s="3">
        <f>IF(RTD("tos.rtd",,DB$43,"."&amp;$B$134&amp;$AS$82&amp;"P"&amp;$A149)="N/A",0,RTD("tos.rtd",,DB$43,"."&amp;$B$134&amp;$AS$82&amp;"P"&amp;$A149))</f>
        <v>150.15</v>
      </c>
      <c r="DC149" s="3">
        <f>IF(RTD("tos.rtd",,DC$43,"."&amp;$B$134&amp;$AS$82&amp;"C"&amp;$A149)="N/A",0,RTD("tos.rtd",,DC$43,"."&amp;$B$134&amp;$AS$82&amp;"C"&amp;$A149))</f>
        <v>0.05</v>
      </c>
      <c r="DD149" s="3">
        <f>IF(RTD("tos.rtd",,DD$43,"."&amp;$B$134&amp;$AS$82&amp;"P"&amp;$A149)="N/A",0,RTD("tos.rtd",,DD$43,"."&amp;$B$134&amp;$AS$82&amp;"P"&amp;$A149))</f>
        <v>186.5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166.5</v>
      </c>
      <c r="DG149" s="86">
        <f t="shared" si="584"/>
        <v>103.5</v>
      </c>
      <c r="DH149" s="3">
        <f t="shared" si="551"/>
        <v>-934</v>
      </c>
      <c r="DI149" s="3">
        <f t="shared" si="552"/>
        <v>-17.984999999999992</v>
      </c>
      <c r="DJ149" s="3">
        <f t="shared" si="553"/>
        <v>-934</v>
      </c>
      <c r="DK149" s="3">
        <f t="shared" si="554"/>
        <v>-22</v>
      </c>
      <c r="DL149" s="3">
        <f t="shared" si="555"/>
        <v>-951.98500000000001</v>
      </c>
      <c r="DM149" s="3">
        <f t="shared" si="556"/>
        <v>-956</v>
      </c>
      <c r="DN149" s="64" t="str">
        <f t="shared" si="557"/>
        <v>UNKNOWN</v>
      </c>
      <c r="DO149" s="64" t="str">
        <f t="shared" si="558"/>
        <v>UNKNOWN</v>
      </c>
      <c r="DP149" s="3">
        <f t="shared" si="559"/>
        <v>-2747.1477499999987</v>
      </c>
      <c r="DQ149" s="3">
        <f t="shared" si="560"/>
        <v>-3350</v>
      </c>
      <c r="DR149" s="3" t="e">
        <f t="shared" ca="1" si="561"/>
        <v>#NUM!</v>
      </c>
      <c r="DS149" s="3">
        <f t="shared" si="562"/>
        <v>-13.42</v>
      </c>
      <c r="DT149" s="3">
        <f t="shared" si="585"/>
        <v>-934</v>
      </c>
      <c r="DU149" s="3">
        <f t="shared" si="586"/>
        <v>22</v>
      </c>
      <c r="DV149" s="3">
        <f t="shared" si="563"/>
        <v>-168</v>
      </c>
      <c r="DW149" s="3">
        <f t="shared" si="564"/>
        <v>-2</v>
      </c>
      <c r="DX149" s="3" t="e">
        <f t="shared" ca="1" si="565"/>
        <v>#NUM!</v>
      </c>
      <c r="DY149" s="3" t="e">
        <f t="shared" ca="1" si="566"/>
        <v>#NUM!</v>
      </c>
      <c r="DZ149" s="3" t="e">
        <f t="shared" ca="1" si="567"/>
        <v>#NUM!</v>
      </c>
      <c r="EA149" s="3" t="e">
        <f t="shared" ca="1" si="568"/>
        <v>#NUM!</v>
      </c>
      <c r="EB149" s="3" t="e">
        <f t="shared" ca="1" si="569"/>
        <v>#NUM!</v>
      </c>
      <c r="EC149" s="3" t="e">
        <f t="shared" ca="1" si="570"/>
        <v>#NUM!</v>
      </c>
      <c r="EE149" s="59">
        <f t="shared" si="571"/>
        <v>0.20860000000000001</v>
      </c>
      <c r="EF149" s="59">
        <f t="shared" si="572"/>
        <v>2.1029</v>
      </c>
      <c r="EG149" s="59">
        <f t="shared" si="573"/>
        <v>0.20860000000000001</v>
      </c>
      <c r="EH149" s="59">
        <f t="shared" si="574"/>
        <v>0.53820000000000001</v>
      </c>
      <c r="EI149" s="59">
        <f t="shared" si="575"/>
        <v>0.26490000000000002</v>
      </c>
      <c r="EJ149" s="59">
        <f t="shared" si="576"/>
        <v>0.28220000000000001</v>
      </c>
      <c r="EL149" s="3" t="str">
        <f>RTD("tos.rtd",,EL$43,"."&amp;$B$134&amp;$AS$82&amp;"C"&amp;$A149)</f>
        <v>20.86%</v>
      </c>
      <c r="EM149" s="3" t="str">
        <f>RTD("tos.rtd",,EM$43,"."&amp;$B$134&amp;$AS$82&amp;"P"&amp;$A149)</f>
        <v>210.29%</v>
      </c>
      <c r="EN149" s="3" t="str">
        <f>RTD("tos.rtd",,EN$2,"."&amp;$C$134&amp;$AU$82&amp;"C"&amp;$A149)</f>
        <v>20.86%</v>
      </c>
      <c r="EO149" s="3" t="str">
        <f>RTD("tos.rtd",,EO$2,"."&amp;$C$134&amp;$AU$82&amp;"P"&amp;$A149)</f>
        <v>53.82%</v>
      </c>
      <c r="EP149" s="3" t="str">
        <f>RTD("tos.rtd",,EP$2,"."&amp;$D$134&amp;$AW$82&amp;"C"&amp;$A149)</f>
        <v>26.49%</v>
      </c>
      <c r="EQ149" s="3" t="str">
        <f>RTD("tos.rtd",,EQ$2,"."&amp;$D$134&amp;$AW$82&amp;"P"&amp;$A149)</f>
        <v>28.22%</v>
      </c>
      <c r="ES149" s="63" t="str">
        <f t="shared" si="577"/>
        <v>20150,-170.00</v>
      </c>
      <c r="ET149" s="64" t="str">
        <f t="shared" ca="1" si="578"/>
        <v>20150,00.00</v>
      </c>
      <c r="EU149" s="68">
        <v>562.83000000000004</v>
      </c>
      <c r="EV149" s="68" t="s">
        <v>1211</v>
      </c>
      <c r="EW149" s="68">
        <v>485.42</v>
      </c>
      <c r="EX149" s="68" t="s">
        <v>1212</v>
      </c>
      <c r="EY149" s="68">
        <v>5642</v>
      </c>
      <c r="EZ149" s="68" t="s">
        <v>1213</v>
      </c>
      <c r="FA149" s="68">
        <v>19941</v>
      </c>
      <c r="FB149" s="68" t="s">
        <v>1214</v>
      </c>
      <c r="FC149" s="68" t="s">
        <v>1215</v>
      </c>
      <c r="FD149" s="68" t="s">
        <v>1216</v>
      </c>
      <c r="FE149" s="68" t="s">
        <v>1217</v>
      </c>
      <c r="FF149" s="68" t="s">
        <v>1218</v>
      </c>
    </row>
    <row r="150" spans="1:162" ht="11.1" customHeight="1" thickBot="1" x14ac:dyDescent="0.25">
      <c r="A150" s="2">
        <f t="shared" si="587"/>
        <v>20125</v>
      </c>
      <c r="B150" s="3">
        <f t="shared" si="602"/>
        <v>7</v>
      </c>
      <c r="C150" s="3">
        <f t="shared" si="603"/>
        <v>11</v>
      </c>
      <c r="D150" s="3">
        <f t="shared" si="604"/>
        <v>62</v>
      </c>
      <c r="E150" s="3">
        <f t="shared" si="605"/>
        <v>80</v>
      </c>
      <c r="F150" s="4">
        <f t="shared" si="606"/>
        <v>20225.391589554285</v>
      </c>
      <c r="G150" s="5">
        <f t="shared" si="607"/>
        <v>489.83064375327365</v>
      </c>
      <c r="AM150" s="1">
        <v>54</v>
      </c>
      <c r="AN150" s="1">
        <v>-2</v>
      </c>
      <c r="AO150" s="1">
        <v>20125</v>
      </c>
      <c r="AP150" s="1">
        <v>300</v>
      </c>
      <c r="AQ150" s="1">
        <v>-5</v>
      </c>
      <c r="AS150" s="54">
        <f>IF(RTD("tos.rtd",,AS$83,"."&amp;$B$134&amp;$AS$82&amp;"C"&amp;$A150)="N/A",0,RTD("tos.rtd",,AS$83,"."&amp;$B$134&amp;$AS$82&amp;"C"&amp;$A150))</f>
        <v>6</v>
      </c>
      <c r="AT150" s="3">
        <f>-IF(RTD("tos.rtd",,AT$83,"."&amp;$B$134&amp;$AS$82&amp;"P"&amp;$A150)="N/A",0,RTD("tos.rtd",,AT$83,"."&amp;$B$134&amp;$AS$82&amp;"P"&amp;$A150))</f>
        <v>-1</v>
      </c>
      <c r="AU150" s="54">
        <f>IF(RTD("tos.rtd",,AU$2,"."&amp;$C$134&amp;$AU$134&amp;"C"&amp;$A150)="N/A",0,RTD("tos.rtd",,AU$2,"."&amp;$C$134&amp;$AU$134&amp;"C"&amp;$A150))</f>
        <v>7</v>
      </c>
      <c r="AV150" s="3">
        <f>-IF(RTD("tos.rtd",,AV$2,"."&amp;$C$134&amp;$AU$134&amp;"P"&amp;$A150)="N/A",0,RTD("tos.rtd",,AV$2,"."&amp;$C$134&amp;$AU$134&amp;"P"&amp;$A150))</f>
        <v>-4</v>
      </c>
      <c r="AW150" s="54">
        <f>IF(RTD("tos.rtd",,AW$2,"."&amp;$D$134&amp;$AW$134&amp;"C"&amp;$A150)="N/A",0,RTD("tos.rtd",,AW$2,"."&amp;$D$134&amp;$AW$134&amp;"C"&amp;$A150))</f>
        <v>31</v>
      </c>
      <c r="AX150" s="3">
        <f>-IF(RTD("tos.rtd",,AX$2,"."&amp;$D$134&amp;$AW$134&amp;"P"&amp;$A150)="N/A",0,RTD("tos.rtd",,AX$2,"."&amp;$D$134&amp;$AW$134&amp;"P"&amp;$A150))</f>
        <v>-31</v>
      </c>
      <c r="AY150" s="76">
        <f t="shared" si="608"/>
        <v>8</v>
      </c>
      <c r="AZ150" s="8">
        <f t="shared" si="542"/>
        <v>20125</v>
      </c>
      <c r="BA150" s="54">
        <f>IF(RTD("tos.rtd",,BA$43,"."&amp;$B$134&amp;$AS$82&amp;"C"&amp;$A150)="N/A",0,RTD("tos.rtd",,BA$43,"."&amp;$B$134&amp;$AS$82&amp;"C"&amp;$A150))</f>
        <v>0</v>
      </c>
      <c r="BB150" s="3">
        <f>-IF(RTD("tos.rtd",,BB$43,"."&amp;$B$134&amp;$AS$82&amp;"P"&amp;$A150)="N/A",0,RTD("tos.rtd",,BB$43,"."&amp;$B$134&amp;$AS$82&amp;"P"&amp;$A150))</f>
        <v>0</v>
      </c>
      <c r="BC150" s="54">
        <f>IF(RTD("tos.rtd",,BC$2,"."&amp;$C$134&amp;$AU$82&amp;"C"&amp;$A150)="N/A",0,RTD("tos.rtd",,BC$2,"."&amp;$C$134&amp;$AU$82&amp;"C"&amp;$A150))</f>
        <v>300</v>
      </c>
      <c r="BD150" s="3">
        <f>-IF(RTD("tos.rtd",,BD$2,"."&amp;$C$134&amp;$AU$82&amp;"P"&amp;$A150)="N/A",0,RTD("tos.rtd",,BD$2,"."&amp;$C$134&amp;$AU$82&amp;"P"&amp;$A150))</f>
        <v>-29</v>
      </c>
      <c r="BE150" s="54">
        <f>IF(RTD("tos.rtd",,BE$2,"."&amp;$D$134&amp;$AW$82&amp;"C"&amp;$A150)="N/A",0,RTD("tos.rtd",,BE$2,"."&amp;$D$134&amp;$AW$82&amp;"C"&amp;$A150))</f>
        <v>20</v>
      </c>
      <c r="BF150" s="3">
        <f>-IF(RTD("tos.rtd",,BF$2,"."&amp;$D$134&amp;$AW$82&amp;"P"&amp;$A150)="N/A",0,RTD("tos.rtd",,BF$2,"."&amp;$D$134&amp;$AW$82&amp;"P"&amp;$A150))</f>
        <v>-10</v>
      </c>
      <c r="BG150" s="3">
        <f ca="1">+Hoja2!Y151</f>
        <v>0</v>
      </c>
      <c r="BH150" s="7">
        <f t="shared" ca="1" si="543"/>
        <v>281</v>
      </c>
      <c r="BI150" s="32" t="str">
        <f t="shared" ca="1" si="601"/>
        <v/>
      </c>
      <c r="BJ150" s="3" t="e">
        <f ca="1">IF($BP$1=1,DX150,IF(RTD("tos.rtd",,BJ$43,"."&amp;$B$134&amp;$AS$82&amp;"C"&amp;$A150)="N/A",0,RTD("tos.rtd",,BJ$43,"."&amp;$B$134&amp;$AS$82&amp;"C"&amp;$A150)))</f>
        <v>#NUM!</v>
      </c>
      <c r="BK150" s="3" t="e">
        <f ca="1">IF($BP$1=1,DY150,-IF(RTD("tos.rtd",,BK$43,"."&amp;$B$134&amp;$AS$82&amp;"P"&amp;$A150)="N/A",0,RTD("tos.rtd",,BK$43,"."&amp;$B$134&amp;$AS$82&amp;"P"&amp;$A150)))</f>
        <v>#NUM!</v>
      </c>
      <c r="BL150" s="3" t="e">
        <f ca="1">IF($BP$1=1,DZ150,IF(RTD("tos.rtd",,BL$2,"."&amp;$C$134&amp;$AU$82&amp;"C"&amp;$A150)="N/A",0,RTD("tos.rtd",,BL$2,"."&amp;$C$134&amp;$AU$82&amp;"C"&amp;$A150)))</f>
        <v>#NUM!</v>
      </c>
      <c r="BM150" s="3" t="e">
        <f ca="1">IF($BP$1=1,EA150,-IF(RTD("tos.rtd",,BM$2,"."&amp;$C$134&amp;$AU$82&amp;"P"&amp;$A150)="N/A",0,RTD("tos.rtd",,BM$2,"."&amp;$C$134&amp;$AU$82&amp;"P"&amp;$A150)))</f>
        <v>#NUM!</v>
      </c>
      <c r="BN150" s="3" t="e">
        <f ca="1">IF($BP$1=1,EB150,IF(RTD("tos.rtd",,BN$2,"."&amp;$D$134&amp;$AW$82&amp;"C"&amp;$A150)="N/A",0,RTD("tos.rtd",,BN$2,"."&amp;$D$134&amp;$AW$82&amp;"C"&amp;$A150)))</f>
        <v>#NUM!</v>
      </c>
      <c r="BO150" s="3" t="e">
        <f ca="1">IF($BP$1=1,EC150,-IF(RTD("tos.rtd",,BO$2,"."&amp;$D$134&amp;$AW$82&amp;"P"&amp;$A150)="N/A",0,RTD("tos.rtd",,BO$2,"."&amp;$D$134&amp;$AW$82&amp;"P"&amp;$A150)))</f>
        <v>#NUM!</v>
      </c>
      <c r="BQ150" s="3" t="e">
        <f t="shared" ca="1" si="609"/>
        <v>#NUM!</v>
      </c>
      <c r="BR150" s="3" t="e">
        <f t="shared" ca="1" si="544"/>
        <v>#NUM!</v>
      </c>
      <c r="BS150" s="3" t="e">
        <f t="shared" ca="1" si="610"/>
        <v>#NUM!</v>
      </c>
      <c r="BT150" s="3" t="e">
        <f t="shared" ca="1" si="545"/>
        <v>#NUM!</v>
      </c>
      <c r="BU150" s="3" t="e">
        <f t="shared" ca="1" si="611"/>
        <v>#NUM!</v>
      </c>
      <c r="BV150" s="3" t="e">
        <f t="shared" ca="1" si="545"/>
        <v>#NUM!</v>
      </c>
      <c r="BX150" s="3" t="e">
        <f t="shared" ca="1" si="579"/>
        <v>#NUM!</v>
      </c>
      <c r="BY150" s="3" t="e">
        <f t="shared" ca="1" si="580"/>
        <v>#NUM!</v>
      </c>
      <c r="BZ150" s="3" t="e">
        <f t="shared" ca="1" si="581"/>
        <v>#NUM!</v>
      </c>
      <c r="CA150" s="3" t="e">
        <f t="shared" ca="1" si="580"/>
        <v>#NUM!</v>
      </c>
      <c r="CB150" s="3" t="e">
        <f t="shared" ca="1" si="582"/>
        <v>#NUM!</v>
      </c>
      <c r="CC150" s="3" t="e">
        <f t="shared" ca="1" si="580"/>
        <v>#NUM!</v>
      </c>
      <c r="CD150" s="3">
        <f>IF(RTD("tos.rtd",,CD$43,"."&amp;$B$134&amp;$AS$82&amp;"C"&amp;$A150)="N/A",0,RTD("tos.rtd",,CD$43,"."&amp;$B$134&amp;$AS$82&amp;"C"&amp;$A150))</f>
        <v>0</v>
      </c>
      <c r="CE150" s="3">
        <f>-IF(RTD("tos.rtd",,CE$43,"."&amp;$B$134&amp;$AS$82&amp;"P"&amp;$A150)="N/A",0,RTD("tos.rtd",,CE$43,"."&amp;$B$134&amp;$AS$82&amp;"P"&amp;$A150))</f>
        <v>0.59</v>
      </c>
      <c r="CF150" s="3">
        <f>IF(RTD("tos.rtd",,CF$2,"."&amp;$C$134&amp;$AU$82&amp;"C"&amp;$A150)="N/A",0,RTD("tos.rtd",,CF$2,"."&amp;$C$134&amp;$AU$82&amp;"C"&amp;$A150))</f>
        <v>0</v>
      </c>
      <c r="CG150" s="3">
        <f>-IF(RTD("tos.rtd",,CG$2,"."&amp;$C$134&amp;$AU$82&amp;"P"&amp;$A150)="N/A",0,RTD("tos.rtd",,CG$2,"."&amp;$C$134&amp;$AU$82&amp;"P"&amp;$A150))</f>
        <v>1</v>
      </c>
      <c r="CH150" s="3">
        <f>IF(RTD("tos.rtd",,CH$2,"."&amp;$D$134&amp;$AW$82&amp;"C"&amp;$A150)="N/A",0,RTD("tos.rtd",,CH$2,"."&amp;$D$134&amp;$AW$82&amp;"C"&amp;$A150))</f>
        <v>0.47</v>
      </c>
      <c r="CI150" s="3">
        <f>-IF(RTD("tos.rtd",,CI$2,"."&amp;$D$134&amp;$AW$82&amp;"P"&amp;$A150)="N/A",0,RTD("tos.rtd",,CI$2,"."&amp;$D$134&amp;$AW$82&amp;"P"&amp;$A150))</f>
        <v>0.53</v>
      </c>
      <c r="CK150" s="3">
        <f t="shared" si="612"/>
        <v>-59</v>
      </c>
      <c r="CL150" s="3"/>
      <c r="CM150" s="3">
        <f t="shared" si="613"/>
        <v>-400</v>
      </c>
      <c r="CN150" s="3"/>
      <c r="CO150" s="3">
        <f t="shared" si="614"/>
        <v>-186.00000000000023</v>
      </c>
      <c r="CP150" s="3">
        <f t="shared" si="536"/>
        <v>-645.00000000000023</v>
      </c>
      <c r="CQ150" s="3">
        <f t="shared" si="546"/>
        <v>0</v>
      </c>
      <c r="CR150" s="3"/>
      <c r="CS150" s="3">
        <f t="shared" si="547"/>
        <v>271</v>
      </c>
      <c r="CT150" s="3"/>
      <c r="CU150" s="3">
        <f t="shared" si="548"/>
        <v>10</v>
      </c>
      <c r="CV150" s="3"/>
      <c r="CW150" s="3" t="e">
        <f t="shared" ca="1" si="549"/>
        <v>#NUM!</v>
      </c>
      <c r="CY150" s="3" t="e">
        <f t="shared" ca="1" si="550"/>
        <v>#NUM!</v>
      </c>
      <c r="CZ150" s="70" t="e">
        <f t="shared" ca="1" si="583"/>
        <v>#NUM!</v>
      </c>
      <c r="DA150" s="3">
        <f>IF(RTD("tos.rtd",,DA$43,"."&amp;$B$134&amp;$AS$82&amp;"C"&amp;$A150)="N/A",0,RTD("tos.rtd",,DA$43,"."&amp;$B$134&amp;$AS$82&amp;"C"&amp;$A150))</f>
        <v>0.05</v>
      </c>
      <c r="DB150" s="3">
        <f>IF(RTD("tos.rtd",,DB$43,"."&amp;$B$134&amp;$AS$82&amp;"P"&amp;$A150)="N/A",0,RTD("tos.rtd",,DB$43,"."&amp;$B$134&amp;$AS$82&amp;"P"&amp;$A150))</f>
        <v>128.77000000000001</v>
      </c>
      <c r="DC150" s="3">
        <f>IF(RTD("tos.rtd",,DC$43,"."&amp;$B$134&amp;$AS$82&amp;"C"&amp;$A150)="N/A",0,RTD("tos.rtd",,DC$43,"."&amp;$B$134&amp;$AS$82&amp;"C"&amp;$A150))</f>
        <v>0.05</v>
      </c>
      <c r="DD150" s="3">
        <f>IF(RTD("tos.rtd",,DD$43,"."&amp;$B$134&amp;$AS$82&amp;"P"&amp;$A150)="N/A",0,RTD("tos.rtd",,DD$43,"."&amp;$B$134&amp;$AS$82&amp;"P"&amp;$A150))</f>
        <v>158.5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138.5</v>
      </c>
      <c r="DG150" s="86">
        <f t="shared" si="584"/>
        <v>78.5</v>
      </c>
      <c r="DH150" s="3">
        <f t="shared" si="551"/>
        <v>-300</v>
      </c>
      <c r="DI150" s="3">
        <f t="shared" si="552"/>
        <v>-2.4324999999999974</v>
      </c>
      <c r="DJ150" s="3">
        <f t="shared" si="553"/>
        <v>-300</v>
      </c>
      <c r="DK150" s="3">
        <f t="shared" si="554"/>
        <v>-5</v>
      </c>
      <c r="DL150" s="3">
        <f t="shared" si="555"/>
        <v>-302.4325</v>
      </c>
      <c r="DM150" s="3">
        <f t="shared" si="556"/>
        <v>-305</v>
      </c>
      <c r="DN150" s="64" t="str">
        <f t="shared" si="557"/>
        <v>UNKNOWN</v>
      </c>
      <c r="DO150" s="64" t="str">
        <f t="shared" si="558"/>
        <v>UNKNOWN</v>
      </c>
      <c r="DP150" s="3">
        <f t="shared" si="559"/>
        <v>-328.23302499999971</v>
      </c>
      <c r="DQ150" s="3">
        <f t="shared" si="560"/>
        <v>-658.85</v>
      </c>
      <c r="DR150" s="3" t="e">
        <f t="shared" ca="1" si="561"/>
        <v>#NUM!</v>
      </c>
      <c r="DS150" s="3">
        <f t="shared" si="562"/>
        <v>-2.9499999999999997</v>
      </c>
      <c r="DT150" s="3">
        <f t="shared" si="585"/>
        <v>-300</v>
      </c>
      <c r="DU150" s="3">
        <f t="shared" si="586"/>
        <v>5</v>
      </c>
      <c r="DV150" s="3">
        <f t="shared" si="563"/>
        <v>54</v>
      </c>
      <c r="DW150" s="3">
        <f t="shared" si="564"/>
        <v>-2</v>
      </c>
      <c r="DX150" s="3" t="e">
        <f t="shared" ca="1" si="565"/>
        <v>#NUM!</v>
      </c>
      <c r="DY150" s="3" t="e">
        <f t="shared" ca="1" si="566"/>
        <v>#NUM!</v>
      </c>
      <c r="DZ150" s="3" t="e">
        <f t="shared" ca="1" si="567"/>
        <v>#NUM!</v>
      </c>
      <c r="EA150" s="3" t="e">
        <f t="shared" ca="1" si="568"/>
        <v>#NUM!</v>
      </c>
      <c r="EB150" s="3" t="e">
        <f t="shared" ca="1" si="569"/>
        <v>#NUM!</v>
      </c>
      <c r="EC150" s="3" t="e">
        <f t="shared" ca="1" si="570"/>
        <v>#NUM!</v>
      </c>
      <c r="EE150" s="59">
        <f t="shared" si="571"/>
        <v>0.1552</v>
      </c>
      <c r="EF150" s="59">
        <f t="shared" si="572"/>
        <v>1.8821000000000001</v>
      </c>
      <c r="EG150" s="59">
        <f t="shared" si="573"/>
        <v>0.1552</v>
      </c>
      <c r="EH150" s="59">
        <f t="shared" si="574"/>
        <v>0.25</v>
      </c>
      <c r="EI150" s="59">
        <f t="shared" si="575"/>
        <v>0.2656</v>
      </c>
      <c r="EJ150" s="59">
        <f t="shared" si="576"/>
        <v>0.28270000000000001</v>
      </c>
      <c r="EL150" s="3" t="str">
        <f>RTD("tos.rtd",,EL$43,"."&amp;$B$134&amp;$AS$82&amp;"C"&amp;$A150)</f>
        <v>15.52%</v>
      </c>
      <c r="EM150" s="3" t="str">
        <f>RTD("tos.rtd",,EM$43,"."&amp;$B$134&amp;$AS$82&amp;"P"&amp;$A150)</f>
        <v>188.21%</v>
      </c>
      <c r="EN150" s="3" t="str">
        <f>RTD("tos.rtd",,EN$2,"."&amp;$C$134&amp;$AU$82&amp;"C"&amp;$A150)</f>
        <v>15.52%</v>
      </c>
      <c r="EO150" s="3" t="str">
        <f>RTD("tos.rtd",,EO$2,"."&amp;$C$134&amp;$AU$82&amp;"P"&amp;$A150)</f>
        <v>--</v>
      </c>
      <c r="EP150" s="3" t="str">
        <f>RTD("tos.rtd",,EP$2,"."&amp;$D$134&amp;$AW$82&amp;"C"&amp;$A150)</f>
        <v>26.56%</v>
      </c>
      <c r="EQ150" s="3" t="str">
        <f>RTD("tos.rtd",,EQ$2,"."&amp;$D$134&amp;$AW$82&amp;"P"&amp;$A150)</f>
        <v>28.27%</v>
      </c>
      <c r="ES150" s="63" t="str">
        <f t="shared" si="577"/>
        <v>20125,52.00</v>
      </c>
      <c r="ET150" s="64" t="str">
        <f t="shared" ca="1" si="578"/>
        <v>20125,00.00</v>
      </c>
      <c r="EU150" s="68">
        <v>562.89</v>
      </c>
      <c r="EV150" s="68" t="s">
        <v>1219</v>
      </c>
      <c r="EW150" s="68">
        <v>485.5</v>
      </c>
      <c r="EX150" s="68" t="s">
        <v>1220</v>
      </c>
      <c r="EY150" s="68">
        <v>5642.5</v>
      </c>
      <c r="EZ150" s="68" t="s">
        <v>1221</v>
      </c>
      <c r="FA150" s="68">
        <v>19944</v>
      </c>
      <c r="FB150" s="68" t="s">
        <v>1222</v>
      </c>
      <c r="FC150" s="68" t="s">
        <v>1223</v>
      </c>
      <c r="FD150" s="68" t="s">
        <v>1224</v>
      </c>
      <c r="FE150" s="68" t="s">
        <v>1225</v>
      </c>
      <c r="FF150" s="68" t="s">
        <v>1226</v>
      </c>
    </row>
    <row r="151" spans="1:162" ht="11.1" customHeight="1" thickBot="1" x14ac:dyDescent="0.25">
      <c r="A151" s="2">
        <f t="shared" si="587"/>
        <v>20100</v>
      </c>
      <c r="B151" s="3">
        <f t="shared" si="602"/>
        <v>42</v>
      </c>
      <c r="C151" s="3">
        <f t="shared" si="603"/>
        <v>37</v>
      </c>
      <c r="D151" s="3">
        <f t="shared" si="604"/>
        <v>167</v>
      </c>
      <c r="E151" s="3">
        <f t="shared" si="605"/>
        <v>246</v>
      </c>
      <c r="F151" s="4">
        <f t="shared" si="606"/>
        <v>20200.266879505147</v>
      </c>
      <c r="G151" s="5">
        <f t="shared" si="607"/>
        <v>489.22215848153041</v>
      </c>
      <c r="AM151" s="1">
        <v>-62</v>
      </c>
      <c r="AN151" s="1">
        <v>-7</v>
      </c>
      <c r="AO151" s="1">
        <v>20100</v>
      </c>
      <c r="AP151" s="1">
        <v>1825</v>
      </c>
      <c r="AQ151" s="1">
        <v>-108</v>
      </c>
      <c r="AS151" s="54">
        <f>IF(RTD("tos.rtd",,AS$83,"."&amp;$B$134&amp;$AS$82&amp;"C"&amp;$A151)="N/A",0,RTD("tos.rtd",,AS$83,"."&amp;$B$134&amp;$AS$82&amp;"C"&amp;$A151))</f>
        <v>31</v>
      </c>
      <c r="AT151" s="3">
        <f>-IF(RTD("tos.rtd",,AT$83,"."&amp;$B$134&amp;$AS$82&amp;"P"&amp;$A151)="N/A",0,RTD("tos.rtd",,AT$83,"."&amp;$B$134&amp;$AS$82&amp;"P"&amp;$A151))</f>
        <v>-11</v>
      </c>
      <c r="AU151" s="54">
        <f>IF(RTD("tos.rtd",,AU$2,"."&amp;$C$134&amp;$AU$134&amp;"C"&amp;$A151)="N/A",0,RTD("tos.rtd",,AU$2,"."&amp;$C$134&amp;$AU$134&amp;"C"&amp;$A151))</f>
        <v>18</v>
      </c>
      <c r="AV151" s="3">
        <f>-IF(RTD("tos.rtd",,AV$2,"."&amp;$C$134&amp;$AU$134&amp;"P"&amp;$A151)="N/A",0,RTD("tos.rtd",,AV$2,"."&amp;$C$134&amp;$AU$134&amp;"P"&amp;$A151))</f>
        <v>-19</v>
      </c>
      <c r="AW151" s="54">
        <f>IF(RTD("tos.rtd",,AW$2,"."&amp;$D$134&amp;$AW$134&amp;"C"&amp;$A151)="N/A",0,RTD("tos.rtd",,AW$2,"."&amp;$D$134&amp;$AW$134&amp;"C"&amp;$A151))</f>
        <v>92</v>
      </c>
      <c r="AX151" s="3">
        <f>-IF(RTD("tos.rtd",,AX$2,"."&amp;$D$134&amp;$AW$134&amp;"P"&amp;$A151)="N/A",0,RTD("tos.rtd",,AX$2,"."&amp;$D$134&amp;$AW$134&amp;"P"&amp;$A151))</f>
        <v>-75</v>
      </c>
      <c r="AY151" s="76">
        <f t="shared" si="608"/>
        <v>36</v>
      </c>
      <c r="AZ151" s="8">
        <f t="shared" si="542"/>
        <v>20100</v>
      </c>
      <c r="BA151" s="54">
        <f>IF(RTD("tos.rtd",,BA$43,"."&amp;$B$134&amp;$AS$82&amp;"C"&amp;$A151)="N/A",0,RTD("tos.rtd",,BA$43,"."&amp;$B$134&amp;$AS$82&amp;"C"&amp;$A151))</f>
        <v>0</v>
      </c>
      <c r="BB151" s="3">
        <f>-IF(RTD("tos.rtd",,BB$43,"."&amp;$B$134&amp;$AS$82&amp;"P"&amp;$A151)="N/A",0,RTD("tos.rtd",,BB$43,"."&amp;$B$134&amp;$AS$82&amp;"P"&amp;$A151))</f>
        <v>0</v>
      </c>
      <c r="BC151" s="54">
        <f>IF(RTD("tos.rtd",,BC$2,"."&amp;$C$134&amp;$AU$82&amp;"C"&amp;$A151)="N/A",0,RTD("tos.rtd",,BC$2,"."&amp;$C$134&amp;$AU$82&amp;"C"&amp;$A151))</f>
        <v>1040</v>
      </c>
      <c r="BD151" s="3">
        <f>-IF(RTD("tos.rtd",,BD$2,"."&amp;$C$134&amp;$AU$82&amp;"P"&amp;$A151)="N/A",0,RTD("tos.rtd",,BD$2,"."&amp;$C$134&amp;$AU$82&amp;"P"&amp;$A151))</f>
        <v>-253</v>
      </c>
      <c r="BE151" s="54">
        <f>IF(RTD("tos.rtd",,BE$2,"."&amp;$D$134&amp;$AW$82&amp;"C"&amp;$A151)="N/A",0,RTD("tos.rtd",,BE$2,"."&amp;$D$134&amp;$AW$82&amp;"C"&amp;$A151))</f>
        <v>24</v>
      </c>
      <c r="BF151" s="3">
        <f>-IF(RTD("tos.rtd",,BF$2,"."&amp;$D$134&amp;$AW$82&amp;"P"&amp;$A151)="N/A",0,RTD("tos.rtd",,BF$2,"."&amp;$D$134&amp;$AW$82&amp;"P"&amp;$A151))</f>
        <v>-20</v>
      </c>
      <c r="BG151" s="3">
        <f ca="1">+Hoja2!Y152</f>
        <v>-14</v>
      </c>
      <c r="BH151" s="7">
        <f t="shared" ca="1" si="543"/>
        <v>777</v>
      </c>
      <c r="BI151" s="32" t="str">
        <f t="shared" ca="1" si="601"/>
        <v/>
      </c>
      <c r="BJ151" s="3" t="e">
        <f ca="1">IF($BP$1=1,DX151,IF(RTD("tos.rtd",,BJ$43,"."&amp;$B$134&amp;$AS$82&amp;"C"&amp;$A151)="N/A",0,RTD("tos.rtd",,BJ$43,"."&amp;$B$134&amp;$AS$82&amp;"C"&amp;$A151)))</f>
        <v>#NUM!</v>
      </c>
      <c r="BK151" s="3" t="e">
        <f ca="1">IF($BP$1=1,DY151,-IF(RTD("tos.rtd",,BK$43,"."&amp;$B$134&amp;$AS$82&amp;"P"&amp;$A151)="N/A",0,RTD("tos.rtd",,BK$43,"."&amp;$B$134&amp;$AS$82&amp;"P"&amp;$A151)))</f>
        <v>#NUM!</v>
      </c>
      <c r="BL151" s="3" t="e">
        <f ca="1">IF($BP$1=1,DZ151,IF(RTD("tos.rtd",,BL$2,"."&amp;$C$134&amp;$AU$82&amp;"C"&amp;$A151)="N/A",0,RTD("tos.rtd",,BL$2,"."&amp;$C$134&amp;$AU$82&amp;"C"&amp;$A151)))</f>
        <v>#NUM!</v>
      </c>
      <c r="BM151" s="3" t="e">
        <f ca="1">IF($BP$1=1,EA151,-IF(RTD("tos.rtd",,BM$2,"."&amp;$C$134&amp;$AU$82&amp;"P"&amp;$A151)="N/A",0,RTD("tos.rtd",,BM$2,"."&amp;$C$134&amp;$AU$82&amp;"P"&amp;$A151)))</f>
        <v>#NUM!</v>
      </c>
      <c r="BN151" s="3" t="e">
        <f ca="1">IF($BP$1=1,EB151,IF(RTD("tos.rtd",,BN$2,"."&amp;$D$134&amp;$AW$82&amp;"C"&amp;$A151)="N/A",0,RTD("tos.rtd",,BN$2,"."&amp;$D$134&amp;$AW$82&amp;"C"&amp;$A151)))</f>
        <v>#NUM!</v>
      </c>
      <c r="BO151" s="3" t="e">
        <f ca="1">IF($BP$1=1,EC151,-IF(RTD("tos.rtd",,BO$2,"."&amp;$D$134&amp;$AW$82&amp;"P"&amp;$A151)="N/A",0,RTD("tos.rtd",,BO$2,"."&amp;$D$134&amp;$AW$82&amp;"P"&amp;$A151)))</f>
        <v>#NUM!</v>
      </c>
      <c r="BQ151" s="3" t="e">
        <f t="shared" ca="1" si="609"/>
        <v>#NUM!</v>
      </c>
      <c r="BR151" s="3" t="e">
        <f t="shared" ca="1" si="544"/>
        <v>#NUM!</v>
      </c>
      <c r="BS151" s="3" t="e">
        <f t="shared" ca="1" si="610"/>
        <v>#NUM!</v>
      </c>
      <c r="BT151" s="3" t="e">
        <f t="shared" ca="1" si="545"/>
        <v>#NUM!</v>
      </c>
      <c r="BU151" s="3" t="e">
        <f t="shared" ca="1" si="611"/>
        <v>#NUM!</v>
      </c>
      <c r="BV151" s="3" t="e">
        <f t="shared" ca="1" si="545"/>
        <v>#NUM!</v>
      </c>
      <c r="BX151" s="3" t="e">
        <f t="shared" ca="1" si="579"/>
        <v>#NUM!</v>
      </c>
      <c r="BY151" s="3" t="e">
        <f t="shared" ca="1" si="580"/>
        <v>#NUM!</v>
      </c>
      <c r="BZ151" s="3" t="e">
        <f t="shared" ca="1" si="581"/>
        <v>#NUM!</v>
      </c>
      <c r="CA151" s="3" t="e">
        <f t="shared" ca="1" si="580"/>
        <v>#NUM!</v>
      </c>
      <c r="CB151" s="3" t="e">
        <f t="shared" ca="1" si="582"/>
        <v>#NUM!</v>
      </c>
      <c r="CC151" s="3" t="e">
        <f t="shared" ca="1" si="580"/>
        <v>#NUM!</v>
      </c>
      <c r="CD151" s="3">
        <f>IF(RTD("tos.rtd",,CD$43,"."&amp;$B$134&amp;$AS$82&amp;"C"&amp;$A151)="N/A",0,RTD("tos.rtd",,CD$43,"."&amp;$B$134&amp;$AS$82&amp;"C"&amp;$A151))</f>
        <v>0.01</v>
      </c>
      <c r="CE151" s="3">
        <f>-IF(RTD("tos.rtd",,CE$43,"."&amp;$B$134&amp;$AS$82&amp;"P"&amp;$A151)="N/A",0,RTD("tos.rtd",,CE$43,"."&amp;$B$134&amp;$AS$82&amp;"P"&amp;$A151))</f>
        <v>0.56000000000000005</v>
      </c>
      <c r="CF151" s="3">
        <f>IF(RTD("tos.rtd",,CF$2,"."&amp;$C$134&amp;$AU$82&amp;"C"&amp;$A151)="N/A",0,RTD("tos.rtd",,CF$2,"."&amp;$C$134&amp;$AU$82&amp;"C"&amp;$A151))</f>
        <v>0.05</v>
      </c>
      <c r="CG151" s="3">
        <f>-IF(RTD("tos.rtd",,CG$2,"."&amp;$C$134&amp;$AU$82&amp;"P"&amp;$A151)="N/A",0,RTD("tos.rtd",,CG$2,"."&amp;$C$134&amp;$AU$82&amp;"P"&amp;$A151))</f>
        <v>1</v>
      </c>
      <c r="CH151" s="3">
        <f>IF(RTD("tos.rtd",,CH$2,"."&amp;$D$134&amp;$AW$82&amp;"C"&amp;$A151)="N/A",0,RTD("tos.rtd",,CH$2,"."&amp;$D$134&amp;$AW$82&amp;"C"&amp;$A151))</f>
        <v>0.49</v>
      </c>
      <c r="CI151" s="3">
        <f>-IF(RTD("tos.rtd",,CI$2,"."&amp;$D$134&amp;$AW$82&amp;"P"&amp;$A151)="N/A",0,RTD("tos.rtd",,CI$2,"."&amp;$D$134&amp;$AW$82&amp;"P"&amp;$A151))</f>
        <v>0.51</v>
      </c>
      <c r="CK151" s="3">
        <f t="shared" si="612"/>
        <v>-585</v>
      </c>
      <c r="CL151" s="3"/>
      <c r="CM151" s="3">
        <f t="shared" si="613"/>
        <v>-1810</v>
      </c>
      <c r="CN151" s="3"/>
      <c r="CO151" s="3">
        <f t="shared" si="614"/>
        <v>683</v>
      </c>
      <c r="CP151" s="3">
        <f t="shared" si="536"/>
        <v>-1712</v>
      </c>
      <c r="CQ151" s="3">
        <f t="shared" si="546"/>
        <v>0</v>
      </c>
      <c r="CR151" s="3"/>
      <c r="CS151" s="3">
        <f t="shared" si="547"/>
        <v>787</v>
      </c>
      <c r="CT151" s="3"/>
      <c r="CU151" s="3">
        <f t="shared" si="548"/>
        <v>4</v>
      </c>
      <c r="CV151" s="3"/>
      <c r="CW151" s="3" t="e">
        <f t="shared" ca="1" si="549"/>
        <v>#NUM!</v>
      </c>
      <c r="CY151" s="3" t="e">
        <f t="shared" ca="1" si="550"/>
        <v>#NUM!</v>
      </c>
      <c r="CZ151" s="70" t="e">
        <f t="shared" ca="1" si="583"/>
        <v>#NUM!</v>
      </c>
      <c r="DA151" s="3">
        <f>IF(RTD("tos.rtd",,DA$43,"."&amp;$B$134&amp;$AS$82&amp;"C"&amp;$A151)="N/A",0,RTD("tos.rtd",,DA$43,"."&amp;$B$134&amp;$AS$82&amp;"C"&amp;$A151))</f>
        <v>0.05</v>
      </c>
      <c r="DB151" s="3">
        <f>IF(RTD("tos.rtd",,DB$43,"."&amp;$B$134&amp;$AS$82&amp;"P"&amp;$A151)="N/A",0,RTD("tos.rtd",,DB$43,"."&amp;$B$134&amp;$AS$82&amp;"P"&amp;$A151))</f>
        <v>98</v>
      </c>
      <c r="DC151" s="3">
        <f>IF(RTD("tos.rtd",,DC$43,"."&amp;$B$134&amp;$AS$82&amp;"C"&amp;$A151)="N/A",0,RTD("tos.rtd",,DC$43,"."&amp;$B$134&amp;$AS$82&amp;"C"&amp;$A151))</f>
        <v>0.05</v>
      </c>
      <c r="DD151" s="3">
        <f>IF(RTD("tos.rtd",,DD$43,"."&amp;$B$134&amp;$AS$82&amp;"P"&amp;$A151)="N/A",0,RTD("tos.rtd",,DD$43,"."&amp;$B$134&amp;$AS$82&amp;"P"&amp;$A151))</f>
        <v>133.5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113.5</v>
      </c>
      <c r="DG151" s="86">
        <f t="shared" si="584"/>
        <v>53.5</v>
      </c>
      <c r="DH151" s="3">
        <f t="shared" si="551"/>
        <v>-1825</v>
      </c>
      <c r="DI151" s="3">
        <f t="shared" si="552"/>
        <v>-83.7</v>
      </c>
      <c r="DJ151" s="3">
        <f t="shared" si="553"/>
        <v>-1825</v>
      </c>
      <c r="DK151" s="3">
        <f t="shared" si="554"/>
        <v>-108</v>
      </c>
      <c r="DL151" s="3">
        <f t="shared" si="555"/>
        <v>-1908.7</v>
      </c>
      <c r="DM151" s="3">
        <f t="shared" si="556"/>
        <v>-1933</v>
      </c>
      <c r="DN151" s="64" t="str">
        <f t="shared" si="557"/>
        <v>UNKNOWN</v>
      </c>
      <c r="DO151" s="64" t="str">
        <f t="shared" si="558"/>
        <v>UNKNOWN</v>
      </c>
      <c r="DP151" s="3">
        <f t="shared" si="559"/>
        <v>-8293.85</v>
      </c>
      <c r="DQ151" s="3">
        <f t="shared" si="560"/>
        <v>-10675.25</v>
      </c>
      <c r="DR151" s="3" t="e">
        <f t="shared" ca="1" si="561"/>
        <v>#NUM!</v>
      </c>
      <c r="DS151" s="3">
        <f t="shared" si="562"/>
        <v>-78.73</v>
      </c>
      <c r="DT151" s="3">
        <f t="shared" si="585"/>
        <v>-1825</v>
      </c>
      <c r="DU151" s="3">
        <f t="shared" si="586"/>
        <v>108</v>
      </c>
      <c r="DV151" s="3">
        <f t="shared" si="563"/>
        <v>-62</v>
      </c>
      <c r="DW151" s="3">
        <f t="shared" si="564"/>
        <v>-7</v>
      </c>
      <c r="DX151" s="3" t="e">
        <f t="shared" ca="1" si="565"/>
        <v>#NUM!</v>
      </c>
      <c r="DY151" s="3" t="e">
        <f t="shared" ca="1" si="566"/>
        <v>#NUM!</v>
      </c>
      <c r="DZ151" s="3" t="e">
        <f t="shared" ca="1" si="567"/>
        <v>#NUM!</v>
      </c>
      <c r="EA151" s="3" t="e">
        <f t="shared" ca="1" si="568"/>
        <v>#NUM!</v>
      </c>
      <c r="EB151" s="3" t="e">
        <f t="shared" ca="1" si="569"/>
        <v>#NUM!</v>
      </c>
      <c r="EC151" s="3" t="e">
        <f t="shared" ca="1" si="570"/>
        <v>#NUM!</v>
      </c>
      <c r="EE151" s="59">
        <f t="shared" si="571"/>
        <v>9.9199999999999997E-2</v>
      </c>
      <c r="EF151" s="59">
        <f t="shared" si="572"/>
        <v>1.7041999999999999</v>
      </c>
      <c r="EG151" s="59">
        <f t="shared" si="573"/>
        <v>0.15010000000000001</v>
      </c>
      <c r="EH151" s="59">
        <f t="shared" si="574"/>
        <v>0.25</v>
      </c>
      <c r="EI151" s="59">
        <f t="shared" si="575"/>
        <v>0.26629999999999998</v>
      </c>
      <c r="EJ151" s="59">
        <f t="shared" si="576"/>
        <v>0.28339999999999999</v>
      </c>
      <c r="EL151" s="3" t="str">
        <f>RTD("tos.rtd",,EL$43,"."&amp;$B$134&amp;$AS$82&amp;"C"&amp;$A151)</f>
        <v>9.92%</v>
      </c>
      <c r="EM151" s="3" t="str">
        <f>RTD("tos.rtd",,EM$43,"."&amp;$B$134&amp;$AS$82&amp;"P"&amp;$A151)</f>
        <v>170.42%</v>
      </c>
      <c r="EN151" s="3" t="str">
        <f>RTD("tos.rtd",,EN$2,"."&amp;$C$134&amp;$AU$82&amp;"C"&amp;$A151)</f>
        <v>15.01%</v>
      </c>
      <c r="EO151" s="3" t="str">
        <f>RTD("tos.rtd",,EO$2,"."&amp;$C$134&amp;$AU$82&amp;"P"&amp;$A151)</f>
        <v>--</v>
      </c>
      <c r="EP151" s="3" t="str">
        <f>RTD("tos.rtd",,EP$2,"."&amp;$D$134&amp;$AW$82&amp;"C"&amp;$A151)</f>
        <v>26.63%</v>
      </c>
      <c r="EQ151" s="3" t="str">
        <f>RTD("tos.rtd",,EQ$2,"."&amp;$D$134&amp;$AW$82&amp;"P"&amp;$A151)</f>
        <v>28.34%</v>
      </c>
      <c r="ES151" s="63" t="str">
        <f t="shared" si="577"/>
        <v>20100,-69.00</v>
      </c>
      <c r="ET151" s="64" t="str">
        <f t="shared" ca="1" si="578"/>
        <v>20100,00.00</v>
      </c>
      <c r="EU151" s="68">
        <v>562.96</v>
      </c>
      <c r="EV151" s="68" t="s">
        <v>1227</v>
      </c>
      <c r="EW151" s="68">
        <v>485.58</v>
      </c>
      <c r="EX151" s="68" t="s">
        <v>1228</v>
      </c>
      <c r="EY151" s="68">
        <v>5643.25</v>
      </c>
      <c r="EZ151" s="68" t="s">
        <v>1229</v>
      </c>
      <c r="FA151" s="68">
        <v>19946.5</v>
      </c>
      <c r="FB151" s="68" t="s">
        <v>1230</v>
      </c>
      <c r="FC151" s="68" t="s">
        <v>1231</v>
      </c>
      <c r="FD151" s="68" t="s">
        <v>1232</v>
      </c>
      <c r="FE151" s="68" t="s">
        <v>1233</v>
      </c>
      <c r="FF151" s="68" t="s">
        <v>1234</v>
      </c>
    </row>
    <row r="152" spans="1:162" ht="11.1" customHeight="1" thickBot="1" x14ac:dyDescent="0.25">
      <c r="A152" s="2">
        <f t="shared" si="587"/>
        <v>20075</v>
      </c>
      <c r="B152" s="3">
        <f t="shared" si="602"/>
        <v>20</v>
      </c>
      <c r="C152" s="3">
        <f t="shared" si="603"/>
        <v>9</v>
      </c>
      <c r="D152" s="3">
        <f t="shared" si="604"/>
        <v>56</v>
      </c>
      <c r="E152" s="3">
        <f t="shared" si="605"/>
        <v>85</v>
      </c>
      <c r="F152" s="4">
        <f t="shared" si="606"/>
        <v>20175.142169456012</v>
      </c>
      <c r="G152" s="5">
        <f t="shared" si="607"/>
        <v>488.61367320978724</v>
      </c>
      <c r="AM152" s="1">
        <v>42</v>
      </c>
      <c r="AN152" s="1">
        <v>-12</v>
      </c>
      <c r="AO152" s="1">
        <v>20075</v>
      </c>
      <c r="AP152" s="1">
        <v>194</v>
      </c>
      <c r="AQ152" s="1">
        <v>-57</v>
      </c>
      <c r="AS152" s="54">
        <f>IF(RTD("tos.rtd",,AS$83,"."&amp;$B$134&amp;$AS$82&amp;"C"&amp;$A152)="N/A",0,RTD("tos.rtd",,AS$83,"."&amp;$B$134&amp;$AS$82&amp;"C"&amp;$A152))</f>
        <v>6</v>
      </c>
      <c r="AT152" s="3">
        <f>-IF(RTD("tos.rtd",,AT$83,"."&amp;$B$134&amp;$AS$82&amp;"P"&amp;$A152)="N/A",0,RTD("tos.rtd",,AT$83,"."&amp;$B$134&amp;$AS$82&amp;"P"&amp;$A152))</f>
        <v>-14</v>
      </c>
      <c r="AU152" s="54">
        <f>IF(RTD("tos.rtd",,AU$2,"."&amp;$C$134&amp;$AU$134&amp;"C"&amp;$A152)="N/A",0,RTD("tos.rtd",,AU$2,"."&amp;$C$134&amp;$AU$134&amp;"C"&amp;$A152))</f>
        <v>6</v>
      </c>
      <c r="AV152" s="3">
        <f>-IF(RTD("tos.rtd",,AV$2,"."&amp;$C$134&amp;$AU$134&amp;"P"&amp;$A152)="N/A",0,RTD("tos.rtd",,AV$2,"."&amp;$C$134&amp;$AU$134&amp;"P"&amp;$A152))</f>
        <v>-3</v>
      </c>
      <c r="AW152" s="54">
        <f>IF(RTD("tos.rtd",,AW$2,"."&amp;$D$134&amp;$AW$134&amp;"C"&amp;$A152)="N/A",0,RTD("tos.rtd",,AW$2,"."&amp;$D$134&amp;$AW$134&amp;"C"&amp;$A152))</f>
        <v>36</v>
      </c>
      <c r="AX152" s="3">
        <f>-IF(RTD("tos.rtd",,AX$2,"."&amp;$D$134&amp;$AW$134&amp;"P"&amp;$A152)="N/A",0,RTD("tos.rtd",,AX$2,"."&amp;$D$134&amp;$AW$134&amp;"P"&amp;$A152))</f>
        <v>-20</v>
      </c>
      <c r="AY152" s="76">
        <f t="shared" si="608"/>
        <v>11</v>
      </c>
      <c r="AZ152" s="8">
        <f t="shared" si="542"/>
        <v>20075</v>
      </c>
      <c r="BA152" s="54">
        <f>IF(RTD("tos.rtd",,BA$43,"."&amp;$B$134&amp;$AS$82&amp;"C"&amp;$A152)="N/A",0,RTD("tos.rtd",,BA$43,"."&amp;$B$134&amp;$AS$82&amp;"C"&amp;$A152))</f>
        <v>0</v>
      </c>
      <c r="BB152" s="3">
        <f>-IF(RTD("tos.rtd",,BB$43,"."&amp;$B$134&amp;$AS$82&amp;"P"&amp;$A152)="N/A",0,RTD("tos.rtd",,BB$43,"."&amp;$B$134&amp;$AS$82&amp;"P"&amp;$A152))</f>
        <v>0</v>
      </c>
      <c r="BC152" s="54">
        <f>IF(RTD("tos.rtd",,BC$2,"."&amp;$C$134&amp;$AU$82&amp;"C"&amp;$A152)="N/A",0,RTD("tos.rtd",,BC$2,"."&amp;$C$134&amp;$AU$82&amp;"C"&amp;$A152))</f>
        <v>247</v>
      </c>
      <c r="BD152" s="3">
        <f>-IF(RTD("tos.rtd",,BD$2,"."&amp;$C$134&amp;$AU$82&amp;"P"&amp;$A152)="N/A",0,RTD("tos.rtd",,BD$2,"."&amp;$C$134&amp;$AU$82&amp;"P"&amp;$A152))</f>
        <v>-165</v>
      </c>
      <c r="BE152" s="54">
        <f>IF(RTD("tos.rtd",,BE$2,"."&amp;$D$134&amp;$AW$82&amp;"C"&amp;$A152)="N/A",0,RTD("tos.rtd",,BE$2,"."&amp;$D$134&amp;$AW$82&amp;"C"&amp;$A152))</f>
        <v>36</v>
      </c>
      <c r="BF152" s="3">
        <f>-IF(RTD("tos.rtd",,BF$2,"."&amp;$D$134&amp;$AW$82&amp;"P"&amp;$A152)="N/A",0,RTD("tos.rtd",,BF$2,"."&amp;$D$134&amp;$AW$82&amp;"P"&amp;$A152))</f>
        <v>-26</v>
      </c>
      <c r="BG152" s="3">
        <f ca="1">+Hoja2!Y153</f>
        <v>-2</v>
      </c>
      <c r="BH152" s="7">
        <f t="shared" ca="1" si="543"/>
        <v>90</v>
      </c>
      <c r="BI152" s="32" t="str">
        <f t="shared" ca="1" si="601"/>
        <v/>
      </c>
      <c r="BJ152" s="3" t="e">
        <f ca="1">IF($BP$1=1,DX152,IF(RTD("tos.rtd",,BJ$43,"."&amp;$B$134&amp;$AS$82&amp;"C"&amp;$A152)="N/A",0,RTD("tos.rtd",,BJ$43,"."&amp;$B$134&amp;$AS$82&amp;"C"&amp;$A152)))</f>
        <v>#NUM!</v>
      </c>
      <c r="BK152" s="3" t="e">
        <f ca="1">IF($BP$1=1,DY152,-IF(RTD("tos.rtd",,BK$43,"."&amp;$B$134&amp;$AS$82&amp;"P"&amp;$A152)="N/A",0,RTD("tos.rtd",,BK$43,"."&amp;$B$134&amp;$AS$82&amp;"P"&amp;$A152)))</f>
        <v>#NUM!</v>
      </c>
      <c r="BL152" s="3" t="e">
        <f ca="1">IF($BP$1=1,DZ152,IF(RTD("tos.rtd",,BL$2,"."&amp;$C$134&amp;$AU$82&amp;"C"&amp;$A152)="N/A",0,RTD("tos.rtd",,BL$2,"."&amp;$C$134&amp;$AU$82&amp;"C"&amp;$A152)))</f>
        <v>#NUM!</v>
      </c>
      <c r="BM152" s="3" t="e">
        <f ca="1">IF($BP$1=1,EA152,-IF(RTD("tos.rtd",,BM$2,"."&amp;$C$134&amp;$AU$82&amp;"P"&amp;$A152)="N/A",0,RTD("tos.rtd",,BM$2,"."&amp;$C$134&amp;$AU$82&amp;"P"&amp;$A152)))</f>
        <v>#NUM!</v>
      </c>
      <c r="BN152" s="3" t="e">
        <f ca="1">IF($BP$1=1,EB152,IF(RTD("tos.rtd",,BN$2,"."&amp;$D$134&amp;$AW$82&amp;"C"&amp;$A152)="N/A",0,RTD("tos.rtd",,BN$2,"."&amp;$D$134&amp;$AW$82&amp;"C"&amp;$A152)))</f>
        <v>#NUM!</v>
      </c>
      <c r="BO152" s="3" t="e">
        <f ca="1">IF($BP$1=1,EC152,-IF(RTD("tos.rtd",,BO$2,"."&amp;$D$134&amp;$AW$82&amp;"P"&amp;$A152)="N/A",0,RTD("tos.rtd",,BO$2,"."&amp;$D$134&amp;$AW$82&amp;"P"&amp;$A152)))</f>
        <v>#NUM!</v>
      </c>
      <c r="BQ152" s="3" t="e">
        <f t="shared" ca="1" si="609"/>
        <v>#NUM!</v>
      </c>
      <c r="BR152" s="3" t="e">
        <f t="shared" ca="1" si="544"/>
        <v>#NUM!</v>
      </c>
      <c r="BS152" s="3" t="e">
        <f t="shared" ca="1" si="610"/>
        <v>#NUM!</v>
      </c>
      <c r="BT152" s="3" t="e">
        <f t="shared" ca="1" si="545"/>
        <v>#NUM!</v>
      </c>
      <c r="BU152" s="3" t="e">
        <f t="shared" ca="1" si="611"/>
        <v>#NUM!</v>
      </c>
      <c r="BV152" s="3" t="e">
        <f t="shared" ca="1" si="545"/>
        <v>#NUM!</v>
      </c>
      <c r="BX152" s="3" t="e">
        <f t="shared" ca="1" si="579"/>
        <v>#NUM!</v>
      </c>
      <c r="BY152" s="3" t="e">
        <f t="shared" ca="1" si="580"/>
        <v>#NUM!</v>
      </c>
      <c r="BZ152" s="3" t="e">
        <f t="shared" ca="1" si="581"/>
        <v>#NUM!</v>
      </c>
      <c r="CA152" s="3" t="e">
        <f t="shared" ca="1" si="580"/>
        <v>#NUM!</v>
      </c>
      <c r="CB152" s="3" t="e">
        <f t="shared" ca="1" si="582"/>
        <v>#NUM!</v>
      </c>
      <c r="CC152" s="3" t="e">
        <f t="shared" ca="1" si="580"/>
        <v>#NUM!</v>
      </c>
      <c r="CD152" s="3">
        <f>IF(RTD("tos.rtd",,CD$43,"."&amp;$B$134&amp;$AS$82&amp;"C"&amp;$A152)="N/A",0,RTD("tos.rtd",,CD$43,"."&amp;$B$134&amp;$AS$82&amp;"C"&amp;$A152))</f>
        <v>0.02</v>
      </c>
      <c r="CE152" s="3">
        <f>-IF(RTD("tos.rtd",,CE$43,"."&amp;$B$134&amp;$AS$82&amp;"P"&amp;$A152)="N/A",0,RTD("tos.rtd",,CE$43,"."&amp;$B$134&amp;$AS$82&amp;"P"&amp;$A152))</f>
        <v>0.52</v>
      </c>
      <c r="CF152" s="3">
        <f>IF(RTD("tos.rtd",,CF$2,"."&amp;$C$134&amp;$AU$82&amp;"C"&amp;$A152)="N/A",0,RTD("tos.rtd",,CF$2,"."&amp;$C$134&amp;$AU$82&amp;"C"&amp;$A152))</f>
        <v>0.09</v>
      </c>
      <c r="CG152" s="3">
        <f>-IF(RTD("tos.rtd",,CG$2,"."&amp;$C$134&amp;$AU$82&amp;"P"&amp;$A152)="N/A",0,RTD("tos.rtd",,CG$2,"."&amp;$C$134&amp;$AU$82&amp;"P"&amp;$A152))</f>
        <v>0.93</v>
      </c>
      <c r="CH152" s="3">
        <f>IF(RTD("tos.rtd",,CH$2,"."&amp;$D$134&amp;$AW$82&amp;"C"&amp;$A152)="N/A",0,RTD("tos.rtd",,CH$2,"."&amp;$D$134&amp;$AW$82&amp;"C"&amp;$A152))</f>
        <v>0.5</v>
      </c>
      <c r="CI152" s="3">
        <f>-IF(RTD("tos.rtd",,CI$2,"."&amp;$D$134&amp;$AW$82&amp;"P"&amp;$A152)="N/A",0,RTD("tos.rtd",,CI$2,"."&amp;$D$134&amp;$AW$82&amp;"P"&amp;$A152))</f>
        <v>0.49</v>
      </c>
      <c r="CK152" s="3">
        <f t="shared" si="612"/>
        <v>-716</v>
      </c>
      <c r="CL152" s="3"/>
      <c r="CM152" s="3">
        <f t="shared" si="613"/>
        <v>-225</v>
      </c>
      <c r="CN152" s="3"/>
      <c r="CO152" s="3">
        <f t="shared" si="614"/>
        <v>819.99999999999989</v>
      </c>
      <c r="CP152" s="3">
        <f t="shared" si="536"/>
        <v>-121.00000000000011</v>
      </c>
      <c r="CQ152" s="3">
        <f t="shared" si="546"/>
        <v>0</v>
      </c>
      <c r="CR152" s="3"/>
      <c r="CS152" s="3">
        <f t="shared" si="547"/>
        <v>82</v>
      </c>
      <c r="CT152" s="3"/>
      <c r="CU152" s="3">
        <f t="shared" si="548"/>
        <v>10</v>
      </c>
      <c r="CV152" s="3"/>
      <c r="CW152" s="3" t="e">
        <f t="shared" ca="1" si="549"/>
        <v>#NUM!</v>
      </c>
      <c r="CY152" s="3" t="e">
        <f t="shared" ca="1" si="550"/>
        <v>#NUM!</v>
      </c>
      <c r="CZ152" s="70" t="e">
        <f t="shared" ca="1" si="583"/>
        <v>#NUM!</v>
      </c>
      <c r="DA152" s="3">
        <f>IF(RTD("tos.rtd",,DA$43,"."&amp;$B$134&amp;$AS$82&amp;"C"&amp;$A152)="N/A",0,RTD("tos.rtd",,DA$43,"."&amp;$B$134&amp;$AS$82&amp;"C"&amp;$A152))</f>
        <v>0.05</v>
      </c>
      <c r="DB152" s="3">
        <f>IF(RTD("tos.rtd",,DB$43,"."&amp;$B$134&amp;$AS$82&amp;"P"&amp;$A152)="N/A",0,RTD("tos.rtd",,DB$43,"."&amp;$B$134&amp;$AS$82&amp;"P"&amp;$A152))</f>
        <v>79.75</v>
      </c>
      <c r="DC152" s="3">
        <f>IF(RTD("tos.rtd",,DC$43,"."&amp;$B$134&amp;$AS$82&amp;"C"&amp;$A152)="N/A",0,RTD("tos.rtd",,DC$43,"."&amp;$B$134&amp;$AS$82&amp;"C"&amp;$A152))</f>
        <v>0.1</v>
      </c>
      <c r="DD152" s="3">
        <f>IF(RTD("tos.rtd",,DD$43,"."&amp;$B$134&amp;$AS$82&amp;"P"&amp;$A152)="N/A",0,RTD("tos.rtd",,DD$43,"."&amp;$B$134&amp;$AS$82&amp;"P"&amp;$A152))</f>
        <v>108.5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88.5</v>
      </c>
      <c r="DG152" s="86">
        <f t="shared" si="584"/>
        <v>28.5</v>
      </c>
      <c r="DH152" s="3">
        <f t="shared" si="551"/>
        <v>-97</v>
      </c>
      <c r="DI152" s="3">
        <f t="shared" si="552"/>
        <v>-24.9375</v>
      </c>
      <c r="DJ152" s="3">
        <f t="shared" si="553"/>
        <v>0</v>
      </c>
      <c r="DK152" s="3">
        <f t="shared" si="554"/>
        <v>-57</v>
      </c>
      <c r="DL152" s="3">
        <f t="shared" si="555"/>
        <v>-121.9375</v>
      </c>
      <c r="DM152" s="3">
        <f t="shared" si="556"/>
        <v>-57</v>
      </c>
      <c r="DN152" s="64" t="str">
        <f t="shared" si="557"/>
        <v>UNKNOWN</v>
      </c>
      <c r="DO152" s="64" t="str">
        <f t="shared" si="558"/>
        <v>UNKNOWN</v>
      </c>
      <c r="DP152" s="3">
        <f t="shared" si="559"/>
        <v>-1993.6156249999999</v>
      </c>
      <c r="DQ152" s="3">
        <f t="shared" si="560"/>
        <v>-4545.75</v>
      </c>
      <c r="DR152" s="3" t="e">
        <f t="shared" ca="1" si="561"/>
        <v>#NUM!</v>
      </c>
      <c r="DS152" s="3">
        <f t="shared" si="562"/>
        <v>-29.64</v>
      </c>
      <c r="DT152" s="3">
        <f t="shared" si="585"/>
        <v>-194</v>
      </c>
      <c r="DU152" s="3">
        <f t="shared" si="586"/>
        <v>57</v>
      </c>
      <c r="DV152" s="3">
        <f t="shared" si="563"/>
        <v>42</v>
      </c>
      <c r="DW152" s="3">
        <f t="shared" si="564"/>
        <v>-12</v>
      </c>
      <c r="DX152" s="3" t="e">
        <f t="shared" ca="1" si="565"/>
        <v>#NUM!</v>
      </c>
      <c r="DY152" s="3" t="e">
        <f t="shared" ca="1" si="566"/>
        <v>#NUM!</v>
      </c>
      <c r="DZ152" s="3" t="e">
        <f t="shared" ca="1" si="567"/>
        <v>#NUM!</v>
      </c>
      <c r="EA152" s="3" t="e">
        <f t="shared" ca="1" si="568"/>
        <v>#NUM!</v>
      </c>
      <c r="EB152" s="3" t="e">
        <f t="shared" ca="1" si="569"/>
        <v>#NUM!</v>
      </c>
      <c r="EC152" s="3" t="e">
        <f t="shared" ca="1" si="570"/>
        <v>#NUM!</v>
      </c>
      <c r="EE152" s="59">
        <f t="shared" si="571"/>
        <v>4.36E-2</v>
      </c>
      <c r="EF152" s="59">
        <f t="shared" si="572"/>
        <v>1.5147999999999999</v>
      </c>
      <c r="EG152" s="59">
        <f t="shared" si="573"/>
        <v>6.5600000000000006E-2</v>
      </c>
      <c r="EH152" s="59">
        <f t="shared" si="574"/>
        <v>6.1199999999999997E-2</v>
      </c>
      <c r="EI152" s="59">
        <f t="shared" si="575"/>
        <v>0.26719999999999999</v>
      </c>
      <c r="EJ152" s="59">
        <f t="shared" si="576"/>
        <v>0.2843</v>
      </c>
      <c r="EL152" s="3" t="str">
        <f>RTD("tos.rtd",,EL$43,"."&amp;$B$134&amp;$AS$82&amp;"C"&amp;$A152)</f>
        <v>4.36%</v>
      </c>
      <c r="EM152" s="3" t="str">
        <f>RTD("tos.rtd",,EM$43,"."&amp;$B$134&amp;$AS$82&amp;"P"&amp;$A152)</f>
        <v>151.48%</v>
      </c>
      <c r="EN152" s="3" t="str">
        <f>RTD("tos.rtd",,EN$2,"."&amp;$C$134&amp;$AU$82&amp;"C"&amp;$A152)</f>
        <v>6.56%</v>
      </c>
      <c r="EO152" s="3" t="str">
        <f>RTD("tos.rtd",,EO$2,"."&amp;$C$134&amp;$AU$82&amp;"P"&amp;$A152)</f>
        <v>6.12%</v>
      </c>
      <c r="EP152" s="3" t="str">
        <f>RTD("tos.rtd",,EP$2,"."&amp;$D$134&amp;$AW$82&amp;"C"&amp;$A152)</f>
        <v>26.72%</v>
      </c>
      <c r="EQ152" s="3" t="str">
        <f>RTD("tos.rtd",,EQ$2,"."&amp;$D$134&amp;$AW$82&amp;"P"&amp;$A152)</f>
        <v>28.43%</v>
      </c>
      <c r="ES152" s="63" t="str">
        <f t="shared" si="577"/>
        <v>20075,30.00</v>
      </c>
      <c r="ET152" s="64" t="str">
        <f t="shared" ca="1" si="578"/>
        <v>20075,00.00</v>
      </c>
      <c r="EU152" s="68">
        <v>563</v>
      </c>
      <c r="EV152" s="68" t="s">
        <v>1235</v>
      </c>
      <c r="EW152" s="68">
        <v>485.61</v>
      </c>
      <c r="EX152" s="68" t="s">
        <v>1236</v>
      </c>
      <c r="EY152" s="68">
        <v>5644.25</v>
      </c>
      <c r="EZ152" s="68" t="s">
        <v>1237</v>
      </c>
      <c r="FA152" s="68">
        <v>19949.5</v>
      </c>
      <c r="FB152" s="68" t="s">
        <v>1238</v>
      </c>
      <c r="FC152" s="68" t="s">
        <v>1239</v>
      </c>
      <c r="FD152" s="68" t="s">
        <v>1240</v>
      </c>
      <c r="FE152" s="68" t="s">
        <v>1241</v>
      </c>
      <c r="FF152" s="68" t="s">
        <v>1242</v>
      </c>
    </row>
    <row r="153" spans="1:162" ht="11.1" customHeight="1" thickBot="1" x14ac:dyDescent="0.25">
      <c r="A153" s="2">
        <f t="shared" si="587"/>
        <v>20050</v>
      </c>
      <c r="B153" s="3">
        <f t="shared" si="602"/>
        <v>25</v>
      </c>
      <c r="C153" s="3">
        <f t="shared" si="603"/>
        <v>82</v>
      </c>
      <c r="D153" s="3">
        <f t="shared" si="604"/>
        <v>43</v>
      </c>
      <c r="E153" s="3">
        <f t="shared" si="605"/>
        <v>150</v>
      </c>
      <c r="F153" s="4">
        <f t="shared" si="606"/>
        <v>20150.017459406878</v>
      </c>
      <c r="G153" s="5">
        <f t="shared" si="607"/>
        <v>488.00518793804406</v>
      </c>
      <c r="AM153" s="1">
        <v>152</v>
      </c>
      <c r="AN153" s="1">
        <v>69</v>
      </c>
      <c r="AO153" s="1">
        <v>20050</v>
      </c>
      <c r="AP153" s="1">
        <v>881</v>
      </c>
      <c r="AQ153" s="1">
        <v>-552</v>
      </c>
      <c r="AS153" s="54">
        <f>IF(RTD("tos.rtd",,AS$83,"."&amp;$B$134&amp;$AS$82&amp;"C"&amp;$A153)="N/A",0,RTD("tos.rtd",,AS$83,"."&amp;$B$134&amp;$AS$82&amp;"C"&amp;$A153))</f>
        <v>8</v>
      </c>
      <c r="AT153" s="3">
        <f>-IF(RTD("tos.rtd",,AT$83,"."&amp;$B$134&amp;$AS$82&amp;"P"&amp;$A153)="N/A",0,RTD("tos.rtd",,AT$83,"."&amp;$B$134&amp;$AS$82&amp;"P"&amp;$A153))</f>
        <v>-17</v>
      </c>
      <c r="AU153" s="54">
        <f>IF(RTD("tos.rtd",,AU$2,"."&amp;$C$134&amp;$AU$134&amp;"C"&amp;$A153)="N/A",0,RTD("tos.rtd",,AU$2,"."&amp;$C$134&amp;$AU$134&amp;"C"&amp;$A153))</f>
        <v>73</v>
      </c>
      <c r="AV153" s="3">
        <f>-IF(RTD("tos.rtd",,AV$2,"."&amp;$C$134&amp;$AU$134&amp;"P"&amp;$A153)="N/A",0,RTD("tos.rtd",,AV$2,"."&amp;$C$134&amp;$AU$134&amp;"P"&amp;$A153))</f>
        <v>-9</v>
      </c>
      <c r="AW153" s="54">
        <f>IF(RTD("tos.rtd",,AW$2,"."&amp;$D$134&amp;$AW$134&amp;"C"&amp;$A153)="N/A",0,RTD("tos.rtd",,AW$2,"."&amp;$D$134&amp;$AW$134&amp;"C"&amp;$A153))</f>
        <v>30</v>
      </c>
      <c r="AX153" s="3">
        <f>-IF(RTD("tos.rtd",,AX$2,"."&amp;$D$134&amp;$AW$134&amp;"P"&amp;$A153)="N/A",0,RTD("tos.rtd",,AX$2,"."&amp;$D$134&amp;$AW$134&amp;"P"&amp;$A153))</f>
        <v>-13</v>
      </c>
      <c r="AY153" s="76">
        <f t="shared" si="608"/>
        <v>72</v>
      </c>
      <c r="AZ153" s="8">
        <f t="shared" si="542"/>
        <v>20050</v>
      </c>
      <c r="BA153" s="54">
        <f>IF(RTD("tos.rtd",,BA$43,"."&amp;$B$134&amp;$AS$82&amp;"C"&amp;$A153)="N/A",0,RTD("tos.rtd",,BA$43,"."&amp;$B$134&amp;$AS$82&amp;"C"&amp;$A153))</f>
        <v>0</v>
      </c>
      <c r="BB153" s="3">
        <f>-IF(RTD("tos.rtd",,BB$43,"."&amp;$B$134&amp;$AS$82&amp;"P"&amp;$A153)="N/A",0,RTD("tos.rtd",,BB$43,"."&amp;$B$134&amp;$AS$82&amp;"P"&amp;$A153))</f>
        <v>0</v>
      </c>
      <c r="BC153" s="54">
        <f>IF(RTD("tos.rtd",,BC$2,"."&amp;$C$134&amp;$AU$82&amp;"C"&amp;$A153)="N/A",0,RTD("tos.rtd",,BC$2,"."&amp;$C$134&amp;$AU$82&amp;"C"&amp;$A153))</f>
        <v>489</v>
      </c>
      <c r="BD153" s="3">
        <f>-IF(RTD("tos.rtd",,BD$2,"."&amp;$C$134&amp;$AU$82&amp;"P"&amp;$A153)="N/A",0,RTD("tos.rtd",,BD$2,"."&amp;$C$134&amp;$AU$82&amp;"P"&amp;$A153))</f>
        <v>-542</v>
      </c>
      <c r="BE153" s="54">
        <f>IF(RTD("tos.rtd",,BE$2,"."&amp;$D$134&amp;$AW$82&amp;"C"&amp;$A153)="N/A",0,RTD("tos.rtd",,BE$2,"."&amp;$D$134&amp;$AW$82&amp;"C"&amp;$A153))</f>
        <v>4</v>
      </c>
      <c r="BF153" s="3">
        <f>-IF(RTD("tos.rtd",,BF$2,"."&amp;$D$134&amp;$AW$82&amp;"P"&amp;$A153)="N/A",0,RTD("tos.rtd",,BF$2,"."&amp;$D$134&amp;$AW$82&amp;"P"&amp;$A153))</f>
        <v>-17</v>
      </c>
      <c r="BG153" s="3">
        <f ca="1">+Hoja2!Y154</f>
        <v>19</v>
      </c>
      <c r="BH153" s="7">
        <f t="shared" ca="1" si="543"/>
        <v>-47</v>
      </c>
      <c r="BI153" s="32" t="str">
        <f t="shared" ca="1" si="601"/>
        <v>Cruce -</v>
      </c>
      <c r="BJ153" s="3" t="e">
        <f ca="1">IF($BP$1=1,DX153,IF(RTD("tos.rtd",,BJ$43,"."&amp;$B$134&amp;$AS$82&amp;"C"&amp;$A153)="N/A",0,RTD("tos.rtd",,BJ$43,"."&amp;$B$134&amp;$AS$82&amp;"C"&amp;$A153)))</f>
        <v>#NUM!</v>
      </c>
      <c r="BK153" s="3" t="e">
        <f ca="1">IF($BP$1=1,DY153,-IF(RTD("tos.rtd",,BK$43,"."&amp;$B$134&amp;$AS$82&amp;"P"&amp;$A153)="N/A",0,RTD("tos.rtd",,BK$43,"."&amp;$B$134&amp;$AS$82&amp;"P"&amp;$A153)))</f>
        <v>#NUM!</v>
      </c>
      <c r="BL153" s="3" t="e">
        <f ca="1">IF($BP$1=1,DZ153,IF(RTD("tos.rtd",,BL$2,"."&amp;$C$134&amp;$AU$82&amp;"C"&amp;$A153)="N/A",0,RTD("tos.rtd",,BL$2,"."&amp;$C$134&amp;$AU$82&amp;"C"&amp;$A153)))</f>
        <v>#NUM!</v>
      </c>
      <c r="BM153" s="3" t="e">
        <f ca="1">IF($BP$1=1,EA153,-IF(RTD("tos.rtd",,BM$2,"."&amp;$C$134&amp;$AU$82&amp;"P"&amp;$A153)="N/A",0,RTD("tos.rtd",,BM$2,"."&amp;$C$134&amp;$AU$82&amp;"P"&amp;$A153)))</f>
        <v>#NUM!</v>
      </c>
      <c r="BN153" s="3" t="e">
        <f ca="1">IF($BP$1=1,EB153,IF(RTD("tos.rtd",,BN$2,"."&amp;$D$134&amp;$AW$82&amp;"C"&amp;$A153)="N/A",0,RTD("tos.rtd",,BN$2,"."&amp;$D$134&amp;$AW$82&amp;"C"&amp;$A153)))</f>
        <v>#NUM!</v>
      </c>
      <c r="BO153" s="3" t="e">
        <f ca="1">IF($BP$1=1,EC153,-IF(RTD("tos.rtd",,BO$2,"."&amp;$D$134&amp;$AW$82&amp;"P"&amp;$A153)="N/A",0,RTD("tos.rtd",,BO$2,"."&amp;$D$134&amp;$AW$82&amp;"P"&amp;$A153)))</f>
        <v>#NUM!</v>
      </c>
      <c r="BQ153" s="3" t="e">
        <f t="shared" ca="1" si="609"/>
        <v>#NUM!</v>
      </c>
      <c r="BR153" s="3" t="e">
        <f t="shared" ca="1" si="544"/>
        <v>#NUM!</v>
      </c>
      <c r="BS153" s="3" t="e">
        <f t="shared" ca="1" si="610"/>
        <v>#NUM!</v>
      </c>
      <c r="BT153" s="3" t="e">
        <f t="shared" ca="1" si="545"/>
        <v>#NUM!</v>
      </c>
      <c r="BU153" s="3" t="e">
        <f t="shared" ca="1" si="611"/>
        <v>#NUM!</v>
      </c>
      <c r="BV153" s="3" t="e">
        <f t="shared" ca="1" si="545"/>
        <v>#NUM!</v>
      </c>
      <c r="BX153" s="3" t="e">
        <f t="shared" ca="1" si="579"/>
        <v>#NUM!</v>
      </c>
      <c r="BY153" s="3" t="e">
        <f t="shared" ca="1" si="580"/>
        <v>#NUM!</v>
      </c>
      <c r="BZ153" s="3" t="e">
        <f t="shared" ca="1" si="581"/>
        <v>#NUM!</v>
      </c>
      <c r="CA153" s="3" t="e">
        <f t="shared" ca="1" si="580"/>
        <v>#NUM!</v>
      </c>
      <c r="CB153" s="3" t="e">
        <f t="shared" ca="1" si="582"/>
        <v>#NUM!</v>
      </c>
      <c r="CC153" s="3" t="e">
        <f t="shared" ca="1" si="580"/>
        <v>#NUM!</v>
      </c>
      <c r="CD153" s="3">
        <f>IF(RTD("tos.rtd",,CD$43,"."&amp;$B$134&amp;$AS$82&amp;"C"&amp;$A153)="N/A",0,RTD("tos.rtd",,CD$43,"."&amp;$B$134&amp;$AS$82&amp;"C"&amp;$A153))</f>
        <v>1</v>
      </c>
      <c r="CE153" s="3">
        <f>-IF(RTD("tos.rtd",,CE$43,"."&amp;$B$134&amp;$AS$82&amp;"P"&amp;$A153)="N/A",0,RTD("tos.rtd",,CE$43,"."&amp;$B$134&amp;$AS$82&amp;"P"&amp;$A153))</f>
        <v>0.48</v>
      </c>
      <c r="CF153" s="3">
        <f>IF(RTD("tos.rtd",,CF$2,"."&amp;$C$134&amp;$AU$82&amp;"C"&amp;$A153)="N/A",0,RTD("tos.rtd",,CF$2,"."&amp;$C$134&amp;$AU$82&amp;"C"&amp;$A153))</f>
        <v>0.76</v>
      </c>
      <c r="CG153" s="3">
        <f>-IF(RTD("tos.rtd",,CG$2,"."&amp;$C$134&amp;$AU$82&amp;"P"&amp;$A153)="N/A",0,RTD("tos.rtd",,CG$2,"."&amp;$C$134&amp;$AU$82&amp;"P"&amp;$A153))</f>
        <v>0.11</v>
      </c>
      <c r="CH153" s="3">
        <f>IF(RTD("tos.rtd",,CH$2,"."&amp;$D$134&amp;$AW$82&amp;"C"&amp;$A153)="N/A",0,RTD("tos.rtd",,CH$2,"."&amp;$D$134&amp;$AW$82&amp;"C"&amp;$A153))</f>
        <v>0.52</v>
      </c>
      <c r="CI153" s="3">
        <f>-IF(RTD("tos.rtd",,CI$2,"."&amp;$D$134&amp;$AW$82&amp;"P"&amp;$A153)="N/A",0,RTD("tos.rtd",,CI$2,"."&amp;$D$134&amp;$AW$82&amp;"P"&amp;$A153))</f>
        <v>0.48</v>
      </c>
      <c r="CK153" s="3">
        <f t="shared" si="612"/>
        <v>-16</v>
      </c>
      <c r="CL153" s="3"/>
      <c r="CM153" s="3">
        <f t="shared" si="613"/>
        <v>5449</v>
      </c>
      <c r="CN153" s="3"/>
      <c r="CO153" s="3">
        <f t="shared" si="614"/>
        <v>936.00000000000023</v>
      </c>
      <c r="CP153" s="3">
        <f t="shared" si="536"/>
        <v>6369</v>
      </c>
      <c r="CQ153" s="3">
        <f t="shared" si="546"/>
        <v>0</v>
      </c>
      <c r="CR153" s="3"/>
      <c r="CS153" s="3">
        <f t="shared" si="547"/>
        <v>-53</v>
      </c>
      <c r="CT153" s="3"/>
      <c r="CU153" s="3">
        <f t="shared" si="548"/>
        <v>-13</v>
      </c>
      <c r="CV153" s="3"/>
      <c r="CW153" s="3" t="e">
        <f t="shared" ca="1" si="549"/>
        <v>#NUM!</v>
      </c>
      <c r="CY153" s="3" t="e">
        <f t="shared" ca="1" si="550"/>
        <v>#NUM!</v>
      </c>
      <c r="CZ153" s="70" t="e">
        <f t="shared" ca="1" si="583"/>
        <v>#NUM!</v>
      </c>
      <c r="DA153" s="3">
        <f>IF(RTD("tos.rtd",,DA$43,"."&amp;$B$134&amp;$AS$82&amp;"C"&amp;$A153)="N/A",0,RTD("tos.rtd",,DA$43,"."&amp;$B$134&amp;$AS$82&amp;"C"&amp;$A153))</f>
        <v>0.1</v>
      </c>
      <c r="DB153" s="3">
        <f>IF(RTD("tos.rtd",,DB$43,"."&amp;$B$134&amp;$AS$82&amp;"P"&amp;$A153)="N/A",0,RTD("tos.rtd",,DB$43,"."&amp;$B$134&amp;$AS$82&amp;"P"&amp;$A153))</f>
        <v>85</v>
      </c>
      <c r="DC153" s="3">
        <f>IF(RTD("tos.rtd",,DC$43,"."&amp;$B$134&amp;$AS$82&amp;"C"&amp;$A153)="N/A",0,RTD("tos.rtd",,DC$43,"."&amp;$B$134&amp;$AS$82&amp;"C"&amp;$A153))</f>
        <v>0.05</v>
      </c>
      <c r="DD153" s="3">
        <f>IF(RTD("tos.rtd",,DD$43,"."&amp;$B$134&amp;$AS$82&amp;"P"&amp;$A153)="N/A",0,RTD("tos.rtd",,DD$43,"."&amp;$B$134&amp;$AS$82&amp;"P"&amp;$A153))</f>
        <v>86.5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66.5</v>
      </c>
      <c r="DG153" s="86">
        <f t="shared" si="584"/>
        <v>3.5</v>
      </c>
      <c r="DH153" s="3">
        <f t="shared" si="551"/>
        <v>-1762</v>
      </c>
      <c r="DI153" s="3">
        <f t="shared" si="552"/>
        <v>510.6</v>
      </c>
      <c r="DJ153" s="3">
        <f t="shared" si="553"/>
        <v>-881</v>
      </c>
      <c r="DK153" s="3">
        <f t="shared" si="554"/>
        <v>552</v>
      </c>
      <c r="DL153" s="3">
        <f t="shared" si="555"/>
        <v>-1251.4000000000001</v>
      </c>
      <c r="DM153" s="3">
        <f t="shared" si="556"/>
        <v>-329</v>
      </c>
      <c r="DN153" s="64" t="str">
        <f t="shared" si="557"/>
        <v>UNKNOWN</v>
      </c>
      <c r="DO153" s="64" t="str">
        <f t="shared" si="558"/>
        <v>UNKNOWN</v>
      </c>
      <c r="DP153" s="3">
        <f t="shared" si="559"/>
        <v>43224.800000000003</v>
      </c>
      <c r="DQ153" s="3">
        <f t="shared" si="560"/>
        <v>46831.9</v>
      </c>
      <c r="DR153" s="3" t="e">
        <f t="shared" ca="1" si="561"/>
        <v>#NUM!</v>
      </c>
      <c r="DS153" s="3">
        <f t="shared" si="562"/>
        <v>-616.04</v>
      </c>
      <c r="DT153" s="3">
        <f t="shared" si="585"/>
        <v>-881</v>
      </c>
      <c r="DU153" s="3">
        <f t="shared" si="586"/>
        <v>552</v>
      </c>
      <c r="DV153" s="3">
        <f t="shared" si="563"/>
        <v>152</v>
      </c>
      <c r="DW153" s="3">
        <f t="shared" si="564"/>
        <v>69</v>
      </c>
      <c r="DX153" s="3" t="e">
        <f t="shared" ca="1" si="565"/>
        <v>#NUM!</v>
      </c>
      <c r="DY153" s="3" t="e">
        <f t="shared" ca="1" si="566"/>
        <v>#NUM!</v>
      </c>
      <c r="DZ153" s="3" t="e">
        <f t="shared" ca="1" si="567"/>
        <v>#NUM!</v>
      </c>
      <c r="EA153" s="3" t="e">
        <f t="shared" ca="1" si="568"/>
        <v>#NUM!</v>
      </c>
      <c r="EB153" s="3" t="e">
        <f t="shared" ca="1" si="569"/>
        <v>#NUM!</v>
      </c>
      <c r="EC153" s="3" t="e">
        <f t="shared" ca="1" si="570"/>
        <v>#NUM!</v>
      </c>
      <c r="EE153" s="59">
        <f t="shared" si="571"/>
        <v>0.25</v>
      </c>
      <c r="EF153" s="59">
        <f t="shared" si="572"/>
        <v>1.359</v>
      </c>
      <c r="EG153" s="59">
        <f t="shared" si="573"/>
        <v>0.1096</v>
      </c>
      <c r="EH153" s="59">
        <f t="shared" si="574"/>
        <v>6.2899999999999998E-2</v>
      </c>
      <c r="EI153" s="59">
        <f t="shared" si="575"/>
        <v>0.26769999999999999</v>
      </c>
      <c r="EJ153" s="59">
        <f t="shared" si="576"/>
        <v>0.2848</v>
      </c>
      <c r="EL153" s="3" t="str">
        <f>RTD("tos.rtd",,EL$43,"."&amp;$B$134&amp;$AS$82&amp;"C"&amp;$A153)</f>
        <v>--</v>
      </c>
      <c r="EM153" s="3" t="str">
        <f>RTD("tos.rtd",,EM$43,"."&amp;$B$134&amp;$AS$82&amp;"P"&amp;$A153)</f>
        <v>135.90%</v>
      </c>
      <c r="EN153" s="3" t="str">
        <f>RTD("tos.rtd",,EN$2,"."&amp;$C$134&amp;$AU$82&amp;"C"&amp;$A153)</f>
        <v>10.96%</v>
      </c>
      <c r="EO153" s="3" t="str">
        <f>RTD("tos.rtd",,EO$2,"."&amp;$C$134&amp;$AU$82&amp;"P"&amp;$A153)</f>
        <v>6.29%</v>
      </c>
      <c r="EP153" s="3" t="str">
        <f>RTD("tos.rtd",,EP$2,"."&amp;$D$134&amp;$AW$82&amp;"C"&amp;$A153)</f>
        <v>26.77%</v>
      </c>
      <c r="EQ153" s="3" t="str">
        <f>RTD("tos.rtd",,EQ$2,"."&amp;$D$134&amp;$AW$82&amp;"P"&amp;$A153)</f>
        <v>28.48%</v>
      </c>
      <c r="ES153" s="63" t="str">
        <f t="shared" si="577"/>
        <v>20050,221.00</v>
      </c>
      <c r="ET153" s="64" t="str">
        <f t="shared" ca="1" si="578"/>
        <v>20050,00.00</v>
      </c>
      <c r="EU153" s="68">
        <v>563.02</v>
      </c>
      <c r="EV153" s="68" t="s">
        <v>1243</v>
      </c>
      <c r="EW153" s="68">
        <v>485.58</v>
      </c>
      <c r="EX153" s="68" t="s">
        <v>1244</v>
      </c>
      <c r="EY153" s="68">
        <v>5644</v>
      </c>
      <c r="EZ153" s="68" t="s">
        <v>1245</v>
      </c>
      <c r="FA153" s="68">
        <v>19947.5</v>
      </c>
      <c r="FB153" s="68" t="s">
        <v>1246</v>
      </c>
      <c r="FC153" s="68" t="s">
        <v>1247</v>
      </c>
      <c r="FD153" s="68" t="s">
        <v>1248</v>
      </c>
      <c r="FE153" s="68" t="s">
        <v>1249</v>
      </c>
      <c r="FF153" s="68" t="s">
        <v>1250</v>
      </c>
    </row>
    <row r="154" spans="1:162" ht="11.1" customHeight="1" thickBot="1" x14ac:dyDescent="0.25">
      <c r="A154" s="2">
        <f t="shared" si="587"/>
        <v>20025</v>
      </c>
      <c r="B154" s="3">
        <f t="shared" si="602"/>
        <v>13</v>
      </c>
      <c r="C154" s="3">
        <f t="shared" si="603"/>
        <v>11</v>
      </c>
      <c r="D154" s="3">
        <f t="shared" si="604"/>
        <v>68</v>
      </c>
      <c r="E154" s="3">
        <f t="shared" si="605"/>
        <v>92</v>
      </c>
      <c r="F154" s="4">
        <f t="shared" ref="F154:F189" si="615">+$F$136/$A$136*A154</f>
        <v>20124.892749357739</v>
      </c>
      <c r="G154" s="5">
        <f t="shared" si="607"/>
        <v>487.39670266630083</v>
      </c>
      <c r="AM154" s="1">
        <v>14</v>
      </c>
      <c r="AN154" s="1">
        <v>6</v>
      </c>
      <c r="AO154" s="1">
        <v>20025</v>
      </c>
      <c r="AP154" s="1">
        <v>131</v>
      </c>
      <c r="AQ154" s="1">
        <v>-143</v>
      </c>
      <c r="AS154" s="54">
        <f>IF(RTD("tos.rtd",,AS$83,"."&amp;$B$134&amp;$AS$82&amp;"C"&amp;$A154)="N/A",0,RTD("tos.rtd",,AS$83,"."&amp;$B$134&amp;$AS$82&amp;"C"&amp;$A154))</f>
        <v>10</v>
      </c>
      <c r="AT154" s="3">
        <f>-IF(RTD("tos.rtd",,AT$83,"."&amp;$B$134&amp;$AS$82&amp;"P"&amp;$A154)="N/A",0,RTD("tos.rtd",,AT$83,"."&amp;$B$134&amp;$AS$82&amp;"P"&amp;$A154))</f>
        <v>-3</v>
      </c>
      <c r="AU154" s="54">
        <f>IF(RTD("tos.rtd",,AU$2,"."&amp;$C$134&amp;$AU$134&amp;"C"&amp;$A154)="N/A",0,RTD("tos.rtd",,AU$2,"."&amp;$C$134&amp;$AU$134&amp;"C"&amp;$A154))</f>
        <v>8</v>
      </c>
      <c r="AV154" s="3">
        <f>-IF(RTD("tos.rtd",,AV$2,"."&amp;$C$134&amp;$AU$134&amp;"P"&amp;$A154)="N/A",0,RTD("tos.rtd",,AV$2,"."&amp;$C$134&amp;$AU$134&amp;"P"&amp;$A154))</f>
        <v>-3</v>
      </c>
      <c r="AW154" s="54">
        <f>IF(RTD("tos.rtd",,AW$2,"."&amp;$D$134&amp;$AW$134&amp;"C"&amp;$A154)="N/A",0,RTD("tos.rtd",,AW$2,"."&amp;$D$134&amp;$AW$134&amp;"C"&amp;$A154))</f>
        <v>35</v>
      </c>
      <c r="AX154" s="3">
        <f>-IF(RTD("tos.rtd",,AX$2,"."&amp;$D$134&amp;$AW$134&amp;"P"&amp;$A154)="N/A",0,RTD("tos.rtd",,AX$2,"."&amp;$D$134&amp;$AW$134&amp;"P"&amp;$A154))</f>
        <v>-33</v>
      </c>
      <c r="AY154" s="76">
        <f t="shared" ref="AY154:AY189" si="616">SUM(AS154:AX154)</f>
        <v>14</v>
      </c>
      <c r="AZ154" s="8">
        <f t="shared" si="542"/>
        <v>20025</v>
      </c>
      <c r="BA154" s="54">
        <f>IF(RTD("tos.rtd",,BA$43,"."&amp;$B$134&amp;$AS$82&amp;"C"&amp;$A154)="N/A",0,RTD("tos.rtd",,BA$43,"."&amp;$B$134&amp;$AS$82&amp;"C"&amp;$A154))</f>
        <v>0</v>
      </c>
      <c r="BB154" s="3">
        <f>-IF(RTD("tos.rtd",,BB$43,"."&amp;$B$134&amp;$AS$82&amp;"P"&amp;$A154)="N/A",0,RTD("tos.rtd",,BB$43,"."&amp;$B$134&amp;$AS$82&amp;"P"&amp;$A154))</f>
        <v>0</v>
      </c>
      <c r="BC154" s="54">
        <f>IF(RTD("tos.rtd",,BC$2,"."&amp;$C$134&amp;$AU$82&amp;"C"&amp;$A154)="N/A",0,RTD("tos.rtd",,BC$2,"."&amp;$C$134&amp;$AU$82&amp;"C"&amp;$A154))</f>
        <v>185</v>
      </c>
      <c r="BD154" s="3">
        <f>-IF(RTD("tos.rtd",,BD$2,"."&amp;$C$134&amp;$AU$82&amp;"P"&amp;$A154)="N/A",0,RTD("tos.rtd",,BD$2,"."&amp;$C$134&amp;$AU$82&amp;"P"&amp;$A154))</f>
        <v>-247</v>
      </c>
      <c r="BE154" s="54">
        <f>IF(RTD("tos.rtd",,BE$2,"."&amp;$D$134&amp;$AW$82&amp;"C"&amp;$A154)="N/A",0,RTD("tos.rtd",,BE$2,"."&amp;$D$134&amp;$AW$82&amp;"C"&amp;$A154))</f>
        <v>5</v>
      </c>
      <c r="BF154" s="3">
        <f>-IF(RTD("tos.rtd",,BF$2,"."&amp;$D$134&amp;$AW$82&amp;"P"&amp;$A154)="N/A",0,RTD("tos.rtd",,BF$2,"."&amp;$D$134&amp;$AW$82&amp;"P"&amp;$A154))</f>
        <v>-10</v>
      </c>
      <c r="BG154" s="3">
        <f ca="1">+Hoja2!Y155</f>
        <v>10</v>
      </c>
      <c r="BH154" s="7">
        <f t="shared" ca="1" si="543"/>
        <v>-57</v>
      </c>
      <c r="BI154" s="32" t="str">
        <f t="shared" ca="1" si="601"/>
        <v/>
      </c>
      <c r="BJ154" s="3" t="e">
        <f ca="1">IF($BP$1=1,DX154,IF(RTD("tos.rtd",,BJ$43,"."&amp;$B$134&amp;$AS$82&amp;"C"&amp;$A154)="N/A",0,RTD("tos.rtd",,BJ$43,"."&amp;$B$134&amp;$AS$82&amp;"C"&amp;$A154)))</f>
        <v>#NUM!</v>
      </c>
      <c r="BK154" s="3" t="e">
        <f ca="1">IF($BP$1=1,DY154,-IF(RTD("tos.rtd",,BK$43,"."&amp;$B$134&amp;$AS$82&amp;"P"&amp;$A154)="N/A",0,RTD("tos.rtd",,BK$43,"."&amp;$B$134&amp;$AS$82&amp;"P"&amp;$A154)))</f>
        <v>#NUM!</v>
      </c>
      <c r="BL154" s="3" t="e">
        <f ca="1">IF($BP$1=1,DZ154,IF(RTD("tos.rtd",,BL$2,"."&amp;$C$134&amp;$AU$82&amp;"C"&amp;$A154)="N/A",0,RTD("tos.rtd",,BL$2,"."&amp;$C$134&amp;$AU$82&amp;"C"&amp;$A154)))</f>
        <v>#NUM!</v>
      </c>
      <c r="BM154" s="3" t="e">
        <f ca="1">IF($BP$1=1,EA154,-IF(RTD("tos.rtd",,BM$2,"."&amp;$C$134&amp;$AU$82&amp;"P"&amp;$A154)="N/A",0,RTD("tos.rtd",,BM$2,"."&amp;$C$134&amp;$AU$82&amp;"P"&amp;$A154)))</f>
        <v>#NUM!</v>
      </c>
      <c r="BN154" s="3" t="e">
        <f ca="1">IF($BP$1=1,EB154,IF(RTD("tos.rtd",,BN$2,"."&amp;$D$134&amp;$AW$82&amp;"C"&amp;$A154)="N/A",0,RTD("tos.rtd",,BN$2,"."&amp;$D$134&amp;$AW$82&amp;"C"&amp;$A154)))</f>
        <v>#NUM!</v>
      </c>
      <c r="BO154" s="3" t="e">
        <f ca="1">IF($BP$1=1,EC154,-IF(RTD("tos.rtd",,BO$2,"."&amp;$D$134&amp;$AW$82&amp;"P"&amp;$A154)="N/A",0,RTD("tos.rtd",,BO$2,"."&amp;$D$134&amp;$AW$82&amp;"P"&amp;$A154)))</f>
        <v>#NUM!</v>
      </c>
      <c r="BQ154" s="3" t="e">
        <f t="shared" ref="BQ154:BQ189" ca="1" si="617">+$A$84*$A$84*AS154*BJ154-$A$84*$A$84*AT154*BK154</f>
        <v>#NUM!</v>
      </c>
      <c r="BR154" s="3" t="e">
        <f t="shared" ca="1" si="544"/>
        <v>#NUM!</v>
      </c>
      <c r="BS154" s="3" t="e">
        <f t="shared" ref="BS154:BS189" ca="1" si="618">+$A$84*$A$84*AU154*BL154-$A$84*$A$84*AV154*BM154</f>
        <v>#NUM!</v>
      </c>
      <c r="BT154" s="3" t="e">
        <f t="shared" ca="1" si="545"/>
        <v>#NUM!</v>
      </c>
      <c r="BU154" s="3" t="e">
        <f t="shared" ref="BU154:BU189" ca="1" si="619">+$A$84*$A$84*AW154*BN154-$A$84*$A$84*AX154*BO154</f>
        <v>#NUM!</v>
      </c>
      <c r="BV154" s="3" t="e">
        <f t="shared" ca="1" si="545"/>
        <v>#NUM!</v>
      </c>
      <c r="BX154" s="3" t="e">
        <f t="shared" ca="1" si="579"/>
        <v>#NUM!</v>
      </c>
      <c r="BY154" s="3" t="e">
        <f t="shared" ca="1" si="580"/>
        <v>#NUM!</v>
      </c>
      <c r="BZ154" s="3" t="e">
        <f t="shared" ca="1" si="581"/>
        <v>#NUM!</v>
      </c>
      <c r="CA154" s="3" t="e">
        <f t="shared" ca="1" si="580"/>
        <v>#NUM!</v>
      </c>
      <c r="CB154" s="3" t="e">
        <f t="shared" ca="1" si="582"/>
        <v>#NUM!</v>
      </c>
      <c r="CC154" s="3" t="e">
        <f t="shared" ca="1" si="580"/>
        <v>#NUM!</v>
      </c>
      <c r="CD154" s="3">
        <f>IF(RTD("tos.rtd",,CD$43,"."&amp;$B$134&amp;$AS$82&amp;"C"&amp;$A154)="N/A",0,RTD("tos.rtd",,CD$43,"."&amp;$B$134&amp;$AS$82&amp;"C"&amp;$A154))</f>
        <v>1</v>
      </c>
      <c r="CE154" s="3">
        <f>-IF(RTD("tos.rtd",,CE$43,"."&amp;$B$134&amp;$AS$82&amp;"P"&amp;$A154)="N/A",0,RTD("tos.rtd",,CE$43,"."&amp;$B$134&amp;$AS$82&amp;"P"&amp;$A154))</f>
        <v>0.41</v>
      </c>
      <c r="CF154" s="3">
        <f>IF(RTD("tos.rtd",,CF$2,"."&amp;$C$134&amp;$AU$82&amp;"C"&amp;$A154)="N/A",0,RTD("tos.rtd",,CF$2,"."&amp;$C$134&amp;$AU$82&amp;"C"&amp;$A154))</f>
        <v>1</v>
      </c>
      <c r="CG154" s="3">
        <f>-IF(RTD("tos.rtd",,CG$2,"."&amp;$C$134&amp;$AU$82&amp;"P"&amp;$A154)="N/A",0,RTD("tos.rtd",,CG$2,"."&amp;$C$134&amp;$AU$82&amp;"P"&amp;$A154))</f>
        <v>0.06</v>
      </c>
      <c r="CH154" s="3">
        <f>IF(RTD("tos.rtd",,CH$2,"."&amp;$D$134&amp;$AW$82&amp;"C"&amp;$A154)="N/A",0,RTD("tos.rtd",,CH$2,"."&amp;$D$134&amp;$AW$82&amp;"C"&amp;$A154))</f>
        <v>0.54</v>
      </c>
      <c r="CI154" s="3">
        <f>-IF(RTD("tos.rtd",,CI$2,"."&amp;$D$134&amp;$AW$82&amp;"P"&amp;$A154)="N/A",0,RTD("tos.rtd",,CI$2,"."&amp;$D$134&amp;$AW$82&amp;"P"&amp;$A154))</f>
        <v>0.46</v>
      </c>
      <c r="CK154" s="3">
        <f t="shared" si="612"/>
        <v>877</v>
      </c>
      <c r="CL154" s="3"/>
      <c r="CM154" s="3">
        <f t="shared" si="613"/>
        <v>782</v>
      </c>
      <c r="CN154" s="3"/>
      <c r="CO154" s="3">
        <f t="shared" si="614"/>
        <v>372</v>
      </c>
      <c r="CP154" s="3">
        <f t="shared" si="536"/>
        <v>2031</v>
      </c>
      <c r="CQ154" s="3">
        <f t="shared" si="546"/>
        <v>0</v>
      </c>
      <c r="CR154" s="3"/>
      <c r="CS154" s="3">
        <f t="shared" si="547"/>
        <v>-62</v>
      </c>
      <c r="CT154" s="3"/>
      <c r="CU154" s="3">
        <f t="shared" si="548"/>
        <v>-5</v>
      </c>
      <c r="CV154" s="3"/>
      <c r="CW154" s="3" t="e">
        <f t="shared" ca="1" si="549"/>
        <v>#NUM!</v>
      </c>
      <c r="CY154" s="3" t="e">
        <f t="shared" ca="1" si="550"/>
        <v>#NUM!</v>
      </c>
      <c r="CZ154" s="70" t="e">
        <f t="shared" ca="1" si="583"/>
        <v>#NUM!</v>
      </c>
      <c r="DA154" s="3">
        <f>IF(RTD("tos.rtd",,DA$43,"."&amp;$B$134&amp;$AS$82&amp;"C"&amp;$A154)="N/A",0,RTD("tos.rtd",,DA$43,"."&amp;$B$134&amp;$AS$82&amp;"C"&amp;$A154))</f>
        <v>0.1</v>
      </c>
      <c r="DB154" s="3">
        <f>IF(RTD("tos.rtd",,DB$43,"."&amp;$B$134&amp;$AS$82&amp;"P"&amp;$A154)="N/A",0,RTD("tos.rtd",,DB$43,"."&amp;$B$134&amp;$AS$82&amp;"P"&amp;$A154))</f>
        <v>34.4</v>
      </c>
      <c r="DC154" s="3">
        <f>IF(RTD("tos.rtd",,DC$43,"."&amp;$B$134&amp;$AS$82&amp;"C"&amp;$A154)="N/A",0,RTD("tos.rtd",,DC$43,"."&amp;$B$134&amp;$AS$82&amp;"C"&amp;$A154))</f>
        <v>0.05</v>
      </c>
      <c r="DD154" s="3">
        <f>IF(RTD("tos.rtd",,DD$43,"."&amp;$B$134&amp;$AS$82&amp;"P"&amp;$A154)="N/A",0,RTD("tos.rtd",,DD$43,"."&amp;$B$134&amp;$AS$82&amp;"P"&amp;$A154))</f>
        <v>58.5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41.9</v>
      </c>
      <c r="DG154" s="86">
        <f t="shared" si="584"/>
        <v>-21.5</v>
      </c>
      <c r="DH154" s="3">
        <f t="shared" si="551"/>
        <v>-262</v>
      </c>
      <c r="DI154" s="3">
        <f t="shared" si="552"/>
        <v>-64.608433734939752</v>
      </c>
      <c r="DJ154" s="3">
        <f t="shared" si="553"/>
        <v>-131</v>
      </c>
      <c r="DK154" s="3">
        <f t="shared" si="554"/>
        <v>-143</v>
      </c>
      <c r="DL154" s="3">
        <f t="shared" si="555"/>
        <v>-326.60843373493975</v>
      </c>
      <c r="DM154" s="3">
        <f t="shared" si="556"/>
        <v>-274</v>
      </c>
      <c r="DN154" s="64" t="str">
        <f t="shared" si="557"/>
        <v>UNKNOWN</v>
      </c>
      <c r="DO154" s="64" t="str">
        <f t="shared" si="558"/>
        <v>UNKNOWN</v>
      </c>
      <c r="DP154" s="3">
        <f t="shared" si="559"/>
        <v>-2248.7301204819273</v>
      </c>
      <c r="DQ154" s="3">
        <f t="shared" si="560"/>
        <v>-4932.3</v>
      </c>
      <c r="DR154" s="3" t="e">
        <f t="shared" ca="1" si="561"/>
        <v>#NUM!</v>
      </c>
      <c r="DS154" s="3">
        <f t="shared" si="562"/>
        <v>-189.63</v>
      </c>
      <c r="DT154" s="3">
        <f t="shared" si="585"/>
        <v>-131</v>
      </c>
      <c r="DU154" s="3">
        <f t="shared" si="586"/>
        <v>143</v>
      </c>
      <c r="DV154" s="3">
        <f t="shared" si="563"/>
        <v>14</v>
      </c>
      <c r="DW154" s="3">
        <f t="shared" si="564"/>
        <v>6</v>
      </c>
      <c r="DX154" s="3" t="e">
        <f t="shared" ca="1" si="565"/>
        <v>#NUM!</v>
      </c>
      <c r="DY154" s="3" t="e">
        <f t="shared" ca="1" si="566"/>
        <v>#NUM!</v>
      </c>
      <c r="DZ154" s="3" t="e">
        <f t="shared" ca="1" si="567"/>
        <v>#NUM!</v>
      </c>
      <c r="EA154" s="3" t="e">
        <f t="shared" ca="1" si="568"/>
        <v>#NUM!</v>
      </c>
      <c r="EB154" s="3" t="e">
        <f t="shared" ca="1" si="569"/>
        <v>#NUM!</v>
      </c>
      <c r="EC154" s="3" t="e">
        <f t="shared" ca="1" si="570"/>
        <v>#NUM!</v>
      </c>
      <c r="EE154" s="59">
        <f t="shared" si="571"/>
        <v>0.25</v>
      </c>
      <c r="EF154" s="59">
        <f t="shared" si="572"/>
        <v>1.1073</v>
      </c>
      <c r="EG154" s="59">
        <f t="shared" si="573"/>
        <v>0.25</v>
      </c>
      <c r="EH154" s="59">
        <f t="shared" si="574"/>
        <v>0.15190000000000001</v>
      </c>
      <c r="EI154" s="59">
        <f t="shared" si="575"/>
        <v>0.26850000000000002</v>
      </c>
      <c r="EJ154" s="59">
        <f t="shared" si="576"/>
        <v>0.28549999999999998</v>
      </c>
      <c r="EL154" s="3" t="str">
        <f>RTD("tos.rtd",,EL$43,"."&amp;$B$134&amp;$AS$82&amp;"C"&amp;$A154)</f>
        <v>--</v>
      </c>
      <c r="EM154" s="3" t="str">
        <f>RTD("tos.rtd",,EM$43,"."&amp;$B$134&amp;$AS$82&amp;"P"&amp;$A154)</f>
        <v>110.73%</v>
      </c>
      <c r="EN154" s="3" t="str">
        <f>RTD("tos.rtd",,EN$2,"."&amp;$C$134&amp;$AU$82&amp;"C"&amp;$A154)</f>
        <v>--</v>
      </c>
      <c r="EO154" s="3" t="str">
        <f>RTD("tos.rtd",,EO$2,"."&amp;$C$134&amp;$AU$82&amp;"P"&amp;$A154)</f>
        <v>15.19%</v>
      </c>
      <c r="EP154" s="3" t="str">
        <f>RTD("tos.rtd",,EP$2,"."&amp;$D$134&amp;$AW$82&amp;"C"&amp;$A154)</f>
        <v>26.85%</v>
      </c>
      <c r="EQ154" s="3" t="str">
        <f>RTD("tos.rtd",,EQ$2,"."&amp;$D$134&amp;$AW$82&amp;"P"&amp;$A154)</f>
        <v>28.55%</v>
      </c>
      <c r="ES154" s="63" t="str">
        <f t="shared" si="577"/>
        <v>20025,20.00</v>
      </c>
      <c r="ET154" s="64" t="str">
        <f t="shared" ca="1" si="578"/>
        <v>20025,00.00</v>
      </c>
      <c r="EU154" s="68">
        <v>562.97</v>
      </c>
      <c r="EV154" s="68" t="s">
        <v>1251</v>
      </c>
      <c r="EW154" s="68">
        <v>485.54</v>
      </c>
      <c r="EX154" s="68" t="s">
        <v>1252</v>
      </c>
      <c r="EY154" s="68">
        <v>5643.5</v>
      </c>
      <c r="EZ154" s="68" t="s">
        <v>1253</v>
      </c>
      <c r="FA154" s="68">
        <v>19945.75</v>
      </c>
      <c r="FB154" s="68" t="s">
        <v>1254</v>
      </c>
      <c r="FC154" s="68" t="s">
        <v>1255</v>
      </c>
      <c r="FD154" s="68" t="s">
        <v>1256</v>
      </c>
      <c r="FE154" s="68" t="s">
        <v>1257</v>
      </c>
      <c r="FF154" s="68" t="s">
        <v>1258</v>
      </c>
    </row>
    <row r="155" spans="1:162" ht="11.1" customHeight="1" thickBot="1" x14ac:dyDescent="0.25">
      <c r="A155" s="2">
        <f t="shared" si="587"/>
        <v>20000</v>
      </c>
      <c r="B155" s="3">
        <f t="shared" ref="B155:B189" si="620">+IF($A$1="ABS",AS155-AT155,AS155+AT155)</f>
        <v>93</v>
      </c>
      <c r="C155" s="3">
        <f t="shared" ref="C155:C189" si="621">+IF($A$1="ABS",AU155-AV155,AU155+AV155)</f>
        <v>36</v>
      </c>
      <c r="D155" s="3">
        <f t="shared" ref="D155:D189" si="622">+IF($A$1="ABS",AW155-AX155,AW155+AX155)</f>
        <v>264</v>
      </c>
      <c r="E155" s="3">
        <f t="shared" si="605"/>
        <v>393</v>
      </c>
      <c r="F155" s="4">
        <f t="shared" si="615"/>
        <v>20099.768039308605</v>
      </c>
      <c r="G155" s="5">
        <f t="shared" si="607"/>
        <v>486.78821739455765</v>
      </c>
      <c r="AM155" s="1">
        <v>31</v>
      </c>
      <c r="AN155" s="1">
        <v>-189</v>
      </c>
      <c r="AO155" s="1">
        <v>20000</v>
      </c>
      <c r="AP155" s="1">
        <v>499</v>
      </c>
      <c r="AQ155" s="1">
        <v>-990</v>
      </c>
      <c r="AS155" s="54">
        <f>IF(RTD("tos.rtd",,AS$83,"."&amp;$B$134&amp;$AS$82&amp;"C"&amp;$A155)="N/A",0,RTD("tos.rtd",,AS$83,"."&amp;$B$134&amp;$AS$82&amp;"C"&amp;$A155))</f>
        <v>78</v>
      </c>
      <c r="AT155" s="3">
        <f>-IF(RTD("tos.rtd",,AT$83,"."&amp;$B$134&amp;$AS$82&amp;"P"&amp;$A155)="N/A",0,RTD("tos.rtd",,AT$83,"."&amp;$B$134&amp;$AS$82&amp;"P"&amp;$A155))</f>
        <v>-15</v>
      </c>
      <c r="AU155" s="54">
        <f>IF(RTD("tos.rtd",,AU$2,"."&amp;$C$134&amp;$AU$134&amp;"C"&amp;$A155)="N/A",0,RTD("tos.rtd",,AU$2,"."&amp;$C$134&amp;$AU$134&amp;"C"&amp;$A155))</f>
        <v>9</v>
      </c>
      <c r="AV155" s="3">
        <f>-IF(RTD("tos.rtd",,AV$2,"."&amp;$C$134&amp;$AU$134&amp;"P"&amp;$A155)="N/A",0,RTD("tos.rtd",,AV$2,"."&amp;$C$134&amp;$AU$134&amp;"P"&amp;$A155))</f>
        <v>-27</v>
      </c>
      <c r="AW155" s="54">
        <f>IF(RTD("tos.rtd",,AW$2,"."&amp;$D$134&amp;$AW$134&amp;"C"&amp;$A155)="N/A",0,RTD("tos.rtd",,AW$2,"."&amp;$D$134&amp;$AW$134&amp;"C"&amp;$A155))</f>
        <v>144</v>
      </c>
      <c r="AX155" s="3">
        <f>-IF(RTD("tos.rtd",,AX$2,"."&amp;$D$134&amp;$AW$134&amp;"P"&amp;$A155)="N/A",0,RTD("tos.rtd",,AX$2,"."&amp;$D$134&amp;$AW$134&amp;"P"&amp;$A155))</f>
        <v>-120</v>
      </c>
      <c r="AY155" s="76">
        <f t="shared" si="616"/>
        <v>69</v>
      </c>
      <c r="AZ155" s="8">
        <f t="shared" si="542"/>
        <v>20000</v>
      </c>
      <c r="BA155" s="54">
        <f>IF(RTD("tos.rtd",,BA$43,"."&amp;$B$134&amp;$AS$82&amp;"C"&amp;$A155)="N/A",0,RTD("tos.rtd",,BA$43,"."&amp;$B$134&amp;$AS$82&amp;"C"&amp;$A155))</f>
        <v>0</v>
      </c>
      <c r="BB155" s="3">
        <f>-IF(RTD("tos.rtd",,BB$43,"."&amp;$B$134&amp;$AS$82&amp;"P"&amp;$A155)="N/A",0,RTD("tos.rtd",,BB$43,"."&amp;$B$134&amp;$AS$82&amp;"P"&amp;$A155))</f>
        <v>0</v>
      </c>
      <c r="BC155" s="54">
        <f>IF(RTD("tos.rtd",,BC$2,"."&amp;$C$134&amp;$AU$82&amp;"C"&amp;$A155)="N/A",0,RTD("tos.rtd",,BC$2,"."&amp;$C$134&amp;$AU$82&amp;"C"&amp;$A155))</f>
        <v>194</v>
      </c>
      <c r="BD155" s="3">
        <f>-IF(RTD("tos.rtd",,BD$2,"."&amp;$C$134&amp;$AU$82&amp;"P"&amp;$A155)="N/A",0,RTD("tos.rtd",,BD$2,"."&amp;$C$134&amp;$AU$82&amp;"P"&amp;$A155))</f>
        <v>-877</v>
      </c>
      <c r="BE155" s="54">
        <f>IF(RTD("tos.rtd",,BE$2,"."&amp;$D$134&amp;$AW$82&amp;"C"&amp;$A155)="N/A",0,RTD("tos.rtd",,BE$2,"."&amp;$D$134&amp;$AW$82&amp;"C"&amp;$A155))</f>
        <v>18</v>
      </c>
      <c r="BF155" s="3">
        <f>-IF(RTD("tos.rtd",,BF$2,"."&amp;$D$134&amp;$AW$82&amp;"P"&amp;$A155)="N/A",0,RTD("tos.rtd",,BF$2,"."&amp;$D$134&amp;$AW$82&amp;"P"&amp;$A155))</f>
        <v>-21</v>
      </c>
      <c r="BG155" s="3">
        <f ca="1">+Hoja2!Y156</f>
        <v>-26</v>
      </c>
      <c r="BH155" s="7">
        <f t="shared" ca="1" si="543"/>
        <v>-712</v>
      </c>
      <c r="BI155" s="32" t="str">
        <f t="shared" ca="1" si="601"/>
        <v/>
      </c>
      <c r="BJ155" s="3" t="e">
        <f ca="1">IF($BP$1=1,DX155,IF(RTD("tos.rtd",,BJ$43,"."&amp;$B$134&amp;$AS$82&amp;"C"&amp;$A155)="N/A",0,RTD("tos.rtd",,BJ$43,"."&amp;$B$134&amp;$AS$82&amp;"C"&amp;$A155)))</f>
        <v>#NUM!</v>
      </c>
      <c r="BK155" s="3" t="e">
        <f ca="1">IF($BP$1=1,DY155,-IF(RTD("tos.rtd",,BK$43,"."&amp;$B$134&amp;$AS$82&amp;"P"&amp;$A155)="N/A",0,RTD("tos.rtd",,BK$43,"."&amp;$B$134&amp;$AS$82&amp;"P"&amp;$A155)))</f>
        <v>#NUM!</v>
      </c>
      <c r="BL155" s="3" t="e">
        <f ca="1">IF($BP$1=1,DZ155,IF(RTD("tos.rtd",,BL$2,"."&amp;$C$134&amp;$AU$82&amp;"C"&amp;$A155)="N/A",0,RTD("tos.rtd",,BL$2,"."&amp;$C$134&amp;$AU$82&amp;"C"&amp;$A155)))</f>
        <v>#NUM!</v>
      </c>
      <c r="BM155" s="3" t="e">
        <f ca="1">IF($BP$1=1,EA155,-IF(RTD("tos.rtd",,BM$2,"."&amp;$C$134&amp;$AU$82&amp;"P"&amp;$A155)="N/A",0,RTD("tos.rtd",,BM$2,"."&amp;$C$134&amp;$AU$82&amp;"P"&amp;$A155)))</f>
        <v>#NUM!</v>
      </c>
      <c r="BN155" s="3" t="e">
        <f ca="1">IF($BP$1=1,EB155,IF(RTD("tos.rtd",,BN$2,"."&amp;$D$134&amp;$AW$82&amp;"C"&amp;$A155)="N/A",0,RTD("tos.rtd",,BN$2,"."&amp;$D$134&amp;$AW$82&amp;"C"&amp;$A155)))</f>
        <v>#NUM!</v>
      </c>
      <c r="BO155" s="3" t="e">
        <f ca="1">IF($BP$1=1,EC155,-IF(RTD("tos.rtd",,BO$2,"."&amp;$D$134&amp;$AW$82&amp;"P"&amp;$A155)="N/A",0,RTD("tos.rtd",,BO$2,"."&amp;$D$134&amp;$AW$82&amp;"P"&amp;$A155)))</f>
        <v>#NUM!</v>
      </c>
      <c r="BQ155" s="3" t="e">
        <f t="shared" ca="1" si="617"/>
        <v>#NUM!</v>
      </c>
      <c r="BR155" s="3" t="e">
        <f t="shared" ca="1" si="544"/>
        <v>#NUM!</v>
      </c>
      <c r="BS155" s="3" t="e">
        <f t="shared" ca="1" si="618"/>
        <v>#NUM!</v>
      </c>
      <c r="BT155" s="3" t="e">
        <f t="shared" ca="1" si="545"/>
        <v>#NUM!</v>
      </c>
      <c r="BU155" s="3" t="e">
        <f t="shared" ca="1" si="619"/>
        <v>#NUM!</v>
      </c>
      <c r="BV155" s="3" t="e">
        <f t="shared" ca="1" si="545"/>
        <v>#NUM!</v>
      </c>
      <c r="BX155" s="3" t="e">
        <f t="shared" ca="1" si="579"/>
        <v>#NUM!</v>
      </c>
      <c r="BY155" s="3" t="e">
        <f t="shared" ca="1" si="580"/>
        <v>#NUM!</v>
      </c>
      <c r="BZ155" s="3" t="e">
        <f t="shared" ca="1" si="581"/>
        <v>#NUM!</v>
      </c>
      <c r="CA155" s="3" t="e">
        <f t="shared" ca="1" si="580"/>
        <v>#NUM!</v>
      </c>
      <c r="CB155" s="3" t="e">
        <f t="shared" ca="1" si="582"/>
        <v>#NUM!</v>
      </c>
      <c r="CC155" s="3" t="e">
        <f t="shared" ca="1" si="580"/>
        <v>#NUM!</v>
      </c>
      <c r="CD155" s="3">
        <f>IF(RTD("tos.rtd",,CD$43,"."&amp;$B$134&amp;$AS$82&amp;"C"&amp;$A155)="N/A",0,RTD("tos.rtd",,CD$43,"."&amp;$B$134&amp;$AS$82&amp;"C"&amp;$A155))</f>
        <v>1</v>
      </c>
      <c r="CE155" s="3">
        <f>-IF(RTD("tos.rtd",,CE$43,"."&amp;$B$134&amp;$AS$82&amp;"P"&amp;$A155)="N/A",0,RTD("tos.rtd",,CE$43,"."&amp;$B$134&amp;$AS$82&amp;"P"&amp;$A155))</f>
        <v>0.32</v>
      </c>
      <c r="CF155" s="3">
        <f>IF(RTD("tos.rtd",,CF$2,"."&amp;$C$134&amp;$AU$82&amp;"C"&amp;$A155)="N/A",0,RTD("tos.rtd",,CF$2,"."&amp;$C$134&amp;$AU$82&amp;"C"&amp;$A155))</f>
        <v>1</v>
      </c>
      <c r="CG155" s="3">
        <f>-IF(RTD("tos.rtd",,CG$2,"."&amp;$C$134&amp;$AU$82&amp;"P"&amp;$A155)="N/A",0,RTD("tos.rtd",,CG$2,"."&amp;$C$134&amp;$AU$82&amp;"P"&amp;$A155))</f>
        <v>0.01</v>
      </c>
      <c r="CH155" s="3">
        <f>IF(RTD("tos.rtd",,CH$2,"."&amp;$D$134&amp;$AW$82&amp;"C"&amp;$A155)="N/A",0,RTD("tos.rtd",,CH$2,"."&amp;$D$134&amp;$AW$82&amp;"C"&amp;$A155))</f>
        <v>0.55000000000000004</v>
      </c>
      <c r="CI155" s="3">
        <f>-IF(RTD("tos.rtd",,CI$2,"."&amp;$D$134&amp;$AW$82&amp;"P"&amp;$A155)="N/A",0,RTD("tos.rtd",,CI$2,"."&amp;$D$134&amp;$AW$82&amp;"P"&amp;$A155))</f>
        <v>0.45</v>
      </c>
      <c r="CK155" s="3">
        <f t="shared" si="612"/>
        <v>7320</v>
      </c>
      <c r="CL155" s="3"/>
      <c r="CM155" s="3">
        <f t="shared" si="613"/>
        <v>873</v>
      </c>
      <c r="CN155" s="3"/>
      <c r="CO155" s="3">
        <f t="shared" si="614"/>
        <v>2520</v>
      </c>
      <c r="CP155" s="3">
        <f t="shared" si="536"/>
        <v>10713</v>
      </c>
      <c r="CQ155" s="3">
        <f t="shared" si="546"/>
        <v>0</v>
      </c>
      <c r="CR155" s="3"/>
      <c r="CS155" s="3">
        <f t="shared" si="547"/>
        <v>-683</v>
      </c>
      <c r="CT155" s="3"/>
      <c r="CU155" s="3">
        <f t="shared" si="548"/>
        <v>-3</v>
      </c>
      <c r="CV155" s="3"/>
      <c r="CW155" s="3" t="e">
        <f t="shared" ca="1" si="549"/>
        <v>#NUM!</v>
      </c>
      <c r="CY155" s="3" t="e">
        <f t="shared" ca="1" si="550"/>
        <v>#NUM!</v>
      </c>
      <c r="CZ155" s="70" t="e">
        <f t="shared" ca="1" si="583"/>
        <v>#NUM!</v>
      </c>
      <c r="DA155" s="3">
        <f>IF(RTD("tos.rtd",,DA$43,"."&amp;$B$134&amp;$AS$82&amp;"C"&amp;$A155)="N/A",0,RTD("tos.rtd",,DA$43,"."&amp;$B$134&amp;$AS$82&amp;"C"&amp;$A155))</f>
        <v>0.05</v>
      </c>
      <c r="DB155" s="3">
        <f>IF(RTD("tos.rtd",,DB$43,"."&amp;$B$134&amp;$AS$82&amp;"P"&amp;$A155)="N/A",0,RTD("tos.rtd",,DB$43,"."&amp;$B$134&amp;$AS$82&amp;"P"&amp;$A155))</f>
        <v>32</v>
      </c>
      <c r="DC155" s="3">
        <f>IF(RTD("tos.rtd",,DC$43,"."&amp;$B$134&amp;$AS$82&amp;"C"&amp;$A155)="N/A",0,RTD("tos.rtd",,DC$43,"."&amp;$B$134&amp;$AS$82&amp;"C"&amp;$A155))</f>
        <v>0.05</v>
      </c>
      <c r="DD155" s="3">
        <f>IF(RTD("tos.rtd",,DD$43,"."&amp;$B$134&amp;$AS$82&amp;"P"&amp;$A155)="N/A",0,RTD("tos.rtd",,DD$43,"."&amp;$B$134&amp;$AS$82&amp;"P"&amp;$A155))</f>
        <v>33</v>
      </c>
      <c r="DE155" s="3">
        <f>IF(RTD("tos.rtd",,DE$43,"."&amp;$B$134&amp;$AS$82&amp;"C"&amp;$A155)="N/A",0,RTD("tos.rtd",,DE$43,"."&amp;$B$134&amp;$AS$82&amp;"C"&amp;$A155))</f>
        <v>0</v>
      </c>
      <c r="DF155" s="3">
        <f>IF(RTD("tos.rtd",,DF$43,"."&amp;$B$134&amp;$AS$82&amp;"P"&amp;$A155)="N/A",0,RTD("tos.rtd",,DF$43,"."&amp;$B$134&amp;$AS$82&amp;"P"&amp;$A155))</f>
        <v>23.3</v>
      </c>
      <c r="DG155" s="86">
        <f t="shared" si="584"/>
        <v>-46.5</v>
      </c>
      <c r="DH155" s="3">
        <f t="shared" si="551"/>
        <v>-499</v>
      </c>
      <c r="DI155" s="3">
        <f t="shared" si="552"/>
        <v>887.93814432989689</v>
      </c>
      <c r="DJ155" s="3">
        <f t="shared" si="553"/>
        <v>-499</v>
      </c>
      <c r="DK155" s="3">
        <f t="shared" si="554"/>
        <v>990</v>
      </c>
      <c r="DL155" s="3">
        <f t="shared" si="555"/>
        <v>388.93814432989689</v>
      </c>
      <c r="DM155" s="3">
        <f t="shared" si="556"/>
        <v>491</v>
      </c>
      <c r="DN155" s="64" t="str">
        <f t="shared" si="557"/>
        <v>UNKNOWN</v>
      </c>
      <c r="DO155" s="64" t="str">
        <f t="shared" si="558"/>
        <v>UNKNOWN</v>
      </c>
      <c r="DP155" s="3">
        <f t="shared" si="559"/>
        <v>28389.0706185567</v>
      </c>
      <c r="DQ155" s="3">
        <f t="shared" si="560"/>
        <v>31655.05</v>
      </c>
      <c r="DR155" s="3" t="e">
        <f t="shared" ca="1" si="561"/>
        <v>#NUM!</v>
      </c>
      <c r="DS155" s="3">
        <f t="shared" si="562"/>
        <v>-182.2</v>
      </c>
      <c r="DT155" s="3">
        <f t="shared" si="585"/>
        <v>-499</v>
      </c>
      <c r="DU155" s="3">
        <f t="shared" si="586"/>
        <v>990</v>
      </c>
      <c r="DV155" s="3">
        <f t="shared" si="563"/>
        <v>31</v>
      </c>
      <c r="DW155" s="3">
        <f t="shared" si="564"/>
        <v>-189</v>
      </c>
      <c r="DX155" s="3" t="e">
        <f t="shared" ca="1" si="565"/>
        <v>#NUM!</v>
      </c>
      <c r="DY155" s="3" t="e">
        <f t="shared" ca="1" si="566"/>
        <v>#NUM!</v>
      </c>
      <c r="DZ155" s="3" t="e">
        <f t="shared" ca="1" si="567"/>
        <v>#NUM!</v>
      </c>
      <c r="EA155" s="3" t="e">
        <f t="shared" ca="1" si="568"/>
        <v>#NUM!</v>
      </c>
      <c r="EB155" s="3" t="e">
        <f t="shared" ca="1" si="569"/>
        <v>#NUM!</v>
      </c>
      <c r="EC155" s="3" t="e">
        <f t="shared" ca="1" si="570"/>
        <v>#NUM!</v>
      </c>
      <c r="EE155" s="59">
        <f t="shared" si="571"/>
        <v>0.25</v>
      </c>
      <c r="EF155" s="59">
        <f t="shared" si="572"/>
        <v>0.8841</v>
      </c>
      <c r="EG155" s="59">
        <f t="shared" si="573"/>
        <v>0.25</v>
      </c>
      <c r="EH155" s="59">
        <f t="shared" si="574"/>
        <v>0.17080000000000001</v>
      </c>
      <c r="EI155" s="59">
        <f t="shared" si="575"/>
        <v>0.26910000000000001</v>
      </c>
      <c r="EJ155" s="59">
        <f t="shared" si="576"/>
        <v>0.2863</v>
      </c>
      <c r="EL155" s="3" t="str">
        <f>RTD("tos.rtd",,EL$43,"."&amp;$B$134&amp;$AS$82&amp;"C"&amp;$A155)</f>
        <v>--</v>
      </c>
      <c r="EM155" s="3" t="str">
        <f>RTD("tos.rtd",,EM$43,"."&amp;$B$134&amp;$AS$82&amp;"P"&amp;$A155)</f>
        <v>88.41%</v>
      </c>
      <c r="EN155" s="3" t="str">
        <f>RTD("tos.rtd",,EN$2,"."&amp;$C$134&amp;$AU$82&amp;"C"&amp;$A155)</f>
        <v>--</v>
      </c>
      <c r="EO155" s="3" t="str">
        <f>RTD("tos.rtd",,EO$2,"."&amp;$C$134&amp;$AU$82&amp;"P"&amp;$A155)</f>
        <v>17.08%</v>
      </c>
      <c r="EP155" s="3" t="str">
        <f>RTD("tos.rtd",,EP$2,"."&amp;$D$134&amp;$AW$82&amp;"C"&amp;$A155)</f>
        <v>26.91%</v>
      </c>
      <c r="EQ155" s="3" t="str">
        <f>RTD("tos.rtd",,EQ$2,"."&amp;$D$134&amp;$AW$82&amp;"P"&amp;$A155)</f>
        <v>28.63%</v>
      </c>
      <c r="ES155" s="63" t="str">
        <f t="shared" si="577"/>
        <v>20000,-158.00</v>
      </c>
      <c r="ET155" s="64" t="str">
        <f t="shared" ca="1" si="578"/>
        <v>20000,00.00</v>
      </c>
      <c r="EU155" s="68">
        <v>563.07000000000005</v>
      </c>
      <c r="EV155" s="68" t="s">
        <v>1259</v>
      </c>
      <c r="EW155" s="68">
        <v>485.68</v>
      </c>
      <c r="EX155" s="68" t="s">
        <v>1260</v>
      </c>
      <c r="EY155" s="68">
        <v>5644.5</v>
      </c>
      <c r="EZ155" s="68" t="s">
        <v>1261</v>
      </c>
      <c r="FA155" s="68">
        <v>19951</v>
      </c>
      <c r="FB155" s="68" t="s">
        <v>1262</v>
      </c>
      <c r="FC155" s="68" t="s">
        <v>1263</v>
      </c>
      <c r="FD155" s="68" t="s">
        <v>1264</v>
      </c>
      <c r="FE155" s="68" t="s">
        <v>1265</v>
      </c>
      <c r="FF155" s="68" t="s">
        <v>1266</v>
      </c>
    </row>
    <row r="156" spans="1:162" ht="11.1" customHeight="1" thickBot="1" x14ac:dyDescent="0.25">
      <c r="A156" s="2">
        <f t="shared" si="587"/>
        <v>19975</v>
      </c>
      <c r="B156" s="3">
        <f t="shared" si="620"/>
        <v>17</v>
      </c>
      <c r="C156" s="3">
        <f t="shared" si="621"/>
        <v>16</v>
      </c>
      <c r="D156" s="3">
        <f t="shared" si="622"/>
        <v>26</v>
      </c>
      <c r="E156" s="3">
        <f t="shared" si="605"/>
        <v>59</v>
      </c>
      <c r="F156" s="4">
        <f t="shared" si="615"/>
        <v>20074.64332925947</v>
      </c>
      <c r="G156" s="5">
        <f t="shared" si="607"/>
        <v>486.17973212281447</v>
      </c>
      <c r="AM156" s="1">
        <v>-4</v>
      </c>
      <c r="AN156" s="1">
        <v>-72</v>
      </c>
      <c r="AO156" s="1">
        <v>19975</v>
      </c>
      <c r="AP156" s="1">
        <v>76</v>
      </c>
      <c r="AQ156" s="1">
        <v>-235</v>
      </c>
      <c r="AS156" s="54">
        <f>IF(RTD("tos.rtd",,AS$83,"."&amp;$B$134&amp;$AS$82&amp;"C"&amp;$A156)="N/A",0,RTD("tos.rtd",,AS$83,"."&amp;$B$134&amp;$AS$82&amp;"C"&amp;$A156))</f>
        <v>5</v>
      </c>
      <c r="AT156" s="3">
        <f>-IF(RTD("tos.rtd",,AT$83,"."&amp;$B$134&amp;$AS$82&amp;"P"&amp;$A156)="N/A",0,RTD("tos.rtd",,AT$83,"."&amp;$B$134&amp;$AS$82&amp;"P"&amp;$A156))</f>
        <v>-12</v>
      </c>
      <c r="AU156" s="54">
        <f>IF(RTD("tos.rtd",,AU$2,"."&amp;$C$134&amp;$AU$134&amp;"C"&amp;$A156)="N/A",0,RTD("tos.rtd",,AU$2,"."&amp;$C$134&amp;$AU$134&amp;"C"&amp;$A156))</f>
        <v>5</v>
      </c>
      <c r="AV156" s="3">
        <f>-IF(RTD("tos.rtd",,AV$2,"."&amp;$C$134&amp;$AU$134&amp;"P"&amp;$A156)="N/A",0,RTD("tos.rtd",,AV$2,"."&amp;$C$134&amp;$AU$134&amp;"P"&amp;$A156))</f>
        <v>-11</v>
      </c>
      <c r="AW156" s="54">
        <f>IF(RTD("tos.rtd",,AW$2,"."&amp;$D$134&amp;$AW$134&amp;"C"&amp;$A156)="N/A",0,RTD("tos.rtd",,AW$2,"."&amp;$D$134&amp;$AW$134&amp;"C"&amp;$A156))</f>
        <v>16</v>
      </c>
      <c r="AX156" s="3">
        <f>-IF(RTD("tos.rtd",,AX$2,"."&amp;$D$134&amp;$AW$134&amp;"P"&amp;$A156)="N/A",0,RTD("tos.rtd",,AX$2,"."&amp;$D$134&amp;$AW$134&amp;"P"&amp;$A156))</f>
        <v>-10</v>
      </c>
      <c r="AY156" s="76">
        <f t="shared" si="616"/>
        <v>-7</v>
      </c>
      <c r="AZ156" s="8">
        <f t="shared" si="542"/>
        <v>19975</v>
      </c>
      <c r="BA156" s="54">
        <f>IF(RTD("tos.rtd",,BA$43,"."&amp;$B$134&amp;$AS$82&amp;"C"&amp;$A156)="N/A",0,RTD("tos.rtd",,BA$43,"."&amp;$B$134&amp;$AS$82&amp;"C"&amp;$A156))</f>
        <v>0</v>
      </c>
      <c r="BB156" s="3">
        <f>-IF(RTD("tos.rtd",,BB$43,"."&amp;$B$134&amp;$AS$82&amp;"P"&amp;$A156)="N/A",0,RTD("tos.rtd",,BB$43,"."&amp;$B$134&amp;$AS$82&amp;"P"&amp;$A156))</f>
        <v>0</v>
      </c>
      <c r="BC156" s="54">
        <f>IF(RTD("tos.rtd",,BC$2,"."&amp;$C$134&amp;$AU$82&amp;"C"&amp;$A156)="N/A",0,RTD("tos.rtd",,BC$2,"."&amp;$C$134&amp;$AU$82&amp;"C"&amp;$A156))</f>
        <v>6</v>
      </c>
      <c r="BD156" s="3">
        <f>-IF(RTD("tos.rtd",,BD$2,"."&amp;$C$134&amp;$AU$82&amp;"P"&amp;$A156)="N/A",0,RTD("tos.rtd",,BD$2,"."&amp;$C$134&amp;$AU$82&amp;"P"&amp;$A156))</f>
        <v>-224</v>
      </c>
      <c r="BE156" s="54">
        <f>IF(RTD("tos.rtd",,BE$2,"."&amp;$D$134&amp;$AW$82&amp;"C"&amp;$A156)="N/A",0,RTD("tos.rtd",,BE$2,"."&amp;$D$134&amp;$AW$82&amp;"C"&amp;$A156))</f>
        <v>0</v>
      </c>
      <c r="BF156" s="3">
        <f>-IF(RTD("tos.rtd",,BF$2,"."&amp;$D$134&amp;$AW$82&amp;"P"&amp;$A156)="N/A",0,RTD("tos.rtd",,BF$2,"."&amp;$D$134&amp;$AW$82&amp;"P"&amp;$A156))</f>
        <v>-4</v>
      </c>
      <c r="BG156" s="3">
        <f ca="1">+Hoja2!Y157</f>
        <v>-4</v>
      </c>
      <c r="BH156" s="7">
        <f t="shared" ca="1" si="543"/>
        <v>-226</v>
      </c>
      <c r="BI156" s="32" t="str">
        <f t="shared" ca="1" si="601"/>
        <v/>
      </c>
      <c r="BJ156" s="3" t="e">
        <f ca="1">IF($BP$1=1,DX156,IF(RTD("tos.rtd",,BJ$43,"."&amp;$B$134&amp;$AS$82&amp;"C"&amp;$A156)="N/A",0,RTD("tos.rtd",,BJ$43,"."&amp;$B$134&amp;$AS$82&amp;"C"&amp;$A156)))</f>
        <v>#NUM!</v>
      </c>
      <c r="BK156" s="3" t="e">
        <f ca="1">IF($BP$1=1,DY156,-IF(RTD("tos.rtd",,BK$43,"."&amp;$B$134&amp;$AS$82&amp;"P"&amp;$A156)="N/A",0,RTD("tos.rtd",,BK$43,"."&amp;$B$134&amp;$AS$82&amp;"P"&amp;$A156)))</f>
        <v>#NUM!</v>
      </c>
      <c r="BL156" s="3" t="e">
        <f ca="1">IF($BP$1=1,DZ156,IF(RTD("tos.rtd",,BL$2,"."&amp;$C$134&amp;$AU$82&amp;"C"&amp;$A156)="N/A",0,RTD("tos.rtd",,BL$2,"."&amp;$C$134&amp;$AU$82&amp;"C"&amp;$A156)))</f>
        <v>#NUM!</v>
      </c>
      <c r="BM156" s="3" t="e">
        <f ca="1">IF($BP$1=1,EA156,-IF(RTD("tos.rtd",,BM$2,"."&amp;$C$134&amp;$AU$82&amp;"P"&amp;$A156)="N/A",0,RTD("tos.rtd",,BM$2,"."&amp;$C$134&amp;$AU$82&amp;"P"&amp;$A156)))</f>
        <v>#NUM!</v>
      </c>
      <c r="BN156" s="3" t="e">
        <f ca="1">IF($BP$1=1,EB156,IF(RTD("tos.rtd",,BN$2,"."&amp;$D$134&amp;$AW$82&amp;"C"&amp;$A156)="N/A",0,RTD("tos.rtd",,BN$2,"."&amp;$D$134&amp;$AW$82&amp;"C"&amp;$A156)))</f>
        <v>#NUM!</v>
      </c>
      <c r="BO156" s="3" t="e">
        <f ca="1">IF($BP$1=1,EC156,-IF(RTD("tos.rtd",,BO$2,"."&amp;$D$134&amp;$AW$82&amp;"P"&amp;$A156)="N/A",0,RTD("tos.rtd",,BO$2,"."&amp;$D$134&amp;$AW$82&amp;"P"&amp;$A156)))</f>
        <v>#NUM!</v>
      </c>
      <c r="BQ156" s="3" t="e">
        <f t="shared" ca="1" si="617"/>
        <v>#NUM!</v>
      </c>
      <c r="BR156" s="3" t="e">
        <f t="shared" ca="1" si="544"/>
        <v>#NUM!</v>
      </c>
      <c r="BS156" s="3" t="e">
        <f t="shared" ca="1" si="618"/>
        <v>#NUM!</v>
      </c>
      <c r="BT156" s="3" t="e">
        <f t="shared" ca="1" si="545"/>
        <v>#NUM!</v>
      </c>
      <c r="BU156" s="3" t="e">
        <f t="shared" ca="1" si="619"/>
        <v>#NUM!</v>
      </c>
      <c r="BV156" s="3" t="e">
        <f t="shared" ca="1" si="545"/>
        <v>#NUM!</v>
      </c>
      <c r="BX156" s="3" t="e">
        <f t="shared" ca="1" si="579"/>
        <v>#NUM!</v>
      </c>
      <c r="BY156" s="3" t="e">
        <f t="shared" ca="1" si="580"/>
        <v>#NUM!</v>
      </c>
      <c r="BZ156" s="3" t="e">
        <f t="shared" ca="1" si="581"/>
        <v>#NUM!</v>
      </c>
      <c r="CA156" s="3" t="e">
        <f t="shared" ca="1" si="580"/>
        <v>#NUM!</v>
      </c>
      <c r="CB156" s="3" t="e">
        <f t="shared" ca="1" si="582"/>
        <v>#NUM!</v>
      </c>
      <c r="CC156" s="3" t="e">
        <f t="shared" ca="1" si="580"/>
        <v>#NUM!</v>
      </c>
      <c r="CD156" s="3">
        <f>IF(RTD("tos.rtd",,CD$43,"."&amp;$B$134&amp;$AS$82&amp;"C"&amp;$A156)="N/A",0,RTD("tos.rtd",,CD$43,"."&amp;$B$134&amp;$AS$82&amp;"C"&amp;$A156))</f>
        <v>1</v>
      </c>
      <c r="CE156" s="3">
        <f>-IF(RTD("tos.rtd",,CE$43,"."&amp;$B$134&amp;$AS$82&amp;"P"&amp;$A156)="N/A",0,RTD("tos.rtd",,CE$43,"."&amp;$B$134&amp;$AS$82&amp;"P"&amp;$A156))</f>
        <v>0.17</v>
      </c>
      <c r="CF156" s="3">
        <f>IF(RTD("tos.rtd",,CF$2,"."&amp;$C$134&amp;$AU$82&amp;"C"&amp;$A156)="N/A",0,RTD("tos.rtd",,CF$2,"."&amp;$C$134&amp;$AU$82&amp;"C"&amp;$A156))</f>
        <v>1</v>
      </c>
      <c r="CG156" s="3">
        <f>-IF(RTD("tos.rtd",,CG$2,"."&amp;$C$134&amp;$AU$82&amp;"P"&amp;$A156)="N/A",0,RTD("tos.rtd",,CG$2,"."&amp;$C$134&amp;$AU$82&amp;"P"&amp;$A156))</f>
        <v>0.19</v>
      </c>
      <c r="CH156" s="3">
        <f>IF(RTD("tos.rtd",,CH$2,"."&amp;$D$134&amp;$AW$82&amp;"C"&amp;$A156)="N/A",0,RTD("tos.rtd",,CH$2,"."&amp;$D$134&amp;$AW$82&amp;"C"&amp;$A156))</f>
        <v>0.56999999999999995</v>
      </c>
      <c r="CI156" s="3">
        <f>-IF(RTD("tos.rtd",,CI$2,"."&amp;$D$134&amp;$AW$82&amp;"P"&amp;$A156)="N/A",0,RTD("tos.rtd",,CI$2,"."&amp;$D$134&amp;$AW$82&amp;"P"&amp;$A156))</f>
        <v>0.43</v>
      </c>
      <c r="CK156" s="3">
        <f t="shared" si="612"/>
        <v>296</v>
      </c>
      <c r="CL156" s="3"/>
      <c r="CM156" s="3">
        <f t="shared" si="613"/>
        <v>291</v>
      </c>
      <c r="CN156" s="3"/>
      <c r="CO156" s="3">
        <f t="shared" si="614"/>
        <v>481.99999999999989</v>
      </c>
      <c r="CP156" s="3">
        <f t="shared" si="536"/>
        <v>1069</v>
      </c>
      <c r="CQ156" s="3">
        <f t="shared" si="546"/>
        <v>0</v>
      </c>
      <c r="CR156" s="3"/>
      <c r="CS156" s="3">
        <f t="shared" si="547"/>
        <v>-218</v>
      </c>
      <c r="CT156" s="3"/>
      <c r="CU156" s="3">
        <f t="shared" si="548"/>
        <v>-4</v>
      </c>
      <c r="CV156" s="3"/>
      <c r="CW156" s="3" t="e">
        <f t="shared" ca="1" si="549"/>
        <v>#NUM!</v>
      </c>
      <c r="CY156" s="3" t="e">
        <f t="shared" ca="1" si="550"/>
        <v>#NUM!</v>
      </c>
      <c r="CZ156" s="70" t="e">
        <f t="shared" ca="1" si="583"/>
        <v>#NUM!</v>
      </c>
      <c r="DA156" s="3">
        <f>IF(RTD("tos.rtd",,DA$43,"."&amp;$B$134&amp;$AS$82&amp;"C"&amp;$A156)="N/A",0,RTD("tos.rtd",,DA$43,"."&amp;$B$134&amp;$AS$82&amp;"C"&amp;$A156))</f>
        <v>0.05</v>
      </c>
      <c r="DB156" s="3">
        <f>IF(RTD("tos.rtd",,DB$43,"."&amp;$B$134&amp;$AS$82&amp;"P"&amp;$A156)="N/A",0,RTD("tos.rtd",,DB$43,"."&amp;$B$134&amp;$AS$82&amp;"P"&amp;$A156))</f>
        <v>10</v>
      </c>
      <c r="DC156" s="3">
        <f>IF(RTD("tos.rtd",,DC$43,"."&amp;$B$134&amp;$AS$82&amp;"C"&amp;$A156)="N/A",0,RTD("tos.rtd",,DC$43,"."&amp;$B$134&amp;$AS$82&amp;"C"&amp;$A156))</f>
        <v>0.1</v>
      </c>
      <c r="DD156" s="3">
        <f>IF(RTD("tos.rtd",,DD$43,"."&amp;$B$134&amp;$AS$82&amp;"P"&amp;$A156)="N/A",0,RTD("tos.rtd",,DD$43,"."&amp;$B$134&amp;$AS$82&amp;"P"&amp;$A156))</f>
        <v>16</v>
      </c>
      <c r="DE156" s="3">
        <f>IF(RTD("tos.rtd",,DE$43,"."&amp;$B$134&amp;$AS$82&amp;"C"&amp;$A156)="N/A",0,RTD("tos.rtd",,DE$43,"."&amp;$B$134&amp;$AS$82&amp;"C"&amp;$A156))</f>
        <v>0</v>
      </c>
      <c r="DF156" s="3">
        <f>IF(RTD("tos.rtd",,DF$43,"."&amp;$B$134&amp;$AS$82&amp;"P"&amp;$A156)="N/A",0,RTD("tos.rtd",,DF$43,"."&amp;$B$134&amp;$AS$82&amp;"P"&amp;$A156))</f>
        <v>0.1</v>
      </c>
      <c r="DG156" s="86">
        <f t="shared" si="584"/>
        <v>-71.5</v>
      </c>
      <c r="DH156" s="3">
        <f t="shared" si="551"/>
        <v>-38</v>
      </c>
      <c r="DI156" s="3">
        <f t="shared" si="552"/>
        <v>146.32075471698113</v>
      </c>
      <c r="DJ156" s="3">
        <f t="shared" si="553"/>
        <v>0</v>
      </c>
      <c r="DK156" s="3">
        <f t="shared" si="554"/>
        <v>235</v>
      </c>
      <c r="DL156" s="3">
        <f t="shared" si="555"/>
        <v>108.32075471698113</v>
      </c>
      <c r="DM156" s="3">
        <f t="shared" si="556"/>
        <v>235</v>
      </c>
      <c r="DN156" s="64" t="str">
        <f t="shared" si="557"/>
        <v>UNKNOWN</v>
      </c>
      <c r="DO156" s="64" t="str">
        <f t="shared" si="558"/>
        <v>UNKNOWN</v>
      </c>
      <c r="DP156" s="3">
        <f t="shared" si="559"/>
        <v>1461.3075471698112</v>
      </c>
      <c r="DQ156" s="3">
        <f t="shared" si="560"/>
        <v>2350</v>
      </c>
      <c r="DR156" s="3" t="e">
        <f t="shared" ca="1" si="561"/>
        <v>#NUM!</v>
      </c>
      <c r="DS156" s="3">
        <f t="shared" si="562"/>
        <v>39.950000000000003</v>
      </c>
      <c r="DT156" s="3">
        <f t="shared" si="585"/>
        <v>-76</v>
      </c>
      <c r="DU156" s="3">
        <f t="shared" si="586"/>
        <v>235</v>
      </c>
      <c r="DV156" s="3">
        <f t="shared" si="563"/>
        <v>-4</v>
      </c>
      <c r="DW156" s="3">
        <f t="shared" si="564"/>
        <v>-72</v>
      </c>
      <c r="DX156" s="3" t="e">
        <f t="shared" ca="1" si="565"/>
        <v>#NUM!</v>
      </c>
      <c r="DY156" s="3" t="e">
        <f t="shared" ca="1" si="566"/>
        <v>#NUM!</v>
      </c>
      <c r="DZ156" s="3" t="e">
        <f t="shared" ca="1" si="567"/>
        <v>#NUM!</v>
      </c>
      <c r="EA156" s="3" t="e">
        <f t="shared" ca="1" si="568"/>
        <v>#NUM!</v>
      </c>
      <c r="EB156" s="3" t="e">
        <f t="shared" ca="1" si="569"/>
        <v>#NUM!</v>
      </c>
      <c r="EC156" s="3" t="e">
        <f t="shared" ca="1" si="570"/>
        <v>#NUM!</v>
      </c>
      <c r="EE156" s="59">
        <f t="shared" si="571"/>
        <v>0.25</v>
      </c>
      <c r="EF156" s="59">
        <f t="shared" si="572"/>
        <v>0.5948</v>
      </c>
      <c r="EG156" s="59">
        <f t="shared" si="573"/>
        <v>0.25</v>
      </c>
      <c r="EH156" s="59">
        <f t="shared" si="574"/>
        <v>0.64249999999999996</v>
      </c>
      <c r="EI156" s="59">
        <f t="shared" si="575"/>
        <v>0.26939999999999997</v>
      </c>
      <c r="EJ156" s="59">
        <f t="shared" si="576"/>
        <v>0.28689999999999999</v>
      </c>
      <c r="EL156" s="3" t="str">
        <f>RTD("tos.rtd",,EL$43,"."&amp;$B$134&amp;$AS$82&amp;"C"&amp;$A156)</f>
        <v>--</v>
      </c>
      <c r="EM156" s="3" t="str">
        <f>RTD("tos.rtd",,EM$43,"."&amp;$B$134&amp;$AS$82&amp;"P"&amp;$A156)</f>
        <v>59.48%</v>
      </c>
      <c r="EN156" s="3" t="str">
        <f>RTD("tos.rtd",,EN$2,"."&amp;$C$134&amp;$AU$82&amp;"C"&amp;$A156)</f>
        <v>--</v>
      </c>
      <c r="EO156" s="3" t="str">
        <f>RTD("tos.rtd",,EO$2,"."&amp;$C$134&amp;$AU$82&amp;"P"&amp;$A156)</f>
        <v>64.25%</v>
      </c>
      <c r="EP156" s="3" t="str">
        <f>RTD("tos.rtd",,EP$2,"."&amp;$D$134&amp;$AW$82&amp;"C"&amp;$A156)</f>
        <v>26.94%</v>
      </c>
      <c r="EQ156" s="3" t="str">
        <f>RTD("tos.rtd",,EQ$2,"."&amp;$D$134&amp;$AW$82&amp;"P"&amp;$A156)</f>
        <v>28.69%</v>
      </c>
      <c r="ES156" s="63" t="str">
        <f t="shared" si="577"/>
        <v>19975,-76.00</v>
      </c>
      <c r="ET156" s="64" t="str">
        <f t="shared" ca="1" si="578"/>
        <v>19975,00.00</v>
      </c>
      <c r="EU156" s="68">
        <v>562.97</v>
      </c>
      <c r="EV156" s="68" t="s">
        <v>1267</v>
      </c>
      <c r="EW156" s="68">
        <v>485.55</v>
      </c>
      <c r="EX156" s="68" t="s">
        <v>1268</v>
      </c>
      <c r="EY156" s="68">
        <v>5643.5</v>
      </c>
      <c r="EZ156" s="68" t="s">
        <v>1269</v>
      </c>
      <c r="FA156" s="68">
        <v>19946.5</v>
      </c>
      <c r="FB156" s="68" t="s">
        <v>1270</v>
      </c>
      <c r="FC156" s="68" t="s">
        <v>1271</v>
      </c>
      <c r="FD156" s="68" t="s">
        <v>1272</v>
      </c>
      <c r="FE156" s="68" t="s">
        <v>1273</v>
      </c>
      <c r="FF156" s="68" t="s">
        <v>1274</v>
      </c>
    </row>
    <row r="157" spans="1:162" ht="11.1" customHeight="1" thickBot="1" x14ac:dyDescent="0.25">
      <c r="A157" s="2">
        <f t="shared" si="587"/>
        <v>19950</v>
      </c>
      <c r="B157" s="3">
        <f t="shared" si="620"/>
        <v>32</v>
      </c>
      <c r="C157" s="3">
        <f t="shared" si="621"/>
        <v>29</v>
      </c>
      <c r="D157" s="3">
        <f t="shared" si="622"/>
        <v>35</v>
      </c>
      <c r="E157" s="3">
        <f t="shared" si="605"/>
        <v>96</v>
      </c>
      <c r="F157" s="4">
        <f t="shared" si="615"/>
        <v>20049.518619210336</v>
      </c>
      <c r="G157" s="5">
        <f t="shared" si="607"/>
        <v>485.57124685107124</v>
      </c>
      <c r="AM157" s="1">
        <v>-13</v>
      </c>
      <c r="AN157" s="1">
        <v>-1</v>
      </c>
      <c r="AO157" s="1">
        <v>19950</v>
      </c>
      <c r="AP157" s="1">
        <v>138</v>
      </c>
      <c r="AQ157" s="1">
        <v>-687</v>
      </c>
      <c r="AS157" s="54">
        <f>IF(RTD("tos.rtd",,AS$83,"."&amp;$B$134&amp;$AS$82&amp;"C"&amp;$A157)="N/A",0,RTD("tos.rtd",,AS$83,"."&amp;$B$134&amp;$AS$82&amp;"C"&amp;$A157))</f>
        <v>9</v>
      </c>
      <c r="AT157" s="3">
        <f>-IF(RTD("tos.rtd",,AT$83,"."&amp;$B$134&amp;$AS$82&amp;"P"&amp;$A157)="N/A",0,RTD("tos.rtd",,AT$83,"."&amp;$B$134&amp;$AS$82&amp;"P"&amp;$A157))</f>
        <v>-23</v>
      </c>
      <c r="AU157" s="54">
        <f>IF(RTD("tos.rtd",,AU$2,"."&amp;$C$134&amp;$AU$134&amp;"C"&amp;$A157)="N/A",0,RTD("tos.rtd",,AU$2,"."&amp;$C$134&amp;$AU$134&amp;"C"&amp;$A157))</f>
        <v>6</v>
      </c>
      <c r="AV157" s="3">
        <f>-IF(RTD("tos.rtd",,AV$2,"."&amp;$C$134&amp;$AU$134&amp;"P"&amp;$A157)="N/A",0,RTD("tos.rtd",,AV$2,"."&amp;$C$134&amp;$AU$134&amp;"P"&amp;$A157))</f>
        <v>-23</v>
      </c>
      <c r="AW157" s="54">
        <f>IF(RTD("tos.rtd",,AW$2,"."&amp;$D$134&amp;$AW$134&amp;"C"&amp;$A157)="N/A",0,RTD("tos.rtd",,AW$2,"."&amp;$D$134&amp;$AW$134&amp;"C"&amp;$A157))</f>
        <v>28</v>
      </c>
      <c r="AX157" s="3">
        <f>-IF(RTD("tos.rtd",,AX$2,"."&amp;$D$134&amp;$AW$134&amp;"P"&amp;$A157)="N/A",0,RTD("tos.rtd",,AX$2,"."&amp;$D$134&amp;$AW$134&amp;"P"&amp;$A157))</f>
        <v>-7</v>
      </c>
      <c r="AY157" s="76">
        <f t="shared" si="616"/>
        <v>-10</v>
      </c>
      <c r="AZ157" s="8">
        <f t="shared" si="542"/>
        <v>19950</v>
      </c>
      <c r="BA157" s="54">
        <f>IF(RTD("tos.rtd",,BA$43,"."&amp;$B$134&amp;$AS$82&amp;"C"&amp;$A157)="N/A",0,RTD("tos.rtd",,BA$43,"."&amp;$B$134&amp;$AS$82&amp;"C"&amp;$A157))</f>
        <v>0</v>
      </c>
      <c r="BB157" s="3">
        <f>-IF(RTD("tos.rtd",,BB$43,"."&amp;$B$134&amp;$AS$82&amp;"P"&amp;$A157)="N/A",0,RTD("tos.rtd",,BB$43,"."&amp;$B$134&amp;$AS$82&amp;"P"&amp;$A157))</f>
        <v>0</v>
      </c>
      <c r="BC157" s="54">
        <f>IF(RTD("tos.rtd",,BC$2,"."&amp;$C$134&amp;$AU$82&amp;"C"&amp;$A157)="N/A",0,RTD("tos.rtd",,BC$2,"."&amp;$C$134&amp;$AU$82&amp;"C"&amp;$A157))</f>
        <v>22</v>
      </c>
      <c r="BD157" s="3">
        <f>-IF(RTD("tos.rtd",,BD$2,"."&amp;$C$134&amp;$AU$82&amp;"P"&amp;$A157)="N/A",0,RTD("tos.rtd",,BD$2,"."&amp;$C$134&amp;$AU$82&amp;"P"&amp;$A157))</f>
        <v>-480</v>
      </c>
      <c r="BE157" s="54">
        <f>IF(RTD("tos.rtd",,BE$2,"."&amp;$D$134&amp;$AW$82&amp;"C"&amp;$A157)="N/A",0,RTD("tos.rtd",,BE$2,"."&amp;$D$134&amp;$AW$82&amp;"C"&amp;$A157))</f>
        <v>0</v>
      </c>
      <c r="BF157" s="3">
        <f>-IF(RTD("tos.rtd",,BF$2,"."&amp;$D$134&amp;$AW$82&amp;"P"&amp;$A157)="N/A",0,RTD("tos.rtd",,BF$2,"."&amp;$D$134&amp;$AW$82&amp;"P"&amp;$A157))</f>
        <v>-6</v>
      </c>
      <c r="BG157" s="3">
        <f ca="1">+Hoja2!Y158</f>
        <v>-5</v>
      </c>
      <c r="BH157" s="7">
        <f t="shared" ca="1" si="543"/>
        <v>-469</v>
      </c>
      <c r="BI157" s="32" t="str">
        <f t="shared" ca="1" si="601"/>
        <v/>
      </c>
      <c r="BJ157" s="3" t="e">
        <f ca="1">IF($BP$1=1,DX157,IF(RTD("tos.rtd",,BJ$43,"."&amp;$B$134&amp;$AS$82&amp;"C"&amp;$A157)="N/A",0,RTD("tos.rtd",,BJ$43,"."&amp;$B$134&amp;$AS$82&amp;"C"&amp;$A157)))</f>
        <v>#NUM!</v>
      </c>
      <c r="BK157" s="3" t="e">
        <f ca="1">IF($BP$1=1,DY157,-IF(RTD("tos.rtd",,BK$43,"."&amp;$B$134&amp;$AS$82&amp;"P"&amp;$A157)="N/A",0,RTD("tos.rtd",,BK$43,"."&amp;$B$134&amp;$AS$82&amp;"P"&amp;$A157)))</f>
        <v>#NUM!</v>
      </c>
      <c r="BL157" s="3" t="e">
        <f ca="1">IF($BP$1=1,DZ157,IF(RTD("tos.rtd",,BL$2,"."&amp;$C$134&amp;$AU$82&amp;"C"&amp;$A157)="N/A",0,RTD("tos.rtd",,BL$2,"."&amp;$C$134&amp;$AU$82&amp;"C"&amp;$A157)))</f>
        <v>#NUM!</v>
      </c>
      <c r="BM157" s="3" t="e">
        <f ca="1">IF($BP$1=1,EA157,-IF(RTD("tos.rtd",,BM$2,"."&amp;$C$134&amp;$AU$82&amp;"P"&amp;$A157)="N/A",0,RTD("tos.rtd",,BM$2,"."&amp;$C$134&amp;$AU$82&amp;"P"&amp;$A157)))</f>
        <v>#NUM!</v>
      </c>
      <c r="BN157" s="3" t="e">
        <f ca="1">IF($BP$1=1,EB157,IF(RTD("tos.rtd",,BN$2,"."&amp;$D$134&amp;$AW$82&amp;"C"&amp;$A157)="N/A",0,RTD("tos.rtd",,BN$2,"."&amp;$D$134&amp;$AW$82&amp;"C"&amp;$A157)))</f>
        <v>#NUM!</v>
      </c>
      <c r="BO157" s="3" t="e">
        <f ca="1">IF($BP$1=1,EC157,-IF(RTD("tos.rtd",,BO$2,"."&amp;$D$134&amp;$AW$82&amp;"P"&amp;$A157)="N/A",0,RTD("tos.rtd",,BO$2,"."&amp;$D$134&amp;$AW$82&amp;"P"&amp;$A157)))</f>
        <v>#NUM!</v>
      </c>
      <c r="BQ157" s="3" t="e">
        <f t="shared" ca="1" si="617"/>
        <v>#NUM!</v>
      </c>
      <c r="BR157" s="3" t="e">
        <f t="shared" ca="1" si="544"/>
        <v>#NUM!</v>
      </c>
      <c r="BS157" s="3" t="e">
        <f t="shared" ca="1" si="618"/>
        <v>#NUM!</v>
      </c>
      <c r="BT157" s="3" t="e">
        <f t="shared" ca="1" si="545"/>
        <v>#NUM!</v>
      </c>
      <c r="BU157" s="3" t="e">
        <f t="shared" ca="1" si="619"/>
        <v>#NUM!</v>
      </c>
      <c r="BV157" s="3" t="e">
        <f t="shared" ca="1" si="545"/>
        <v>#NUM!</v>
      </c>
      <c r="BX157" s="3" t="e">
        <f t="shared" ca="1" si="579"/>
        <v>#NUM!</v>
      </c>
      <c r="BY157" s="3" t="e">
        <f t="shared" ca="1" si="580"/>
        <v>#NUM!</v>
      </c>
      <c r="BZ157" s="3" t="e">
        <f t="shared" ca="1" si="581"/>
        <v>#NUM!</v>
      </c>
      <c r="CA157" s="3" t="e">
        <f t="shared" ca="1" si="580"/>
        <v>#NUM!</v>
      </c>
      <c r="CB157" s="3" t="e">
        <f t="shared" ca="1" si="582"/>
        <v>#NUM!</v>
      </c>
      <c r="CC157" s="3" t="e">
        <f t="shared" ca="1" si="580"/>
        <v>#NUM!</v>
      </c>
      <c r="CD157" s="3">
        <f>IF(RTD("tos.rtd",,CD$43,"."&amp;$B$134&amp;$AS$82&amp;"C"&amp;$A157)="N/A",0,RTD("tos.rtd",,CD$43,"."&amp;$B$134&amp;$AS$82&amp;"C"&amp;$A157))</f>
        <v>1</v>
      </c>
      <c r="CE157" s="3">
        <f>-IF(RTD("tos.rtd",,CE$43,"."&amp;$B$134&amp;$AS$82&amp;"P"&amp;$A157)="N/A",0,RTD("tos.rtd",,CE$43,"."&amp;$B$134&amp;$AS$82&amp;"P"&amp;$A157))</f>
        <v>0.03</v>
      </c>
      <c r="CF157" s="3">
        <f>IF(RTD("tos.rtd",,CF$2,"."&amp;$C$134&amp;$AU$82&amp;"C"&amp;$A157)="N/A",0,RTD("tos.rtd",,CF$2,"."&amp;$C$134&amp;$AU$82&amp;"C"&amp;$A157))</f>
        <v>1</v>
      </c>
      <c r="CG157" s="3">
        <f>-IF(RTD("tos.rtd",,CG$2,"."&amp;$C$134&amp;$AU$82&amp;"P"&amp;$A157)="N/A",0,RTD("tos.rtd",,CG$2,"."&amp;$C$134&amp;$AU$82&amp;"P"&amp;$A157))</f>
        <v>0.04</v>
      </c>
      <c r="CH157" s="3">
        <f>IF(RTD("tos.rtd",,CH$2,"."&amp;$D$134&amp;$AW$82&amp;"C"&amp;$A157)="N/A",0,RTD("tos.rtd",,CH$2,"."&amp;$D$134&amp;$AW$82&amp;"C"&amp;$A157))</f>
        <v>0.59</v>
      </c>
      <c r="CI157" s="3">
        <f>-IF(RTD("tos.rtd",,CI$2,"."&amp;$D$134&amp;$AW$82&amp;"P"&amp;$A157)="N/A",0,RTD("tos.rtd",,CI$2,"."&amp;$D$134&amp;$AW$82&amp;"P"&amp;$A157))</f>
        <v>0.42</v>
      </c>
      <c r="CK157" s="3">
        <f t="shared" si="612"/>
        <v>831</v>
      </c>
      <c r="CL157" s="3"/>
      <c r="CM157" s="3">
        <f t="shared" si="613"/>
        <v>508</v>
      </c>
      <c r="CN157" s="3"/>
      <c r="CO157" s="3">
        <f t="shared" si="614"/>
        <v>1358</v>
      </c>
      <c r="CP157" s="3">
        <f t="shared" si="536"/>
        <v>2697</v>
      </c>
      <c r="CQ157" s="3">
        <f t="shared" si="546"/>
        <v>0</v>
      </c>
      <c r="CR157" s="3"/>
      <c r="CS157" s="3">
        <f t="shared" si="547"/>
        <v>-458</v>
      </c>
      <c r="CT157" s="3"/>
      <c r="CU157" s="3">
        <f t="shared" si="548"/>
        <v>-6</v>
      </c>
      <c r="CV157" s="3"/>
      <c r="CW157" s="3" t="e">
        <f t="shared" ca="1" si="549"/>
        <v>#NUM!</v>
      </c>
      <c r="CY157" s="3" t="e">
        <f t="shared" ca="1" si="550"/>
        <v>#NUM!</v>
      </c>
      <c r="CZ157" s="70" t="e">
        <f t="shared" ca="1" si="583"/>
        <v>#NUM!</v>
      </c>
      <c r="DA157" s="3">
        <f>IF(RTD("tos.rtd",,DA$43,"."&amp;$B$134&amp;$AS$82&amp;"C"&amp;$A157)="N/A",0,RTD("tos.rtd",,DA$43,"."&amp;$B$134&amp;$AS$82&amp;"C"&amp;$A157))</f>
        <v>13.9</v>
      </c>
      <c r="DB157" s="3">
        <f>IF(RTD("tos.rtd",,DB$43,"."&amp;$B$134&amp;$AS$82&amp;"P"&amp;$A157)="N/A",0,RTD("tos.rtd",,DB$43,"."&amp;$B$134&amp;$AS$82&amp;"P"&amp;$A157))</f>
        <v>0.35</v>
      </c>
      <c r="DC157" s="3">
        <f>IF(RTD("tos.rtd",,DC$43,"."&amp;$B$134&amp;$AS$82&amp;"C"&amp;$A157)="N/A",0,RTD("tos.rtd",,DC$43,"."&amp;$B$134&amp;$AS$82&amp;"C"&amp;$A157))</f>
        <v>25.5</v>
      </c>
      <c r="DD157" s="3">
        <f>IF(RTD("tos.rtd",,DD$43,"."&amp;$B$134&amp;$AS$82&amp;"P"&amp;$A157)="N/A",0,RTD("tos.rtd",,DD$43,"."&amp;$B$134&amp;$AS$82&amp;"P"&amp;$A157))</f>
        <v>1.1499999999999999</v>
      </c>
      <c r="DE157" s="3">
        <f>IF(RTD("tos.rtd",,DE$43,"."&amp;$B$134&amp;$AS$82&amp;"C"&amp;$A157)="N/A",0,RTD("tos.rtd",,DE$43,"."&amp;$B$134&amp;$AS$82&amp;"C"&amp;$A157))</f>
        <v>17.5</v>
      </c>
      <c r="DF157" s="3">
        <f>IF(RTD("tos.rtd",,DF$43,"."&amp;$B$134&amp;$AS$82&amp;"P"&amp;$A157)="N/A",0,RTD("tos.rtd",,DF$43,"."&amp;$B$134&amp;$AS$82&amp;"P"&amp;$A157))</f>
        <v>0</v>
      </c>
      <c r="DG157" s="86">
        <f t="shared" si="584"/>
        <v>-96.5</v>
      </c>
      <c r="DH157" s="3">
        <f t="shared" si="551"/>
        <v>62.099999999999994</v>
      </c>
      <c r="DI157" s="3">
        <f t="shared" si="552"/>
        <v>209.08695652173915</v>
      </c>
      <c r="DJ157" s="3">
        <f t="shared" si="553"/>
        <v>138</v>
      </c>
      <c r="DK157" s="3">
        <f t="shared" si="554"/>
        <v>-687</v>
      </c>
      <c r="DL157" s="3">
        <f t="shared" si="555"/>
        <v>271.18695652173915</v>
      </c>
      <c r="DM157" s="3">
        <f t="shared" si="556"/>
        <v>-549</v>
      </c>
      <c r="DN157" s="64" t="str">
        <f t="shared" si="557"/>
        <v>UNKNOWN</v>
      </c>
      <c r="DO157" s="64" t="str">
        <f t="shared" si="558"/>
        <v>UNKNOWN</v>
      </c>
      <c r="DP157" s="3">
        <f t="shared" si="559"/>
        <v>936.37043478260864</v>
      </c>
      <c r="DQ157" s="3">
        <f t="shared" si="560"/>
        <v>1677.75</v>
      </c>
      <c r="DR157" s="3" t="e">
        <f t="shared" ca="1" si="561"/>
        <v>#NUM!</v>
      </c>
      <c r="DS157" s="3">
        <f t="shared" si="562"/>
        <v>117.39</v>
      </c>
      <c r="DT157" s="3">
        <f t="shared" si="585"/>
        <v>-138</v>
      </c>
      <c r="DU157" s="3">
        <f t="shared" si="586"/>
        <v>687</v>
      </c>
      <c r="DV157" s="3">
        <f t="shared" si="563"/>
        <v>-13</v>
      </c>
      <c r="DW157" s="3">
        <f t="shared" si="564"/>
        <v>-1</v>
      </c>
      <c r="DX157" s="3" t="e">
        <f t="shared" ca="1" si="565"/>
        <v>#NUM!</v>
      </c>
      <c r="DY157" s="3" t="e">
        <f t="shared" ca="1" si="566"/>
        <v>#NUM!</v>
      </c>
      <c r="DZ157" s="3" t="e">
        <f t="shared" ca="1" si="567"/>
        <v>#NUM!</v>
      </c>
      <c r="EA157" s="3" t="e">
        <f t="shared" ca="1" si="568"/>
        <v>#NUM!</v>
      </c>
      <c r="EB157" s="3" t="e">
        <f t="shared" ca="1" si="569"/>
        <v>#NUM!</v>
      </c>
      <c r="EC157" s="3" t="e">
        <f t="shared" ca="1" si="570"/>
        <v>#NUM!</v>
      </c>
      <c r="EE157" s="59">
        <f t="shared" si="571"/>
        <v>0.25</v>
      </c>
      <c r="EF157" s="59">
        <f t="shared" si="572"/>
        <v>0.38069999999999998</v>
      </c>
      <c r="EG157" s="59">
        <f t="shared" si="573"/>
        <v>0.25</v>
      </c>
      <c r="EH157" s="59">
        <f t="shared" si="574"/>
        <v>0.42130000000000001</v>
      </c>
      <c r="EI157" s="59">
        <f t="shared" si="575"/>
        <v>0.27050000000000002</v>
      </c>
      <c r="EJ157" s="59">
        <f t="shared" si="576"/>
        <v>0.28770000000000001</v>
      </c>
      <c r="EL157" s="3" t="str">
        <f>RTD("tos.rtd",,EL$43,"."&amp;$B$134&amp;$AS$82&amp;"C"&amp;$A157)</f>
        <v>--</v>
      </c>
      <c r="EM157" s="3" t="str">
        <f>RTD("tos.rtd",,EM$43,"."&amp;$B$134&amp;$AS$82&amp;"P"&amp;$A157)</f>
        <v>38.07%</v>
      </c>
      <c r="EN157" s="3" t="str">
        <f>RTD("tos.rtd",,EN$2,"."&amp;$C$134&amp;$AU$82&amp;"C"&amp;$A157)</f>
        <v>--</v>
      </c>
      <c r="EO157" s="3" t="str">
        <f>RTD("tos.rtd",,EO$2,"."&amp;$C$134&amp;$AU$82&amp;"P"&amp;$A157)</f>
        <v>42.13%</v>
      </c>
      <c r="EP157" s="3" t="str">
        <f>RTD("tos.rtd",,EP$2,"."&amp;$D$134&amp;$AW$82&amp;"C"&amp;$A157)</f>
        <v>27.05%</v>
      </c>
      <c r="EQ157" s="3" t="str">
        <f>RTD("tos.rtd",,EQ$2,"."&amp;$D$134&amp;$AW$82&amp;"P"&amp;$A157)</f>
        <v>28.77%</v>
      </c>
      <c r="ES157" s="63" t="str">
        <f t="shared" si="577"/>
        <v>19950,-14.00</v>
      </c>
      <c r="ET157" s="64" t="str">
        <f t="shared" ca="1" si="578"/>
        <v>19950,00.00</v>
      </c>
      <c r="EU157" s="68">
        <v>562.95000000000005</v>
      </c>
      <c r="EV157" s="68" t="s">
        <v>1275</v>
      </c>
      <c r="EW157" s="68">
        <v>485.51</v>
      </c>
      <c r="EX157" s="68" t="s">
        <v>1276</v>
      </c>
      <c r="EY157" s="68">
        <v>5643</v>
      </c>
      <c r="EZ157" s="68" t="s">
        <v>1277</v>
      </c>
      <c r="FA157" s="68">
        <v>19944</v>
      </c>
      <c r="FB157" s="68" t="s">
        <v>1278</v>
      </c>
      <c r="FC157" s="68" t="s">
        <v>1279</v>
      </c>
      <c r="FD157" s="68" t="s">
        <v>1280</v>
      </c>
      <c r="FE157" s="68" t="s">
        <v>1281</v>
      </c>
      <c r="FF157" s="68" t="s">
        <v>1282</v>
      </c>
    </row>
    <row r="158" spans="1:162" ht="11.1" customHeight="1" thickBot="1" x14ac:dyDescent="0.25">
      <c r="A158" s="2">
        <f t="shared" si="587"/>
        <v>19925</v>
      </c>
      <c r="B158" s="3">
        <f t="shared" si="620"/>
        <v>6</v>
      </c>
      <c r="C158" s="3">
        <f t="shared" si="621"/>
        <v>10</v>
      </c>
      <c r="D158" s="3">
        <f t="shared" si="622"/>
        <v>18</v>
      </c>
      <c r="E158" s="3">
        <f t="shared" si="605"/>
        <v>34</v>
      </c>
      <c r="F158" s="4">
        <f t="shared" si="615"/>
        <v>20024.393909161197</v>
      </c>
      <c r="G158" s="5">
        <f t="shared" si="607"/>
        <v>484.96276157932806</v>
      </c>
      <c r="AM158" s="1">
        <v>-2</v>
      </c>
      <c r="AN158" s="1">
        <v>-35</v>
      </c>
      <c r="AO158" s="1">
        <v>19925</v>
      </c>
      <c r="AP158" s="1">
        <v>14</v>
      </c>
      <c r="AQ158" s="1">
        <v>-214</v>
      </c>
      <c r="AS158" s="54">
        <f>IF(RTD("tos.rtd",,AS$83,"."&amp;$B$134&amp;$AS$82&amp;"C"&amp;$A158)="N/A",0,RTD("tos.rtd",,AS$83,"."&amp;$B$134&amp;$AS$82&amp;"C"&amp;$A158))</f>
        <v>2</v>
      </c>
      <c r="AT158" s="3">
        <f>-IF(RTD("tos.rtd",,AT$83,"."&amp;$B$134&amp;$AS$82&amp;"P"&amp;$A158)="N/A",0,RTD("tos.rtd",,AT$83,"."&amp;$B$134&amp;$AS$82&amp;"P"&amp;$A158))</f>
        <v>-4</v>
      </c>
      <c r="AU158" s="54">
        <f>IF(RTD("tos.rtd",,AU$2,"."&amp;$C$134&amp;$AU$134&amp;"C"&amp;$A158)="N/A",0,RTD("tos.rtd",,AU$2,"."&amp;$C$134&amp;$AU$134&amp;"C"&amp;$A158))</f>
        <v>4</v>
      </c>
      <c r="AV158" s="3">
        <f>-IF(RTD("tos.rtd",,AV$2,"."&amp;$C$134&amp;$AU$134&amp;"P"&amp;$A158)="N/A",0,RTD("tos.rtd",,AV$2,"."&amp;$C$134&amp;$AU$134&amp;"P"&amp;$A158))</f>
        <v>-6</v>
      </c>
      <c r="AW158" s="54">
        <f>IF(RTD("tos.rtd",,AW$2,"."&amp;$D$134&amp;$AW$134&amp;"C"&amp;$A158)="N/A",0,RTD("tos.rtd",,AW$2,"."&amp;$D$134&amp;$AW$134&amp;"C"&amp;$A158))</f>
        <v>13</v>
      </c>
      <c r="AX158" s="3">
        <f>-IF(RTD("tos.rtd",,AX$2,"."&amp;$D$134&amp;$AW$134&amp;"P"&amp;$A158)="N/A",0,RTD("tos.rtd",,AX$2,"."&amp;$D$134&amp;$AW$134&amp;"P"&amp;$A158))</f>
        <v>-5</v>
      </c>
      <c r="AY158" s="76">
        <f t="shared" si="616"/>
        <v>4</v>
      </c>
      <c r="AZ158" s="8">
        <f t="shared" si="542"/>
        <v>19925</v>
      </c>
      <c r="BA158" s="54">
        <f>IF(RTD("tos.rtd",,BA$43,"."&amp;$B$134&amp;$AS$82&amp;"C"&amp;$A158)="N/A",0,RTD("tos.rtd",,BA$43,"."&amp;$B$134&amp;$AS$82&amp;"C"&amp;$A158))</f>
        <v>0</v>
      </c>
      <c r="BB158" s="3">
        <f>-IF(RTD("tos.rtd",,BB$43,"."&amp;$B$134&amp;$AS$82&amp;"P"&amp;$A158)="N/A",0,RTD("tos.rtd",,BB$43,"."&amp;$B$134&amp;$AS$82&amp;"P"&amp;$A158))</f>
        <v>0</v>
      </c>
      <c r="BC158" s="54">
        <f>IF(RTD("tos.rtd",,BC$2,"."&amp;$C$134&amp;$AU$82&amp;"C"&amp;$A158)="N/A",0,RTD("tos.rtd",,BC$2,"."&amp;$C$134&amp;$AU$82&amp;"C"&amp;$A158))</f>
        <v>5</v>
      </c>
      <c r="BD158" s="3">
        <f>-IF(RTD("tos.rtd",,BD$2,"."&amp;$C$134&amp;$AU$82&amp;"P"&amp;$A158)="N/A",0,RTD("tos.rtd",,BD$2,"."&amp;$C$134&amp;$AU$82&amp;"P"&amp;$A158))</f>
        <v>-138</v>
      </c>
      <c r="BE158" s="54">
        <f>IF(RTD("tos.rtd",,BE$2,"."&amp;$D$134&amp;$AW$82&amp;"C"&amp;$A158)="N/A",0,RTD("tos.rtd",,BE$2,"."&amp;$D$134&amp;$AW$82&amp;"C"&amp;$A158))</f>
        <v>3</v>
      </c>
      <c r="BF158" s="3">
        <f>-IF(RTD("tos.rtd",,BF$2,"."&amp;$D$134&amp;$AW$82&amp;"P"&amp;$A158)="N/A",0,RTD("tos.rtd",,BF$2,"."&amp;$D$134&amp;$AW$82&amp;"P"&amp;$A158))</f>
        <v>-6</v>
      </c>
      <c r="BG158" s="3">
        <f ca="1">+Hoja2!Y159</f>
        <v>-4</v>
      </c>
      <c r="BH158" s="7">
        <f t="shared" ca="1" si="543"/>
        <v>-140</v>
      </c>
      <c r="BI158" s="32" t="str">
        <f t="shared" ca="1" si="601"/>
        <v/>
      </c>
      <c r="BJ158" s="3" t="e">
        <f ca="1">IF($BP$1=1,DX158,IF(RTD("tos.rtd",,BJ$43,"."&amp;$B$134&amp;$AS$82&amp;"C"&amp;$A158)="N/A",0,RTD("tos.rtd",,BJ$43,"."&amp;$B$134&amp;$AS$82&amp;"C"&amp;$A158)))</f>
        <v>#NUM!</v>
      </c>
      <c r="BK158" s="3" t="e">
        <f ca="1">IF($BP$1=1,DY158,-IF(RTD("tos.rtd",,BK$43,"."&amp;$B$134&amp;$AS$82&amp;"P"&amp;$A158)="N/A",0,RTD("tos.rtd",,BK$43,"."&amp;$B$134&amp;$AS$82&amp;"P"&amp;$A158)))</f>
        <v>#NUM!</v>
      </c>
      <c r="BL158" s="3" t="e">
        <f ca="1">IF($BP$1=1,DZ158,IF(RTD("tos.rtd",,BL$2,"."&amp;$C$134&amp;$AU$82&amp;"C"&amp;$A158)="N/A",0,RTD("tos.rtd",,BL$2,"."&amp;$C$134&amp;$AU$82&amp;"C"&amp;$A158)))</f>
        <v>#NUM!</v>
      </c>
      <c r="BM158" s="3" t="e">
        <f ca="1">IF($BP$1=1,EA158,-IF(RTD("tos.rtd",,BM$2,"."&amp;$C$134&amp;$AU$82&amp;"P"&amp;$A158)="N/A",0,RTD("tos.rtd",,BM$2,"."&amp;$C$134&amp;$AU$82&amp;"P"&amp;$A158)))</f>
        <v>#NUM!</v>
      </c>
      <c r="BN158" s="3" t="e">
        <f ca="1">IF($BP$1=1,EB158,IF(RTD("tos.rtd",,BN$2,"."&amp;$D$134&amp;$AW$82&amp;"C"&amp;$A158)="N/A",0,RTD("tos.rtd",,BN$2,"."&amp;$D$134&amp;$AW$82&amp;"C"&amp;$A158)))</f>
        <v>#NUM!</v>
      </c>
      <c r="BO158" s="3" t="e">
        <f ca="1">IF($BP$1=1,EC158,-IF(RTD("tos.rtd",,BO$2,"."&amp;$D$134&amp;$AW$82&amp;"P"&amp;$A158)="N/A",0,RTD("tos.rtd",,BO$2,"."&amp;$D$134&amp;$AW$82&amp;"P"&amp;$A158)))</f>
        <v>#NUM!</v>
      </c>
      <c r="BQ158" s="3" t="e">
        <f t="shared" ca="1" si="617"/>
        <v>#NUM!</v>
      </c>
      <c r="BR158" s="3" t="e">
        <f t="shared" ca="1" si="544"/>
        <v>#NUM!</v>
      </c>
      <c r="BS158" s="3" t="e">
        <f t="shared" ca="1" si="618"/>
        <v>#NUM!</v>
      </c>
      <c r="BT158" s="3" t="e">
        <f t="shared" ca="1" si="545"/>
        <v>#NUM!</v>
      </c>
      <c r="BU158" s="3" t="e">
        <f t="shared" ca="1" si="619"/>
        <v>#NUM!</v>
      </c>
      <c r="BV158" s="3" t="e">
        <f t="shared" ca="1" si="545"/>
        <v>#NUM!</v>
      </c>
      <c r="BX158" s="3" t="e">
        <f t="shared" ca="1" si="579"/>
        <v>#NUM!</v>
      </c>
      <c r="BY158" s="3" t="e">
        <f t="shared" ca="1" si="580"/>
        <v>#NUM!</v>
      </c>
      <c r="BZ158" s="3" t="e">
        <f t="shared" ca="1" si="581"/>
        <v>#NUM!</v>
      </c>
      <c r="CA158" s="3" t="e">
        <f t="shared" ca="1" si="580"/>
        <v>#NUM!</v>
      </c>
      <c r="CB158" s="3" t="e">
        <f t="shared" ca="1" si="582"/>
        <v>#NUM!</v>
      </c>
      <c r="CC158" s="3" t="e">
        <f t="shared" ca="1" si="580"/>
        <v>#NUM!</v>
      </c>
      <c r="CD158" s="3">
        <f>IF(RTD("tos.rtd",,CD$43,"."&amp;$B$134&amp;$AS$82&amp;"C"&amp;$A158)="N/A",0,RTD("tos.rtd",,CD$43,"."&amp;$B$134&amp;$AS$82&amp;"C"&amp;$A158))</f>
        <v>1</v>
      </c>
      <c r="CE158" s="3">
        <f>-IF(RTD("tos.rtd",,CE$43,"."&amp;$B$134&amp;$AS$82&amp;"P"&amp;$A158)="N/A",0,RTD("tos.rtd",,CE$43,"."&amp;$B$134&amp;$AS$82&amp;"P"&amp;$A158))</f>
        <v>0</v>
      </c>
      <c r="CF158" s="3">
        <f>IF(RTD("tos.rtd",,CF$2,"."&amp;$C$134&amp;$AU$82&amp;"C"&amp;$A158)="N/A",0,RTD("tos.rtd",,CF$2,"."&amp;$C$134&amp;$AU$82&amp;"C"&amp;$A158))</f>
        <v>1</v>
      </c>
      <c r="CG158" s="3">
        <f>-IF(RTD("tos.rtd",,CG$2,"."&amp;$C$134&amp;$AU$82&amp;"P"&amp;$A158)="N/A",0,RTD("tos.rtd",,CG$2,"."&amp;$C$134&amp;$AU$82&amp;"P"&amp;$A158))</f>
        <v>0</v>
      </c>
      <c r="CH158" s="3">
        <f>IF(RTD("tos.rtd",,CH$2,"."&amp;$D$134&amp;$AW$82&amp;"C"&amp;$A158)="N/A",0,RTD("tos.rtd",,CH$2,"."&amp;$D$134&amp;$AW$82&amp;"C"&amp;$A158))</f>
        <v>0.6</v>
      </c>
      <c r="CI158" s="3">
        <f>-IF(RTD("tos.rtd",,CI$2,"."&amp;$D$134&amp;$AW$82&amp;"P"&amp;$A158)="N/A",0,RTD("tos.rtd",,CI$2,"."&amp;$D$134&amp;$AW$82&amp;"P"&amp;$A158))</f>
        <v>0.4</v>
      </c>
      <c r="CK158" s="3">
        <f t="shared" si="612"/>
        <v>200</v>
      </c>
      <c r="CL158" s="3"/>
      <c r="CM158" s="3">
        <f t="shared" si="613"/>
        <v>400</v>
      </c>
      <c r="CN158" s="3"/>
      <c r="CO158" s="3">
        <f t="shared" si="614"/>
        <v>580</v>
      </c>
      <c r="CP158" s="3">
        <f t="shared" si="536"/>
        <v>1180</v>
      </c>
      <c r="CQ158" s="3">
        <f t="shared" si="546"/>
        <v>0</v>
      </c>
      <c r="CR158" s="3"/>
      <c r="CS158" s="3">
        <f t="shared" si="547"/>
        <v>-133</v>
      </c>
      <c r="CT158" s="3"/>
      <c r="CU158" s="3">
        <f t="shared" si="548"/>
        <v>-3</v>
      </c>
      <c r="CV158" s="3"/>
      <c r="CW158" s="3" t="e">
        <f t="shared" ca="1" si="549"/>
        <v>#NUM!</v>
      </c>
      <c r="CY158" s="3" t="e">
        <f t="shared" ca="1" si="550"/>
        <v>#NUM!</v>
      </c>
      <c r="CZ158" s="70" t="e">
        <f t="shared" ca="1" si="583"/>
        <v>#NUM!</v>
      </c>
      <c r="DA158" s="3">
        <f>IF(RTD("tos.rtd",,DA$43,"."&amp;$B$134&amp;$AS$82&amp;"C"&amp;$A158)="N/A",0,RTD("tos.rtd",,DA$43,"."&amp;$B$134&amp;$AS$82&amp;"C"&amp;$A158))</f>
        <v>117</v>
      </c>
      <c r="DB158" s="3">
        <f>IF(RTD("tos.rtd",,DB$43,"."&amp;$B$134&amp;$AS$82&amp;"P"&amp;$A158)="N/A",0,RTD("tos.rtd",,DB$43,"."&amp;$B$134&amp;$AS$82&amp;"P"&amp;$A158))</f>
        <v>0.1</v>
      </c>
      <c r="DC158" s="3">
        <f>IF(RTD("tos.rtd",,DC$43,"."&amp;$B$134&amp;$AS$82&amp;"C"&amp;$A158)="N/A",0,RTD("tos.rtd",,DC$43,"."&amp;$B$134&amp;$AS$82&amp;"C"&amp;$A158))</f>
        <v>49.3</v>
      </c>
      <c r="DD158" s="3">
        <f>IF(RTD("tos.rtd",,DD$43,"."&amp;$B$134&amp;$AS$82&amp;"P"&amp;$A158)="N/A",0,RTD("tos.rtd",,DD$43,"."&amp;$B$134&amp;$AS$82&amp;"P"&amp;$A158))</f>
        <v>0.05</v>
      </c>
      <c r="DE158" s="3">
        <f>IF(RTD("tos.rtd",,DE$43,"."&amp;$B$134&amp;$AS$82&amp;"C"&amp;$A158)="N/A",0,RTD("tos.rtd",,DE$43,"."&amp;$B$134&amp;$AS$82&amp;"C"&amp;$A158))</f>
        <v>41.6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584"/>
        <v>-121.5</v>
      </c>
      <c r="DH158" s="3">
        <f t="shared" si="551"/>
        <v>-137.09090909090918</v>
      </c>
      <c r="DI158" s="3">
        <f t="shared" si="552"/>
        <v>428</v>
      </c>
      <c r="DJ158" s="3">
        <f t="shared" si="553"/>
        <v>-14</v>
      </c>
      <c r="DK158" s="3">
        <f t="shared" si="554"/>
        <v>214</v>
      </c>
      <c r="DL158" s="3">
        <f t="shared" si="555"/>
        <v>290.90909090909082</v>
      </c>
      <c r="DM158" s="3">
        <f t="shared" si="556"/>
        <v>200</v>
      </c>
      <c r="DN158" s="64" t="str">
        <f t="shared" si="557"/>
        <v>UNKNOWN</v>
      </c>
      <c r="DO158" s="64" t="str">
        <f t="shared" si="558"/>
        <v>UNKNOWN</v>
      </c>
      <c r="DP158" s="3">
        <f t="shared" si="559"/>
        <v>-15996.836363636374</v>
      </c>
      <c r="DQ158" s="3">
        <f t="shared" si="560"/>
        <v>-1616.6</v>
      </c>
      <c r="DR158" s="3" t="e">
        <f t="shared" ca="1" si="561"/>
        <v>#NUM!</v>
      </c>
      <c r="DS158" s="3">
        <f t="shared" si="562"/>
        <v>-14</v>
      </c>
      <c r="DT158" s="3">
        <f t="shared" si="585"/>
        <v>-14</v>
      </c>
      <c r="DU158" s="3">
        <f t="shared" si="586"/>
        <v>214</v>
      </c>
      <c r="DV158" s="3">
        <f t="shared" si="563"/>
        <v>-2</v>
      </c>
      <c r="DW158" s="3">
        <f t="shared" si="564"/>
        <v>-35</v>
      </c>
      <c r="DX158" s="3" t="e">
        <f t="shared" ca="1" si="565"/>
        <v>#NUM!</v>
      </c>
      <c r="DY158" s="3" t="e">
        <f t="shared" ca="1" si="566"/>
        <v>#NUM!</v>
      </c>
      <c r="DZ158" s="3" t="e">
        <f t="shared" ca="1" si="567"/>
        <v>#NUM!</v>
      </c>
      <c r="EA158" s="3" t="e">
        <f t="shared" ca="1" si="568"/>
        <v>#NUM!</v>
      </c>
      <c r="EB158" s="3" t="e">
        <f t="shared" ca="1" si="569"/>
        <v>#NUM!</v>
      </c>
      <c r="EC158" s="3" t="e">
        <f t="shared" ca="1" si="570"/>
        <v>#NUM!</v>
      </c>
      <c r="EE158" s="59">
        <f t="shared" si="571"/>
        <v>0.25</v>
      </c>
      <c r="EF158" s="59">
        <f t="shared" si="572"/>
        <v>0.31119999999999998</v>
      </c>
      <c r="EG158" s="59">
        <f t="shared" si="573"/>
        <v>0.25</v>
      </c>
      <c r="EH158" s="59">
        <f t="shared" si="574"/>
        <v>0.31119999999999998</v>
      </c>
      <c r="EI158" s="59">
        <f t="shared" si="575"/>
        <v>0.2712</v>
      </c>
      <c r="EJ158" s="59">
        <f t="shared" si="576"/>
        <v>0.28820000000000001</v>
      </c>
      <c r="EL158" s="3" t="str">
        <f>RTD("tos.rtd",,EL$43,"."&amp;$B$134&amp;$AS$82&amp;"C"&amp;$A158)</f>
        <v>--</v>
      </c>
      <c r="EM158" s="3" t="str">
        <f>RTD("tos.rtd",,EM$43,"."&amp;$B$134&amp;$AS$82&amp;"P"&amp;$A158)</f>
        <v>31.12%</v>
      </c>
      <c r="EN158" s="3" t="str">
        <f>RTD("tos.rtd",,EN$2,"."&amp;$C$134&amp;$AU$82&amp;"C"&amp;$A158)</f>
        <v>--</v>
      </c>
      <c r="EO158" s="3" t="str">
        <f>RTD("tos.rtd",,EO$2,"."&amp;$C$134&amp;$AU$82&amp;"P"&amp;$A158)</f>
        <v>31.12%</v>
      </c>
      <c r="EP158" s="3" t="str">
        <f>RTD("tos.rtd",,EP$2,"."&amp;$D$134&amp;$AW$82&amp;"C"&amp;$A158)</f>
        <v>27.12%</v>
      </c>
      <c r="EQ158" s="3" t="str">
        <f>RTD("tos.rtd",,EQ$2,"."&amp;$D$134&amp;$AW$82&amp;"P"&amp;$A158)</f>
        <v>28.82%</v>
      </c>
      <c r="ES158" s="63" t="str">
        <f t="shared" si="577"/>
        <v>19925,-37.00</v>
      </c>
      <c r="ET158" s="64" t="str">
        <f t="shared" ca="1" si="578"/>
        <v>19925,00.00</v>
      </c>
      <c r="EU158" s="68">
        <v>562.99</v>
      </c>
      <c r="EV158" s="68" t="s">
        <v>1283</v>
      </c>
      <c r="EW158" s="68">
        <v>485.61</v>
      </c>
      <c r="EX158" s="68" t="s">
        <v>1284</v>
      </c>
      <c r="EY158" s="68">
        <v>5643.5</v>
      </c>
      <c r="EZ158" s="68" t="s">
        <v>1285</v>
      </c>
      <c r="FA158" s="68">
        <v>19948.25</v>
      </c>
      <c r="FB158" s="68" t="s">
        <v>1286</v>
      </c>
      <c r="FC158" s="68" t="s">
        <v>1287</v>
      </c>
      <c r="FD158" s="68" t="s">
        <v>1288</v>
      </c>
      <c r="FE158" s="68" t="s">
        <v>1289</v>
      </c>
      <c r="FF158" s="68" t="s">
        <v>1290</v>
      </c>
    </row>
    <row r="159" spans="1:162" ht="11.1" customHeight="1" thickBot="1" x14ac:dyDescent="0.25">
      <c r="A159" s="2">
        <f t="shared" si="587"/>
        <v>19900</v>
      </c>
      <c r="B159" s="3">
        <f t="shared" si="620"/>
        <v>176</v>
      </c>
      <c r="C159" s="3">
        <f t="shared" si="621"/>
        <v>31</v>
      </c>
      <c r="D159" s="3">
        <f t="shared" si="622"/>
        <v>112</v>
      </c>
      <c r="E159" s="3">
        <f t="shared" si="605"/>
        <v>319</v>
      </c>
      <c r="F159" s="4">
        <f t="shared" si="615"/>
        <v>19999.269199112063</v>
      </c>
      <c r="G159" s="5">
        <f t="shared" si="607"/>
        <v>484.35427630758488</v>
      </c>
      <c r="AM159" s="1">
        <v>3</v>
      </c>
      <c r="AN159" s="1">
        <v>-108</v>
      </c>
      <c r="AO159" s="1">
        <v>19900</v>
      </c>
      <c r="AP159" s="1">
        <v>22</v>
      </c>
      <c r="AQ159" s="1">
        <v>-1021</v>
      </c>
      <c r="AS159" s="54">
        <f>IF(RTD("tos.rtd",,AS$83,"."&amp;$B$134&amp;$AS$82&amp;"C"&amp;$A159)="N/A",0,RTD("tos.rtd",,AS$83,"."&amp;$B$134&amp;$AS$82&amp;"C"&amp;$A159))</f>
        <v>73</v>
      </c>
      <c r="AT159" s="3">
        <f>-IF(RTD("tos.rtd",,AT$83,"."&amp;$B$134&amp;$AS$82&amp;"P"&amp;$A159)="N/A",0,RTD("tos.rtd",,AT$83,"."&amp;$B$134&amp;$AS$82&amp;"P"&amp;$A159))</f>
        <v>-103</v>
      </c>
      <c r="AU159" s="54">
        <f>IF(RTD("tos.rtd",,AU$2,"."&amp;$C$134&amp;$AU$134&amp;"C"&amp;$A159)="N/A",0,RTD("tos.rtd",,AU$2,"."&amp;$C$134&amp;$AU$134&amp;"C"&amp;$A159))</f>
        <v>16</v>
      </c>
      <c r="AV159" s="3">
        <f>-IF(RTD("tos.rtd",,AV$2,"."&amp;$C$134&amp;$AU$134&amp;"P"&amp;$A159)="N/A",0,RTD("tos.rtd",,AV$2,"."&amp;$C$134&amp;$AU$134&amp;"P"&amp;$A159))</f>
        <v>-15</v>
      </c>
      <c r="AW159" s="54">
        <f>IF(RTD("tos.rtd",,AW$2,"."&amp;$D$134&amp;$AW$134&amp;"C"&amp;$A159)="N/A",0,RTD("tos.rtd",,AW$2,"."&amp;$D$134&amp;$AW$134&amp;"C"&amp;$A159))</f>
        <v>54</v>
      </c>
      <c r="AX159" s="3">
        <f>-IF(RTD("tos.rtd",,AX$2,"."&amp;$D$134&amp;$AW$134&amp;"P"&amp;$A159)="N/A",0,RTD("tos.rtd",,AX$2,"."&amp;$D$134&amp;$AW$134&amp;"P"&amp;$A159))</f>
        <v>-58</v>
      </c>
      <c r="AY159" s="76">
        <f t="shared" si="616"/>
        <v>-33</v>
      </c>
      <c r="AZ159" s="8">
        <f t="shared" si="542"/>
        <v>19900</v>
      </c>
      <c r="BA159" s="54">
        <f>IF(RTD("tos.rtd",,BA$43,"."&amp;$B$134&amp;$AS$82&amp;"C"&amp;$A159)="N/A",0,RTD("tos.rtd",,BA$43,"."&amp;$B$134&amp;$AS$82&amp;"C"&amp;$A159))</f>
        <v>0</v>
      </c>
      <c r="BB159" s="3">
        <f>-IF(RTD("tos.rtd",,BB$43,"."&amp;$B$134&amp;$AS$82&amp;"P"&amp;$A159)="N/A",0,RTD("tos.rtd",,BB$43,"."&amp;$B$134&amp;$AS$82&amp;"P"&amp;$A159))</f>
        <v>0</v>
      </c>
      <c r="BC159" s="54">
        <f>IF(RTD("tos.rtd",,BC$2,"."&amp;$C$134&amp;$AU$82&amp;"C"&amp;$A159)="N/A",0,RTD("tos.rtd",,BC$2,"."&amp;$C$134&amp;$AU$82&amp;"C"&amp;$A159))</f>
        <v>4</v>
      </c>
      <c r="BD159" s="3">
        <f>-IF(RTD("tos.rtd",,BD$2,"."&amp;$C$134&amp;$AU$82&amp;"P"&amp;$A159)="N/A",0,RTD("tos.rtd",,BD$2,"."&amp;$C$134&amp;$AU$82&amp;"P"&amp;$A159))</f>
        <v>-713</v>
      </c>
      <c r="BE159" s="54">
        <f>IF(RTD("tos.rtd",,BE$2,"."&amp;$D$134&amp;$AW$82&amp;"C"&amp;$A159)="N/A",0,RTD("tos.rtd",,BE$2,"."&amp;$D$134&amp;$AW$82&amp;"C"&amp;$A159))</f>
        <v>4</v>
      </c>
      <c r="BF159" s="3">
        <f>-IF(RTD("tos.rtd",,BF$2,"."&amp;$D$134&amp;$AW$82&amp;"P"&amp;$A159)="N/A",0,RTD("tos.rtd",,BF$2,"."&amp;$D$134&amp;$AW$82&amp;"P"&amp;$A159))</f>
        <v>-12</v>
      </c>
      <c r="BG159" s="3">
        <f ca="1">+Hoja2!Y160</f>
        <v>-3</v>
      </c>
      <c r="BH159" s="7">
        <f t="shared" ca="1" si="543"/>
        <v>-720</v>
      </c>
      <c r="BI159" s="32" t="str">
        <f t="shared" ca="1" si="601"/>
        <v/>
      </c>
      <c r="BJ159" s="3" t="e">
        <f ca="1">IF($BP$1=1,DX159,IF(RTD("tos.rtd",,BJ$43,"."&amp;$B$134&amp;$AS$82&amp;"C"&amp;$A159)="N/A",0,RTD("tos.rtd",,BJ$43,"."&amp;$B$134&amp;$AS$82&amp;"C"&amp;$A159)))</f>
        <v>#NUM!</v>
      </c>
      <c r="BK159" s="3" t="e">
        <f ca="1">IF($BP$1=1,DY159,-IF(RTD("tos.rtd",,BK$43,"."&amp;$B$134&amp;$AS$82&amp;"P"&amp;$A159)="N/A",0,RTD("tos.rtd",,BK$43,"."&amp;$B$134&amp;$AS$82&amp;"P"&amp;$A159)))</f>
        <v>#NUM!</v>
      </c>
      <c r="BL159" s="3" t="e">
        <f ca="1">IF($BP$1=1,DZ159,IF(RTD("tos.rtd",,BL$2,"."&amp;$C$134&amp;$AU$82&amp;"C"&amp;$A159)="N/A",0,RTD("tos.rtd",,BL$2,"."&amp;$C$134&amp;$AU$82&amp;"C"&amp;$A159)))</f>
        <v>#NUM!</v>
      </c>
      <c r="BM159" s="3" t="e">
        <f ca="1">IF($BP$1=1,EA159,-IF(RTD("tos.rtd",,BM$2,"."&amp;$C$134&amp;$AU$82&amp;"P"&amp;$A159)="N/A",0,RTD("tos.rtd",,BM$2,"."&amp;$C$134&amp;$AU$82&amp;"P"&amp;$A159)))</f>
        <v>#NUM!</v>
      </c>
      <c r="BN159" s="3" t="e">
        <f ca="1">IF($BP$1=1,EB159,IF(RTD("tos.rtd",,BN$2,"."&amp;$D$134&amp;$AW$82&amp;"C"&amp;$A159)="N/A",0,RTD("tos.rtd",,BN$2,"."&amp;$D$134&amp;$AW$82&amp;"C"&amp;$A159)))</f>
        <v>#NUM!</v>
      </c>
      <c r="BO159" s="3" t="e">
        <f ca="1">IF($BP$1=1,EC159,-IF(RTD("tos.rtd",,BO$2,"."&amp;$D$134&amp;$AW$82&amp;"P"&amp;$A159)="N/A",0,RTD("tos.rtd",,BO$2,"."&amp;$D$134&amp;$AW$82&amp;"P"&amp;$A159)))</f>
        <v>#NUM!</v>
      </c>
      <c r="BQ159" s="3" t="e">
        <f t="shared" ca="1" si="617"/>
        <v>#NUM!</v>
      </c>
      <c r="BR159" s="3" t="e">
        <f t="shared" ca="1" si="544"/>
        <v>#NUM!</v>
      </c>
      <c r="BS159" s="3" t="e">
        <f t="shared" ca="1" si="618"/>
        <v>#NUM!</v>
      </c>
      <c r="BT159" s="3" t="e">
        <f t="shared" ca="1" si="545"/>
        <v>#NUM!</v>
      </c>
      <c r="BU159" s="3" t="e">
        <f t="shared" ca="1" si="619"/>
        <v>#NUM!</v>
      </c>
      <c r="BV159" s="3" t="e">
        <f t="shared" ca="1" si="545"/>
        <v>#NUM!</v>
      </c>
      <c r="BX159" s="3" t="e">
        <f t="shared" ca="1" si="579"/>
        <v>#NUM!</v>
      </c>
      <c r="BY159" s="3" t="e">
        <f t="shared" ca="1" si="580"/>
        <v>#NUM!</v>
      </c>
      <c r="BZ159" s="3" t="e">
        <f t="shared" ca="1" si="581"/>
        <v>#NUM!</v>
      </c>
      <c r="CA159" s="3" t="e">
        <f t="shared" ca="1" si="580"/>
        <v>#NUM!</v>
      </c>
      <c r="CB159" s="3" t="e">
        <f t="shared" ca="1" si="582"/>
        <v>#NUM!</v>
      </c>
      <c r="CC159" s="3" t="e">
        <f t="shared" ca="1" si="580"/>
        <v>#NUM!</v>
      </c>
      <c r="CD159" s="3">
        <f>IF(RTD("tos.rtd",,CD$43,"."&amp;$B$134&amp;$AS$82&amp;"C"&amp;$A159)="N/A",0,RTD("tos.rtd",,CD$43,"."&amp;$B$134&amp;$AS$82&amp;"C"&amp;$A159))</f>
        <v>1</v>
      </c>
      <c r="CE159" s="3">
        <f>-IF(RTD("tos.rtd",,CE$43,"."&amp;$B$134&amp;$AS$82&amp;"P"&amp;$A159)="N/A",0,RTD("tos.rtd",,CE$43,"."&amp;$B$134&amp;$AS$82&amp;"P"&amp;$A159))</f>
        <v>0</v>
      </c>
      <c r="CF159" s="3">
        <f>IF(RTD("tos.rtd",,CF$2,"."&amp;$C$134&amp;$AU$82&amp;"C"&amp;$A159)="N/A",0,RTD("tos.rtd",,CF$2,"."&amp;$C$134&amp;$AU$82&amp;"C"&amp;$A159))</f>
        <v>1</v>
      </c>
      <c r="CG159" s="3">
        <f>-IF(RTD("tos.rtd",,CG$2,"."&amp;$C$134&amp;$AU$82&amp;"P"&amp;$A159)="N/A",0,RTD("tos.rtd",,CG$2,"."&amp;$C$134&amp;$AU$82&amp;"P"&amp;$A159))</f>
        <v>0</v>
      </c>
      <c r="CH159" s="3">
        <f>IF(RTD("tos.rtd",,CH$2,"."&amp;$D$134&amp;$AW$82&amp;"C"&amp;$A159)="N/A",0,RTD("tos.rtd",,CH$2,"."&amp;$D$134&amp;$AW$82&amp;"C"&amp;$A159))</f>
        <v>0.62</v>
      </c>
      <c r="CI159" s="3">
        <f>-IF(RTD("tos.rtd",,CI$2,"."&amp;$D$134&amp;$AW$82&amp;"P"&amp;$A159)="N/A",0,RTD("tos.rtd",,CI$2,"."&amp;$D$134&amp;$AW$82&amp;"P"&amp;$A159))</f>
        <v>0.39</v>
      </c>
      <c r="CK159" s="3">
        <f t="shared" si="612"/>
        <v>7300</v>
      </c>
      <c r="CL159" s="3"/>
      <c r="CM159" s="3">
        <f t="shared" si="613"/>
        <v>1600</v>
      </c>
      <c r="CN159" s="3"/>
      <c r="CO159" s="3">
        <f t="shared" si="614"/>
        <v>1085.9999999999995</v>
      </c>
      <c r="CP159" s="3">
        <f t="shared" si="536"/>
        <v>9986</v>
      </c>
      <c r="CQ159" s="3">
        <f t="shared" si="546"/>
        <v>0</v>
      </c>
      <c r="CR159" s="3"/>
      <c r="CS159" s="3">
        <f t="shared" si="547"/>
        <v>-709</v>
      </c>
      <c r="CT159" s="3"/>
      <c r="CU159" s="3">
        <f t="shared" si="548"/>
        <v>-8</v>
      </c>
      <c r="CV159" s="3"/>
      <c r="CW159" s="3" t="e">
        <f t="shared" ca="1" si="549"/>
        <v>#NUM!</v>
      </c>
      <c r="CY159" s="3" t="e">
        <f t="shared" ca="1" si="550"/>
        <v>#NUM!</v>
      </c>
      <c r="CZ159" s="70" t="e">
        <f t="shared" ca="1" si="583"/>
        <v>#NUM!</v>
      </c>
      <c r="DA159" s="3">
        <f>IF(RTD("tos.rtd",,DA$43,"."&amp;$B$134&amp;$AS$82&amp;"C"&amp;$A159)="N/A",0,RTD("tos.rtd",,DA$43,"."&amp;$B$134&amp;$AS$82&amp;"C"&amp;$A159))</f>
        <v>86.26</v>
      </c>
      <c r="DB159" s="3">
        <f>IF(RTD("tos.rtd",,DB$43,"."&amp;$B$134&amp;$AS$82&amp;"P"&amp;$A159)="N/A",0,RTD("tos.rtd",,DB$43,"."&amp;$B$134&amp;$AS$82&amp;"P"&amp;$A159))</f>
        <v>0.22</v>
      </c>
      <c r="DC159" s="3">
        <f>IF(RTD("tos.rtd",,DC$43,"."&amp;$B$134&amp;$AS$82&amp;"C"&amp;$A159)="N/A",0,RTD("tos.rtd",,DC$43,"."&amp;$B$134&amp;$AS$82&amp;"C"&amp;$A159))</f>
        <v>87.1</v>
      </c>
      <c r="DD159" s="3">
        <f>IF(RTD("tos.rtd",,DD$43,"."&amp;$B$134&amp;$AS$82&amp;"P"&amp;$A159)="N/A",0,RTD("tos.rtd",,DD$43,"."&amp;$B$134&amp;$AS$82&amp;"P"&amp;$A159))</f>
        <v>0.05</v>
      </c>
      <c r="DE159" s="3">
        <f>IF(RTD("tos.rtd",,DE$43,"."&amp;$B$134&amp;$AS$82&amp;"C"&amp;$A159)="N/A",0,RTD("tos.rtd",,DE$43,"."&amp;$B$134&amp;$AS$82&amp;"C"&amp;$A159))</f>
        <v>67.099999999999994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584"/>
        <v>-146.5</v>
      </c>
      <c r="DH159" s="3">
        <f t="shared" si="551"/>
        <v>-21.076000000000011</v>
      </c>
      <c r="DI159" s="3">
        <f t="shared" si="552"/>
        <v>4492.3999999999996</v>
      </c>
      <c r="DJ159" s="3">
        <f t="shared" si="553"/>
        <v>-22</v>
      </c>
      <c r="DK159" s="3">
        <f t="shared" si="554"/>
        <v>1021</v>
      </c>
      <c r="DL159" s="3">
        <f t="shared" si="555"/>
        <v>4471.3239999999996</v>
      </c>
      <c r="DM159" s="3">
        <f t="shared" si="556"/>
        <v>999</v>
      </c>
      <c r="DN159" s="64" t="str">
        <f t="shared" si="557"/>
        <v>UNKNOWN</v>
      </c>
      <c r="DO159" s="64" t="str">
        <f t="shared" si="558"/>
        <v>UNKNOWN</v>
      </c>
      <c r="DP159" s="3">
        <f t="shared" si="559"/>
        <v>-829.68776000000116</v>
      </c>
      <c r="DQ159" s="3">
        <f t="shared" si="560"/>
        <v>-1673.1</v>
      </c>
      <c r="DR159" s="3" t="e">
        <f t="shared" ca="1" si="561"/>
        <v>#NUM!</v>
      </c>
      <c r="DS159" s="3">
        <f t="shared" si="562"/>
        <v>-22</v>
      </c>
      <c r="DT159" s="3">
        <f t="shared" si="585"/>
        <v>-22</v>
      </c>
      <c r="DU159" s="3">
        <f t="shared" si="586"/>
        <v>1021</v>
      </c>
      <c r="DV159" s="3">
        <f t="shared" si="563"/>
        <v>3</v>
      </c>
      <c r="DW159" s="3">
        <f t="shared" si="564"/>
        <v>-108</v>
      </c>
      <c r="DX159" s="3" t="e">
        <f t="shared" ca="1" si="565"/>
        <v>#NUM!</v>
      </c>
      <c r="DY159" s="3" t="e">
        <f t="shared" ca="1" si="566"/>
        <v>#NUM!</v>
      </c>
      <c r="DZ159" s="3" t="e">
        <f t="shared" ca="1" si="567"/>
        <v>#NUM!</v>
      </c>
      <c r="EA159" s="3" t="e">
        <f t="shared" ca="1" si="568"/>
        <v>#NUM!</v>
      </c>
      <c r="EB159" s="3" t="e">
        <f t="shared" ca="1" si="569"/>
        <v>#NUM!</v>
      </c>
      <c r="EC159" s="3" t="e">
        <f t="shared" ca="1" si="570"/>
        <v>#NUM!</v>
      </c>
      <c r="EE159" s="59">
        <f t="shared" si="571"/>
        <v>0.25</v>
      </c>
      <c r="EF159" s="59">
        <f t="shared" si="572"/>
        <v>0.36299999999999999</v>
      </c>
      <c r="EG159" s="59">
        <f t="shared" si="573"/>
        <v>0.25</v>
      </c>
      <c r="EH159" s="59">
        <f t="shared" si="574"/>
        <v>0.36299999999999999</v>
      </c>
      <c r="EI159" s="59">
        <f t="shared" si="575"/>
        <v>0.27150000000000002</v>
      </c>
      <c r="EJ159" s="59">
        <f t="shared" si="576"/>
        <v>0.28889999999999999</v>
      </c>
      <c r="EL159" s="3" t="str">
        <f>RTD("tos.rtd",,EL$43,"."&amp;$B$134&amp;$AS$82&amp;"C"&amp;$A159)</f>
        <v>--</v>
      </c>
      <c r="EM159" s="3" t="str">
        <f>RTD("tos.rtd",,EM$43,"."&amp;$B$134&amp;$AS$82&amp;"P"&amp;$A159)</f>
        <v>36.30%</v>
      </c>
      <c r="EN159" s="3" t="str">
        <f>RTD("tos.rtd",,EN$2,"."&amp;$C$134&amp;$AU$82&amp;"C"&amp;$A159)</f>
        <v>--</v>
      </c>
      <c r="EO159" s="3" t="str">
        <f>RTD("tos.rtd",,EO$2,"."&amp;$C$134&amp;$AU$82&amp;"P"&amp;$A159)</f>
        <v>36.30%</v>
      </c>
      <c r="EP159" s="3" t="str">
        <f>RTD("tos.rtd",,EP$2,"."&amp;$D$134&amp;$AW$82&amp;"C"&amp;$A159)</f>
        <v>27.15%</v>
      </c>
      <c r="EQ159" s="3" t="str">
        <f>RTD("tos.rtd",,EQ$2,"."&amp;$D$134&amp;$AW$82&amp;"P"&amp;$A159)</f>
        <v>28.89%</v>
      </c>
      <c r="ES159" s="63" t="str">
        <f t="shared" si="577"/>
        <v>19900,-105.00</v>
      </c>
      <c r="ET159" s="64" t="str">
        <f t="shared" ca="1" si="578"/>
        <v>19900,00.00</v>
      </c>
      <c r="EU159" s="68">
        <v>562.99</v>
      </c>
      <c r="EV159" s="68" t="s">
        <v>1291</v>
      </c>
      <c r="EW159" s="68">
        <v>485.58</v>
      </c>
      <c r="EX159" s="68" t="s">
        <v>1292</v>
      </c>
      <c r="EY159" s="68">
        <v>5643.75</v>
      </c>
      <c r="EZ159" s="68" t="s">
        <v>1293</v>
      </c>
      <c r="FA159" s="68">
        <v>19949</v>
      </c>
      <c r="FB159" s="68" t="s">
        <v>1294</v>
      </c>
      <c r="FC159" s="68" t="s">
        <v>1295</v>
      </c>
      <c r="FD159" s="68" t="s">
        <v>1296</v>
      </c>
      <c r="FE159" s="68" t="s">
        <v>1297</v>
      </c>
      <c r="FF159" s="68" t="s">
        <v>1298</v>
      </c>
    </row>
    <row r="160" spans="1:162" ht="11.1" customHeight="1" thickBot="1" x14ac:dyDescent="0.25">
      <c r="A160" s="2">
        <f t="shared" si="587"/>
        <v>19875</v>
      </c>
      <c r="B160" s="3">
        <f t="shared" si="620"/>
        <v>5</v>
      </c>
      <c r="C160" s="3">
        <f t="shared" si="621"/>
        <v>12</v>
      </c>
      <c r="D160" s="3">
        <f t="shared" si="622"/>
        <v>22</v>
      </c>
      <c r="E160" s="3">
        <f t="shared" si="605"/>
        <v>39</v>
      </c>
      <c r="F160" s="4">
        <f t="shared" si="615"/>
        <v>19974.144489062928</v>
      </c>
      <c r="G160" s="5">
        <f t="shared" si="607"/>
        <v>483.74579103584165</v>
      </c>
      <c r="AM160" s="1">
        <v>-1</v>
      </c>
      <c r="AN160" s="1">
        <v>-47</v>
      </c>
      <c r="AO160" s="1">
        <v>19875</v>
      </c>
      <c r="AP160" s="1">
        <v>1</v>
      </c>
      <c r="AQ160" s="1">
        <v>-112</v>
      </c>
      <c r="AS160" s="54">
        <f>IF(RTD("tos.rtd",,AS$83,"."&amp;$B$134&amp;$AS$82&amp;"C"&amp;$A160)="N/A",0,RTD("tos.rtd",,AS$83,"."&amp;$B$134&amp;$AS$82&amp;"C"&amp;$A160))</f>
        <v>3</v>
      </c>
      <c r="AT160" s="3">
        <f>-IF(RTD("tos.rtd",,AT$83,"."&amp;$B$134&amp;$AS$82&amp;"P"&amp;$A160)="N/A",0,RTD("tos.rtd",,AT$83,"."&amp;$B$134&amp;$AS$82&amp;"P"&amp;$A160))</f>
        <v>-2</v>
      </c>
      <c r="AU160" s="54">
        <f>IF(RTD("tos.rtd",,AU$2,"."&amp;$C$134&amp;$AU$134&amp;"C"&amp;$A160)="N/A",0,RTD("tos.rtd",,AU$2,"."&amp;$C$134&amp;$AU$134&amp;"C"&amp;$A160))</f>
        <v>6</v>
      </c>
      <c r="AV160" s="3">
        <f>-IF(RTD("tos.rtd",,AV$2,"."&amp;$C$134&amp;$AU$134&amp;"P"&amp;$A160)="N/A",0,RTD("tos.rtd",,AV$2,"."&amp;$C$134&amp;$AU$134&amp;"P"&amp;$A160))</f>
        <v>-6</v>
      </c>
      <c r="AW160" s="54">
        <f>IF(RTD("tos.rtd",,AW$2,"."&amp;$D$134&amp;$AW$134&amp;"C"&amp;$A160)="N/A",0,RTD("tos.rtd",,AW$2,"."&amp;$D$134&amp;$AW$134&amp;"C"&amp;$A160))</f>
        <v>14</v>
      </c>
      <c r="AX160" s="3">
        <f>-IF(RTD("tos.rtd",,AX$2,"."&amp;$D$134&amp;$AW$134&amp;"P"&amp;$A160)="N/A",0,RTD("tos.rtd",,AX$2,"."&amp;$D$134&amp;$AW$134&amp;"P"&amp;$A160))</f>
        <v>-8</v>
      </c>
      <c r="AY160" s="76">
        <f t="shared" si="616"/>
        <v>7</v>
      </c>
      <c r="AZ160" s="8">
        <f t="shared" si="542"/>
        <v>19875</v>
      </c>
      <c r="BA160" s="54">
        <f>IF(RTD("tos.rtd",,BA$43,"."&amp;$B$134&amp;$AS$82&amp;"C"&amp;$A160)="N/A",0,RTD("tos.rtd",,BA$43,"."&amp;$B$134&amp;$AS$82&amp;"C"&amp;$A160))</f>
        <v>0</v>
      </c>
      <c r="BB160" s="3">
        <f>-IF(RTD("tos.rtd",,BB$43,"."&amp;$B$134&amp;$AS$82&amp;"P"&amp;$A160)="N/A",0,RTD("tos.rtd",,BB$43,"."&amp;$B$134&amp;$AS$82&amp;"P"&amp;$A160))</f>
        <v>0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-140</v>
      </c>
      <c r="BE160" s="54">
        <f>IF(RTD("tos.rtd",,BE$2,"."&amp;$D$134&amp;$AW$82&amp;"C"&amp;$A160)="N/A",0,RTD("tos.rtd",,BE$2,"."&amp;$D$134&amp;$AW$82&amp;"C"&amp;$A160))</f>
        <v>0</v>
      </c>
      <c r="BF160" s="3">
        <f>-IF(RTD("tos.rtd",,BF$2,"."&amp;$D$134&amp;$AW$82&amp;"P"&amp;$A160)="N/A",0,RTD("tos.rtd",,BF$2,"."&amp;$D$134&amp;$AW$82&amp;"P"&amp;$A160))</f>
        <v>-8</v>
      </c>
      <c r="BG160" s="3">
        <f ca="1">+Hoja2!Y161</f>
        <v>1</v>
      </c>
      <c r="BH160" s="7">
        <f t="shared" ca="1" si="543"/>
        <v>-147</v>
      </c>
      <c r="BI160" s="32" t="str">
        <f t="shared" ca="1" si="601"/>
        <v/>
      </c>
      <c r="BJ160" s="3" t="e">
        <f ca="1">IF($BP$1=1,DX160,IF(RTD("tos.rtd",,BJ$43,"."&amp;$B$134&amp;$AS$82&amp;"C"&amp;$A160)="N/A",0,RTD("tos.rtd",,BJ$43,"."&amp;$B$134&amp;$AS$82&amp;"C"&amp;$A160)))</f>
        <v>#NUM!</v>
      </c>
      <c r="BK160" s="3" t="e">
        <f ca="1">IF($BP$1=1,DY160,-IF(RTD("tos.rtd",,BK$43,"."&amp;$B$134&amp;$AS$82&amp;"P"&amp;$A160)="N/A",0,RTD("tos.rtd",,BK$43,"."&amp;$B$134&amp;$AS$82&amp;"P"&amp;$A160)))</f>
        <v>#NUM!</v>
      </c>
      <c r="BL160" s="3" t="e">
        <f ca="1">IF($BP$1=1,DZ160,IF(RTD("tos.rtd",,BL$2,"."&amp;$C$134&amp;$AU$82&amp;"C"&amp;$A160)="N/A",0,RTD("tos.rtd",,BL$2,"."&amp;$C$134&amp;$AU$82&amp;"C"&amp;$A160)))</f>
        <v>#NUM!</v>
      </c>
      <c r="BM160" s="3" t="e">
        <f ca="1">IF($BP$1=1,EA160,-IF(RTD("tos.rtd",,BM$2,"."&amp;$C$134&amp;$AU$82&amp;"P"&amp;$A160)="N/A",0,RTD("tos.rtd",,BM$2,"."&amp;$C$134&amp;$AU$82&amp;"P"&amp;$A160)))</f>
        <v>#NUM!</v>
      </c>
      <c r="BN160" s="3" t="e">
        <f ca="1">IF($BP$1=1,EB160,IF(RTD("tos.rtd",,BN$2,"."&amp;$D$134&amp;$AW$82&amp;"C"&amp;$A160)="N/A",0,RTD("tos.rtd",,BN$2,"."&amp;$D$134&amp;$AW$82&amp;"C"&amp;$A160)))</f>
        <v>#NUM!</v>
      </c>
      <c r="BO160" s="3" t="e">
        <f ca="1">IF($BP$1=1,EC160,-IF(RTD("tos.rtd",,BO$2,"."&amp;$D$134&amp;$AW$82&amp;"P"&amp;$A160)="N/A",0,RTD("tos.rtd",,BO$2,"."&amp;$D$134&amp;$AW$82&amp;"P"&amp;$A160)))</f>
        <v>#NUM!</v>
      </c>
      <c r="BQ160" s="3" t="e">
        <f t="shared" ca="1" si="617"/>
        <v>#NUM!</v>
      </c>
      <c r="BR160" s="3" t="e">
        <f t="shared" ca="1" si="544"/>
        <v>#NUM!</v>
      </c>
      <c r="BS160" s="3" t="e">
        <f t="shared" ca="1" si="618"/>
        <v>#NUM!</v>
      </c>
      <c r="BT160" s="3" t="e">
        <f t="shared" ca="1" si="545"/>
        <v>#NUM!</v>
      </c>
      <c r="BU160" s="3" t="e">
        <f t="shared" ca="1" si="619"/>
        <v>#NUM!</v>
      </c>
      <c r="BV160" s="3" t="e">
        <f t="shared" ca="1" si="545"/>
        <v>#NUM!</v>
      </c>
      <c r="BX160" s="3" t="e">
        <f t="shared" ca="1" si="579"/>
        <v>#NUM!</v>
      </c>
      <c r="BY160" s="3" t="e">
        <f t="shared" ca="1" si="580"/>
        <v>#NUM!</v>
      </c>
      <c r="BZ160" s="3" t="e">
        <f t="shared" ca="1" si="581"/>
        <v>#NUM!</v>
      </c>
      <c r="CA160" s="3" t="e">
        <f t="shared" ca="1" si="580"/>
        <v>#NUM!</v>
      </c>
      <c r="CB160" s="3" t="e">
        <f t="shared" ca="1" si="582"/>
        <v>#NUM!</v>
      </c>
      <c r="CC160" s="3" t="e">
        <f t="shared" ca="1" si="580"/>
        <v>#NUM!</v>
      </c>
      <c r="CD160" s="3">
        <f>IF(RTD("tos.rtd",,CD$43,"."&amp;$B$134&amp;$AS$82&amp;"C"&amp;$A160)="N/A",0,RTD("tos.rtd",,CD$43,"."&amp;$B$134&amp;$AS$82&amp;"C"&amp;$A160))</f>
        <v>1</v>
      </c>
      <c r="CE160" s="3">
        <f>-IF(RTD("tos.rtd",,CE$43,"."&amp;$B$134&amp;$AS$82&amp;"P"&amp;$A160)="N/A",0,RTD("tos.rtd",,CE$43,"."&amp;$B$134&amp;$AS$82&amp;"P"&amp;$A160))</f>
        <v>0.02</v>
      </c>
      <c r="CF160" s="3">
        <f>IF(RTD("tos.rtd",,CF$2,"."&amp;$C$134&amp;$AU$82&amp;"C"&amp;$A160)="N/A",0,RTD("tos.rtd",,CF$2,"."&amp;$C$134&amp;$AU$82&amp;"C"&amp;$A160))</f>
        <v>1</v>
      </c>
      <c r="CG160" s="3">
        <f>-IF(RTD("tos.rtd",,CG$2,"."&amp;$C$134&amp;$AU$82&amp;"P"&amp;$A160)="N/A",0,RTD("tos.rtd",,CG$2,"."&amp;$C$134&amp;$AU$82&amp;"P"&amp;$A160))</f>
        <v>0.12</v>
      </c>
      <c r="CH160" s="3">
        <f>IF(RTD("tos.rtd",,CH$2,"."&amp;$D$134&amp;$AW$82&amp;"C"&amp;$A160)="N/A",0,RTD("tos.rtd",,CH$2,"."&amp;$D$134&amp;$AW$82&amp;"C"&amp;$A160))</f>
        <v>0.63</v>
      </c>
      <c r="CI160" s="3">
        <f>-IF(RTD("tos.rtd",,CI$2,"."&amp;$D$134&amp;$AW$82&amp;"P"&amp;$A160)="N/A",0,RTD("tos.rtd",,CI$2,"."&amp;$D$134&amp;$AW$82&amp;"P"&amp;$A160))</f>
        <v>0.38</v>
      </c>
      <c r="CK160" s="3">
        <f t="shared" si="612"/>
        <v>296</v>
      </c>
      <c r="CL160" s="3"/>
      <c r="CM160" s="3">
        <f t="shared" si="613"/>
        <v>528</v>
      </c>
      <c r="CN160" s="3"/>
      <c r="CO160" s="3">
        <f t="shared" si="614"/>
        <v>578</v>
      </c>
      <c r="CP160" s="3">
        <f t="shared" si="536"/>
        <v>1402</v>
      </c>
      <c r="CQ160" s="3">
        <f t="shared" si="546"/>
        <v>0</v>
      </c>
      <c r="CR160" s="3"/>
      <c r="CS160" s="3">
        <f t="shared" si="547"/>
        <v>-140</v>
      </c>
      <c r="CT160" s="3"/>
      <c r="CU160" s="3">
        <f t="shared" si="548"/>
        <v>-8</v>
      </c>
      <c r="CV160" s="3"/>
      <c r="CW160" s="3" t="e">
        <f t="shared" ca="1" si="549"/>
        <v>#NUM!</v>
      </c>
      <c r="CY160" s="3" t="e">
        <f t="shared" ca="1" si="550"/>
        <v>#NUM!</v>
      </c>
      <c r="CZ160" s="70" t="e">
        <f t="shared" ca="1" si="583"/>
        <v>#NUM!</v>
      </c>
      <c r="DA160" s="3">
        <f>IF(RTD("tos.rtd",,DA$43,"."&amp;$B$134&amp;$AS$82&amp;"C"&amp;$A160)="N/A",0,RTD("tos.rtd",,DA$43,"."&amp;$B$134&amp;$AS$82&amp;"C"&amp;$A160))</f>
        <v>162.68</v>
      </c>
      <c r="DB160" s="3">
        <f>IF(RTD("tos.rtd",,DB$43,"."&amp;$B$134&amp;$AS$82&amp;"P"&amp;$A160)="N/A",0,RTD("tos.rtd",,DB$43,"."&amp;$B$134&amp;$AS$82&amp;"P"&amp;$A160))</f>
        <v>0.27</v>
      </c>
      <c r="DC160" s="3">
        <f>IF(RTD("tos.rtd",,DC$43,"."&amp;$B$134&amp;$AS$82&amp;"C"&amp;$A160)="N/A",0,RTD("tos.rtd",,DC$43,"."&amp;$B$134&amp;$AS$82&amp;"C"&amp;$A160))</f>
        <v>108.2</v>
      </c>
      <c r="DD160" s="3">
        <f>IF(RTD("tos.rtd",,DD$43,"."&amp;$B$134&amp;$AS$82&amp;"P"&amp;$A160)="N/A",0,RTD("tos.rtd",,DD$43,"."&amp;$B$134&amp;$AS$82&amp;"P"&amp;$A160))</f>
        <v>1.5</v>
      </c>
      <c r="DE160" s="3">
        <f>IF(RTD("tos.rtd",,DE$43,"."&amp;$B$134&amp;$AS$82&amp;"C"&amp;$A160)="N/A",0,RTD("tos.rtd",,DE$43,"."&amp;$B$134&amp;$AS$82&amp;"C"&amp;$A160))</f>
        <v>88.2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584"/>
        <v>-171.5</v>
      </c>
      <c r="DH160" s="3">
        <f t="shared" si="551"/>
        <v>-3.7240000000000002</v>
      </c>
      <c r="DI160" s="3">
        <f t="shared" si="552"/>
        <v>20.160000000000004</v>
      </c>
      <c r="DJ160" s="3">
        <f t="shared" si="553"/>
        <v>-1</v>
      </c>
      <c r="DK160" s="3">
        <f t="shared" si="554"/>
        <v>-112</v>
      </c>
      <c r="DL160" s="3">
        <f t="shared" si="555"/>
        <v>16.436000000000003</v>
      </c>
      <c r="DM160" s="3">
        <f t="shared" si="556"/>
        <v>-113</v>
      </c>
      <c r="DN160" s="64" t="str">
        <f t="shared" si="557"/>
        <v>UNKNOWN</v>
      </c>
      <c r="DO160" s="64" t="str">
        <f t="shared" si="558"/>
        <v>UNKNOWN</v>
      </c>
      <c r="DP160" s="3">
        <f t="shared" si="559"/>
        <v>-600.37711999999999</v>
      </c>
      <c r="DQ160" s="3">
        <f t="shared" si="560"/>
        <v>-192.92000000000002</v>
      </c>
      <c r="DR160" s="3" t="e">
        <f t="shared" ca="1" si="561"/>
        <v>#NUM!</v>
      </c>
      <c r="DS160" s="3">
        <f t="shared" si="562"/>
        <v>-3.24</v>
      </c>
      <c r="DT160" s="3">
        <f t="shared" si="585"/>
        <v>-1</v>
      </c>
      <c r="DU160" s="3">
        <f t="shared" si="586"/>
        <v>112</v>
      </c>
      <c r="DV160" s="3">
        <f t="shared" si="563"/>
        <v>-1</v>
      </c>
      <c r="DW160" s="3">
        <f t="shared" si="564"/>
        <v>-47</v>
      </c>
      <c r="DX160" s="3" t="e">
        <f t="shared" ca="1" si="565"/>
        <v>#NUM!</v>
      </c>
      <c r="DY160" s="3" t="e">
        <f t="shared" ca="1" si="566"/>
        <v>#NUM!</v>
      </c>
      <c r="DZ160" s="3" t="e">
        <f t="shared" ca="1" si="567"/>
        <v>#NUM!</v>
      </c>
      <c r="EA160" s="3" t="e">
        <f t="shared" ca="1" si="568"/>
        <v>#NUM!</v>
      </c>
      <c r="EB160" s="3" t="e">
        <f t="shared" ca="1" si="569"/>
        <v>#NUM!</v>
      </c>
      <c r="EC160" s="3" t="e">
        <f t="shared" ca="1" si="570"/>
        <v>#NUM!</v>
      </c>
      <c r="EE160" s="59">
        <f t="shared" si="571"/>
        <v>0.25</v>
      </c>
      <c r="EF160" s="59">
        <f t="shared" si="572"/>
        <v>0.61309999999999998</v>
      </c>
      <c r="EG160" s="59">
        <f t="shared" si="573"/>
        <v>0.25</v>
      </c>
      <c r="EH160" s="59">
        <f t="shared" si="574"/>
        <v>1.0698000000000001</v>
      </c>
      <c r="EI160" s="59">
        <f t="shared" si="575"/>
        <v>0.27350000000000002</v>
      </c>
      <c r="EJ160" s="59">
        <f t="shared" si="576"/>
        <v>0.28989999999999999</v>
      </c>
      <c r="EL160" s="3" t="str">
        <f>RTD("tos.rtd",,EL$43,"."&amp;$B$134&amp;$AS$82&amp;"C"&amp;$A160)</f>
        <v>--</v>
      </c>
      <c r="EM160" s="3" t="str">
        <f>RTD("tos.rtd",,EM$43,"."&amp;$B$134&amp;$AS$82&amp;"P"&amp;$A160)</f>
        <v>61.31%</v>
      </c>
      <c r="EN160" s="3" t="str">
        <f>RTD("tos.rtd",,EN$2,"."&amp;$C$134&amp;$AU$82&amp;"C"&amp;$A160)</f>
        <v>--</v>
      </c>
      <c r="EO160" s="3" t="str">
        <f>RTD("tos.rtd",,EO$2,"."&amp;$C$134&amp;$AU$82&amp;"P"&amp;$A160)</f>
        <v>106.98%</v>
      </c>
      <c r="EP160" s="3" t="str">
        <f>RTD("tos.rtd",,EP$2,"."&amp;$D$134&amp;$AW$82&amp;"C"&amp;$A160)</f>
        <v>27.35%</v>
      </c>
      <c r="EQ160" s="3" t="str">
        <f>RTD("tos.rtd",,EQ$2,"."&amp;$D$134&amp;$AW$82&amp;"P"&amp;$A160)</f>
        <v>28.99%</v>
      </c>
      <c r="ES160" s="63" t="str">
        <f t="shared" si="577"/>
        <v>19875,-48.00</v>
      </c>
      <c r="ET160" s="64" t="str">
        <f t="shared" ca="1" si="578"/>
        <v>19875,00.00</v>
      </c>
      <c r="EU160" s="68">
        <v>562.94000000000005</v>
      </c>
      <c r="EV160" s="68" t="s">
        <v>1299</v>
      </c>
      <c r="EW160" s="68">
        <v>485.53</v>
      </c>
      <c r="EX160" s="68" t="s">
        <v>1300</v>
      </c>
      <c r="EY160" s="68">
        <v>5643.25</v>
      </c>
      <c r="EZ160" s="68" t="s">
        <v>1301</v>
      </c>
      <c r="FA160" s="68">
        <v>19945.5</v>
      </c>
      <c r="FB160" s="68" t="s">
        <v>1302</v>
      </c>
      <c r="FC160" s="68" t="s">
        <v>1303</v>
      </c>
      <c r="FD160" s="68" t="s">
        <v>1304</v>
      </c>
      <c r="FE160" s="68" t="s">
        <v>1305</v>
      </c>
      <c r="FF160" s="68" t="s">
        <v>1306</v>
      </c>
    </row>
    <row r="161" spans="1:162" ht="11.1" customHeight="1" thickBot="1" x14ac:dyDescent="0.25">
      <c r="A161" s="2">
        <f t="shared" si="587"/>
        <v>19850</v>
      </c>
      <c r="B161" s="3">
        <f t="shared" si="620"/>
        <v>14</v>
      </c>
      <c r="C161" s="3">
        <f t="shared" si="621"/>
        <v>24</v>
      </c>
      <c r="D161" s="3">
        <f t="shared" si="622"/>
        <v>31</v>
      </c>
      <c r="E161" s="3">
        <f t="shared" si="605"/>
        <v>69</v>
      </c>
      <c r="F161" s="4">
        <f t="shared" si="615"/>
        <v>19949.01977901379</v>
      </c>
      <c r="G161" s="5">
        <f t="shared" si="607"/>
        <v>483.13730576409847</v>
      </c>
      <c r="AM161" s="1">
        <v>-6</v>
      </c>
      <c r="AN161" s="1">
        <v>-48</v>
      </c>
      <c r="AO161" s="1">
        <v>19850</v>
      </c>
      <c r="AP161" s="1">
        <v>9</v>
      </c>
      <c r="AQ161" s="1">
        <v>-265</v>
      </c>
      <c r="AS161" s="54">
        <f>IF(RTD("tos.rtd",,AS$83,"."&amp;$B$134&amp;$AS$82&amp;"C"&amp;$A161)="N/A",0,RTD("tos.rtd",,AS$83,"."&amp;$B$134&amp;$AS$82&amp;"C"&amp;$A161))</f>
        <v>0</v>
      </c>
      <c r="AT161" s="3">
        <f>-IF(RTD("tos.rtd",,AT$83,"."&amp;$B$134&amp;$AS$82&amp;"P"&amp;$A161)="N/A",0,RTD("tos.rtd",,AT$83,"."&amp;$B$134&amp;$AS$82&amp;"P"&amp;$A161))</f>
        <v>-14</v>
      </c>
      <c r="AU161" s="54">
        <f>IF(RTD("tos.rtd",,AU$2,"."&amp;$C$134&amp;$AU$134&amp;"C"&amp;$A161)="N/A",0,RTD("tos.rtd",,AU$2,"."&amp;$C$134&amp;$AU$134&amp;"C"&amp;$A161))</f>
        <v>7</v>
      </c>
      <c r="AV161" s="3">
        <f>-IF(RTD("tos.rtd",,AV$2,"."&amp;$C$134&amp;$AU$134&amp;"P"&amp;$A161)="N/A",0,RTD("tos.rtd",,AV$2,"."&amp;$C$134&amp;$AU$134&amp;"P"&amp;$A161))</f>
        <v>-17</v>
      </c>
      <c r="AW161" s="54">
        <f>IF(RTD("tos.rtd",,AW$2,"."&amp;$D$134&amp;$AW$134&amp;"C"&amp;$A161)="N/A",0,RTD("tos.rtd",,AW$2,"."&amp;$D$134&amp;$AW$134&amp;"C"&amp;$A161))</f>
        <v>24</v>
      </c>
      <c r="AX161" s="3">
        <f>-IF(RTD("tos.rtd",,AX$2,"."&amp;$D$134&amp;$AW$134&amp;"P"&amp;$A161)="N/A",0,RTD("tos.rtd",,AX$2,"."&amp;$D$134&amp;$AW$134&amp;"P"&amp;$A161))</f>
        <v>-7</v>
      </c>
      <c r="AY161" s="76">
        <f t="shared" si="616"/>
        <v>-7</v>
      </c>
      <c r="AZ161" s="8">
        <f t="shared" si="542"/>
        <v>19850</v>
      </c>
      <c r="BA161" s="54">
        <f>IF(RTD("tos.rtd",,BA$43,"."&amp;$B$134&amp;$AS$82&amp;"C"&amp;$A161)="N/A",0,RTD("tos.rtd",,BA$43,"."&amp;$B$134&amp;$AS$82&amp;"C"&amp;$A161))</f>
        <v>0</v>
      </c>
      <c r="BB161" s="3">
        <f>-IF(RTD("tos.rtd",,BB$43,"."&amp;$B$134&amp;$AS$82&amp;"P"&amp;$A161)="N/A",0,RTD("tos.rtd",,BB$43,"."&amp;$B$134&amp;$AS$82&amp;"P"&amp;$A161))</f>
        <v>0</v>
      </c>
      <c r="BC161" s="54">
        <f>IF(RTD("tos.rtd",,BC$2,"."&amp;$C$134&amp;$AU$82&amp;"C"&amp;$A161)="N/A",0,RTD("tos.rtd",,BC$2,"."&amp;$C$134&amp;$AU$82&amp;"C"&amp;$A161))</f>
        <v>3</v>
      </c>
      <c r="BD161" s="3">
        <f>-IF(RTD("tos.rtd",,BD$2,"."&amp;$C$134&amp;$AU$82&amp;"P"&amp;$A161)="N/A",0,RTD("tos.rtd",,BD$2,"."&amp;$C$134&amp;$AU$82&amp;"P"&amp;$A161))</f>
        <v>-238</v>
      </c>
      <c r="BE161" s="54">
        <f>IF(RTD("tos.rtd",,BE$2,"."&amp;$D$134&amp;$AW$82&amp;"C"&amp;$A161)="N/A",0,RTD("tos.rtd",,BE$2,"."&amp;$D$134&amp;$AW$82&amp;"C"&amp;$A161))</f>
        <v>3</v>
      </c>
      <c r="BF161" s="3">
        <f>-IF(RTD("tos.rtd",,BF$2,"."&amp;$D$134&amp;$AW$82&amp;"P"&amp;$A161)="N/A",0,RTD("tos.rtd",,BF$2,"."&amp;$D$134&amp;$AW$82&amp;"P"&amp;$A161))</f>
        <v>-3</v>
      </c>
      <c r="BG161" s="3">
        <f ca="1">+Hoja2!Y162</f>
        <v>-2</v>
      </c>
      <c r="BH161" s="7">
        <f t="shared" ca="1" si="543"/>
        <v>-237</v>
      </c>
      <c r="BI161" s="32" t="str">
        <f t="shared" ca="1" si="601"/>
        <v/>
      </c>
      <c r="BJ161" s="3" t="e">
        <f ca="1">IF($BP$1=1,DX161,IF(RTD("tos.rtd",,BJ$43,"."&amp;$B$134&amp;$AS$82&amp;"C"&amp;$A161)="N/A",0,RTD("tos.rtd",,BJ$43,"."&amp;$B$134&amp;$AS$82&amp;"C"&amp;$A161)))</f>
        <v>#NUM!</v>
      </c>
      <c r="BK161" s="3" t="e">
        <f ca="1">IF($BP$1=1,DY161,-IF(RTD("tos.rtd",,BK$43,"."&amp;$B$134&amp;$AS$82&amp;"P"&amp;$A161)="N/A",0,RTD("tos.rtd",,BK$43,"."&amp;$B$134&amp;$AS$82&amp;"P"&amp;$A161)))</f>
        <v>#NUM!</v>
      </c>
      <c r="BL161" s="3" t="e">
        <f ca="1">IF($BP$1=1,DZ161,IF(RTD("tos.rtd",,BL$2,"."&amp;$C$134&amp;$AU$82&amp;"C"&amp;$A161)="N/A",0,RTD("tos.rtd",,BL$2,"."&amp;$C$134&amp;$AU$82&amp;"C"&amp;$A161)))</f>
        <v>#NUM!</v>
      </c>
      <c r="BM161" s="3" t="e">
        <f ca="1">IF($BP$1=1,EA161,-IF(RTD("tos.rtd",,BM$2,"."&amp;$C$134&amp;$AU$82&amp;"P"&amp;$A161)="N/A",0,RTD("tos.rtd",,BM$2,"."&amp;$C$134&amp;$AU$82&amp;"P"&amp;$A161)))</f>
        <v>#NUM!</v>
      </c>
      <c r="BN161" s="3" t="e">
        <f ca="1">IF($BP$1=1,EB161,IF(RTD("tos.rtd",,BN$2,"."&amp;$D$134&amp;$AW$82&amp;"C"&amp;$A161)="N/A",0,RTD("tos.rtd",,BN$2,"."&amp;$D$134&amp;$AW$82&amp;"C"&amp;$A161)))</f>
        <v>#NUM!</v>
      </c>
      <c r="BO161" s="3" t="e">
        <f ca="1">IF($BP$1=1,EC161,-IF(RTD("tos.rtd",,BO$2,"."&amp;$D$134&amp;$AW$82&amp;"P"&amp;$A161)="N/A",0,RTD("tos.rtd",,BO$2,"."&amp;$D$134&amp;$AW$82&amp;"P"&amp;$A161)))</f>
        <v>#NUM!</v>
      </c>
      <c r="BQ161" s="3" t="e">
        <f t="shared" ca="1" si="617"/>
        <v>#NUM!</v>
      </c>
      <c r="BR161" s="3" t="e">
        <f t="shared" ca="1" si="544"/>
        <v>#NUM!</v>
      </c>
      <c r="BS161" s="3" t="e">
        <f t="shared" ca="1" si="618"/>
        <v>#NUM!</v>
      </c>
      <c r="BT161" s="3" t="e">
        <f t="shared" ca="1" si="545"/>
        <v>#NUM!</v>
      </c>
      <c r="BU161" s="3" t="e">
        <f t="shared" ca="1" si="619"/>
        <v>#NUM!</v>
      </c>
      <c r="BV161" s="3" t="e">
        <f t="shared" ca="1" si="545"/>
        <v>#NUM!</v>
      </c>
      <c r="BX161" s="3" t="e">
        <f t="shared" ca="1" si="579"/>
        <v>#NUM!</v>
      </c>
      <c r="BY161" s="3" t="e">
        <f t="shared" ca="1" si="580"/>
        <v>#NUM!</v>
      </c>
      <c r="BZ161" s="3" t="e">
        <f t="shared" ca="1" si="581"/>
        <v>#NUM!</v>
      </c>
      <c r="CA161" s="3" t="e">
        <f t="shared" ca="1" si="580"/>
        <v>#NUM!</v>
      </c>
      <c r="CB161" s="3" t="e">
        <f t="shared" ca="1" si="582"/>
        <v>#NUM!</v>
      </c>
      <c r="CC161" s="3" t="e">
        <f t="shared" ca="1" si="580"/>
        <v>#NUM!</v>
      </c>
      <c r="CD161" s="3">
        <f>IF(RTD("tos.rtd",,CD$43,"."&amp;$B$134&amp;$AS$82&amp;"C"&amp;$A161)="N/A",0,RTD("tos.rtd",,CD$43,"."&amp;$B$134&amp;$AS$82&amp;"C"&amp;$A161))</f>
        <v>1</v>
      </c>
      <c r="CE161" s="3">
        <f>-IF(RTD("tos.rtd",,CE$43,"."&amp;$B$134&amp;$AS$82&amp;"P"&amp;$A161)="N/A",0,RTD("tos.rtd",,CE$43,"."&amp;$B$134&amp;$AS$82&amp;"P"&amp;$A161))</f>
        <v>0.08</v>
      </c>
      <c r="CF161" s="3">
        <f>IF(RTD("tos.rtd",,CF$2,"."&amp;$C$134&amp;$AU$82&amp;"C"&amp;$A161)="N/A",0,RTD("tos.rtd",,CF$2,"."&amp;$C$134&amp;$AU$82&amp;"C"&amp;$A161))</f>
        <v>1</v>
      </c>
      <c r="CG161" s="3">
        <f>-IF(RTD("tos.rtd",,CG$2,"."&amp;$C$134&amp;$AU$82&amp;"P"&amp;$A161)="N/A",0,RTD("tos.rtd",,CG$2,"."&amp;$C$134&amp;$AU$82&amp;"P"&amp;$A161))</f>
        <v>0.11</v>
      </c>
      <c r="CH161" s="3">
        <f>IF(RTD("tos.rtd",,CH$2,"."&amp;$D$134&amp;$AW$82&amp;"C"&amp;$A161)="N/A",0,RTD("tos.rtd",,CH$2,"."&amp;$D$134&amp;$AW$82&amp;"C"&amp;$A161))</f>
        <v>0.65</v>
      </c>
      <c r="CI161" s="3">
        <f>-IF(RTD("tos.rtd",,CI$2,"."&amp;$D$134&amp;$AW$82&amp;"P"&amp;$A161)="N/A",0,RTD("tos.rtd",,CI$2,"."&amp;$D$134&amp;$AW$82&amp;"P"&amp;$A161))</f>
        <v>0.36</v>
      </c>
      <c r="CK161" s="3">
        <f t="shared" si="612"/>
        <v>-112.00000000000001</v>
      </c>
      <c r="CL161" s="3"/>
      <c r="CM161" s="3">
        <f t="shared" si="613"/>
        <v>513</v>
      </c>
      <c r="CN161" s="3"/>
      <c r="CO161" s="3">
        <f t="shared" si="614"/>
        <v>1308.0000000000002</v>
      </c>
      <c r="CP161" s="3">
        <f t="shared" si="536"/>
        <v>1709.0000000000002</v>
      </c>
      <c r="CQ161" s="3">
        <f t="shared" si="546"/>
        <v>0</v>
      </c>
      <c r="CR161" s="3"/>
      <c r="CS161" s="3">
        <f t="shared" si="547"/>
        <v>-235</v>
      </c>
      <c r="CT161" s="3"/>
      <c r="CU161" s="3">
        <f t="shared" si="548"/>
        <v>0</v>
      </c>
      <c r="CV161" s="3"/>
      <c r="CW161" s="3" t="e">
        <f t="shared" ca="1" si="549"/>
        <v>#NUM!</v>
      </c>
      <c r="CY161" s="3" t="e">
        <f t="shared" ca="1" si="550"/>
        <v>#NUM!</v>
      </c>
      <c r="CZ161" s="70" t="e">
        <f t="shared" ca="1" si="583"/>
        <v>#NUM!</v>
      </c>
      <c r="DA161" s="3">
        <f>IF(RTD("tos.rtd",,DA$43,"."&amp;$B$134&amp;$AS$82&amp;"C"&amp;$A161)="N/A",0,RTD("tos.rtd",,DA$43,"."&amp;$B$134&amp;$AS$82&amp;"C"&amp;$A161))</f>
        <v>142.19</v>
      </c>
      <c r="DB161" s="3">
        <f>IF(RTD("tos.rtd",,DB$43,"."&amp;$B$134&amp;$AS$82&amp;"P"&amp;$A161)="N/A",0,RTD("tos.rtd",,DB$43,"."&amp;$B$134&amp;$AS$82&amp;"P"&amp;$A161))</f>
        <v>0.13</v>
      </c>
      <c r="DC161" s="3">
        <f>IF(RTD("tos.rtd",,DC$43,"."&amp;$B$134&amp;$AS$82&amp;"C"&amp;$A161)="N/A",0,RTD("tos.rtd",,DC$43,"."&amp;$B$134&amp;$AS$82&amp;"C"&amp;$A161))</f>
        <v>136.5</v>
      </c>
      <c r="DD161" s="3">
        <f>IF(RTD("tos.rtd",,DD$43,"."&amp;$B$134&amp;$AS$82&amp;"P"&amp;$A161)="N/A",0,RTD("tos.rtd",,DD$43,"."&amp;$B$134&amp;$AS$82&amp;"P"&amp;$A161))</f>
        <v>10</v>
      </c>
      <c r="DE161" s="3">
        <f>IF(RTD("tos.rtd",,DE$43,"."&amp;$B$134&amp;$AS$82&amp;"C"&amp;$A161)="N/A",0,RTD("tos.rtd",,DE$43,"."&amp;$B$134&amp;$AS$82&amp;"C"&amp;$A161))</f>
        <v>116.5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584"/>
        <v>-196.5</v>
      </c>
      <c r="DH161" s="3">
        <f t="shared" si="551"/>
        <v>-11.560499999999999</v>
      </c>
      <c r="DI161" s="3">
        <f t="shared" si="552"/>
        <v>3.4450000000000003</v>
      </c>
      <c r="DJ161" s="3">
        <f t="shared" si="553"/>
        <v>-9</v>
      </c>
      <c r="DK161" s="3">
        <f t="shared" si="554"/>
        <v>-265</v>
      </c>
      <c r="DL161" s="3">
        <f t="shared" si="555"/>
        <v>-8.115499999999999</v>
      </c>
      <c r="DM161" s="3">
        <f t="shared" si="556"/>
        <v>-274</v>
      </c>
      <c r="DN161" s="64" t="str">
        <f t="shared" si="557"/>
        <v>UNKNOWN</v>
      </c>
      <c r="DO161" s="64" t="str">
        <f t="shared" si="558"/>
        <v>UNKNOWN</v>
      </c>
      <c r="DP161" s="3">
        <f t="shared" si="559"/>
        <v>-1643.3396449999998</v>
      </c>
      <c r="DQ161" s="3">
        <f t="shared" si="560"/>
        <v>-1314.16</v>
      </c>
      <c r="DR161" s="3" t="e">
        <f t="shared" ca="1" si="561"/>
        <v>#NUM!</v>
      </c>
      <c r="DS161" s="3">
        <f t="shared" si="562"/>
        <v>-30.2</v>
      </c>
      <c r="DT161" s="3">
        <f t="shared" si="585"/>
        <v>-9</v>
      </c>
      <c r="DU161" s="3">
        <f t="shared" si="586"/>
        <v>265</v>
      </c>
      <c r="DV161" s="3">
        <f t="shared" si="563"/>
        <v>-6</v>
      </c>
      <c r="DW161" s="3">
        <f t="shared" si="564"/>
        <v>-48</v>
      </c>
      <c r="DX161" s="3" t="e">
        <f t="shared" ca="1" si="565"/>
        <v>#NUM!</v>
      </c>
      <c r="DY161" s="3" t="e">
        <f t="shared" ca="1" si="566"/>
        <v>#NUM!</v>
      </c>
      <c r="DZ161" s="3" t="e">
        <f t="shared" ca="1" si="567"/>
        <v>#NUM!</v>
      </c>
      <c r="EA161" s="3" t="e">
        <f t="shared" ca="1" si="568"/>
        <v>#NUM!</v>
      </c>
      <c r="EB161" s="3" t="e">
        <f t="shared" ca="1" si="569"/>
        <v>#NUM!</v>
      </c>
      <c r="EC161" s="3" t="e">
        <f t="shared" ca="1" si="570"/>
        <v>#NUM!</v>
      </c>
      <c r="EE161" s="59">
        <f t="shared" si="571"/>
        <v>0.25</v>
      </c>
      <c r="EF161" s="59">
        <f t="shared" si="572"/>
        <v>0.97789999999999999</v>
      </c>
      <c r="EG161" s="59">
        <f t="shared" si="573"/>
        <v>0.25</v>
      </c>
      <c r="EH161" s="59">
        <f t="shared" si="574"/>
        <v>1.1698</v>
      </c>
      <c r="EI161" s="59">
        <f t="shared" si="575"/>
        <v>0.27260000000000001</v>
      </c>
      <c r="EJ161" s="59">
        <f t="shared" si="576"/>
        <v>0.29060000000000002</v>
      </c>
      <c r="EL161" s="3" t="str">
        <f>RTD("tos.rtd",,EL$43,"."&amp;$B$134&amp;$AS$82&amp;"C"&amp;$A161)</f>
        <v>--</v>
      </c>
      <c r="EM161" s="3" t="str">
        <f>RTD("tos.rtd",,EM$43,"."&amp;$B$134&amp;$AS$82&amp;"P"&amp;$A161)</f>
        <v>97.79%</v>
      </c>
      <c r="EN161" s="3" t="str">
        <f>RTD("tos.rtd",,EN$2,"."&amp;$C$134&amp;$AU$82&amp;"C"&amp;$A161)</f>
        <v>--</v>
      </c>
      <c r="EO161" s="3" t="str">
        <f>RTD("tos.rtd",,EO$2,"."&amp;$C$134&amp;$AU$82&amp;"P"&amp;$A161)</f>
        <v>116.98%</v>
      </c>
      <c r="EP161" s="3" t="str">
        <f>RTD("tos.rtd",,EP$2,"."&amp;$D$134&amp;$AW$82&amp;"C"&amp;$A161)</f>
        <v>27.26%</v>
      </c>
      <c r="EQ161" s="3" t="str">
        <f>RTD("tos.rtd",,EQ$2,"."&amp;$D$134&amp;$AW$82&amp;"P"&amp;$A161)</f>
        <v>29.06%</v>
      </c>
      <c r="ES161" s="63" t="str">
        <f t="shared" si="577"/>
        <v>19850,-54.00</v>
      </c>
      <c r="ET161" s="64" t="str">
        <f t="shared" ca="1" si="578"/>
        <v>19850,00.00</v>
      </c>
      <c r="EU161" s="68">
        <v>562.91</v>
      </c>
      <c r="EV161" s="68" t="s">
        <v>1307</v>
      </c>
      <c r="EW161" s="68">
        <v>485.51</v>
      </c>
      <c r="EX161" s="68" t="s">
        <v>1308</v>
      </c>
      <c r="EY161" s="68">
        <v>5643</v>
      </c>
      <c r="EZ161" s="68" t="s">
        <v>1309</v>
      </c>
      <c r="FA161" s="68">
        <v>19943.75</v>
      </c>
      <c r="FB161" s="68" t="s">
        <v>1310</v>
      </c>
      <c r="FC161" s="68" t="s">
        <v>1311</v>
      </c>
      <c r="FD161" s="68" t="s">
        <v>1312</v>
      </c>
      <c r="FE161" s="68" t="s">
        <v>1313</v>
      </c>
      <c r="FF161" s="68" t="s">
        <v>1314</v>
      </c>
    </row>
    <row r="162" spans="1:162" ht="11.1" customHeight="1" thickBot="1" x14ac:dyDescent="0.25">
      <c r="A162" s="2">
        <f t="shared" si="587"/>
        <v>19825</v>
      </c>
      <c r="B162" s="3">
        <f t="shared" si="620"/>
        <v>6</v>
      </c>
      <c r="C162" s="3">
        <f t="shared" si="621"/>
        <v>21</v>
      </c>
      <c r="D162" s="3">
        <f t="shared" si="622"/>
        <v>60</v>
      </c>
      <c r="E162" s="3">
        <f t="shared" si="605"/>
        <v>87</v>
      </c>
      <c r="F162" s="4">
        <f t="shared" si="615"/>
        <v>19923.895068964655</v>
      </c>
      <c r="G162" s="5">
        <f t="shared" si="607"/>
        <v>482.52882049235529</v>
      </c>
      <c r="AM162" s="1">
        <v>-1</v>
      </c>
      <c r="AN162" s="1">
        <v>-16</v>
      </c>
      <c r="AO162" s="1">
        <v>19825</v>
      </c>
      <c r="AP162" s="1">
        <v>1</v>
      </c>
      <c r="AQ162" s="1">
        <v>-113</v>
      </c>
      <c r="AS162" s="54">
        <f>IF(RTD("tos.rtd",,AS$83,"."&amp;$B$134&amp;$AS$82&amp;"C"&amp;$A162)="N/A",0,RTD("tos.rtd",,AS$83,"."&amp;$B$134&amp;$AS$82&amp;"C"&amp;$A162))</f>
        <v>1</v>
      </c>
      <c r="AT162" s="3">
        <f>-IF(RTD("tos.rtd",,AT$83,"."&amp;$B$134&amp;$AS$82&amp;"P"&amp;$A162)="N/A",0,RTD("tos.rtd",,AT$83,"."&amp;$B$134&amp;$AS$82&amp;"P"&amp;$A162))</f>
        <v>-5</v>
      </c>
      <c r="AU162" s="54">
        <f>IF(RTD("tos.rtd",,AU$2,"."&amp;$C$134&amp;$AU$134&amp;"C"&amp;$A162)="N/A",0,RTD("tos.rtd",,AU$2,"."&amp;$C$134&amp;$AU$134&amp;"C"&amp;$A162))</f>
        <v>15</v>
      </c>
      <c r="AV162" s="3">
        <f>-IF(RTD("tos.rtd",,AV$2,"."&amp;$C$134&amp;$AU$134&amp;"P"&amp;$A162)="N/A",0,RTD("tos.rtd",,AV$2,"."&amp;$C$134&amp;$AU$134&amp;"P"&amp;$A162))</f>
        <v>-6</v>
      </c>
      <c r="AW162" s="54">
        <f>IF(RTD("tos.rtd",,AW$2,"."&amp;$D$134&amp;$AW$134&amp;"C"&amp;$A162)="N/A",0,RTD("tos.rtd",,AW$2,"."&amp;$D$134&amp;$AW$134&amp;"C"&amp;$A162))</f>
        <v>32</v>
      </c>
      <c r="AX162" s="3">
        <f>-IF(RTD("tos.rtd",,AX$2,"."&amp;$D$134&amp;$AW$134&amp;"P"&amp;$A162)="N/A",0,RTD("tos.rtd",,AX$2,"."&amp;$D$134&amp;$AW$134&amp;"P"&amp;$A162))</f>
        <v>-28</v>
      </c>
      <c r="AY162" s="76">
        <f t="shared" si="616"/>
        <v>9</v>
      </c>
      <c r="AZ162" s="8">
        <f t="shared" si="542"/>
        <v>19825</v>
      </c>
      <c r="BA162" s="54">
        <f>IF(RTD("tos.rtd",,BA$43,"."&amp;$B$134&amp;$AS$82&amp;"C"&amp;$A162)="N/A",0,RTD("tos.rtd",,BA$43,"."&amp;$B$134&amp;$AS$82&amp;"C"&amp;$A162))</f>
        <v>0</v>
      </c>
      <c r="BB162" s="3">
        <f>-IF(RTD("tos.rtd",,BB$43,"."&amp;$B$134&amp;$AS$82&amp;"P"&amp;$A162)="N/A",0,RTD("tos.rtd",,BB$43,"."&amp;$B$134&amp;$AS$82&amp;"P"&amp;$A162))</f>
        <v>0</v>
      </c>
      <c r="BC162" s="54">
        <f>IF(RTD("tos.rtd",,BC$2,"."&amp;$C$134&amp;$AU$82&amp;"C"&amp;$A162)="N/A",0,RTD("tos.rtd",,BC$2,"."&amp;$C$134&amp;$AU$82&amp;"C"&amp;$A162))</f>
        <v>0</v>
      </c>
      <c r="BD162" s="3">
        <f>-IF(RTD("tos.rtd",,BD$2,"."&amp;$C$134&amp;$AU$82&amp;"P"&amp;$A162)="N/A",0,RTD("tos.rtd",,BD$2,"."&amp;$C$134&amp;$AU$82&amp;"P"&amp;$A162))</f>
        <v>-152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-4</v>
      </c>
      <c r="BG162" s="3">
        <f ca="1">+Hoja2!Y163</f>
        <v>0</v>
      </c>
      <c r="BH162" s="7">
        <f t="shared" ca="1" si="543"/>
        <v>-156</v>
      </c>
      <c r="BI162" s="32" t="str">
        <f t="shared" ca="1" si="601"/>
        <v/>
      </c>
      <c r="BJ162" s="3" t="e">
        <f ca="1">IF($BP$1=1,DX162,IF(RTD("tos.rtd",,BJ$43,"."&amp;$B$134&amp;$AS$82&amp;"C"&amp;$A162)="N/A",0,RTD("tos.rtd",,BJ$43,"."&amp;$B$134&amp;$AS$82&amp;"C"&amp;$A162)))</f>
        <v>#NUM!</v>
      </c>
      <c r="BK162" s="3" t="e">
        <f ca="1">IF($BP$1=1,DY162,-IF(RTD("tos.rtd",,BK$43,"."&amp;$B$134&amp;$AS$82&amp;"P"&amp;$A162)="N/A",0,RTD("tos.rtd",,BK$43,"."&amp;$B$134&amp;$AS$82&amp;"P"&amp;$A162)))</f>
        <v>#NUM!</v>
      </c>
      <c r="BL162" s="3" t="e">
        <f ca="1">IF($BP$1=1,DZ162,IF(RTD("tos.rtd",,BL$2,"."&amp;$C$134&amp;$AU$82&amp;"C"&amp;$A162)="N/A",0,RTD("tos.rtd",,BL$2,"."&amp;$C$134&amp;$AU$82&amp;"C"&amp;$A162)))</f>
        <v>#NUM!</v>
      </c>
      <c r="BM162" s="3" t="e">
        <f ca="1">IF($BP$1=1,EA162,-IF(RTD("tos.rtd",,BM$2,"."&amp;$C$134&amp;$AU$82&amp;"P"&amp;$A162)="N/A",0,RTD("tos.rtd",,BM$2,"."&amp;$C$134&amp;$AU$82&amp;"P"&amp;$A162)))</f>
        <v>#NUM!</v>
      </c>
      <c r="BN162" s="3" t="e">
        <f ca="1">IF($BP$1=1,EB162,IF(RTD("tos.rtd",,BN$2,"."&amp;$D$134&amp;$AW$82&amp;"C"&amp;$A162)="N/A",0,RTD("tos.rtd",,BN$2,"."&amp;$D$134&amp;$AW$82&amp;"C"&amp;$A162)))</f>
        <v>#NUM!</v>
      </c>
      <c r="BO162" s="3" t="e">
        <f ca="1">IF($BP$1=1,EC162,-IF(RTD("tos.rtd",,BO$2,"."&amp;$D$134&amp;$AW$82&amp;"P"&amp;$A162)="N/A",0,RTD("tos.rtd",,BO$2,"."&amp;$D$134&amp;$AW$82&amp;"P"&amp;$A162)))</f>
        <v>#NUM!</v>
      </c>
      <c r="BQ162" s="3" t="e">
        <f t="shared" ca="1" si="617"/>
        <v>#NUM!</v>
      </c>
      <c r="BR162" s="3" t="e">
        <f t="shared" ca="1" si="544"/>
        <v>#NUM!</v>
      </c>
      <c r="BS162" s="3" t="e">
        <f t="shared" ca="1" si="618"/>
        <v>#NUM!</v>
      </c>
      <c r="BT162" s="3" t="e">
        <f t="shared" ca="1" si="545"/>
        <v>#NUM!</v>
      </c>
      <c r="BU162" s="3" t="e">
        <f t="shared" ca="1" si="619"/>
        <v>#NUM!</v>
      </c>
      <c r="BV162" s="3" t="e">
        <f t="shared" ca="1" si="545"/>
        <v>#NUM!</v>
      </c>
      <c r="BX162" s="3" t="e">
        <f t="shared" ca="1" si="579"/>
        <v>#NUM!</v>
      </c>
      <c r="BY162" s="3" t="e">
        <f t="shared" ca="1" si="580"/>
        <v>#NUM!</v>
      </c>
      <c r="BZ162" s="3" t="e">
        <f t="shared" ca="1" si="581"/>
        <v>#NUM!</v>
      </c>
      <c r="CA162" s="3" t="e">
        <f t="shared" ca="1" si="580"/>
        <v>#NUM!</v>
      </c>
      <c r="CB162" s="3" t="e">
        <f t="shared" ca="1" si="582"/>
        <v>#NUM!</v>
      </c>
      <c r="CC162" s="3" t="e">
        <f t="shared" ca="1" si="580"/>
        <v>#NUM!</v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0.11</v>
      </c>
      <c r="CF162" s="3">
        <f>IF(RTD("tos.rtd",,CF$2,"."&amp;$C$134&amp;$AU$82&amp;"C"&amp;$A162)="N/A",0,RTD("tos.rtd",,CF$2,"."&amp;$C$134&amp;$AU$82&amp;"C"&amp;$A162))</f>
        <v>0.98</v>
      </c>
      <c r="CG162" s="3">
        <f>-IF(RTD("tos.rtd",,CG$2,"."&amp;$C$134&amp;$AU$82&amp;"P"&amp;$A162)="N/A",0,RTD("tos.rtd",,CG$2,"."&amp;$C$134&amp;$AU$82&amp;"P"&amp;$A162))</f>
        <v>0.11</v>
      </c>
      <c r="CH162" s="3">
        <f>IF(RTD("tos.rtd",,CH$2,"."&amp;$D$134&amp;$AW$82&amp;"C"&amp;$A162)="N/A",0,RTD("tos.rtd",,CH$2,"."&amp;$D$134&amp;$AW$82&amp;"C"&amp;$A162))</f>
        <v>0.66</v>
      </c>
      <c r="CI162" s="3">
        <f>-IF(RTD("tos.rtd",,CI$2,"."&amp;$D$134&amp;$AW$82&amp;"P"&amp;$A162)="N/A",0,RTD("tos.rtd",,CI$2,"."&amp;$D$134&amp;$AW$82&amp;"P"&amp;$A162))</f>
        <v>0.35</v>
      </c>
      <c r="CK162" s="3">
        <f t="shared" si="612"/>
        <v>44.999999999999993</v>
      </c>
      <c r="CL162" s="3"/>
      <c r="CM162" s="3">
        <f t="shared" si="613"/>
        <v>1404</v>
      </c>
      <c r="CN162" s="3"/>
      <c r="CO162" s="3">
        <f t="shared" si="614"/>
        <v>1132</v>
      </c>
      <c r="CP162" s="3">
        <f t="shared" si="536"/>
        <v>2581</v>
      </c>
      <c r="CQ162" s="3">
        <f t="shared" si="546"/>
        <v>0</v>
      </c>
      <c r="CR162" s="3"/>
      <c r="CS162" s="3">
        <f t="shared" si="547"/>
        <v>-152</v>
      </c>
      <c r="CT162" s="3"/>
      <c r="CU162" s="3">
        <f t="shared" si="548"/>
        <v>-4</v>
      </c>
      <c r="CV162" s="3"/>
      <c r="CW162" s="3" t="e">
        <f t="shared" ca="1" si="549"/>
        <v>#NUM!</v>
      </c>
      <c r="CY162" s="3" t="e">
        <f t="shared" ca="1" si="550"/>
        <v>#NUM!</v>
      </c>
      <c r="CZ162" s="70" t="e">
        <f t="shared" ca="1" si="583"/>
        <v>#NUM!</v>
      </c>
      <c r="DA162" s="3">
        <f>IF(RTD("tos.rtd",,DA$43,"."&amp;$B$134&amp;$AS$82&amp;"C"&amp;$A162)="N/A",0,RTD("tos.rtd",,DA$43,"."&amp;$B$134&amp;$AS$82&amp;"C"&amp;$A162))</f>
        <v>212.3</v>
      </c>
      <c r="DB162" s="3">
        <f>IF(RTD("tos.rtd",,DB$43,"."&amp;$B$134&amp;$AS$82&amp;"P"&amp;$A162)="N/A",0,RTD("tos.rtd",,DB$43,"."&amp;$B$134&amp;$AS$82&amp;"P"&amp;$A162))</f>
        <v>0.44</v>
      </c>
      <c r="DC162" s="3">
        <f>IF(RTD("tos.rtd",,DC$43,"."&amp;$B$134&amp;$AS$82&amp;"C"&amp;$A162)="N/A",0,RTD("tos.rtd",,DC$43,"."&amp;$B$134&amp;$AS$82&amp;"C"&amp;$A162))</f>
        <v>161.5</v>
      </c>
      <c r="DD162" s="3">
        <f>IF(RTD("tos.rtd",,DD$43,"."&amp;$B$134&amp;$AS$82&amp;"P"&amp;$A162)="N/A",0,RTD("tos.rtd",,DD$43,"."&amp;$B$134&amp;$AS$82&amp;"P"&amp;$A162))</f>
        <v>19.8</v>
      </c>
      <c r="DE162" s="3">
        <f>IF(RTD("tos.rtd",,DE$43,"."&amp;$B$134&amp;$AS$82&amp;"C"&amp;$A162)="N/A",0,RTD("tos.rtd",,DE$43,"."&amp;$B$134&amp;$AS$82&amp;"C"&amp;$A162))</f>
        <v>141.5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84"/>
        <v>-221.5</v>
      </c>
      <c r="DH162" s="3">
        <f t="shared" si="551"/>
        <v>-3.5400000000000005</v>
      </c>
      <c r="DI162" s="3">
        <f t="shared" si="552"/>
        <v>2.5111111111111111</v>
      </c>
      <c r="DJ162" s="3">
        <f t="shared" si="553"/>
        <v>-1</v>
      </c>
      <c r="DK162" s="3">
        <f t="shared" si="554"/>
        <v>-113</v>
      </c>
      <c r="DL162" s="3">
        <f t="shared" si="555"/>
        <v>-1.0288888888888894</v>
      </c>
      <c r="DM162" s="3">
        <f t="shared" si="556"/>
        <v>-114</v>
      </c>
      <c r="DN162" s="64" t="str">
        <f t="shared" si="557"/>
        <v>UNKNOWN</v>
      </c>
      <c r="DO162" s="64" t="str">
        <f t="shared" si="558"/>
        <v>UNKNOWN</v>
      </c>
      <c r="DP162" s="3">
        <f t="shared" si="559"/>
        <v>-750.43711111111122</v>
      </c>
      <c r="DQ162" s="3">
        <f t="shared" si="560"/>
        <v>-262.02</v>
      </c>
      <c r="DR162" s="3" t="e">
        <f t="shared" ca="1" si="561"/>
        <v>#NUM!</v>
      </c>
      <c r="DS162" s="3">
        <f t="shared" si="562"/>
        <v>-13.43</v>
      </c>
      <c r="DT162" s="3">
        <f t="shared" si="585"/>
        <v>-1</v>
      </c>
      <c r="DU162" s="3">
        <f t="shared" si="586"/>
        <v>113</v>
      </c>
      <c r="DV162" s="3">
        <f t="shared" si="563"/>
        <v>-1</v>
      </c>
      <c r="DW162" s="3">
        <f t="shared" si="564"/>
        <v>-16</v>
      </c>
      <c r="DX162" s="3" t="e">
        <f t="shared" ca="1" si="565"/>
        <v>#NUM!</v>
      </c>
      <c r="DY162" s="3" t="e">
        <f t="shared" ca="1" si="566"/>
        <v>#NUM!</v>
      </c>
      <c r="DZ162" s="3" t="e">
        <f t="shared" ca="1" si="567"/>
        <v>#NUM!</v>
      </c>
      <c r="EA162" s="3" t="e">
        <f t="shared" ca="1" si="568"/>
        <v>#NUM!</v>
      </c>
      <c r="EB162" s="3" t="e">
        <f t="shared" ca="1" si="569"/>
        <v>#NUM!</v>
      </c>
      <c r="EC162" s="3" t="e">
        <f t="shared" ca="1" si="570"/>
        <v>#NUM!</v>
      </c>
      <c r="EE162" s="59">
        <f t="shared" si="571"/>
        <v>0.25</v>
      </c>
      <c r="EF162" s="59">
        <f t="shared" si="572"/>
        <v>1.268</v>
      </c>
      <c r="EG162" s="59">
        <f t="shared" si="573"/>
        <v>0.73540000000000005</v>
      </c>
      <c r="EH162" s="59">
        <f t="shared" si="574"/>
        <v>1.268</v>
      </c>
      <c r="EI162" s="59">
        <f t="shared" si="575"/>
        <v>0.27439999999999998</v>
      </c>
      <c r="EJ162" s="59">
        <f t="shared" si="576"/>
        <v>0.29089999999999999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126.80%</v>
      </c>
      <c r="EN162" s="3" t="str">
        <f>RTD("tos.rtd",,EN$2,"."&amp;$C$134&amp;$AU$82&amp;"C"&amp;$A162)</f>
        <v>73.54%</v>
      </c>
      <c r="EO162" s="3" t="str">
        <f>RTD("tos.rtd",,EO$2,"."&amp;$C$134&amp;$AU$82&amp;"P"&amp;$A162)</f>
        <v>126.80%</v>
      </c>
      <c r="EP162" s="3" t="str">
        <f>RTD("tos.rtd",,EP$2,"."&amp;$D$134&amp;$AW$82&amp;"C"&amp;$A162)</f>
        <v>27.44%</v>
      </c>
      <c r="EQ162" s="3" t="str">
        <f>RTD("tos.rtd",,EQ$2,"."&amp;$D$134&amp;$AW$82&amp;"P"&amp;$A162)</f>
        <v>29.09%</v>
      </c>
      <c r="ES162" s="63" t="str">
        <f t="shared" si="577"/>
        <v>19825,-17.00</v>
      </c>
      <c r="ET162" s="64" t="str">
        <f t="shared" ca="1" si="578"/>
        <v>19825,00.00</v>
      </c>
      <c r="EU162" s="68">
        <v>562.94000000000005</v>
      </c>
      <c r="EV162" s="68" t="s">
        <v>1315</v>
      </c>
      <c r="EW162" s="68">
        <v>485.52</v>
      </c>
      <c r="EX162" s="68" t="s">
        <v>1316</v>
      </c>
      <c r="EY162" s="68">
        <v>5642.75</v>
      </c>
      <c r="EZ162" s="68" t="s">
        <v>1317</v>
      </c>
      <c r="FA162" s="68">
        <v>19944.25</v>
      </c>
      <c r="FB162" s="68" t="s">
        <v>1318</v>
      </c>
      <c r="FC162" s="68" t="s">
        <v>1319</v>
      </c>
      <c r="FD162" s="68" t="s">
        <v>1320</v>
      </c>
      <c r="FE162" s="68" t="s">
        <v>1321</v>
      </c>
      <c r="FF162" s="68" t="s">
        <v>1322</v>
      </c>
    </row>
    <row r="163" spans="1:162" ht="11.1" customHeight="1" thickBot="1" x14ac:dyDescent="0.25">
      <c r="A163" s="2">
        <f t="shared" si="587"/>
        <v>19800</v>
      </c>
      <c r="B163" s="10">
        <f t="shared" si="620"/>
        <v>83</v>
      </c>
      <c r="C163" s="10">
        <f t="shared" si="621"/>
        <v>62</v>
      </c>
      <c r="D163" s="10">
        <f t="shared" si="622"/>
        <v>62</v>
      </c>
      <c r="E163" s="10">
        <f t="shared" si="605"/>
        <v>207</v>
      </c>
      <c r="F163" s="11">
        <f t="shared" si="615"/>
        <v>19898.770358915521</v>
      </c>
      <c r="G163" s="5">
        <f t="shared" si="607"/>
        <v>481.92033522061206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-7</v>
      </c>
      <c r="AN163" s="1">
        <v>-55</v>
      </c>
      <c r="AO163" s="12">
        <v>19800</v>
      </c>
      <c r="AP163" s="12">
        <v>11</v>
      </c>
      <c r="AQ163" s="12">
        <v>-372</v>
      </c>
      <c r="AR163" s="12"/>
      <c r="AS163" s="54">
        <f>IF(RTD("tos.rtd",,AS$83,"."&amp;$B$134&amp;$AS$82&amp;"C"&amp;$A163)="N/A",0,RTD("tos.rtd",,AS$83,"."&amp;$B$134&amp;$AS$82&amp;"C"&amp;$A163))</f>
        <v>25</v>
      </c>
      <c r="AT163" s="3">
        <f>-IF(RTD("tos.rtd",,AT$83,"."&amp;$B$134&amp;$AS$82&amp;"P"&amp;$A163)="N/A",0,RTD("tos.rtd",,AT$83,"."&amp;$B$134&amp;$AS$82&amp;"P"&amp;$A163))</f>
        <v>-58</v>
      </c>
      <c r="AU163" s="54">
        <f>IF(RTD("tos.rtd",,AU$2,"."&amp;$C$134&amp;$AU$134&amp;"C"&amp;$A163)="N/A",0,RTD("tos.rtd",,AU$2,"."&amp;$C$134&amp;$AU$134&amp;"C"&amp;$A163))</f>
        <v>38</v>
      </c>
      <c r="AV163" s="3">
        <f>-IF(RTD("tos.rtd",,AV$2,"."&amp;$C$134&amp;$AU$134&amp;"P"&amp;$A163)="N/A",0,RTD("tos.rtd",,AV$2,"."&amp;$C$134&amp;$AU$134&amp;"P"&amp;$A163))</f>
        <v>-24</v>
      </c>
      <c r="AW163" s="54">
        <f>IF(RTD("tos.rtd",,AW$2,"."&amp;$D$134&amp;$AW$134&amp;"C"&amp;$A163)="N/A",0,RTD("tos.rtd",,AW$2,"."&amp;$D$134&amp;$AW$134&amp;"C"&amp;$A163))</f>
        <v>34</v>
      </c>
      <c r="AX163" s="3">
        <f>-IF(RTD("tos.rtd",,AX$2,"."&amp;$D$134&amp;$AW$134&amp;"P"&amp;$A163)="N/A",0,RTD("tos.rtd",,AX$2,"."&amp;$D$134&amp;$AW$134&amp;"P"&amp;$A163))</f>
        <v>-28</v>
      </c>
      <c r="AY163" s="76">
        <f t="shared" si="616"/>
        <v>-13</v>
      </c>
      <c r="AZ163" s="8">
        <f t="shared" si="542"/>
        <v>19800</v>
      </c>
      <c r="BA163" s="54">
        <f>IF(RTD("tos.rtd",,BA$43,"."&amp;$B$134&amp;$AS$82&amp;"C"&amp;$A163)="N/A",0,RTD("tos.rtd",,BA$43,"."&amp;$B$134&amp;$AS$82&amp;"C"&amp;$A163))</f>
        <v>0</v>
      </c>
      <c r="BB163" s="3">
        <f>-IF(RTD("tos.rtd",,BB$43,"."&amp;$B$134&amp;$AS$82&amp;"P"&amp;$A163)="N/A",0,RTD("tos.rtd",,BB$43,"."&amp;$B$134&amp;$AS$82&amp;"P"&amp;$A163))</f>
        <v>0</v>
      </c>
      <c r="BC163" s="54">
        <f>IF(RTD("tos.rtd",,BC$2,"."&amp;$C$134&amp;$AU$82&amp;"C"&amp;$A163)="N/A",0,RTD("tos.rtd",,BC$2,"."&amp;$C$134&amp;$AU$82&amp;"C"&amp;$A163))</f>
        <v>17</v>
      </c>
      <c r="BD163" s="3">
        <f>-IF(RTD("tos.rtd",,BD$2,"."&amp;$C$134&amp;$AU$82&amp;"P"&amp;$A163)="N/A",0,RTD("tos.rtd",,BD$2,"."&amp;$C$134&amp;$AU$82&amp;"P"&amp;$A163))</f>
        <v>-2752</v>
      </c>
      <c r="BE163" s="54">
        <f>IF(RTD("tos.rtd",,BE$2,"."&amp;$D$134&amp;$AW$82&amp;"C"&amp;$A163)="N/A",0,RTD("tos.rtd",,BE$2,"."&amp;$D$134&amp;$AW$82&amp;"C"&amp;$A163))</f>
        <v>1</v>
      </c>
      <c r="BF163" s="3">
        <f>-IF(RTD("tos.rtd",,BF$2,"."&amp;$D$134&amp;$AW$82&amp;"P"&amp;$A163)="N/A",0,RTD("tos.rtd",,BF$2,"."&amp;$D$134&amp;$AW$82&amp;"P"&amp;$A163))</f>
        <v>-23</v>
      </c>
      <c r="BG163" s="3">
        <f ca="1">+Hoja2!Y164</f>
        <v>-6</v>
      </c>
      <c r="BH163" s="7">
        <f t="shared" ca="1" si="543"/>
        <v>-2763</v>
      </c>
      <c r="BI163" s="32" t="str">
        <f t="shared" ca="1" si="601"/>
        <v/>
      </c>
      <c r="BJ163" s="3" t="e">
        <f ca="1">IF($BP$1=1,DX163,IF(RTD("tos.rtd",,BJ$43,"."&amp;$B$134&amp;$AS$82&amp;"C"&amp;$A163)="N/A",0,RTD("tos.rtd",,BJ$43,"."&amp;$B$134&amp;$AS$82&amp;"C"&amp;$A163)))</f>
        <v>#NUM!</v>
      </c>
      <c r="BK163" s="3" t="e">
        <f ca="1">IF($BP$1=1,DY163,-IF(RTD("tos.rtd",,BK$43,"."&amp;$B$134&amp;$AS$82&amp;"P"&amp;$A163)="N/A",0,RTD("tos.rtd",,BK$43,"."&amp;$B$134&amp;$AS$82&amp;"P"&amp;$A163)))</f>
        <v>#NUM!</v>
      </c>
      <c r="BL163" s="3" t="e">
        <f ca="1">IF($BP$1=1,DZ163,IF(RTD("tos.rtd",,BL$2,"."&amp;$C$134&amp;$AU$82&amp;"C"&amp;$A163)="N/A",0,RTD("tos.rtd",,BL$2,"."&amp;$C$134&amp;$AU$82&amp;"C"&amp;$A163)))</f>
        <v>#NUM!</v>
      </c>
      <c r="BM163" s="3" t="e">
        <f ca="1">IF($BP$1=1,EA163,-IF(RTD("tos.rtd",,BM$2,"."&amp;$C$134&amp;$AU$82&amp;"P"&amp;$A163)="N/A",0,RTD("tos.rtd",,BM$2,"."&amp;$C$134&amp;$AU$82&amp;"P"&amp;$A163)))</f>
        <v>#NUM!</v>
      </c>
      <c r="BN163" s="3" t="e">
        <f ca="1">IF($BP$1=1,EB163,IF(RTD("tos.rtd",,BN$2,"."&amp;$D$134&amp;$AW$82&amp;"C"&amp;$A163)="N/A",0,RTD("tos.rtd",,BN$2,"."&amp;$D$134&amp;$AW$82&amp;"C"&amp;$A163)))</f>
        <v>#NUM!</v>
      </c>
      <c r="BO163" s="3" t="e">
        <f ca="1">IF($BP$1=1,EC163,-IF(RTD("tos.rtd",,BO$2,"."&amp;$D$134&amp;$AW$82&amp;"P"&amp;$A163)="N/A",0,RTD("tos.rtd",,BO$2,"."&amp;$D$134&amp;$AW$82&amp;"P"&amp;$A163)))</f>
        <v>#NUM!</v>
      </c>
      <c r="BQ163" s="3" t="e">
        <f t="shared" ca="1" si="617"/>
        <v>#NUM!</v>
      </c>
      <c r="BR163" s="3" t="e">
        <f t="shared" ca="1" si="544"/>
        <v>#NUM!</v>
      </c>
      <c r="BS163" s="3" t="e">
        <f t="shared" ca="1" si="618"/>
        <v>#NUM!</v>
      </c>
      <c r="BT163" s="3" t="e">
        <f t="shared" ca="1" si="545"/>
        <v>#NUM!</v>
      </c>
      <c r="BU163" s="3" t="e">
        <f t="shared" ca="1" si="619"/>
        <v>#NUM!</v>
      </c>
      <c r="BV163" s="3" t="e">
        <f t="shared" ca="1" si="545"/>
        <v>#NUM!</v>
      </c>
      <c r="BX163" s="3" t="e">
        <f t="shared" ca="1" si="579"/>
        <v>#NUM!</v>
      </c>
      <c r="BY163" s="3" t="e">
        <f t="shared" ca="1" si="580"/>
        <v>#NUM!</v>
      </c>
      <c r="BZ163" s="3" t="e">
        <f t="shared" ca="1" si="581"/>
        <v>#NUM!</v>
      </c>
      <c r="CA163" s="3" t="e">
        <f t="shared" ca="1" si="580"/>
        <v>#NUM!</v>
      </c>
      <c r="CB163" s="3" t="e">
        <f t="shared" ca="1" si="582"/>
        <v>#NUM!</v>
      </c>
      <c r="CC163" s="3" t="e">
        <f t="shared" ca="1" si="580"/>
        <v>#NUM!</v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0.1</v>
      </c>
      <c r="CF163" s="3">
        <f>IF(RTD("tos.rtd",,CF$2,"."&amp;$C$134&amp;$AU$82&amp;"C"&amp;$A163)="N/A",0,RTD("tos.rtd",,CF$2,"."&amp;$C$134&amp;$AU$82&amp;"C"&amp;$A163))</f>
        <v>1</v>
      </c>
      <c r="CG163" s="3">
        <f>-IF(RTD("tos.rtd",,CG$2,"."&amp;$C$134&amp;$AU$82&amp;"P"&amp;$A163)="N/A",0,RTD("tos.rtd",,CG$2,"."&amp;$C$134&amp;$AU$82&amp;"P"&amp;$A163))</f>
        <v>0</v>
      </c>
      <c r="CH163" s="3">
        <f>IF(RTD("tos.rtd",,CH$2,"."&amp;$D$134&amp;$AW$82&amp;"C"&amp;$A163)="N/A",0,RTD("tos.rtd",,CH$2,"."&amp;$D$134&amp;$AW$82&amp;"C"&amp;$A163))</f>
        <v>0.68</v>
      </c>
      <c r="CI163" s="3">
        <f>-IF(RTD("tos.rtd",,CI$2,"."&amp;$D$134&amp;$AW$82&amp;"P"&amp;$A163)="N/A",0,RTD("tos.rtd",,CI$2,"."&amp;$D$134&amp;$AW$82&amp;"P"&amp;$A163))</f>
        <v>0.33</v>
      </c>
      <c r="CK163" s="3">
        <f t="shared" si="612"/>
        <v>1920</v>
      </c>
      <c r="CL163" s="3"/>
      <c r="CM163" s="3">
        <f t="shared" si="613"/>
        <v>3800</v>
      </c>
      <c r="CN163" s="3"/>
      <c r="CO163" s="3">
        <f t="shared" si="614"/>
        <v>1388</v>
      </c>
      <c r="CP163" s="3">
        <f t="shared" si="536"/>
        <v>7108</v>
      </c>
      <c r="CQ163" s="3">
        <f t="shared" si="546"/>
        <v>0</v>
      </c>
      <c r="CR163" s="3"/>
      <c r="CS163" s="3">
        <f t="shared" si="547"/>
        <v>-2735</v>
      </c>
      <c r="CT163" s="3"/>
      <c r="CU163" s="3">
        <f t="shared" si="548"/>
        <v>-22</v>
      </c>
      <c r="CV163" s="3"/>
      <c r="CW163" s="3" t="e">
        <f t="shared" ca="1" si="549"/>
        <v>#NUM!</v>
      </c>
      <c r="CY163" s="3" t="e">
        <f t="shared" ca="1" si="550"/>
        <v>#NUM!</v>
      </c>
      <c r="CZ163" s="70" t="e">
        <f t="shared" ca="1" si="583"/>
        <v>#NUM!</v>
      </c>
      <c r="DA163" s="3">
        <f>IF(RTD("tos.rtd",,DA$43,"."&amp;$B$134&amp;$AS$82&amp;"C"&amp;$A163)="N/A",0,RTD("tos.rtd",,DA$43,"."&amp;$B$134&amp;$AS$82&amp;"C"&amp;$A163))</f>
        <v>226.81</v>
      </c>
      <c r="DB163" s="3">
        <f>IF(RTD("tos.rtd",,DB$43,"."&amp;$B$134&amp;$AS$82&amp;"P"&amp;$A163)="N/A",0,RTD("tos.rtd",,DB$43,"."&amp;$B$134&amp;$AS$82&amp;"P"&amp;$A163))</f>
        <v>0.05</v>
      </c>
      <c r="DC163" s="3">
        <f>IF(RTD("tos.rtd",,DC$43,"."&amp;$B$134&amp;$AS$82&amp;"C"&amp;$A163)="N/A",0,RTD("tos.rtd",,DC$43,"."&amp;$B$134&amp;$AS$82&amp;"C"&amp;$A163))</f>
        <v>186.5</v>
      </c>
      <c r="DD163" s="3">
        <f>IF(RTD("tos.rtd",,DD$43,"."&amp;$B$134&amp;$AS$82&amp;"P"&amp;$A163)="N/A",0,RTD("tos.rtd",,DD$43,"."&amp;$B$134&amp;$AS$82&amp;"P"&amp;$A163))</f>
        <v>19.8</v>
      </c>
      <c r="DE163" s="3">
        <f>IF(RTD("tos.rtd",,DE$43,"."&amp;$B$134&amp;$AS$82&amp;"C"&amp;$A163)="N/A",0,RTD("tos.rtd",,DE$43,"."&amp;$B$134&amp;$AS$82&amp;"C"&amp;$A163))</f>
        <v>166.5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84"/>
        <v>-246.5</v>
      </c>
      <c r="DH163" s="3">
        <f t="shared" si="551"/>
        <v>-33.170500000000004</v>
      </c>
      <c r="DI163" s="3">
        <f t="shared" si="552"/>
        <v>0.93939393939393945</v>
      </c>
      <c r="DJ163" s="3">
        <f t="shared" si="553"/>
        <v>-11</v>
      </c>
      <c r="DK163" s="3">
        <f t="shared" si="554"/>
        <v>-372</v>
      </c>
      <c r="DL163" s="3">
        <f t="shared" si="555"/>
        <v>-32.231106060606066</v>
      </c>
      <c r="DM163" s="3">
        <f t="shared" si="556"/>
        <v>-383</v>
      </c>
      <c r="DN163" s="64" t="str">
        <f t="shared" si="557"/>
        <v>UNKNOWN</v>
      </c>
      <c r="DO163" s="64" t="str">
        <f t="shared" si="558"/>
        <v>UNKNOWN</v>
      </c>
      <c r="DP163" s="3">
        <f t="shared" si="559"/>
        <v>-7523.3541353030314</v>
      </c>
      <c r="DQ163" s="3">
        <f t="shared" si="560"/>
        <v>-2513.5099999999998</v>
      </c>
      <c r="DR163" s="3" t="e">
        <f t="shared" ca="1" si="561"/>
        <v>#NUM!</v>
      </c>
      <c r="DS163" s="3">
        <f t="shared" si="562"/>
        <v>-48.2</v>
      </c>
      <c r="DT163" s="3">
        <f t="shared" si="585"/>
        <v>-11</v>
      </c>
      <c r="DU163" s="3">
        <f t="shared" si="586"/>
        <v>372</v>
      </c>
      <c r="DV163" s="3">
        <f t="shared" si="563"/>
        <v>-7</v>
      </c>
      <c r="DW163" s="3">
        <f t="shared" si="564"/>
        <v>-55</v>
      </c>
      <c r="DX163" s="3" t="e">
        <f t="shared" ca="1" si="565"/>
        <v>#NUM!</v>
      </c>
      <c r="DY163" s="3" t="e">
        <f t="shared" ca="1" si="566"/>
        <v>#NUM!</v>
      </c>
      <c r="DZ163" s="3" t="e">
        <f t="shared" ca="1" si="567"/>
        <v>#NUM!</v>
      </c>
      <c r="EA163" s="3" t="e">
        <f t="shared" ca="1" si="568"/>
        <v>#NUM!</v>
      </c>
      <c r="EB163" s="3" t="e">
        <f t="shared" ca="1" si="569"/>
        <v>#NUM!</v>
      </c>
      <c r="EC163" s="3" t="e">
        <f t="shared" ca="1" si="570"/>
        <v>#NUM!</v>
      </c>
      <c r="EE163" s="59">
        <f t="shared" si="571"/>
        <v>0.25</v>
      </c>
      <c r="EF163" s="59">
        <f t="shared" si="572"/>
        <v>1.3646</v>
      </c>
      <c r="EG163" s="59">
        <f t="shared" si="573"/>
        <v>0.25</v>
      </c>
      <c r="EH163" s="59">
        <f t="shared" si="574"/>
        <v>0.56530000000000002</v>
      </c>
      <c r="EI163" s="59">
        <f t="shared" si="575"/>
        <v>0.27310000000000001</v>
      </c>
      <c r="EJ163" s="59">
        <f t="shared" si="576"/>
        <v>0.2918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136.46%</v>
      </c>
      <c r="EN163" s="3" t="str">
        <f>RTD("tos.rtd",,EN$2,"."&amp;$C$134&amp;$AU$82&amp;"C"&amp;$A163)</f>
        <v>--</v>
      </c>
      <c r="EO163" s="3" t="str">
        <f>RTD("tos.rtd",,EO$2,"."&amp;$C$134&amp;$AU$82&amp;"P"&amp;$A163)</f>
        <v>56.53%</v>
      </c>
      <c r="EP163" s="3" t="str">
        <f>RTD("tos.rtd",,EP$2,"."&amp;$D$134&amp;$AW$82&amp;"C"&amp;$A163)</f>
        <v>27.31%</v>
      </c>
      <c r="EQ163" s="3" t="str">
        <f>RTD("tos.rtd",,EQ$2,"."&amp;$D$134&amp;$AW$82&amp;"P"&amp;$A163)</f>
        <v>29.18%</v>
      </c>
      <c r="ES163" s="63" t="str">
        <f t="shared" si="577"/>
        <v>19800,-62.00</v>
      </c>
      <c r="ET163" s="64" t="str">
        <f t="shared" ca="1" si="578"/>
        <v>19800,00.00</v>
      </c>
      <c r="EU163" s="68">
        <v>562.92999999999995</v>
      </c>
      <c r="EV163" s="68" t="s">
        <v>1323</v>
      </c>
      <c r="EW163" s="68">
        <v>485.53</v>
      </c>
      <c r="EX163" s="68" t="s">
        <v>1324</v>
      </c>
      <c r="EY163" s="68">
        <v>5643</v>
      </c>
      <c r="EZ163" s="68" t="s">
        <v>1325</v>
      </c>
      <c r="FA163" s="68">
        <v>19945.25</v>
      </c>
      <c r="FB163" s="68" t="s">
        <v>1326</v>
      </c>
      <c r="FC163" s="68" t="s">
        <v>1327</v>
      </c>
      <c r="FD163" s="68" t="s">
        <v>1328</v>
      </c>
      <c r="FE163" s="68" t="s">
        <v>1329</v>
      </c>
      <c r="FF163" s="68" t="s">
        <v>1330</v>
      </c>
    </row>
    <row r="164" spans="1:162" ht="11.1" customHeight="1" thickBot="1" x14ac:dyDescent="0.25">
      <c r="A164" s="2">
        <f t="shared" si="587"/>
        <v>19775</v>
      </c>
      <c r="B164" s="3">
        <f t="shared" si="620"/>
        <v>27</v>
      </c>
      <c r="C164" s="3">
        <f t="shared" si="621"/>
        <v>15</v>
      </c>
      <c r="D164" s="3">
        <f t="shared" si="622"/>
        <v>32</v>
      </c>
      <c r="E164" s="3">
        <f t="shared" si="605"/>
        <v>74</v>
      </c>
      <c r="F164" s="14">
        <f t="shared" si="615"/>
        <v>19873.645648866383</v>
      </c>
      <c r="G164" s="5">
        <f t="shared" si="607"/>
        <v>481.31184994886888</v>
      </c>
      <c r="AM164" s="1">
        <v>-4</v>
      </c>
      <c r="AN164" s="1">
        <v>-37</v>
      </c>
      <c r="AO164" s="1">
        <v>19775</v>
      </c>
      <c r="AP164" s="1">
        <v>4</v>
      </c>
      <c r="AQ164" s="1">
        <v>-89</v>
      </c>
      <c r="AS164" s="54">
        <f>IF(RTD("tos.rtd",,AS$83,"."&amp;$B$134&amp;$AS$82&amp;"C"&amp;$A164)="N/A",0,RTD("tos.rtd",,AS$83,"."&amp;$B$134&amp;$AS$82&amp;"C"&amp;$A164))</f>
        <v>4</v>
      </c>
      <c r="AT164" s="3">
        <f>-IF(RTD("tos.rtd",,AT$83,"."&amp;$B$134&amp;$AS$82&amp;"P"&amp;$A164)="N/A",0,RTD("tos.rtd",,AT$83,"."&amp;$B$134&amp;$AS$82&amp;"P"&amp;$A164))</f>
        <v>-23</v>
      </c>
      <c r="AU164" s="54">
        <f>IF(RTD("tos.rtd",,AU$2,"."&amp;$C$134&amp;$AU$134&amp;"C"&amp;$A164)="N/A",0,RTD("tos.rtd",,AU$2,"."&amp;$C$134&amp;$AU$134&amp;"C"&amp;$A164))</f>
        <v>12</v>
      </c>
      <c r="AV164" s="3">
        <f>-IF(RTD("tos.rtd",,AV$2,"."&amp;$C$134&amp;$AU$134&amp;"P"&amp;$A164)="N/A",0,RTD("tos.rtd",,AV$2,"."&amp;$C$134&amp;$AU$134&amp;"P"&amp;$A164))</f>
        <v>-3</v>
      </c>
      <c r="AW164" s="54">
        <f>IF(RTD("tos.rtd",,AW$2,"."&amp;$D$134&amp;$AW$134&amp;"C"&amp;$A164)="N/A",0,RTD("tos.rtd",,AW$2,"."&amp;$D$134&amp;$AW$134&amp;"C"&amp;$A164))</f>
        <v>22</v>
      </c>
      <c r="AX164" s="3">
        <f>-IF(RTD("tos.rtd",,AX$2,"."&amp;$D$134&amp;$AW$134&amp;"P"&amp;$A164)="N/A",0,RTD("tos.rtd",,AX$2,"."&amp;$D$134&amp;$AW$134&amp;"P"&amp;$A164))</f>
        <v>-10</v>
      </c>
      <c r="AY164" s="76">
        <f t="shared" si="616"/>
        <v>2</v>
      </c>
      <c r="AZ164" s="8">
        <f t="shared" si="542"/>
        <v>19775</v>
      </c>
      <c r="BA164" s="54">
        <f>IF(RTD("tos.rtd",,BA$43,"."&amp;$B$134&amp;$AS$82&amp;"C"&amp;$A164)="N/A",0,RTD("tos.rtd",,BA$43,"."&amp;$B$134&amp;$AS$82&amp;"C"&amp;$A164))</f>
        <v>0</v>
      </c>
      <c r="BB164" s="3">
        <f>-IF(RTD("tos.rtd",,BB$43,"."&amp;$B$134&amp;$AS$82&amp;"P"&amp;$A164)="N/A",0,RTD("tos.rtd",,BB$43,"."&amp;$B$134&amp;$AS$82&amp;"P"&amp;$A164))</f>
        <v>0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-69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-9</v>
      </c>
      <c r="BG164" s="3">
        <f ca="1">+Hoja2!Y165</f>
        <v>1</v>
      </c>
      <c r="BH164" s="7">
        <f t="shared" ca="1" si="543"/>
        <v>-77</v>
      </c>
      <c r="BI164" s="32" t="str">
        <f t="shared" ca="1" si="601"/>
        <v/>
      </c>
      <c r="BJ164" s="3" t="e">
        <f ca="1">IF($BP$1=1,DX164,IF(RTD("tos.rtd",,BJ$43,"."&amp;$B$134&amp;$AS$82&amp;"C"&amp;$A164)="N/A",0,RTD("tos.rtd",,BJ$43,"."&amp;$B$134&amp;$AS$82&amp;"C"&amp;$A164)))</f>
        <v>#NUM!</v>
      </c>
      <c r="BK164" s="3" t="e">
        <f ca="1">IF($BP$1=1,DY164,-IF(RTD("tos.rtd",,BK$43,"."&amp;$B$134&amp;$AS$82&amp;"P"&amp;$A164)="N/A",0,RTD("tos.rtd",,BK$43,"."&amp;$B$134&amp;$AS$82&amp;"P"&amp;$A164)))</f>
        <v>#NUM!</v>
      </c>
      <c r="BL164" s="3" t="e">
        <f ca="1">IF($BP$1=1,DZ164,IF(RTD("tos.rtd",,BL$2,"."&amp;$C$134&amp;$AU$82&amp;"C"&amp;$A164)="N/A",0,RTD("tos.rtd",,BL$2,"."&amp;$C$134&amp;$AU$82&amp;"C"&amp;$A164)))</f>
        <v>#NUM!</v>
      </c>
      <c r="BM164" s="3" t="e">
        <f ca="1">IF($BP$1=1,EA164,-IF(RTD("tos.rtd",,BM$2,"."&amp;$C$134&amp;$AU$82&amp;"P"&amp;$A164)="N/A",0,RTD("tos.rtd",,BM$2,"."&amp;$C$134&amp;$AU$82&amp;"P"&amp;$A164)))</f>
        <v>#NUM!</v>
      </c>
      <c r="BN164" s="3" t="e">
        <f ca="1">IF($BP$1=1,EB164,IF(RTD("tos.rtd",,BN$2,"."&amp;$D$134&amp;$AW$82&amp;"C"&amp;$A164)="N/A",0,RTD("tos.rtd",,BN$2,"."&amp;$D$134&amp;$AW$82&amp;"C"&amp;$A164)))</f>
        <v>#NUM!</v>
      </c>
      <c r="BO164" s="3" t="e">
        <f ca="1">IF($BP$1=1,EC164,-IF(RTD("tos.rtd",,BO$2,"."&amp;$D$134&amp;$AW$82&amp;"P"&amp;$A164)="N/A",0,RTD("tos.rtd",,BO$2,"."&amp;$D$134&amp;$AW$82&amp;"P"&amp;$A164)))</f>
        <v>#NUM!</v>
      </c>
      <c r="BQ164" s="3" t="e">
        <f t="shared" ca="1" si="617"/>
        <v>#NUM!</v>
      </c>
      <c r="BR164" s="3" t="e">
        <f t="shared" ca="1" si="544"/>
        <v>#NUM!</v>
      </c>
      <c r="BS164" s="3" t="e">
        <f t="shared" ca="1" si="618"/>
        <v>#NUM!</v>
      </c>
      <c r="BT164" s="3" t="e">
        <f t="shared" ca="1" si="545"/>
        <v>#NUM!</v>
      </c>
      <c r="BU164" s="3" t="e">
        <f t="shared" ca="1" si="619"/>
        <v>#NUM!</v>
      </c>
      <c r="BV164" s="3" t="e">
        <f t="shared" ca="1" si="545"/>
        <v>#NUM!</v>
      </c>
      <c r="BX164" s="3" t="e">
        <f t="shared" ca="1" si="579"/>
        <v>#NUM!</v>
      </c>
      <c r="BY164" s="3" t="e">
        <f t="shared" ca="1" si="580"/>
        <v>#NUM!</v>
      </c>
      <c r="BZ164" s="3" t="e">
        <f t="shared" ca="1" si="581"/>
        <v>#NUM!</v>
      </c>
      <c r="CA164" s="3" t="e">
        <f t="shared" ca="1" si="580"/>
        <v>#NUM!</v>
      </c>
      <c r="CB164" s="3" t="e">
        <f t="shared" ca="1" si="582"/>
        <v>#NUM!</v>
      </c>
      <c r="CC164" s="3" t="e">
        <f t="shared" ca="1" si="580"/>
        <v>#NUM!</v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0.1</v>
      </c>
      <c r="CF164" s="3">
        <f>IF(RTD("tos.rtd",,CF$2,"."&amp;$C$134&amp;$AU$82&amp;"C"&amp;$A164)="N/A",0,RTD("tos.rtd",,CF$2,"."&amp;$C$134&amp;$AU$82&amp;"C"&amp;$A164))</f>
        <v>1</v>
      </c>
      <c r="CG164" s="3">
        <f>-IF(RTD("tos.rtd",,CG$2,"."&amp;$C$134&amp;$AU$82&amp;"P"&amp;$A164)="N/A",0,RTD("tos.rtd",,CG$2,"."&amp;$C$134&amp;$AU$82&amp;"P"&amp;$A164))</f>
        <v>0.1</v>
      </c>
      <c r="CH164" s="3">
        <f>IF(RTD("tos.rtd",,CH$2,"."&amp;$D$134&amp;$AW$82&amp;"C"&amp;$A164)="N/A",0,RTD("tos.rtd",,CH$2,"."&amp;$D$134&amp;$AW$82&amp;"C"&amp;$A164))</f>
        <v>0.69</v>
      </c>
      <c r="CI164" s="3">
        <f>-IF(RTD("tos.rtd",,CI$2,"."&amp;$D$134&amp;$AW$82&amp;"P"&amp;$A164)="N/A",0,RTD("tos.rtd",,CI$2,"."&amp;$D$134&amp;$AW$82&amp;"P"&amp;$A164))</f>
        <v>0.32</v>
      </c>
      <c r="CK164" s="3">
        <f t="shared" si="612"/>
        <v>169.99999999999997</v>
      </c>
      <c r="CL164" s="3"/>
      <c r="CM164" s="3">
        <f t="shared" si="613"/>
        <v>1170</v>
      </c>
      <c r="CN164" s="3"/>
      <c r="CO164" s="3">
        <f t="shared" si="614"/>
        <v>1198</v>
      </c>
      <c r="CP164" s="3">
        <f t="shared" si="536"/>
        <v>2538</v>
      </c>
      <c r="CQ164" s="3">
        <f t="shared" si="546"/>
        <v>0</v>
      </c>
      <c r="CR164" s="3"/>
      <c r="CS164" s="3">
        <f t="shared" si="547"/>
        <v>-69</v>
      </c>
      <c r="CT164" s="3"/>
      <c r="CU164" s="3">
        <f t="shared" si="548"/>
        <v>-9</v>
      </c>
      <c r="CV164" s="3"/>
      <c r="CW164" s="3" t="e">
        <f t="shared" ca="1" si="549"/>
        <v>#NUM!</v>
      </c>
      <c r="CY164" s="3" t="e">
        <f t="shared" ca="1" si="550"/>
        <v>#NUM!</v>
      </c>
      <c r="CZ164" s="70" t="e">
        <f t="shared" ca="1" si="583"/>
        <v>#NUM!</v>
      </c>
      <c r="DA164" s="3">
        <f>IF(RTD("tos.rtd",,DA$43,"."&amp;$B$134&amp;$AS$82&amp;"C"&amp;$A164)="N/A",0,RTD("tos.rtd",,DA$43,"."&amp;$B$134&amp;$AS$82&amp;"C"&amp;$A164))</f>
        <v>224.07</v>
      </c>
      <c r="DB164" s="3">
        <f>IF(RTD("tos.rtd",,DB$43,"."&amp;$B$134&amp;$AS$82&amp;"P"&amp;$A164)="N/A",0,RTD("tos.rtd",,DB$43,"."&amp;$B$134&amp;$AS$82&amp;"P"&amp;$A164))</f>
        <v>0.25</v>
      </c>
      <c r="DC164" s="3">
        <f>IF(RTD("tos.rtd",,DC$43,"."&amp;$B$134&amp;$AS$82&amp;"C"&amp;$A164)="N/A",0,RTD("tos.rtd",,DC$43,"."&amp;$B$134&amp;$AS$82&amp;"C"&amp;$A164))</f>
        <v>211.5</v>
      </c>
      <c r="DD164" s="3">
        <f>IF(RTD("tos.rtd",,DD$43,"."&amp;$B$134&amp;$AS$82&amp;"P"&amp;$A164)="N/A",0,RTD("tos.rtd",,DD$43,"."&amp;$B$134&amp;$AS$82&amp;"P"&amp;$A164))</f>
        <v>19.8</v>
      </c>
      <c r="DE164" s="3">
        <f>IF(RTD("tos.rtd",,DE$43,"."&amp;$B$134&amp;$AS$82&amp;"C"&amp;$A164)="N/A",0,RTD("tos.rtd",,DE$43,"."&amp;$B$134&amp;$AS$82&amp;"C"&amp;$A164))</f>
        <v>191.5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84"/>
        <v>-271.5</v>
      </c>
      <c r="DH164" s="3">
        <f t="shared" si="551"/>
        <v>-6.5139999999999985</v>
      </c>
      <c r="DI164" s="3">
        <f t="shared" si="552"/>
        <v>1.1237373737373737</v>
      </c>
      <c r="DJ164" s="3">
        <f t="shared" si="553"/>
        <v>-4</v>
      </c>
      <c r="DK164" s="3">
        <f t="shared" si="554"/>
        <v>-89</v>
      </c>
      <c r="DL164" s="3">
        <f t="shared" si="555"/>
        <v>-5.3902626262626248</v>
      </c>
      <c r="DM164" s="3">
        <f t="shared" si="556"/>
        <v>-93</v>
      </c>
      <c r="DN164" s="64" t="str">
        <f t="shared" si="557"/>
        <v>UNKNOWN</v>
      </c>
      <c r="DO164" s="64" t="str">
        <f t="shared" si="558"/>
        <v>UNKNOWN</v>
      </c>
      <c r="DP164" s="3">
        <f t="shared" si="559"/>
        <v>-1459.3110456565653</v>
      </c>
      <c r="DQ164" s="3">
        <f t="shared" si="560"/>
        <v>-918.53</v>
      </c>
      <c r="DR164" s="3" t="e">
        <f t="shared" ca="1" si="561"/>
        <v>#NUM!</v>
      </c>
      <c r="DS164" s="3">
        <f t="shared" si="562"/>
        <v>-12.9</v>
      </c>
      <c r="DT164" s="3">
        <f t="shared" si="585"/>
        <v>-4</v>
      </c>
      <c r="DU164" s="3">
        <f t="shared" si="586"/>
        <v>89</v>
      </c>
      <c r="DV164" s="3">
        <f t="shared" si="563"/>
        <v>-4</v>
      </c>
      <c r="DW164" s="3">
        <f t="shared" si="564"/>
        <v>-37</v>
      </c>
      <c r="DX164" s="3" t="e">
        <f t="shared" ca="1" si="565"/>
        <v>#NUM!</v>
      </c>
      <c r="DY164" s="3" t="e">
        <f t="shared" ca="1" si="566"/>
        <v>#NUM!</v>
      </c>
      <c r="DZ164" s="3" t="e">
        <f t="shared" ca="1" si="567"/>
        <v>#NUM!</v>
      </c>
      <c r="EA164" s="3" t="e">
        <f t="shared" ca="1" si="568"/>
        <v>#NUM!</v>
      </c>
      <c r="EB164" s="3" t="e">
        <f t="shared" ca="1" si="569"/>
        <v>#NUM!</v>
      </c>
      <c r="EC164" s="3" t="e">
        <f t="shared" ca="1" si="570"/>
        <v>#NUM!</v>
      </c>
      <c r="EE164" s="59">
        <f t="shared" si="571"/>
        <v>0.25</v>
      </c>
      <c r="EF164" s="59">
        <f t="shared" si="572"/>
        <v>1.4598</v>
      </c>
      <c r="EG164" s="59">
        <f t="shared" si="573"/>
        <v>0.25</v>
      </c>
      <c r="EH164" s="59">
        <f t="shared" si="574"/>
        <v>1.4598</v>
      </c>
      <c r="EI164" s="59">
        <f t="shared" si="575"/>
        <v>0.27510000000000001</v>
      </c>
      <c r="EJ164" s="59">
        <f t="shared" si="576"/>
        <v>0.29249999999999998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145.98%</v>
      </c>
      <c r="EN164" s="3" t="str">
        <f>RTD("tos.rtd",,EN$2,"."&amp;$C$134&amp;$AU$82&amp;"C"&amp;$A164)</f>
        <v>--</v>
      </c>
      <c r="EO164" s="3" t="str">
        <f>RTD("tos.rtd",,EO$2,"."&amp;$C$134&amp;$AU$82&amp;"P"&amp;$A164)</f>
        <v>145.98%</v>
      </c>
      <c r="EP164" s="3" t="str">
        <f>RTD("tos.rtd",,EP$2,"."&amp;$D$134&amp;$AW$82&amp;"C"&amp;$A164)</f>
        <v>27.51%</v>
      </c>
      <c r="EQ164" s="3" t="str">
        <f>RTD("tos.rtd",,EQ$2,"."&amp;$D$134&amp;$AW$82&amp;"P"&amp;$A164)</f>
        <v>29.25%</v>
      </c>
      <c r="ES164" s="63" t="str">
        <f t="shared" si="577"/>
        <v>19775,-41.00</v>
      </c>
      <c r="ET164" s="64" t="str">
        <f t="shared" ca="1" si="578"/>
        <v>19775,00.00</v>
      </c>
      <c r="EU164" s="68">
        <v>562.96</v>
      </c>
      <c r="EV164" s="68" t="s">
        <v>1331</v>
      </c>
      <c r="EW164" s="68">
        <v>485.54</v>
      </c>
      <c r="EX164" s="68" t="s">
        <v>1332</v>
      </c>
      <c r="EY164" s="68">
        <v>5643.25</v>
      </c>
      <c r="EZ164" s="68" t="s">
        <v>1333</v>
      </c>
      <c r="FA164" s="68">
        <v>19945.75</v>
      </c>
      <c r="FB164" s="68" t="s">
        <v>1334</v>
      </c>
      <c r="FC164" s="68" t="s">
        <v>1335</v>
      </c>
      <c r="FD164" s="68" t="s">
        <v>1336</v>
      </c>
      <c r="FE164" s="68" t="s">
        <v>1337</v>
      </c>
      <c r="FF164" s="68" t="s">
        <v>1338</v>
      </c>
    </row>
    <row r="165" spans="1:162" ht="11.1" customHeight="1" thickBot="1" x14ac:dyDescent="0.25">
      <c r="A165" s="2">
        <f t="shared" si="587"/>
        <v>19750</v>
      </c>
      <c r="B165" s="3">
        <f t="shared" si="620"/>
        <v>26</v>
      </c>
      <c r="C165" s="3">
        <f t="shared" si="621"/>
        <v>27</v>
      </c>
      <c r="D165" s="3">
        <f t="shared" si="622"/>
        <v>86</v>
      </c>
      <c r="E165" s="3">
        <f t="shared" si="605"/>
        <v>139</v>
      </c>
      <c r="F165" s="4">
        <f t="shared" si="615"/>
        <v>19848.520938817248</v>
      </c>
      <c r="G165" s="5">
        <f t="shared" si="607"/>
        <v>480.70336467712565</v>
      </c>
      <c r="AM165" s="1">
        <v>42</v>
      </c>
      <c r="AN165" s="1">
        <v>-88</v>
      </c>
      <c r="AO165" s="1">
        <v>19750</v>
      </c>
      <c r="AP165" s="1">
        <v>45</v>
      </c>
      <c r="AQ165" s="1">
        <v>-363</v>
      </c>
      <c r="AS165" s="54">
        <f>IF(RTD("tos.rtd",,AS$83,"."&amp;$B$134&amp;$AS$82&amp;"C"&amp;$A165)="N/A",0,RTD("tos.rtd",,AS$83,"."&amp;$B$134&amp;$AS$82&amp;"C"&amp;$A165))</f>
        <v>3</v>
      </c>
      <c r="AT165" s="3">
        <f>-IF(RTD("tos.rtd",,AT$83,"."&amp;$B$134&amp;$AS$82&amp;"P"&amp;$A165)="N/A",0,RTD("tos.rtd",,AT$83,"."&amp;$B$134&amp;$AS$82&amp;"P"&amp;$A165))</f>
        <v>-23</v>
      </c>
      <c r="AU165" s="54">
        <f>IF(RTD("tos.rtd",,AU$2,"."&amp;$C$134&amp;$AU$134&amp;"C"&amp;$A165)="N/A",0,RTD("tos.rtd",,AU$2,"."&amp;$C$134&amp;$AU$134&amp;"C"&amp;$A165))</f>
        <v>12</v>
      </c>
      <c r="AV165" s="3">
        <f>-IF(RTD("tos.rtd",,AV$2,"."&amp;$C$134&amp;$AU$134&amp;"P"&amp;$A165)="N/A",0,RTD("tos.rtd",,AV$2,"."&amp;$C$134&amp;$AU$134&amp;"P"&amp;$A165))</f>
        <v>-15</v>
      </c>
      <c r="AW165" s="54">
        <f>IF(RTD("tos.rtd",,AW$2,"."&amp;$D$134&amp;$AW$134&amp;"C"&amp;$A165)="N/A",0,RTD("tos.rtd",,AW$2,"."&amp;$D$134&amp;$AW$134&amp;"C"&amp;$A165))</f>
        <v>71</v>
      </c>
      <c r="AX165" s="3">
        <f>-IF(RTD("tos.rtd",,AX$2,"."&amp;$D$134&amp;$AW$134&amp;"P"&amp;$A165)="N/A",0,RTD("tos.rtd",,AX$2,"."&amp;$D$134&amp;$AW$134&amp;"P"&amp;$A165))</f>
        <v>-15</v>
      </c>
      <c r="AY165" s="76">
        <f t="shared" si="616"/>
        <v>33</v>
      </c>
      <c r="AZ165" s="8">
        <f t="shared" si="542"/>
        <v>19750</v>
      </c>
      <c r="BA165" s="54">
        <f>IF(RTD("tos.rtd",,BA$43,"."&amp;$B$134&amp;$AS$82&amp;"C"&amp;$A165)="N/A",0,RTD("tos.rtd",,BA$43,"."&amp;$B$134&amp;$AS$82&amp;"C"&amp;$A165))</f>
        <v>0</v>
      </c>
      <c r="BB165" s="3">
        <f>-IF(RTD("tos.rtd",,BB$43,"."&amp;$B$134&amp;$AS$82&amp;"P"&amp;$A165)="N/A",0,RTD("tos.rtd",,BB$43,"."&amp;$B$134&amp;$AS$82&amp;"P"&amp;$A165))</f>
        <v>0</v>
      </c>
      <c r="BC165" s="54">
        <f>IF(RTD("tos.rtd",,BC$2,"."&amp;$C$134&amp;$AU$82&amp;"C"&amp;$A165)="N/A",0,RTD("tos.rtd",,BC$2,"."&amp;$C$134&amp;$AU$82&amp;"C"&amp;$A165))</f>
        <v>1</v>
      </c>
      <c r="BD165" s="3">
        <f>-IF(RTD("tos.rtd",,BD$2,"."&amp;$C$134&amp;$AU$82&amp;"P"&amp;$A165)="N/A",0,RTD("tos.rtd",,BD$2,"."&amp;$C$134&amp;$AU$82&amp;"P"&amp;$A165))</f>
        <v>-290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-13</v>
      </c>
      <c r="BG165" s="3">
        <f ca="1">+Hoja2!Y166</f>
        <v>-4</v>
      </c>
      <c r="BH165" s="7">
        <f t="shared" ca="1" si="543"/>
        <v>-306</v>
      </c>
      <c r="BI165" s="32" t="str">
        <f t="shared" ca="1" si="601"/>
        <v/>
      </c>
      <c r="BJ165" s="3" t="e">
        <f ca="1">IF($BP$1=1,DX165,IF(RTD("tos.rtd",,BJ$43,"."&amp;$B$134&amp;$AS$82&amp;"C"&amp;$A165)="N/A",0,RTD("tos.rtd",,BJ$43,"."&amp;$B$134&amp;$AS$82&amp;"C"&amp;$A165)))</f>
        <v>#NUM!</v>
      </c>
      <c r="BK165" s="3" t="e">
        <f ca="1">IF($BP$1=1,DY165,-IF(RTD("tos.rtd",,BK$43,"."&amp;$B$134&amp;$AS$82&amp;"P"&amp;$A165)="N/A",0,RTD("tos.rtd",,BK$43,"."&amp;$B$134&amp;$AS$82&amp;"P"&amp;$A165)))</f>
        <v>#NUM!</v>
      </c>
      <c r="BL165" s="3" t="e">
        <f ca="1">IF($BP$1=1,DZ165,IF(RTD("tos.rtd",,BL$2,"."&amp;$C$134&amp;$AU$82&amp;"C"&amp;$A165)="N/A",0,RTD("tos.rtd",,BL$2,"."&amp;$C$134&amp;$AU$82&amp;"C"&amp;$A165)))</f>
        <v>#NUM!</v>
      </c>
      <c r="BM165" s="3" t="e">
        <f ca="1">IF($BP$1=1,EA165,-IF(RTD("tos.rtd",,BM$2,"."&amp;$C$134&amp;$AU$82&amp;"P"&amp;$A165)="N/A",0,RTD("tos.rtd",,BM$2,"."&amp;$C$134&amp;$AU$82&amp;"P"&amp;$A165)))</f>
        <v>#NUM!</v>
      </c>
      <c r="BN165" s="3" t="e">
        <f ca="1">IF($BP$1=1,EB165,IF(RTD("tos.rtd",,BN$2,"."&amp;$D$134&amp;$AW$82&amp;"C"&amp;$A165)="N/A",0,RTD("tos.rtd",,BN$2,"."&amp;$D$134&amp;$AW$82&amp;"C"&amp;$A165)))</f>
        <v>#NUM!</v>
      </c>
      <c r="BO165" s="3" t="e">
        <f ca="1">IF($BP$1=1,EC165,-IF(RTD("tos.rtd",,BO$2,"."&amp;$D$134&amp;$AW$82&amp;"P"&amp;$A165)="N/A",0,RTD("tos.rtd",,BO$2,"."&amp;$D$134&amp;$AW$82&amp;"P"&amp;$A165)))</f>
        <v>#NUM!</v>
      </c>
      <c r="BQ165" s="3" t="e">
        <f t="shared" ca="1" si="617"/>
        <v>#NUM!</v>
      </c>
      <c r="BR165" s="3" t="e">
        <f t="shared" ca="1" si="544"/>
        <v>#NUM!</v>
      </c>
      <c r="BS165" s="3" t="e">
        <f t="shared" ca="1" si="618"/>
        <v>#NUM!</v>
      </c>
      <c r="BT165" s="3" t="e">
        <f t="shared" ca="1" si="545"/>
        <v>#NUM!</v>
      </c>
      <c r="BU165" s="3" t="e">
        <f t="shared" ca="1" si="619"/>
        <v>#NUM!</v>
      </c>
      <c r="BV165" s="3" t="e">
        <f t="shared" ca="1" si="545"/>
        <v>#NUM!</v>
      </c>
      <c r="BX165" s="3" t="e">
        <f t="shared" ca="1" si="579"/>
        <v>#NUM!</v>
      </c>
      <c r="BY165" s="3" t="e">
        <f t="shared" ca="1" si="580"/>
        <v>#NUM!</v>
      </c>
      <c r="BZ165" s="3" t="e">
        <f t="shared" ca="1" si="581"/>
        <v>#NUM!</v>
      </c>
      <c r="CA165" s="3" t="e">
        <f t="shared" ca="1" si="580"/>
        <v>#NUM!</v>
      </c>
      <c r="CB165" s="3" t="e">
        <f t="shared" ca="1" si="582"/>
        <v>#NUM!</v>
      </c>
      <c r="CC165" s="3" t="e">
        <f t="shared" ca="1" si="580"/>
        <v>#NUM!</v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0.09</v>
      </c>
      <c r="CF165" s="3">
        <f>IF(RTD("tos.rtd",,CF$2,"."&amp;$C$134&amp;$AU$82&amp;"C"&amp;$A165)="N/A",0,RTD("tos.rtd",,CF$2,"."&amp;$C$134&amp;$AU$82&amp;"C"&amp;$A165))</f>
        <v>1</v>
      </c>
      <c r="CG165" s="3">
        <f>-IF(RTD("tos.rtd",,CG$2,"."&amp;$C$134&amp;$AU$82&amp;"P"&amp;$A165)="N/A",0,RTD("tos.rtd",,CG$2,"."&amp;$C$134&amp;$AU$82&amp;"P"&amp;$A165))</f>
        <v>7.0000000000000007E-2</v>
      </c>
      <c r="CH165" s="3">
        <f>IF(RTD("tos.rtd",,CH$2,"."&amp;$D$134&amp;$AW$82&amp;"C"&amp;$A165)="N/A",0,RTD("tos.rtd",,CH$2,"."&amp;$D$134&amp;$AW$82&amp;"C"&amp;$A165))</f>
        <v>0.7</v>
      </c>
      <c r="CI165" s="3">
        <f>-IF(RTD("tos.rtd",,CI$2,"."&amp;$D$134&amp;$AW$82&amp;"P"&amp;$A165)="N/A",0,RTD("tos.rtd",,CI$2,"."&amp;$D$134&amp;$AW$82&amp;"P"&amp;$A165))</f>
        <v>0.31</v>
      </c>
      <c r="CK165" s="3">
        <f t="shared" si="612"/>
        <v>93.000000000000028</v>
      </c>
      <c r="CL165" s="3"/>
      <c r="CM165" s="3">
        <f t="shared" si="613"/>
        <v>1095</v>
      </c>
      <c r="CN165" s="3"/>
      <c r="CO165" s="3">
        <f t="shared" si="614"/>
        <v>4505</v>
      </c>
      <c r="CP165" s="3">
        <f t="shared" si="536"/>
        <v>5693</v>
      </c>
      <c r="CQ165" s="3">
        <f t="shared" si="546"/>
        <v>0</v>
      </c>
      <c r="CR165" s="3"/>
      <c r="CS165" s="3">
        <f t="shared" si="547"/>
        <v>-289</v>
      </c>
      <c r="CT165" s="3"/>
      <c r="CU165" s="3">
        <f t="shared" si="548"/>
        <v>-13</v>
      </c>
      <c r="CV165" s="3"/>
      <c r="CW165" s="3" t="e">
        <f t="shared" ca="1" si="549"/>
        <v>#NUM!</v>
      </c>
      <c r="CY165" s="3" t="e">
        <f t="shared" ca="1" si="550"/>
        <v>#NUM!</v>
      </c>
      <c r="CZ165" s="70" t="e">
        <f t="shared" ca="1" si="583"/>
        <v>#NUM!</v>
      </c>
      <c r="DA165" s="3">
        <f>IF(RTD("tos.rtd",,DA$43,"."&amp;$B$134&amp;$AS$82&amp;"C"&amp;$A165)="N/A",0,RTD("tos.rtd",,DA$43,"."&amp;$B$134&amp;$AS$82&amp;"C"&amp;$A165))</f>
        <v>223.87</v>
      </c>
      <c r="DB165" s="3">
        <f>IF(RTD("tos.rtd",,DB$43,"."&amp;$B$134&amp;$AS$82&amp;"P"&amp;$A165)="N/A",0,RTD("tos.rtd",,DB$43,"."&amp;$B$134&amp;$AS$82&amp;"P"&amp;$A165))</f>
        <v>0.13</v>
      </c>
      <c r="DC165" s="3">
        <f>IF(RTD("tos.rtd",,DC$43,"."&amp;$B$134&amp;$AS$82&amp;"C"&amp;$A165)="N/A",0,RTD("tos.rtd",,DC$43,"."&amp;$B$134&amp;$AS$82&amp;"C"&amp;$A165))</f>
        <v>233.5</v>
      </c>
      <c r="DD165" s="3">
        <f>IF(RTD("tos.rtd",,DD$43,"."&amp;$B$134&amp;$AS$82&amp;"P"&amp;$A165)="N/A",0,RTD("tos.rtd",,DD$43,"."&amp;$B$134&amp;$AS$82&amp;"P"&amp;$A165))</f>
        <v>19.8</v>
      </c>
      <c r="DE165" s="3">
        <f>IF(RTD("tos.rtd",,DE$43,"."&amp;$B$134&amp;$AS$82&amp;"C"&amp;$A165)="N/A",0,RTD("tos.rtd",,DE$43,"."&amp;$B$134&amp;$AS$82&amp;"C"&amp;$A165))</f>
        <v>213.5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84"/>
        <v>-296.5</v>
      </c>
      <c r="DH165" s="3">
        <f t="shared" si="551"/>
        <v>-23.332500000000007</v>
      </c>
      <c r="DI165" s="3">
        <f t="shared" si="552"/>
        <v>2.3833333333333333</v>
      </c>
      <c r="DJ165" s="3">
        <f t="shared" si="553"/>
        <v>0</v>
      </c>
      <c r="DK165" s="3">
        <f t="shared" si="554"/>
        <v>-363</v>
      </c>
      <c r="DL165" s="3">
        <f t="shared" si="555"/>
        <v>-20.949166666666674</v>
      </c>
      <c r="DM165" s="3">
        <f t="shared" si="556"/>
        <v>-363</v>
      </c>
      <c r="DN165" s="64" t="str">
        <f t="shared" si="557"/>
        <v>UNKNOWN</v>
      </c>
      <c r="DO165" s="64" t="str">
        <f t="shared" si="558"/>
        <v>UNKNOWN</v>
      </c>
      <c r="DP165" s="3">
        <f t="shared" si="559"/>
        <v>-5223.1369416666676</v>
      </c>
      <c r="DQ165" s="3">
        <f t="shared" si="560"/>
        <v>-47.190000000000005</v>
      </c>
      <c r="DR165" s="3" t="e">
        <f t="shared" ca="1" si="561"/>
        <v>#NUM!</v>
      </c>
      <c r="DS165" s="3">
        <f t="shared" si="562"/>
        <v>-32.67</v>
      </c>
      <c r="DT165" s="3">
        <f t="shared" si="585"/>
        <v>-45</v>
      </c>
      <c r="DU165" s="3">
        <f t="shared" si="586"/>
        <v>363</v>
      </c>
      <c r="DV165" s="3">
        <f t="shared" si="563"/>
        <v>42</v>
      </c>
      <c r="DW165" s="3">
        <f t="shared" si="564"/>
        <v>-88</v>
      </c>
      <c r="DX165" s="3" t="e">
        <f t="shared" ca="1" si="565"/>
        <v>#NUM!</v>
      </c>
      <c r="DY165" s="3" t="e">
        <f t="shared" ca="1" si="566"/>
        <v>#NUM!</v>
      </c>
      <c r="DZ165" s="3" t="e">
        <f t="shared" ca="1" si="567"/>
        <v>#NUM!</v>
      </c>
      <c r="EA165" s="3" t="e">
        <f t="shared" ca="1" si="568"/>
        <v>#NUM!</v>
      </c>
      <c r="EB165" s="3" t="e">
        <f t="shared" ca="1" si="569"/>
        <v>#NUM!</v>
      </c>
      <c r="EC165" s="3" t="e">
        <f t="shared" ca="1" si="570"/>
        <v>#NUM!</v>
      </c>
      <c r="EE165" s="59">
        <f t="shared" si="571"/>
        <v>0.25</v>
      </c>
      <c r="EF165" s="59">
        <f t="shared" si="572"/>
        <v>1.5539000000000001</v>
      </c>
      <c r="EG165" s="59">
        <f t="shared" si="573"/>
        <v>0.25</v>
      </c>
      <c r="EH165" s="59">
        <f t="shared" si="574"/>
        <v>1.4023000000000001</v>
      </c>
      <c r="EI165" s="59">
        <f t="shared" si="575"/>
        <v>0.27450000000000002</v>
      </c>
      <c r="EJ165" s="59">
        <f t="shared" si="576"/>
        <v>0.29320000000000002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155.39%</v>
      </c>
      <c r="EN165" s="3" t="str">
        <f>RTD("tos.rtd",,EN$2,"."&amp;$C$134&amp;$AU$82&amp;"C"&amp;$A165)</f>
        <v>--</v>
      </c>
      <c r="EO165" s="3" t="str">
        <f>RTD("tos.rtd",,EO$2,"."&amp;$C$134&amp;$AU$82&amp;"P"&amp;$A165)</f>
        <v>140.23%</v>
      </c>
      <c r="EP165" s="3" t="str">
        <f>RTD("tos.rtd",,EP$2,"."&amp;$D$134&amp;$AW$82&amp;"C"&amp;$A165)</f>
        <v>27.45%</v>
      </c>
      <c r="EQ165" s="3" t="str">
        <f>RTD("tos.rtd",,EQ$2,"."&amp;$D$134&amp;$AW$82&amp;"P"&amp;$A165)</f>
        <v>29.32%</v>
      </c>
      <c r="ES165" s="63" t="str">
        <f t="shared" si="577"/>
        <v>19750,-46.00</v>
      </c>
      <c r="ET165" s="64" t="str">
        <f t="shared" ca="1" si="578"/>
        <v>19750,00.00</v>
      </c>
      <c r="EU165" s="68">
        <v>562.95000000000005</v>
      </c>
      <c r="EV165" s="68" t="s">
        <v>1339</v>
      </c>
      <c r="EW165" s="68">
        <v>485.55</v>
      </c>
      <c r="EX165" s="68" t="s">
        <v>1340</v>
      </c>
      <c r="EY165" s="68">
        <v>5643.25</v>
      </c>
      <c r="EZ165" s="68" t="s">
        <v>1341</v>
      </c>
      <c r="FA165" s="68">
        <v>19946.25</v>
      </c>
      <c r="FB165" s="68" t="s">
        <v>1342</v>
      </c>
      <c r="FC165" s="68" t="s">
        <v>1343</v>
      </c>
      <c r="FD165" s="68" t="s">
        <v>1344</v>
      </c>
      <c r="FE165" s="68" t="s">
        <v>1345</v>
      </c>
      <c r="FF165" s="68" t="s">
        <v>1346</v>
      </c>
    </row>
    <row r="166" spans="1:162" ht="11.1" customHeight="1" thickBot="1" x14ac:dyDescent="0.25">
      <c r="A166" s="2">
        <f t="shared" si="587"/>
        <v>19725</v>
      </c>
      <c r="B166" s="3">
        <f t="shared" si="620"/>
        <v>10</v>
      </c>
      <c r="C166" s="3">
        <f t="shared" si="621"/>
        <v>18</v>
      </c>
      <c r="D166" s="3">
        <f t="shared" si="622"/>
        <v>70</v>
      </c>
      <c r="E166" s="3">
        <f t="shared" si="605"/>
        <v>98</v>
      </c>
      <c r="F166" s="4">
        <f t="shared" si="615"/>
        <v>19823.396228768113</v>
      </c>
      <c r="G166" s="5">
        <f t="shared" si="607"/>
        <v>480.09487940538247</v>
      </c>
      <c r="AM166" s="1">
        <v>0</v>
      </c>
      <c r="AN166" s="1">
        <v>-21</v>
      </c>
      <c r="AO166" s="1">
        <v>19725</v>
      </c>
      <c r="AP166" s="1">
        <v>0</v>
      </c>
      <c r="AQ166" s="1">
        <v>-74</v>
      </c>
      <c r="AS166" s="54">
        <f>IF(RTD("tos.rtd",,AS$83,"."&amp;$B$134&amp;$AS$82&amp;"C"&amp;$A166)="N/A",0,RTD("tos.rtd",,AS$83,"."&amp;$B$134&amp;$AS$82&amp;"C"&amp;$A166))</f>
        <v>1</v>
      </c>
      <c r="AT166" s="3">
        <f>-IF(RTD("tos.rtd",,AT$83,"."&amp;$B$134&amp;$AS$82&amp;"P"&amp;$A166)="N/A",0,RTD("tos.rtd",,AT$83,"."&amp;$B$134&amp;$AS$82&amp;"P"&amp;$A166))</f>
        <v>-9</v>
      </c>
      <c r="AU166" s="54">
        <f>IF(RTD("tos.rtd",,AU$2,"."&amp;$C$134&amp;$AU$134&amp;"C"&amp;$A166)="N/A",0,RTD("tos.rtd",,AU$2,"."&amp;$C$134&amp;$AU$134&amp;"C"&amp;$A166))</f>
        <v>9</v>
      </c>
      <c r="AV166" s="3">
        <f>-IF(RTD("tos.rtd",,AV$2,"."&amp;$C$134&amp;$AU$134&amp;"P"&amp;$A166)="N/A",0,RTD("tos.rtd",,AV$2,"."&amp;$C$134&amp;$AU$134&amp;"P"&amp;$A166))</f>
        <v>-9</v>
      </c>
      <c r="AW166" s="54">
        <f>IF(RTD("tos.rtd",,AW$2,"."&amp;$D$134&amp;$AW$134&amp;"C"&amp;$A166)="N/A",0,RTD("tos.rtd",,AW$2,"."&amp;$D$134&amp;$AW$134&amp;"C"&amp;$A166))</f>
        <v>43</v>
      </c>
      <c r="AX166" s="3">
        <f>-IF(RTD("tos.rtd",,AX$2,"."&amp;$D$134&amp;$AW$134&amp;"P"&amp;$A166)="N/A",0,RTD("tos.rtd",,AX$2,"."&amp;$D$134&amp;$AW$134&amp;"P"&amp;$A166))</f>
        <v>-27</v>
      </c>
      <c r="AY166" s="76">
        <f t="shared" si="616"/>
        <v>8</v>
      </c>
      <c r="AZ166" s="8">
        <f t="shared" si="542"/>
        <v>19725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0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-41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-2</v>
      </c>
      <c r="BG166" s="3">
        <f ca="1">+Hoja2!Y167</f>
        <v>0</v>
      </c>
      <c r="BH166" s="7">
        <f t="shared" ca="1" si="543"/>
        <v>-43</v>
      </c>
      <c r="BI166" s="32" t="str">
        <f t="shared" ca="1" si="601"/>
        <v/>
      </c>
      <c r="BJ166" s="3" t="e">
        <f ca="1">IF($BP$1=1,DX166,IF(RTD("tos.rtd",,BJ$43,"."&amp;$B$134&amp;$AS$82&amp;"C"&amp;$A166)="N/A",0,RTD("tos.rtd",,BJ$43,"."&amp;$B$134&amp;$AS$82&amp;"C"&amp;$A166)))</f>
        <v>#NUM!</v>
      </c>
      <c r="BK166" s="3" t="e">
        <f ca="1">IF($BP$1=1,DY166,-IF(RTD("tos.rtd",,BK$43,"."&amp;$B$134&amp;$AS$82&amp;"P"&amp;$A166)="N/A",0,RTD("tos.rtd",,BK$43,"."&amp;$B$134&amp;$AS$82&amp;"P"&amp;$A166)))</f>
        <v>#NUM!</v>
      </c>
      <c r="BL166" s="3" t="e">
        <f ca="1">IF($BP$1=1,DZ166,IF(RTD("tos.rtd",,BL$2,"."&amp;$C$134&amp;$AU$82&amp;"C"&amp;$A166)="N/A",0,RTD("tos.rtd",,BL$2,"."&amp;$C$134&amp;$AU$82&amp;"C"&amp;$A166)))</f>
        <v>#NUM!</v>
      </c>
      <c r="BM166" s="3" t="e">
        <f ca="1">IF($BP$1=1,EA166,-IF(RTD("tos.rtd",,BM$2,"."&amp;$C$134&amp;$AU$82&amp;"P"&amp;$A166)="N/A",0,RTD("tos.rtd",,BM$2,"."&amp;$C$134&amp;$AU$82&amp;"P"&amp;$A166)))</f>
        <v>#NUM!</v>
      </c>
      <c r="BN166" s="3" t="e">
        <f ca="1">IF($BP$1=1,EB166,IF(RTD("tos.rtd",,BN$2,"."&amp;$D$134&amp;$AW$82&amp;"C"&amp;$A166)="N/A",0,RTD("tos.rtd",,BN$2,"."&amp;$D$134&amp;$AW$82&amp;"C"&amp;$A166)))</f>
        <v>#NUM!</v>
      </c>
      <c r="BO166" s="3" t="e">
        <f ca="1">IF($BP$1=1,EC166,-IF(RTD("tos.rtd",,BO$2,"."&amp;$D$134&amp;$AW$82&amp;"P"&amp;$A166)="N/A",0,RTD("tos.rtd",,BO$2,"."&amp;$D$134&amp;$AW$82&amp;"P"&amp;$A166)))</f>
        <v>#NUM!</v>
      </c>
      <c r="BQ166" s="3" t="e">
        <f t="shared" ca="1" si="617"/>
        <v>#NUM!</v>
      </c>
      <c r="BR166" s="3" t="e">
        <f t="shared" ca="1" si="544"/>
        <v>#NUM!</v>
      </c>
      <c r="BS166" s="3" t="e">
        <f t="shared" ca="1" si="618"/>
        <v>#NUM!</v>
      </c>
      <c r="BT166" s="3" t="e">
        <f t="shared" ca="1" si="545"/>
        <v>#NUM!</v>
      </c>
      <c r="BU166" s="3" t="e">
        <f t="shared" ca="1" si="619"/>
        <v>#NUM!</v>
      </c>
      <c r="BV166" s="3" t="e">
        <f t="shared" ca="1" si="545"/>
        <v>#NUM!</v>
      </c>
      <c r="BX166" s="3" t="e">
        <f t="shared" ca="1" si="579"/>
        <v>#NUM!</v>
      </c>
      <c r="BY166" s="3" t="e">
        <f t="shared" ca="1" si="580"/>
        <v>#NUM!</v>
      </c>
      <c r="BZ166" s="3" t="e">
        <f t="shared" ca="1" si="581"/>
        <v>#NUM!</v>
      </c>
      <c r="CA166" s="3" t="e">
        <f t="shared" ca="1" si="580"/>
        <v>#NUM!</v>
      </c>
      <c r="CB166" s="3" t="e">
        <f t="shared" ca="1" si="582"/>
        <v>#NUM!</v>
      </c>
      <c r="CC166" s="3" t="e">
        <f t="shared" ca="1" si="580"/>
        <v>#NUM!</v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0.09</v>
      </c>
      <c r="CF166" s="3">
        <f>IF(RTD("tos.rtd",,CF$2,"."&amp;$C$134&amp;$AU$82&amp;"C"&amp;$A166)="N/A",0,RTD("tos.rtd",,CF$2,"."&amp;$C$134&amp;$AU$82&amp;"C"&amp;$A166))</f>
        <v>1</v>
      </c>
      <c r="CG166" s="3">
        <f>-IF(RTD("tos.rtd",,CG$2,"."&amp;$C$134&amp;$AU$82&amp;"P"&amp;$A166)="N/A",0,RTD("tos.rtd",,CG$2,"."&amp;$C$134&amp;$AU$82&amp;"P"&amp;$A166))</f>
        <v>0.09</v>
      </c>
      <c r="CH166" s="3">
        <f>IF(RTD("tos.rtd",,CH$2,"."&amp;$D$134&amp;$AW$82&amp;"C"&amp;$A166)="N/A",0,RTD("tos.rtd",,CH$2,"."&amp;$D$134&amp;$AW$82&amp;"C"&amp;$A166))</f>
        <v>0.72</v>
      </c>
      <c r="CI166" s="3">
        <f>-IF(RTD("tos.rtd",,CI$2,"."&amp;$D$134&amp;$AW$82&amp;"P"&amp;$A166)="N/A",0,RTD("tos.rtd",,CI$2,"."&amp;$D$134&amp;$AW$82&amp;"P"&amp;$A166))</f>
        <v>0.3</v>
      </c>
      <c r="CK166" s="3">
        <f t="shared" si="612"/>
        <v>19</v>
      </c>
      <c r="CL166" s="3"/>
      <c r="CM166" s="3">
        <f t="shared" si="613"/>
        <v>819</v>
      </c>
      <c r="CN166" s="3"/>
      <c r="CO166" s="3">
        <f t="shared" si="614"/>
        <v>2285.9999999999995</v>
      </c>
      <c r="CP166" s="3">
        <f t="shared" si="536"/>
        <v>3123.9999999999995</v>
      </c>
      <c r="CQ166" s="3">
        <f t="shared" si="546"/>
        <v>0</v>
      </c>
      <c r="CR166" s="3"/>
      <c r="CS166" s="3">
        <f t="shared" si="547"/>
        <v>-41</v>
      </c>
      <c r="CT166" s="3"/>
      <c r="CU166" s="3">
        <f t="shared" si="548"/>
        <v>-2</v>
      </c>
      <c r="CV166" s="3"/>
      <c r="CW166" s="3" t="e">
        <f t="shared" ca="1" si="549"/>
        <v>#NUM!</v>
      </c>
      <c r="CY166" s="3" t="e">
        <f t="shared" ca="1" si="550"/>
        <v>#NUM!</v>
      </c>
      <c r="CZ166" s="70" t="e">
        <f t="shared" ca="1" si="583"/>
        <v>#NUM!</v>
      </c>
      <c r="DA166" s="3">
        <f>IF(RTD("tos.rtd",,DA$43,"."&amp;$B$134&amp;$AS$82&amp;"C"&amp;$A166)="N/A",0,RTD("tos.rtd",,DA$43,"."&amp;$B$134&amp;$AS$82&amp;"C"&amp;$A166))</f>
        <v>300.3</v>
      </c>
      <c r="DB166" s="3">
        <f>IF(RTD("tos.rtd",,DB$43,"."&amp;$B$134&amp;$AS$82&amp;"P"&amp;$A166)="N/A",0,RTD("tos.rtd",,DB$43,"."&amp;$B$134&amp;$AS$82&amp;"P"&amp;$A166))</f>
        <v>0.25</v>
      </c>
      <c r="DC166" s="3">
        <f>IF(RTD("tos.rtd",,DC$43,"."&amp;$B$134&amp;$AS$82&amp;"C"&amp;$A166)="N/A",0,RTD("tos.rtd",,DC$43,"."&amp;$B$134&amp;$AS$82&amp;"C"&amp;$A166))</f>
        <v>277.10000000000002</v>
      </c>
      <c r="DD166" s="3">
        <f>IF(RTD("tos.rtd",,DD$43,"."&amp;$B$134&amp;$AS$82&amp;"P"&amp;$A166)="N/A",0,RTD("tos.rtd",,DD$43,"."&amp;$B$134&amp;$AS$82&amp;"P"&amp;$A166))</f>
        <v>19.8</v>
      </c>
      <c r="DE166" s="3">
        <f>IF(RTD("tos.rtd",,DE$43,"."&amp;$B$134&amp;$AS$82&amp;"C"&amp;$A166)="N/A",0,RTD("tos.rtd",,DE$43,"."&amp;$B$134&amp;$AS$82&amp;"C"&amp;$A166))</f>
        <v>227.1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84"/>
        <v>-321.5</v>
      </c>
      <c r="DH166" s="3">
        <f t="shared" si="551"/>
        <v>0</v>
      </c>
      <c r="DI166" s="3">
        <f t="shared" si="552"/>
        <v>0.93434343434343436</v>
      </c>
      <c r="DJ166" s="3">
        <f t="shared" si="553"/>
        <v>0</v>
      </c>
      <c r="DK166" s="3">
        <f t="shared" si="554"/>
        <v>-74</v>
      </c>
      <c r="DL166" s="3">
        <f t="shared" si="555"/>
        <v>0.93434343434343436</v>
      </c>
      <c r="DM166" s="3">
        <f t="shared" si="556"/>
        <v>-74</v>
      </c>
      <c r="DN166" s="64" t="str">
        <f t="shared" si="557"/>
        <v>UNKNOWN</v>
      </c>
      <c r="DO166" s="64" t="str">
        <f t="shared" si="558"/>
        <v>UNKNOWN</v>
      </c>
      <c r="DP166" s="3">
        <f t="shared" si="559"/>
        <v>0.23358585858585859</v>
      </c>
      <c r="DQ166" s="3">
        <f t="shared" si="560"/>
        <v>-18.5</v>
      </c>
      <c r="DR166" s="3" t="e">
        <f t="shared" ca="1" si="561"/>
        <v>#NUM!</v>
      </c>
      <c r="DS166" s="3">
        <f t="shared" si="562"/>
        <v>-6.66</v>
      </c>
      <c r="DT166" s="3">
        <f t="shared" si="585"/>
        <v>0</v>
      </c>
      <c r="DU166" s="3">
        <f t="shared" si="586"/>
        <v>74</v>
      </c>
      <c r="DV166" s="3">
        <f t="shared" si="563"/>
        <v>0</v>
      </c>
      <c r="DW166" s="3">
        <f t="shared" si="564"/>
        <v>-21</v>
      </c>
      <c r="DX166" s="3" t="e">
        <f t="shared" ca="1" si="565"/>
        <v>#NUM!</v>
      </c>
      <c r="DY166" s="3" t="e">
        <f t="shared" ca="1" si="566"/>
        <v>#NUM!</v>
      </c>
      <c r="DZ166" s="3" t="e">
        <f t="shared" ca="1" si="567"/>
        <v>#NUM!</v>
      </c>
      <c r="EA166" s="3" t="e">
        <f t="shared" ca="1" si="568"/>
        <v>#NUM!</v>
      </c>
      <c r="EB166" s="3" t="e">
        <f t="shared" ca="1" si="569"/>
        <v>#NUM!</v>
      </c>
      <c r="EC166" s="3" t="e">
        <f t="shared" ca="1" si="570"/>
        <v>#NUM!</v>
      </c>
      <c r="EE166" s="59">
        <f t="shared" si="571"/>
        <v>0.25</v>
      </c>
      <c r="EF166" s="59">
        <f t="shared" si="572"/>
        <v>1.6468</v>
      </c>
      <c r="EG166" s="59">
        <f t="shared" si="573"/>
        <v>0.25</v>
      </c>
      <c r="EH166" s="59">
        <f t="shared" si="574"/>
        <v>1.6468</v>
      </c>
      <c r="EI166" s="59">
        <f t="shared" si="575"/>
        <v>0.27550000000000002</v>
      </c>
      <c r="EJ166" s="59">
        <f t="shared" si="576"/>
        <v>0.29370000000000002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164.68%</v>
      </c>
      <c r="EN166" s="3" t="str">
        <f>RTD("tos.rtd",,EN$2,"."&amp;$C$134&amp;$AU$82&amp;"C"&amp;$A166)</f>
        <v>--</v>
      </c>
      <c r="EO166" s="3" t="str">
        <f>RTD("tos.rtd",,EO$2,"."&amp;$C$134&amp;$AU$82&amp;"P"&amp;$A166)</f>
        <v>164.68%</v>
      </c>
      <c r="EP166" s="3" t="str">
        <f>RTD("tos.rtd",,EP$2,"."&amp;$D$134&amp;$AW$82&amp;"C"&amp;$A166)</f>
        <v>27.55%</v>
      </c>
      <c r="EQ166" s="3" t="str">
        <f>RTD("tos.rtd",,EQ$2,"."&amp;$D$134&amp;$AW$82&amp;"P"&amp;$A166)</f>
        <v>29.37%</v>
      </c>
      <c r="ES166" s="63" t="str">
        <f t="shared" si="577"/>
        <v>19725,-21.00</v>
      </c>
      <c r="ET166" s="64" t="str">
        <f t="shared" ca="1" si="578"/>
        <v>19725,00.00</v>
      </c>
      <c r="EU166" s="68">
        <v>562.92999999999995</v>
      </c>
      <c r="EV166" s="68" t="s">
        <v>1347</v>
      </c>
      <c r="EW166" s="68">
        <v>485.56</v>
      </c>
      <c r="EX166" s="68" t="s">
        <v>1348</v>
      </c>
      <c r="EY166" s="68">
        <v>5642.75</v>
      </c>
      <c r="EZ166" s="68" t="s">
        <v>1349</v>
      </c>
      <c r="FA166" s="68">
        <v>19945.75</v>
      </c>
      <c r="FB166" s="68" t="s">
        <v>1350</v>
      </c>
      <c r="FC166" s="68" t="s">
        <v>1351</v>
      </c>
      <c r="FD166" s="68" t="s">
        <v>1352</v>
      </c>
      <c r="FE166" s="68" t="s">
        <v>1353</v>
      </c>
      <c r="FF166" s="68" t="s">
        <v>1354</v>
      </c>
    </row>
    <row r="167" spans="1:162" ht="11.1" customHeight="1" thickBot="1" x14ac:dyDescent="0.25">
      <c r="A167" s="2">
        <f t="shared" si="587"/>
        <v>19700</v>
      </c>
      <c r="B167" s="3">
        <f t="shared" ref="B167:B181" si="623">+IF($A$1="ABS",AS167-AT167,AS167+AT167)</f>
        <v>26</v>
      </c>
      <c r="C167" s="3">
        <f t="shared" ref="C167:C181" si="624">+IF($A$1="ABS",AU167-AV167,AU167+AV167)</f>
        <v>26</v>
      </c>
      <c r="D167" s="3">
        <f t="shared" ref="D167:D181" si="625">+IF($A$1="ABS",AW167-AX167,AW167+AX167)</f>
        <v>85</v>
      </c>
      <c r="E167" s="3">
        <f t="shared" ref="E167:E181" si="626">SUM(B167:D167)</f>
        <v>137</v>
      </c>
      <c r="F167" s="4">
        <f t="shared" ref="F167:F181" si="627">+$F$136/$A$136*A167</f>
        <v>19798.271518718975</v>
      </c>
      <c r="G167" s="5">
        <f t="shared" ref="G167:G181" si="628">+$G$136/$A$136*A167</f>
        <v>479.48639413363929</v>
      </c>
      <c r="AM167" s="1">
        <v>1</v>
      </c>
      <c r="AN167" s="1">
        <v>-184</v>
      </c>
      <c r="AO167" s="1">
        <v>19700</v>
      </c>
      <c r="AP167" s="1">
        <v>8</v>
      </c>
      <c r="AQ167" s="1">
        <v>-621</v>
      </c>
      <c r="AS167" s="54">
        <f>IF(RTD("tos.rtd",,AS$83,"."&amp;$B$134&amp;$AS$82&amp;"C"&amp;$A167)="N/A",0,RTD("tos.rtd",,AS$83,"."&amp;$B$134&amp;$AS$82&amp;"C"&amp;$A167))</f>
        <v>10</v>
      </c>
      <c r="AT167" s="3">
        <f>-IF(RTD("tos.rtd",,AT$83,"."&amp;$B$134&amp;$AS$82&amp;"P"&amp;$A167)="N/A",0,RTD("tos.rtd",,AT$83,"."&amp;$B$134&amp;$AS$82&amp;"P"&amp;$A167))</f>
        <v>-16</v>
      </c>
      <c r="AU167" s="54">
        <f>IF(RTD("tos.rtd",,AU$2,"."&amp;$C$134&amp;$AU$134&amp;"C"&amp;$A167)="N/A",0,RTD("tos.rtd",,AU$2,"."&amp;$C$134&amp;$AU$134&amp;"C"&amp;$A167))</f>
        <v>6</v>
      </c>
      <c r="AV167" s="3">
        <f>-IF(RTD("tos.rtd",,AV$2,"."&amp;$C$134&amp;$AU$134&amp;"P"&amp;$A167)="N/A",0,RTD("tos.rtd",,AV$2,"."&amp;$C$134&amp;$AU$134&amp;"P"&amp;$A167))</f>
        <v>-20</v>
      </c>
      <c r="AW167" s="54">
        <f>IF(RTD("tos.rtd",,AW$2,"."&amp;$D$134&amp;$AW$134&amp;"C"&amp;$A167)="N/A",0,RTD("tos.rtd",,AW$2,"."&amp;$D$134&amp;$AW$134&amp;"C"&amp;$A167))</f>
        <v>37</v>
      </c>
      <c r="AX167" s="3">
        <f>-IF(RTD("tos.rtd",,AX$2,"."&amp;$D$134&amp;$AW$134&amp;"P"&amp;$A167)="N/A",0,RTD("tos.rtd",,AX$2,"."&amp;$D$134&amp;$AW$134&amp;"P"&amp;$A167))</f>
        <v>-48</v>
      </c>
      <c r="AY167" s="76">
        <f t="shared" ref="AY167:AY181" si="629">SUM(AS167:AX167)</f>
        <v>-31</v>
      </c>
      <c r="AZ167" s="8">
        <f t="shared" si="542"/>
        <v>19700</v>
      </c>
      <c r="BA167" s="54">
        <f>IF(RTD("tos.rtd",,BA$43,"."&amp;$B$134&amp;$AS$82&amp;"C"&amp;$A167)="N/A",0,RTD("tos.rtd",,BA$43,"."&amp;$B$134&amp;$AS$82&amp;"C"&amp;$A167))</f>
        <v>0</v>
      </c>
      <c r="BB167" s="3">
        <f>-IF(RTD("tos.rtd",,BB$43,"."&amp;$B$134&amp;$AS$82&amp;"P"&amp;$A167)="N/A",0,RTD("tos.rtd",,BB$43,"."&amp;$B$134&amp;$AS$82&amp;"P"&amp;$A167))</f>
        <v>0</v>
      </c>
      <c r="BC167" s="54">
        <f>IF(RTD("tos.rtd",,BC$2,"."&amp;$C$134&amp;$AU$82&amp;"C"&amp;$A167)="N/A",0,RTD("tos.rtd",,BC$2,"."&amp;$C$134&amp;$AU$82&amp;"C"&amp;$A167))</f>
        <v>5</v>
      </c>
      <c r="BD167" s="3">
        <f>-IF(RTD("tos.rtd",,BD$2,"."&amp;$C$134&amp;$AU$82&amp;"P"&amp;$A167)="N/A",0,RTD("tos.rtd",,BD$2,"."&amp;$C$134&amp;$AU$82&amp;"P"&amp;$A167))</f>
        <v>-312</v>
      </c>
      <c r="BE167" s="54">
        <f>IF(RTD("tos.rtd",,BE$2,"."&amp;$D$134&amp;$AW$82&amp;"C"&amp;$A167)="N/A",0,RTD("tos.rtd",,BE$2,"."&amp;$D$134&amp;$AW$82&amp;"C"&amp;$A167))</f>
        <v>1</v>
      </c>
      <c r="BF167" s="3">
        <f>-IF(RTD("tos.rtd",,BF$2,"."&amp;$D$134&amp;$AW$82&amp;"P"&amp;$A167)="N/A",0,RTD("tos.rtd",,BF$2,"."&amp;$D$134&amp;$AW$82&amp;"P"&amp;$A167))</f>
        <v>-8</v>
      </c>
      <c r="BG167" s="3">
        <f ca="1">+Hoja2!Y168</f>
        <v>-1</v>
      </c>
      <c r="BH167" s="7">
        <f t="shared" ca="1" si="543"/>
        <v>-315</v>
      </c>
      <c r="BI167" s="32" t="str">
        <f t="shared" ca="1" si="601"/>
        <v/>
      </c>
      <c r="BJ167" s="3" t="e">
        <f ca="1">IF($BP$1=1,DX167,IF(RTD("tos.rtd",,BJ$43,"."&amp;$B$134&amp;$AS$82&amp;"C"&amp;$A167)="N/A",0,RTD("tos.rtd",,BJ$43,"."&amp;$B$134&amp;$AS$82&amp;"C"&amp;$A167)))</f>
        <v>#NUM!</v>
      </c>
      <c r="BK167" s="3" t="e">
        <f ca="1">IF($BP$1=1,DY167,-IF(RTD("tos.rtd",,BK$43,"."&amp;$B$134&amp;$AS$82&amp;"P"&amp;$A167)="N/A",0,RTD("tos.rtd",,BK$43,"."&amp;$B$134&amp;$AS$82&amp;"P"&amp;$A167)))</f>
        <v>#NUM!</v>
      </c>
      <c r="BL167" s="3" t="e">
        <f ca="1">IF($BP$1=1,DZ167,IF(RTD("tos.rtd",,BL$2,"."&amp;$C$134&amp;$AU$82&amp;"C"&amp;$A167)="N/A",0,RTD("tos.rtd",,BL$2,"."&amp;$C$134&amp;$AU$82&amp;"C"&amp;$A167)))</f>
        <v>#NUM!</v>
      </c>
      <c r="BM167" s="3" t="e">
        <f ca="1">IF($BP$1=1,EA167,-IF(RTD("tos.rtd",,BM$2,"."&amp;$C$134&amp;$AU$82&amp;"P"&amp;$A167)="N/A",0,RTD("tos.rtd",,BM$2,"."&amp;$C$134&amp;$AU$82&amp;"P"&amp;$A167)))</f>
        <v>#NUM!</v>
      </c>
      <c r="BN167" s="3" t="e">
        <f ca="1">IF($BP$1=1,EB167,IF(RTD("tos.rtd",,BN$2,"."&amp;$D$134&amp;$AW$82&amp;"C"&amp;$A167)="N/A",0,RTD("tos.rtd",,BN$2,"."&amp;$D$134&amp;$AW$82&amp;"C"&amp;$A167)))</f>
        <v>#NUM!</v>
      </c>
      <c r="BO167" s="3" t="e">
        <f ca="1">IF($BP$1=1,EC167,-IF(RTD("tos.rtd",,BO$2,"."&amp;$D$134&amp;$AW$82&amp;"P"&amp;$A167)="N/A",0,RTD("tos.rtd",,BO$2,"."&amp;$D$134&amp;$AW$82&amp;"P"&amp;$A167)))</f>
        <v>#NUM!</v>
      </c>
      <c r="BQ167" s="3" t="e">
        <f t="shared" ref="BQ167:BQ181" ca="1" si="630">+$A$84*$A$84*AS167*BJ167-$A$84*$A$84*AT167*BK167</f>
        <v>#NUM!</v>
      </c>
      <c r="BR167" s="3" t="e">
        <f t="shared" ca="1" si="544"/>
        <v>#NUM!</v>
      </c>
      <c r="BS167" s="3" t="e">
        <f t="shared" ref="BS167:BS181" ca="1" si="631">+$A$84*$A$84*AU167*BL167-$A$84*$A$84*AV167*BM167</f>
        <v>#NUM!</v>
      </c>
      <c r="BT167" s="3" t="e">
        <f t="shared" ca="1" si="545"/>
        <v>#NUM!</v>
      </c>
      <c r="BU167" s="3" t="e">
        <f t="shared" ref="BU167:BU181" ca="1" si="632">+$A$84*$A$84*AW167*BN167-$A$84*$A$84*AX167*BO167</f>
        <v>#NUM!</v>
      </c>
      <c r="BV167" s="3" t="e">
        <f t="shared" ca="1" si="545"/>
        <v>#NUM!</v>
      </c>
      <c r="BX167" s="3" t="e">
        <f t="shared" ca="1" si="579"/>
        <v>#NUM!</v>
      </c>
      <c r="BY167" s="3" t="e">
        <f t="shared" ca="1" si="580"/>
        <v>#NUM!</v>
      </c>
      <c r="BZ167" s="3" t="e">
        <f t="shared" ca="1" si="581"/>
        <v>#NUM!</v>
      </c>
      <c r="CA167" s="3" t="e">
        <f t="shared" ca="1" si="580"/>
        <v>#NUM!</v>
      </c>
      <c r="CB167" s="3" t="e">
        <f t="shared" ca="1" si="582"/>
        <v>#NUM!</v>
      </c>
      <c r="CC167" s="3" t="e">
        <f t="shared" ca="1" si="580"/>
        <v>#NUM!</v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</v>
      </c>
      <c r="CF167" s="3">
        <f>IF(RTD("tos.rtd",,CF$2,"."&amp;$C$134&amp;$AU$82&amp;"C"&amp;$A167)="N/A",0,RTD("tos.rtd",,CF$2,"."&amp;$C$134&amp;$AU$82&amp;"C"&amp;$A167))</f>
        <v>1</v>
      </c>
      <c r="CG167" s="3">
        <f>-IF(RTD("tos.rtd",,CG$2,"."&amp;$C$134&amp;$AU$82&amp;"P"&amp;$A167)="N/A",0,RTD("tos.rtd",,CG$2,"."&amp;$C$134&amp;$AU$82&amp;"P"&amp;$A167))</f>
        <v>0.03</v>
      </c>
      <c r="CH167" s="3">
        <f>IF(RTD("tos.rtd",,CH$2,"."&amp;$D$134&amp;$AW$82&amp;"C"&amp;$A167)="N/A",0,RTD("tos.rtd",,CH$2,"."&amp;$D$134&amp;$AW$82&amp;"C"&amp;$A167))</f>
        <v>0.73</v>
      </c>
      <c r="CI167" s="3">
        <f>-IF(RTD("tos.rtd",,CI$2,"."&amp;$D$134&amp;$AW$82&amp;"P"&amp;$A167)="N/A",0,RTD("tos.rtd",,CI$2,"."&amp;$D$134&amp;$AW$82&amp;"P"&amp;$A167))</f>
        <v>0.28000000000000003</v>
      </c>
      <c r="CK167" s="3">
        <f t="shared" si="612"/>
        <v>1000</v>
      </c>
      <c r="CL167" s="3"/>
      <c r="CM167" s="3">
        <f t="shared" si="613"/>
        <v>540</v>
      </c>
      <c r="CN167" s="3"/>
      <c r="CO167" s="3">
        <f t="shared" si="614"/>
        <v>1356.9999999999998</v>
      </c>
      <c r="CP167" s="3">
        <f t="shared" si="536"/>
        <v>2897</v>
      </c>
      <c r="CQ167" s="3">
        <f t="shared" si="546"/>
        <v>0</v>
      </c>
      <c r="CR167" s="3"/>
      <c r="CS167" s="3">
        <f t="shared" si="547"/>
        <v>-307</v>
      </c>
      <c r="CT167" s="3"/>
      <c r="CU167" s="3">
        <f t="shared" si="548"/>
        <v>-7</v>
      </c>
      <c r="CV167" s="3"/>
      <c r="CW167" s="3" t="e">
        <f t="shared" ca="1" si="549"/>
        <v>#NUM!</v>
      </c>
      <c r="CY167" s="3" t="e">
        <f t="shared" ca="1" si="550"/>
        <v>#NUM!</v>
      </c>
      <c r="CZ167" s="70" t="e">
        <f t="shared" ca="1" si="583"/>
        <v>#NUM!</v>
      </c>
      <c r="DA167" s="3">
        <f>IF(RTD("tos.rtd",,DA$43,"."&amp;$B$134&amp;$AS$82&amp;"C"&amp;$A167)="N/A",0,RTD("tos.rtd",,DA$43,"."&amp;$B$134&amp;$AS$82&amp;"C"&amp;$A167))</f>
        <v>322.42</v>
      </c>
      <c r="DB167" s="3">
        <f>IF(RTD("tos.rtd",,DB$43,"."&amp;$B$134&amp;$AS$82&amp;"P"&amp;$A167)="N/A",0,RTD("tos.rtd",,DB$43,"."&amp;$B$134&amp;$AS$82&amp;"P"&amp;$A167))</f>
        <v>0.15</v>
      </c>
      <c r="DC167" s="3">
        <f>IF(RTD("tos.rtd",,DC$43,"."&amp;$B$134&amp;$AS$82&amp;"C"&amp;$A167)="N/A",0,RTD("tos.rtd",,DC$43,"."&amp;$B$134&amp;$AS$82&amp;"C"&amp;$A167))</f>
        <v>302</v>
      </c>
      <c r="DD167" s="3">
        <f>IF(RTD("tos.rtd",,DD$43,"."&amp;$B$134&amp;$AS$82&amp;"P"&amp;$A167)="N/A",0,RTD("tos.rtd",,DD$43,"."&amp;$B$134&amp;$AS$82&amp;"P"&amp;$A167))</f>
        <v>0.2</v>
      </c>
      <c r="DE167" s="3">
        <f>IF(RTD("tos.rtd",,DE$43,"."&amp;$B$134&amp;$AS$82&amp;"C"&amp;$A167)="N/A",0,RTD("tos.rtd",,DE$43,"."&amp;$B$134&amp;$AS$82&amp;"C"&amp;$A167))</f>
        <v>252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84"/>
        <v>-346.5</v>
      </c>
      <c r="DH167" s="3">
        <f t="shared" si="551"/>
        <v>-11.267200000000003</v>
      </c>
      <c r="DI167" s="3">
        <f t="shared" si="552"/>
        <v>465.74999999999994</v>
      </c>
      <c r="DJ167" s="3">
        <f t="shared" si="553"/>
        <v>-8</v>
      </c>
      <c r="DK167" s="3">
        <f t="shared" si="554"/>
        <v>621</v>
      </c>
      <c r="DL167" s="3">
        <f t="shared" si="555"/>
        <v>454.48279999999994</v>
      </c>
      <c r="DM167" s="3">
        <f t="shared" si="556"/>
        <v>613</v>
      </c>
      <c r="DN167" s="64" t="str">
        <f t="shared" si="557"/>
        <v>UNKNOWN</v>
      </c>
      <c r="DO167" s="64" t="str">
        <f t="shared" si="558"/>
        <v>UNKNOWN</v>
      </c>
      <c r="DP167" s="3">
        <f t="shared" si="559"/>
        <v>-3562.908124000001</v>
      </c>
      <c r="DQ167" s="3">
        <f t="shared" si="560"/>
        <v>-2486.21</v>
      </c>
      <c r="DR167" s="3" t="e">
        <f t="shared" ca="1" si="561"/>
        <v>#NUM!</v>
      </c>
      <c r="DS167" s="3">
        <f t="shared" si="562"/>
        <v>-8</v>
      </c>
      <c r="DT167" s="3">
        <f t="shared" si="585"/>
        <v>-8</v>
      </c>
      <c r="DU167" s="3">
        <f t="shared" si="586"/>
        <v>621</v>
      </c>
      <c r="DV167" s="3">
        <f t="shared" si="563"/>
        <v>1</v>
      </c>
      <c r="DW167" s="3">
        <f t="shared" si="564"/>
        <v>-184</v>
      </c>
      <c r="DX167" s="3" t="e">
        <f t="shared" ca="1" si="565"/>
        <v>#NUM!</v>
      </c>
      <c r="DY167" s="3" t="e">
        <f t="shared" ca="1" si="566"/>
        <v>#NUM!</v>
      </c>
      <c r="DZ167" s="3" t="e">
        <f t="shared" ca="1" si="567"/>
        <v>#NUM!</v>
      </c>
      <c r="EA167" s="3" t="e">
        <f t="shared" ca="1" si="568"/>
        <v>#NUM!</v>
      </c>
      <c r="EB167" s="3" t="e">
        <f t="shared" ca="1" si="569"/>
        <v>#NUM!</v>
      </c>
      <c r="EC167" s="3" t="e">
        <f t="shared" ca="1" si="570"/>
        <v>#NUM!</v>
      </c>
      <c r="EE167" s="59">
        <f t="shared" si="571"/>
        <v>0.25</v>
      </c>
      <c r="EF167" s="59">
        <f t="shared" si="572"/>
        <v>0.86129999999999995</v>
      </c>
      <c r="EG167" s="59">
        <f t="shared" si="573"/>
        <v>0.25</v>
      </c>
      <c r="EH167" s="59">
        <f t="shared" si="574"/>
        <v>1.2962</v>
      </c>
      <c r="EI167" s="59">
        <f t="shared" si="575"/>
        <v>0.28000000000000003</v>
      </c>
      <c r="EJ167" s="59">
        <f t="shared" si="576"/>
        <v>0.2944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86.13%</v>
      </c>
      <c r="EN167" s="3" t="str">
        <f>RTD("tos.rtd",,EN$2,"."&amp;$C$134&amp;$AU$82&amp;"C"&amp;$A167)</f>
        <v>--</v>
      </c>
      <c r="EO167" s="3" t="str">
        <f>RTD("tos.rtd",,EO$2,"."&amp;$C$134&amp;$AU$82&amp;"P"&amp;$A167)</f>
        <v>129.62%</v>
      </c>
      <c r="EP167" s="3" t="str">
        <f>RTD("tos.rtd",,EP$2,"."&amp;$D$134&amp;$AW$82&amp;"C"&amp;$A167)</f>
        <v>28.00%</v>
      </c>
      <c r="EQ167" s="3" t="str">
        <f>RTD("tos.rtd",,EQ$2,"."&amp;$D$134&amp;$AW$82&amp;"P"&amp;$A167)</f>
        <v>29.44%</v>
      </c>
      <c r="ES167" s="63" t="str">
        <f t="shared" si="577"/>
        <v>19700,-183.00</v>
      </c>
      <c r="ET167" s="64" t="str">
        <f t="shared" ca="1" si="578"/>
        <v>19700,00.00</v>
      </c>
      <c r="EU167" s="68">
        <v>562.86</v>
      </c>
      <c r="EV167" s="68" t="s">
        <v>1355</v>
      </c>
      <c r="EW167" s="68">
        <v>485.52</v>
      </c>
      <c r="EX167" s="68" t="s">
        <v>1356</v>
      </c>
      <c r="EY167" s="68">
        <v>5642.5</v>
      </c>
      <c r="EZ167" s="68" t="s">
        <v>1357</v>
      </c>
      <c r="FA167" s="68">
        <v>19944.75</v>
      </c>
      <c r="FB167" s="68" t="s">
        <v>1358</v>
      </c>
      <c r="FC167" s="68" t="s">
        <v>1359</v>
      </c>
      <c r="FD167" s="68" t="s">
        <v>1360</v>
      </c>
      <c r="FE167" s="68" t="s">
        <v>1361</v>
      </c>
      <c r="FF167" s="68" t="s">
        <v>1362</v>
      </c>
    </row>
    <row r="168" spans="1:162" ht="11.1" customHeight="1" thickBot="1" x14ac:dyDescent="0.25">
      <c r="A168" s="2">
        <f t="shared" si="587"/>
        <v>19675</v>
      </c>
      <c r="B168" s="3">
        <f t="shared" ref="B168:B175" si="633">+IF($A$1="ABS",AS168-AT168,AS168+AT168)</f>
        <v>11</v>
      </c>
      <c r="C168" s="3">
        <f t="shared" ref="C168:C175" si="634">+IF($A$1="ABS",AU168-AV168,AU168+AV168)</f>
        <v>12</v>
      </c>
      <c r="D168" s="3">
        <f t="shared" ref="D168:D175" si="635">+IF($A$1="ABS",AW168-AX168,AW168+AX168)</f>
        <v>20</v>
      </c>
      <c r="E168" s="3">
        <f t="shared" ref="E168:E175" si="636">SUM(B168:D168)</f>
        <v>43</v>
      </c>
      <c r="F168" s="4">
        <f t="shared" ref="F168:F175" si="637">+$F$136/$A$136*A168</f>
        <v>19773.146808669841</v>
      </c>
      <c r="G168" s="5">
        <f t="shared" ref="G168:G175" si="638">+$G$136/$A$136*A168</f>
        <v>478.87790886189606</v>
      </c>
      <c r="AM168" s="1">
        <v>-3</v>
      </c>
      <c r="AN168" s="1">
        <v>-1006</v>
      </c>
      <c r="AO168" s="1">
        <v>19675</v>
      </c>
      <c r="AP168" s="1">
        <v>3</v>
      </c>
      <c r="AQ168" s="1">
        <v>-1101</v>
      </c>
      <c r="AS168" s="54">
        <f>IF(RTD("tos.rtd",,AS$83,"."&amp;$B$134&amp;$AS$82&amp;"C"&amp;$A168)="N/A",0,RTD("tos.rtd",,AS$83,"."&amp;$B$134&amp;$AS$82&amp;"C"&amp;$A168))</f>
        <v>1</v>
      </c>
      <c r="AT168" s="3">
        <f>-IF(RTD("tos.rtd",,AT$83,"."&amp;$B$134&amp;$AS$82&amp;"P"&amp;$A168)="N/A",0,RTD("tos.rtd",,AT$83,"."&amp;$B$134&amp;$AS$82&amp;"P"&amp;$A168))</f>
        <v>-10</v>
      </c>
      <c r="AU168" s="54">
        <f>IF(RTD("tos.rtd",,AU$2,"."&amp;$C$134&amp;$AU$134&amp;"C"&amp;$A168)="N/A",0,RTD("tos.rtd",,AU$2,"."&amp;$C$134&amp;$AU$134&amp;"C"&amp;$A168))</f>
        <v>5</v>
      </c>
      <c r="AV168" s="3">
        <f>-IF(RTD("tos.rtd",,AV$2,"."&amp;$C$134&amp;$AU$134&amp;"P"&amp;$A168)="N/A",0,RTD("tos.rtd",,AV$2,"."&amp;$C$134&amp;$AU$134&amp;"P"&amp;$A168))</f>
        <v>-7</v>
      </c>
      <c r="AW168" s="54">
        <f>IF(RTD("tos.rtd",,AW$2,"."&amp;$D$134&amp;$AW$134&amp;"C"&amp;$A168)="N/A",0,RTD("tos.rtd",,AW$2,"."&amp;$D$134&amp;$AW$134&amp;"C"&amp;$A168))</f>
        <v>8</v>
      </c>
      <c r="AX168" s="3">
        <f>-IF(RTD("tos.rtd",,AX$2,"."&amp;$D$134&amp;$AW$134&amp;"P"&amp;$A168)="N/A",0,RTD("tos.rtd",,AX$2,"."&amp;$D$134&amp;$AW$134&amp;"P"&amp;$A168))</f>
        <v>-12</v>
      </c>
      <c r="AY168" s="76">
        <f t="shared" ref="AY168:AY175" si="639">SUM(AS168:AX168)</f>
        <v>-15</v>
      </c>
      <c r="AZ168" s="8">
        <f t="shared" si="542"/>
        <v>19675</v>
      </c>
      <c r="BA168" s="54">
        <f>IF(RTD("tos.rtd",,BA$43,"."&amp;$B$134&amp;$AS$82&amp;"C"&amp;$A168)="N/A",0,RTD("tos.rtd",,BA$43,"."&amp;$B$134&amp;$AS$82&amp;"C"&amp;$A168))</f>
        <v>0</v>
      </c>
      <c r="BB168" s="3">
        <f>-IF(RTD("tos.rtd",,BB$43,"."&amp;$B$134&amp;$AS$82&amp;"P"&amp;$A168)="N/A",0,RTD("tos.rtd",,BB$43,"."&amp;$B$134&amp;$AS$82&amp;"P"&amp;$A168))</f>
        <v>0</v>
      </c>
      <c r="BC168" s="54">
        <f>IF(RTD("tos.rtd",,BC$2,"."&amp;$C$134&amp;$AU$82&amp;"C"&amp;$A168)="N/A",0,RTD("tos.rtd",,BC$2,"."&amp;$C$134&amp;$AU$82&amp;"C"&amp;$A168))</f>
        <v>2</v>
      </c>
      <c r="BD168" s="3">
        <f>-IF(RTD("tos.rtd",,BD$2,"."&amp;$C$134&amp;$AU$82&amp;"P"&amp;$A168)="N/A",0,RTD("tos.rtd",,BD$2,"."&amp;$C$134&amp;$AU$82&amp;"P"&amp;$A168))</f>
        <v>-42</v>
      </c>
      <c r="BE168" s="54">
        <f>IF(RTD("tos.rtd",,BE$2,"."&amp;$D$134&amp;$AW$82&amp;"C"&amp;$A168)="N/A",0,RTD("tos.rtd",,BE$2,"."&amp;$D$134&amp;$AW$82&amp;"C"&amp;$A168))</f>
        <v>1</v>
      </c>
      <c r="BF168" s="3">
        <f>-IF(RTD("tos.rtd",,BF$2,"."&amp;$D$134&amp;$AW$82&amp;"P"&amp;$A168)="N/A",0,RTD("tos.rtd",,BF$2,"."&amp;$D$134&amp;$AW$82&amp;"P"&amp;$A168))</f>
        <v>-4</v>
      </c>
      <c r="BG168" s="3">
        <f ca="1">+Hoja2!Y169</f>
        <v>-4</v>
      </c>
      <c r="BH168" s="7">
        <f t="shared" ca="1" si="543"/>
        <v>-47</v>
      </c>
      <c r="BI168" s="32" t="str">
        <f t="shared" ca="1" si="601"/>
        <v/>
      </c>
      <c r="BJ168" s="3" t="e">
        <f ca="1">IF($BP$1=1,DX168,IF(RTD("tos.rtd",,BJ$43,"."&amp;$B$134&amp;$AS$82&amp;"C"&amp;$A168)="N/A",0,RTD("tos.rtd",,BJ$43,"."&amp;$B$134&amp;$AS$82&amp;"C"&amp;$A168)))</f>
        <v>#NUM!</v>
      </c>
      <c r="BK168" s="3" t="e">
        <f ca="1">IF($BP$1=1,DY168,-IF(RTD("tos.rtd",,BK$43,"."&amp;$B$134&amp;$AS$82&amp;"P"&amp;$A168)="N/A",0,RTD("tos.rtd",,BK$43,"."&amp;$B$134&amp;$AS$82&amp;"P"&amp;$A168)))</f>
        <v>#NUM!</v>
      </c>
      <c r="BL168" s="3" t="e">
        <f ca="1">IF($BP$1=1,DZ168,IF(RTD("tos.rtd",,BL$2,"."&amp;$C$134&amp;$AU$82&amp;"C"&amp;$A168)="N/A",0,RTD("tos.rtd",,BL$2,"."&amp;$C$134&amp;$AU$82&amp;"C"&amp;$A168)))</f>
        <v>#NUM!</v>
      </c>
      <c r="BM168" s="3" t="e">
        <f ca="1">IF($BP$1=1,EA168,-IF(RTD("tos.rtd",,BM$2,"."&amp;$C$134&amp;$AU$82&amp;"P"&amp;$A168)="N/A",0,RTD("tos.rtd",,BM$2,"."&amp;$C$134&amp;$AU$82&amp;"P"&amp;$A168)))</f>
        <v>#NUM!</v>
      </c>
      <c r="BN168" s="3" t="e">
        <f ca="1">IF($BP$1=1,EB168,IF(RTD("tos.rtd",,BN$2,"."&amp;$D$134&amp;$AW$82&amp;"C"&amp;$A168)="N/A",0,RTD("tos.rtd",,BN$2,"."&amp;$D$134&amp;$AW$82&amp;"C"&amp;$A168)))</f>
        <v>#NUM!</v>
      </c>
      <c r="BO168" s="3" t="e">
        <f ca="1">IF($BP$1=1,EC168,-IF(RTD("tos.rtd",,BO$2,"."&amp;$D$134&amp;$AW$82&amp;"P"&amp;$A168)="N/A",0,RTD("tos.rtd",,BO$2,"."&amp;$D$134&amp;$AW$82&amp;"P"&amp;$A168)))</f>
        <v>#NUM!</v>
      </c>
      <c r="BQ168" s="3" t="e">
        <f t="shared" ref="BQ168:BQ175" ca="1" si="640">+$A$84*$A$84*AS168*BJ168-$A$84*$A$84*AT168*BK168</f>
        <v>#NUM!</v>
      </c>
      <c r="BR168" s="3" t="e">
        <f t="shared" ca="1" si="544"/>
        <v>#NUM!</v>
      </c>
      <c r="BS168" s="3" t="e">
        <f t="shared" ref="BS168:BS175" ca="1" si="641">+$A$84*$A$84*AU168*BL168-$A$84*$A$84*AV168*BM168</f>
        <v>#NUM!</v>
      </c>
      <c r="BT168" s="3" t="e">
        <f t="shared" ca="1" si="545"/>
        <v>#NUM!</v>
      </c>
      <c r="BU168" s="3" t="e">
        <f t="shared" ref="BU168:BU175" ca="1" si="642">+$A$84*$A$84*AW168*BN168-$A$84*$A$84*AX168*BO168</f>
        <v>#NUM!</v>
      </c>
      <c r="BV168" s="3" t="e">
        <f t="shared" ca="1" si="545"/>
        <v>#NUM!</v>
      </c>
      <c r="BX168" s="3" t="e">
        <f t="shared" ca="1" si="579"/>
        <v>#NUM!</v>
      </c>
      <c r="BY168" s="3" t="e">
        <f t="shared" ca="1" si="580"/>
        <v>#NUM!</v>
      </c>
      <c r="BZ168" s="3" t="e">
        <f t="shared" ca="1" si="581"/>
        <v>#NUM!</v>
      </c>
      <c r="CA168" s="3" t="e">
        <f t="shared" ca="1" si="580"/>
        <v>#NUM!</v>
      </c>
      <c r="CB168" s="3" t="e">
        <f t="shared" ca="1" si="582"/>
        <v>#NUM!</v>
      </c>
      <c r="CC168" s="3" t="e">
        <f t="shared" ca="1" si="580"/>
        <v>#NUM!</v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0.08</v>
      </c>
      <c r="CF168" s="3">
        <f>IF(RTD("tos.rtd",,CF$2,"."&amp;$C$134&amp;$AU$82&amp;"C"&amp;$A168)="N/A",0,RTD("tos.rtd",,CF$2,"."&amp;$C$134&amp;$AU$82&amp;"C"&amp;$A168))</f>
        <v>1</v>
      </c>
      <c r="CG168" s="3">
        <f>-IF(RTD("tos.rtd",,CG$2,"."&amp;$C$134&amp;$AU$82&amp;"P"&amp;$A168)="N/A",0,RTD("tos.rtd",,CG$2,"."&amp;$C$134&amp;$AU$82&amp;"P"&amp;$A168))</f>
        <v>0.08</v>
      </c>
      <c r="CH168" s="3">
        <f>IF(RTD("tos.rtd",,CH$2,"."&amp;$D$134&amp;$AW$82&amp;"C"&amp;$A168)="N/A",0,RTD("tos.rtd",,CH$2,"."&amp;$D$134&amp;$AW$82&amp;"C"&amp;$A168))</f>
        <v>0.74</v>
      </c>
      <c r="CI168" s="3">
        <f>-IF(RTD("tos.rtd",,CI$2,"."&amp;$D$134&amp;$AW$82&amp;"P"&amp;$A168)="N/A",0,RTD("tos.rtd",,CI$2,"."&amp;$D$134&amp;$AW$82&amp;"P"&amp;$A168))</f>
        <v>0.27</v>
      </c>
      <c r="CK168" s="3">
        <f t="shared" ref="CK168:CK175" si="643">+AS168*CD168*100+AT168*CE168*100</f>
        <v>20</v>
      </c>
      <c r="CL168" s="3"/>
      <c r="CM168" s="3">
        <f t="shared" ref="CM168:CM175" si="644">+AU168*CF168*100+AV168*CG168*100</f>
        <v>444</v>
      </c>
      <c r="CN168" s="3"/>
      <c r="CO168" s="3">
        <f t="shared" ref="CO168:CO175" si="645">+AW168*CH168*100+AX168*CI168*100</f>
        <v>268</v>
      </c>
      <c r="CP168" s="3">
        <f t="shared" si="536"/>
        <v>732</v>
      </c>
      <c r="CQ168" s="3">
        <f t="shared" si="546"/>
        <v>0</v>
      </c>
      <c r="CR168" s="3"/>
      <c r="CS168" s="3">
        <f t="shared" si="547"/>
        <v>-40</v>
      </c>
      <c r="CT168" s="3"/>
      <c r="CU168" s="3">
        <f t="shared" si="548"/>
        <v>-3</v>
      </c>
      <c r="CV168" s="3"/>
      <c r="CW168" s="3" t="e">
        <f t="shared" ca="1" si="549"/>
        <v>#NUM!</v>
      </c>
      <c r="CY168" s="3" t="e">
        <f t="shared" ca="1" si="550"/>
        <v>#NUM!</v>
      </c>
      <c r="CZ168" s="70" t="e">
        <f t="shared" ca="1" si="583"/>
        <v>#NUM!</v>
      </c>
      <c r="DA168" s="3">
        <f>IF(RTD("tos.rtd",,DA$43,"."&amp;$B$134&amp;$AS$82&amp;"C"&amp;$A168)="N/A",0,RTD("tos.rtd",,DA$43,"."&amp;$B$134&amp;$AS$82&amp;"C"&amp;$A168))</f>
        <v>289.35000000000002</v>
      </c>
      <c r="DB168" s="3">
        <f>IF(RTD("tos.rtd",,DB$43,"."&amp;$B$134&amp;$AS$82&amp;"P"&amp;$A168)="N/A",0,RTD("tos.rtd",,DB$43,"."&amp;$B$134&amp;$AS$82&amp;"P"&amp;$A168))</f>
        <v>0.05</v>
      </c>
      <c r="DC168" s="3">
        <f>IF(RTD("tos.rtd",,DC$43,"."&amp;$B$134&amp;$AS$82&amp;"C"&amp;$A168)="N/A",0,RTD("tos.rtd",,DC$43,"."&amp;$B$134&amp;$AS$82&amp;"C"&amp;$A168))</f>
        <v>327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277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84"/>
        <v>-371.5</v>
      </c>
      <c r="DH168" s="3">
        <f t="shared" si="551"/>
        <v>-0.74100000000000132</v>
      </c>
      <c r="DI168" s="3">
        <f t="shared" si="552"/>
        <v>2.7803030303030307</v>
      </c>
      <c r="DJ168" s="3">
        <f t="shared" si="553"/>
        <v>3</v>
      </c>
      <c r="DK168" s="3">
        <f t="shared" si="554"/>
        <v>-1101</v>
      </c>
      <c r="DL168" s="3">
        <f t="shared" si="555"/>
        <v>2.0393030303030293</v>
      </c>
      <c r="DM168" s="3">
        <f t="shared" si="556"/>
        <v>-1098</v>
      </c>
      <c r="DN168" s="64" t="str">
        <f t="shared" si="557"/>
        <v>UNKNOWN</v>
      </c>
      <c r="DO168" s="64" t="str">
        <f t="shared" si="558"/>
        <v>UNKNOWN</v>
      </c>
      <c r="DP168" s="3">
        <f t="shared" si="559"/>
        <v>-214.26933484848527</v>
      </c>
      <c r="DQ168" s="3">
        <f t="shared" si="560"/>
        <v>813.00000000000011</v>
      </c>
      <c r="DR168" s="3" t="e">
        <f t="shared" ca="1" si="561"/>
        <v>#NUM!</v>
      </c>
      <c r="DS168" s="3">
        <f t="shared" si="562"/>
        <v>-85.08</v>
      </c>
      <c r="DT168" s="3">
        <f t="shared" si="585"/>
        <v>-3</v>
      </c>
      <c r="DU168" s="3">
        <f t="shared" si="586"/>
        <v>1101</v>
      </c>
      <c r="DV168" s="3">
        <f t="shared" si="563"/>
        <v>-3</v>
      </c>
      <c r="DW168" s="3">
        <f t="shared" si="564"/>
        <v>-1006</v>
      </c>
      <c r="DX168" s="3" t="e">
        <f t="shared" ca="1" si="565"/>
        <v>#NUM!</v>
      </c>
      <c r="DY168" s="3" t="e">
        <f t="shared" ca="1" si="566"/>
        <v>#NUM!</v>
      </c>
      <c r="DZ168" s="3" t="e">
        <f t="shared" ca="1" si="567"/>
        <v>#NUM!</v>
      </c>
      <c r="EA168" s="3" t="e">
        <f t="shared" ca="1" si="568"/>
        <v>#NUM!</v>
      </c>
      <c r="EB168" s="3" t="e">
        <f t="shared" ca="1" si="569"/>
        <v>#NUM!</v>
      </c>
      <c r="EC168" s="3" t="e">
        <f t="shared" ca="1" si="570"/>
        <v>#NUM!</v>
      </c>
      <c r="EE168" s="59">
        <f t="shared" si="571"/>
        <v>0.25</v>
      </c>
      <c r="EF168" s="59">
        <f t="shared" si="572"/>
        <v>1.8299000000000001</v>
      </c>
      <c r="EG168" s="59">
        <f t="shared" si="573"/>
        <v>0.25</v>
      </c>
      <c r="EH168" s="59">
        <f t="shared" si="574"/>
        <v>1.8299000000000001</v>
      </c>
      <c r="EI168" s="59">
        <f t="shared" si="575"/>
        <v>0.27739999999999998</v>
      </c>
      <c r="EJ168" s="59">
        <f t="shared" si="576"/>
        <v>0.29520000000000002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182.99%</v>
      </c>
      <c r="EN168" s="3" t="str">
        <f>RTD("tos.rtd",,EN$2,"."&amp;$C$134&amp;$AU$82&amp;"C"&amp;$A168)</f>
        <v>--</v>
      </c>
      <c r="EO168" s="3" t="str">
        <f>RTD("tos.rtd",,EO$2,"."&amp;$C$134&amp;$AU$82&amp;"P"&amp;$A168)</f>
        <v>182.99%</v>
      </c>
      <c r="EP168" s="3" t="str">
        <f>RTD("tos.rtd",,EP$2,"."&amp;$D$134&amp;$AW$82&amp;"C"&amp;$A168)</f>
        <v>27.74%</v>
      </c>
      <c r="EQ168" s="3" t="str">
        <f>RTD("tos.rtd",,EQ$2,"."&amp;$D$134&amp;$AW$82&amp;"P"&amp;$A168)</f>
        <v>29.52%</v>
      </c>
      <c r="ES168" s="63" t="str">
        <f t="shared" si="577"/>
        <v>19675,-1009.00</v>
      </c>
      <c r="ET168" s="64" t="str">
        <f t="shared" ca="1" si="578"/>
        <v>19675,00.00</v>
      </c>
      <c r="EU168" s="68">
        <v>562.78</v>
      </c>
      <c r="EV168" s="68" t="s">
        <v>1363</v>
      </c>
      <c r="EW168" s="68">
        <v>485.42</v>
      </c>
      <c r="EX168" s="68" t="s">
        <v>1364</v>
      </c>
      <c r="EY168" s="68">
        <v>5641.25</v>
      </c>
      <c r="EZ168" s="68" t="s">
        <v>1365</v>
      </c>
      <c r="FA168" s="68">
        <v>19941</v>
      </c>
      <c r="FB168" s="68" t="s">
        <v>1366</v>
      </c>
      <c r="FC168" s="68" t="s">
        <v>1367</v>
      </c>
      <c r="FD168" s="68" t="s">
        <v>1368</v>
      </c>
      <c r="FE168" s="68" t="s">
        <v>1369</v>
      </c>
      <c r="FF168" s="68" t="s">
        <v>1370</v>
      </c>
    </row>
    <row r="169" spans="1:162" ht="11.1" customHeight="1" thickBot="1" x14ac:dyDescent="0.25">
      <c r="A169" s="2">
        <f t="shared" si="587"/>
        <v>19650</v>
      </c>
      <c r="B169" s="3">
        <f t="shared" si="633"/>
        <v>8</v>
      </c>
      <c r="C169" s="3">
        <f t="shared" si="634"/>
        <v>119</v>
      </c>
      <c r="D169" s="3">
        <f t="shared" si="635"/>
        <v>31</v>
      </c>
      <c r="E169" s="3">
        <f t="shared" si="636"/>
        <v>158</v>
      </c>
      <c r="F169" s="4">
        <f t="shared" si="637"/>
        <v>19748.022098620706</v>
      </c>
      <c r="G169" s="5">
        <f t="shared" si="638"/>
        <v>478.26942359015288</v>
      </c>
      <c r="AM169" s="1">
        <v>0</v>
      </c>
      <c r="AN169" s="1">
        <v>-16</v>
      </c>
      <c r="AO169" s="1">
        <v>19650</v>
      </c>
      <c r="AP169" s="1">
        <v>0</v>
      </c>
      <c r="AQ169" s="1">
        <v>-169</v>
      </c>
      <c r="AS169" s="54">
        <f>IF(RTD("tos.rtd",,AS$83,"."&amp;$B$134&amp;$AS$82&amp;"C"&amp;$A169)="N/A",0,RTD("tos.rtd",,AS$83,"."&amp;$B$134&amp;$AS$82&amp;"C"&amp;$A169))</f>
        <v>1</v>
      </c>
      <c r="AT169" s="3">
        <f>-IF(RTD("tos.rtd",,AT$83,"."&amp;$B$134&amp;$AS$82&amp;"P"&amp;$A169)="N/A",0,RTD("tos.rtd",,AT$83,"."&amp;$B$134&amp;$AS$82&amp;"P"&amp;$A169))</f>
        <v>-7</v>
      </c>
      <c r="AU169" s="54">
        <f>IF(RTD("tos.rtd",,AU$2,"."&amp;$C$134&amp;$AU$134&amp;"C"&amp;$A169)="N/A",0,RTD("tos.rtd",,AU$2,"."&amp;$C$134&amp;$AU$134&amp;"C"&amp;$A169))</f>
        <v>95</v>
      </c>
      <c r="AV169" s="3">
        <f>-IF(RTD("tos.rtd",,AV$2,"."&amp;$C$134&amp;$AU$134&amp;"P"&amp;$A169)="N/A",0,RTD("tos.rtd",,AV$2,"."&amp;$C$134&amp;$AU$134&amp;"P"&amp;$A169))</f>
        <v>-24</v>
      </c>
      <c r="AW169" s="54">
        <f>IF(RTD("tos.rtd",,AW$2,"."&amp;$D$134&amp;$AW$134&amp;"C"&amp;$A169)="N/A",0,RTD("tos.rtd",,AW$2,"."&amp;$D$134&amp;$AW$134&amp;"C"&amp;$A169))</f>
        <v>10</v>
      </c>
      <c r="AX169" s="3">
        <f>-IF(RTD("tos.rtd",,AX$2,"."&amp;$D$134&amp;$AW$134&amp;"P"&amp;$A169)="N/A",0,RTD("tos.rtd",,AX$2,"."&amp;$D$134&amp;$AW$134&amp;"P"&amp;$A169))</f>
        <v>-21</v>
      </c>
      <c r="AY169" s="76">
        <f t="shared" si="639"/>
        <v>54</v>
      </c>
      <c r="AZ169" s="8">
        <f t="shared" si="542"/>
        <v>19650</v>
      </c>
      <c r="BA169" s="54">
        <f>IF(RTD("tos.rtd",,BA$43,"."&amp;$B$134&amp;$AS$82&amp;"C"&amp;$A169)="N/A",0,RTD("tos.rtd",,BA$43,"."&amp;$B$134&amp;$AS$82&amp;"C"&amp;$A169))</f>
        <v>0</v>
      </c>
      <c r="BB169" s="3">
        <f>-IF(RTD("tos.rtd",,BB$43,"."&amp;$B$134&amp;$AS$82&amp;"P"&amp;$A169)="N/A",0,RTD("tos.rtd",,BB$43,"."&amp;$B$134&amp;$AS$82&amp;"P"&amp;$A169))</f>
        <v>0</v>
      </c>
      <c r="BC169" s="54">
        <f>IF(RTD("tos.rtd",,BC$2,"."&amp;$C$134&amp;$AU$82&amp;"C"&amp;$A169)="N/A",0,RTD("tos.rtd",,BC$2,"."&amp;$C$134&amp;$AU$82&amp;"C"&amp;$A169))</f>
        <v>22</v>
      </c>
      <c r="BD169" s="3">
        <f>-IF(RTD("tos.rtd",,BD$2,"."&amp;$C$134&amp;$AU$82&amp;"P"&amp;$A169)="N/A",0,RTD("tos.rtd",,BD$2,"."&amp;$C$134&amp;$AU$82&amp;"P"&amp;$A169))</f>
        <v>-678</v>
      </c>
      <c r="BE169" s="54">
        <f>IF(RTD("tos.rtd",,BE$2,"."&amp;$D$134&amp;$AW$82&amp;"C"&amp;$A169)="N/A",0,RTD("tos.rtd",,BE$2,"."&amp;$D$134&amp;$AW$82&amp;"C"&amp;$A169))</f>
        <v>0</v>
      </c>
      <c r="BF169" s="3">
        <f>-IF(RTD("tos.rtd",,BF$2,"."&amp;$D$134&amp;$AW$82&amp;"P"&amp;$A169)="N/A",0,RTD("tos.rtd",,BF$2,"."&amp;$D$134&amp;$AW$82&amp;"P"&amp;$A169))</f>
        <v>-3</v>
      </c>
      <c r="BG169" s="3">
        <f ca="1">+Hoja2!Y170</f>
        <v>0</v>
      </c>
      <c r="BH169" s="7">
        <f t="shared" ca="1" si="543"/>
        <v>-659</v>
      </c>
      <c r="BI169" s="32" t="str">
        <f t="shared" ca="1" si="601"/>
        <v/>
      </c>
      <c r="BJ169" s="3" t="e">
        <f ca="1">IF($BP$1=1,DX169,IF(RTD("tos.rtd",,BJ$43,"."&amp;$B$134&amp;$AS$82&amp;"C"&amp;$A169)="N/A",0,RTD("tos.rtd",,BJ$43,"."&amp;$B$134&amp;$AS$82&amp;"C"&amp;$A169)))</f>
        <v>#NUM!</v>
      </c>
      <c r="BK169" s="3" t="e">
        <f ca="1">IF($BP$1=1,DY169,-IF(RTD("tos.rtd",,BK$43,"."&amp;$B$134&amp;$AS$82&amp;"P"&amp;$A169)="N/A",0,RTD("tos.rtd",,BK$43,"."&amp;$B$134&amp;$AS$82&amp;"P"&amp;$A169)))</f>
        <v>#NUM!</v>
      </c>
      <c r="BL169" s="3" t="e">
        <f ca="1">IF($BP$1=1,DZ169,IF(RTD("tos.rtd",,BL$2,"."&amp;$C$134&amp;$AU$82&amp;"C"&amp;$A169)="N/A",0,RTD("tos.rtd",,BL$2,"."&amp;$C$134&amp;$AU$82&amp;"C"&amp;$A169)))</f>
        <v>#NUM!</v>
      </c>
      <c r="BM169" s="3" t="e">
        <f ca="1">IF($BP$1=1,EA169,-IF(RTD("tos.rtd",,BM$2,"."&amp;$C$134&amp;$AU$82&amp;"P"&amp;$A169)="N/A",0,RTD("tos.rtd",,BM$2,"."&amp;$C$134&amp;$AU$82&amp;"P"&amp;$A169)))</f>
        <v>#NUM!</v>
      </c>
      <c r="BN169" s="3" t="e">
        <f ca="1">IF($BP$1=1,EB169,IF(RTD("tos.rtd",,BN$2,"."&amp;$D$134&amp;$AW$82&amp;"C"&amp;$A169)="N/A",0,RTD("tos.rtd",,BN$2,"."&amp;$D$134&amp;$AW$82&amp;"C"&amp;$A169)))</f>
        <v>#NUM!</v>
      </c>
      <c r="BO169" s="3" t="e">
        <f ca="1">IF($BP$1=1,EC169,-IF(RTD("tos.rtd",,BO$2,"."&amp;$D$134&amp;$AW$82&amp;"P"&amp;$A169)="N/A",0,RTD("tos.rtd",,BO$2,"."&amp;$D$134&amp;$AW$82&amp;"P"&amp;$A169)))</f>
        <v>#NUM!</v>
      </c>
      <c r="BQ169" s="3" t="e">
        <f t="shared" ca="1" si="640"/>
        <v>#NUM!</v>
      </c>
      <c r="BR169" s="3" t="e">
        <f t="shared" ca="1" si="544"/>
        <v>#NUM!</v>
      </c>
      <c r="BS169" s="3" t="e">
        <f t="shared" ca="1" si="641"/>
        <v>#NUM!</v>
      </c>
      <c r="BT169" s="3" t="e">
        <f t="shared" ca="1" si="545"/>
        <v>#NUM!</v>
      </c>
      <c r="BU169" s="3" t="e">
        <f t="shared" ca="1" si="642"/>
        <v>#NUM!</v>
      </c>
      <c r="BV169" s="3" t="e">
        <f t="shared" ca="1" si="545"/>
        <v>#NUM!</v>
      </c>
      <c r="BX169" s="3" t="e">
        <f t="shared" ca="1" si="579"/>
        <v>#NUM!</v>
      </c>
      <c r="BY169" s="3" t="e">
        <f t="shared" ca="1" si="580"/>
        <v>#NUM!</v>
      </c>
      <c r="BZ169" s="3" t="e">
        <f t="shared" ca="1" si="581"/>
        <v>#NUM!</v>
      </c>
      <c r="CA169" s="3" t="e">
        <f t="shared" ca="1" si="580"/>
        <v>#NUM!</v>
      </c>
      <c r="CB169" s="3" t="e">
        <f t="shared" ca="1" si="582"/>
        <v>#NUM!</v>
      </c>
      <c r="CC169" s="3" t="e">
        <f t="shared" ca="1" si="580"/>
        <v>#NUM!</v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</v>
      </c>
      <c r="CF169" s="3">
        <f>IF(RTD("tos.rtd",,CF$2,"."&amp;$C$134&amp;$AU$82&amp;"C"&amp;$A169)="N/A",0,RTD("tos.rtd",,CF$2,"."&amp;$C$134&amp;$AU$82&amp;"C"&amp;$A169))</f>
        <v>1</v>
      </c>
      <c r="CG169" s="3">
        <f>-IF(RTD("tos.rtd",,CG$2,"."&amp;$C$134&amp;$AU$82&amp;"P"&amp;$A169)="N/A",0,RTD("tos.rtd",,CG$2,"."&amp;$C$134&amp;$AU$82&amp;"P"&amp;$A169))</f>
        <v>0.08</v>
      </c>
      <c r="CH169" s="3">
        <f>IF(RTD("tos.rtd",,CH$2,"."&amp;$D$134&amp;$AW$82&amp;"C"&amp;$A169)="N/A",0,RTD("tos.rtd",,CH$2,"."&amp;$D$134&amp;$AW$82&amp;"C"&amp;$A169))</f>
        <v>0.75</v>
      </c>
      <c r="CI169" s="3">
        <f>-IF(RTD("tos.rtd",,CI$2,"."&amp;$D$134&amp;$AW$82&amp;"P"&amp;$A169)="N/A",0,RTD("tos.rtd",,CI$2,"."&amp;$D$134&amp;$AW$82&amp;"P"&amp;$A169))</f>
        <v>0.26</v>
      </c>
      <c r="CK169" s="3">
        <f t="shared" si="643"/>
        <v>100</v>
      </c>
      <c r="CL169" s="3"/>
      <c r="CM169" s="3">
        <f t="shared" si="644"/>
        <v>9308</v>
      </c>
      <c r="CN169" s="3"/>
      <c r="CO169" s="3">
        <f t="shared" si="645"/>
        <v>204</v>
      </c>
      <c r="CP169" s="3">
        <f t="shared" si="536"/>
        <v>9612</v>
      </c>
      <c r="CQ169" s="3">
        <f t="shared" si="546"/>
        <v>0</v>
      </c>
      <c r="CR169" s="3"/>
      <c r="CS169" s="3">
        <f t="shared" si="547"/>
        <v>-656</v>
      </c>
      <c r="CT169" s="3"/>
      <c r="CU169" s="3">
        <f t="shared" si="548"/>
        <v>-3</v>
      </c>
      <c r="CV169" s="3"/>
      <c r="CW169" s="3" t="e">
        <f t="shared" ca="1" si="549"/>
        <v>#NUM!</v>
      </c>
      <c r="CY169" s="3" t="e">
        <f t="shared" ca="1" si="550"/>
        <v>#NUM!</v>
      </c>
      <c r="CZ169" s="70" t="e">
        <f t="shared" ca="1" si="583"/>
        <v>#NUM!</v>
      </c>
      <c r="DA169" s="3">
        <f>IF(RTD("tos.rtd",,DA$43,"."&amp;$B$134&amp;$AS$82&amp;"C"&amp;$A169)="N/A",0,RTD("tos.rtd",,DA$43,"."&amp;$B$134&amp;$AS$82&amp;"C"&amp;$A169))</f>
        <v>451.15</v>
      </c>
      <c r="DB169" s="3">
        <f>IF(RTD("tos.rtd",,DB$43,"."&amp;$B$134&amp;$AS$82&amp;"P"&amp;$A169)="N/A",0,RTD("tos.rtd",,DB$43,"."&amp;$B$134&amp;$AS$82&amp;"P"&amp;$A169))</f>
        <v>0.05</v>
      </c>
      <c r="DC169" s="3">
        <f>IF(RTD("tos.rtd",,DC$43,"."&amp;$B$134&amp;$AS$82&amp;"C"&amp;$A169)="N/A",0,RTD("tos.rtd",,DC$43,"."&amp;$B$134&amp;$AS$82&amp;"C"&amp;$A169))</f>
        <v>352</v>
      </c>
      <c r="DD169" s="3">
        <f>IF(RTD("tos.rtd",,DD$43,"."&amp;$B$134&amp;$AS$82&amp;"P"&amp;$A169)="N/A",0,RTD("tos.rtd",,DD$43,"."&amp;$B$134&amp;$AS$82&amp;"P"&amp;$A169))</f>
        <v>0.5</v>
      </c>
      <c r="DE169" s="3">
        <f>IF(RTD("tos.rtd",,DE$43,"."&amp;$B$134&amp;$AS$82&amp;"C"&amp;$A169)="N/A",0,RTD("tos.rtd",,DE$43,"."&amp;$B$134&amp;$AS$82&amp;"C"&amp;$A169))</f>
        <v>302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84"/>
        <v>-396.5</v>
      </c>
      <c r="DH169" s="3">
        <f t="shared" si="551"/>
        <v>0</v>
      </c>
      <c r="DI169" s="3">
        <f t="shared" si="552"/>
        <v>16.900000000000002</v>
      </c>
      <c r="DJ169" s="3">
        <f t="shared" si="553"/>
        <v>0</v>
      </c>
      <c r="DK169" s="3">
        <f t="shared" si="554"/>
        <v>-169</v>
      </c>
      <c r="DL169" s="3">
        <f t="shared" si="555"/>
        <v>16.900000000000002</v>
      </c>
      <c r="DM169" s="3">
        <f t="shared" si="556"/>
        <v>-169</v>
      </c>
      <c r="DN169" s="64" t="str">
        <f t="shared" si="557"/>
        <v>UNKNOWN</v>
      </c>
      <c r="DO169" s="64" t="str">
        <f t="shared" si="558"/>
        <v>UNKNOWN</v>
      </c>
      <c r="DP169" s="3">
        <f t="shared" si="559"/>
        <v>0.8450000000000002</v>
      </c>
      <c r="DQ169" s="3">
        <f t="shared" si="560"/>
        <v>-8.4500000000000011</v>
      </c>
      <c r="DR169" s="3" t="e">
        <f t="shared" ca="1" si="561"/>
        <v>#NUM!</v>
      </c>
      <c r="DS169" s="3">
        <f t="shared" si="562"/>
        <v>0</v>
      </c>
      <c r="DT169" s="3">
        <f t="shared" si="585"/>
        <v>0</v>
      </c>
      <c r="DU169" s="3">
        <f t="shared" si="586"/>
        <v>169</v>
      </c>
      <c r="DV169" s="3">
        <f t="shared" si="563"/>
        <v>0</v>
      </c>
      <c r="DW169" s="3">
        <f t="shared" si="564"/>
        <v>-16</v>
      </c>
      <c r="DX169" s="3" t="e">
        <f t="shared" ref="DX169:DX189" ca="1" si="646">(EXP(-POWER((LN($A$136/$A169)+($EC$1+POWER($EE169,2)/2)*($EM$1/$DY$1))/($EE169*SQRT($EM$1/$DY$1)),2)/2)/SQRT(2*PI())/($A$136*$EE169*SQRT($EM$1/$DY$1)))</f>
        <v>#NUM!</v>
      </c>
      <c r="DY169" s="3" t="e">
        <f t="shared" ref="DY169:DY189" ca="1" si="647">-(EXP(-POWER((LN($A$136/$A169)+($EC$1+POWER($EF169,2)/2)*($EM$1/$DY$1))/($EF169*SQRT($EM$1/$DY$1)),2)/2)/SQRT(2*PI())/($A$136*$EF169*SQRT($EM$1/$DY$1)))</f>
        <v>#NUM!</v>
      </c>
      <c r="DZ169" s="3" t="e">
        <f t="shared" ref="DZ169:DZ189" ca="1" si="648">(EXP(-POWER((LN($A$136/$A169)+($EC$1+POWER($EG169,2)/2)*($EO$1/$DY$1))/($EG169*SQRT($EO$1/$DY$1)),2)/2)/SQRT(2*PI())/($A$136*$EG169*SQRT($EO$1/$DY$1)))</f>
        <v>#NUM!</v>
      </c>
      <c r="EA169" s="3" t="e">
        <f t="shared" ref="EA169:EA189" ca="1" si="649">-(EXP(-POWER((LN($A$136/$A169)+($EC$1+POWER($EH169,2)/2)*($EO$1/$DY$1))/($EH169*SQRT($EO$1/$DY$1)),2)/2)/SQRT(2*PI())/($A$136*$EH169*SQRT($EO$1/$DY$1)))</f>
        <v>#NUM!</v>
      </c>
      <c r="EB169" s="3" t="e">
        <f t="shared" ref="EB169:EB189" ca="1" si="650">(EXP(-POWER((LN($A$136/$A169)+($EC$1+POWER($EI169,2)/2)*($EO$1/$DY$1))/($EI169*SQRT($EO$1/$DY$1)),2)/2)/SQRT(2*PI())/($A$136*$EI169*SQRT($EO$1/$DY$1)))</f>
        <v>#NUM!</v>
      </c>
      <c r="EC169" s="3" t="e">
        <f t="shared" ref="EC169:EC189" ca="1" si="651">-(EXP(-POWER((LN($A$136/$A169)+($EC$1+POWER($EJ169,2)/2)*($EO$1/$DY$1))/($EJ169*SQRT($EO$1/$DY$1)),2)/2)/SQRT(2*PI())/($A$136*$EJ169*SQRT($EO$1/$DY$1)))</f>
        <v>#NUM!</v>
      </c>
      <c r="EE169" s="59">
        <f t="shared" si="571"/>
        <v>0.25</v>
      </c>
      <c r="EF169" s="59">
        <f t="shared" si="572"/>
        <v>1.0642</v>
      </c>
      <c r="EG169" s="59">
        <f t="shared" si="573"/>
        <v>0.25</v>
      </c>
      <c r="EH169" s="59">
        <f t="shared" si="574"/>
        <v>1.9201999999999999</v>
      </c>
      <c r="EI169" s="59">
        <f t="shared" si="575"/>
        <v>0.27829999999999999</v>
      </c>
      <c r="EJ169" s="59">
        <f t="shared" si="576"/>
        <v>0.29559999999999997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106.42%</v>
      </c>
      <c r="EN169" s="3" t="str">
        <f>RTD("tos.rtd",,EN$2,"."&amp;$C$134&amp;$AU$82&amp;"C"&amp;$A169)</f>
        <v>--</v>
      </c>
      <c r="EO169" s="3" t="str">
        <f>RTD("tos.rtd",,EO$2,"."&amp;$C$134&amp;$AU$82&amp;"P"&amp;$A169)</f>
        <v>192.02%</v>
      </c>
      <c r="EP169" s="3" t="str">
        <f>RTD("tos.rtd",,EP$2,"."&amp;$D$134&amp;$AW$82&amp;"C"&amp;$A169)</f>
        <v>27.83%</v>
      </c>
      <c r="EQ169" s="3" t="str">
        <f>RTD("tos.rtd",,EQ$2,"."&amp;$D$134&amp;$AW$82&amp;"P"&amp;$A169)</f>
        <v>29.56%</v>
      </c>
      <c r="ES169" s="63" t="str">
        <f t="shared" si="577"/>
        <v>19650,-16.00</v>
      </c>
      <c r="ET169" s="64" t="str">
        <f t="shared" ca="1" si="578"/>
        <v>19650,00.00</v>
      </c>
      <c r="EU169" s="68">
        <v>562.86</v>
      </c>
      <c r="EV169" s="68" t="s">
        <v>1371</v>
      </c>
      <c r="EW169" s="68">
        <v>485.55</v>
      </c>
      <c r="EX169" s="68" t="s">
        <v>1372</v>
      </c>
      <c r="EY169" s="68">
        <v>5642.25</v>
      </c>
      <c r="EZ169" s="68" t="s">
        <v>1373</v>
      </c>
      <c r="FA169" s="68">
        <v>19945.75</v>
      </c>
      <c r="FB169" s="68" t="s">
        <v>1374</v>
      </c>
      <c r="FC169" s="68" t="s">
        <v>1375</v>
      </c>
      <c r="FD169" s="68" t="s">
        <v>1376</v>
      </c>
      <c r="FE169" s="68" t="s">
        <v>1377</v>
      </c>
      <c r="FF169" s="68" t="s">
        <v>1378</v>
      </c>
    </row>
    <row r="170" spans="1:162" ht="11.1" customHeight="1" thickBot="1" x14ac:dyDescent="0.25">
      <c r="A170" s="2">
        <f t="shared" si="587"/>
        <v>19625</v>
      </c>
      <c r="B170" s="3">
        <f t="shared" si="633"/>
        <v>3</v>
      </c>
      <c r="C170" s="3">
        <f t="shared" si="634"/>
        <v>8</v>
      </c>
      <c r="D170" s="3">
        <f t="shared" si="635"/>
        <v>36</v>
      </c>
      <c r="E170" s="3">
        <f t="shared" si="636"/>
        <v>47</v>
      </c>
      <c r="F170" s="4">
        <f t="shared" si="637"/>
        <v>19722.897388571568</v>
      </c>
      <c r="G170" s="5">
        <f t="shared" si="638"/>
        <v>477.66093831840971</v>
      </c>
      <c r="AM170" s="1">
        <v>0</v>
      </c>
      <c r="AN170" s="1">
        <v>-1</v>
      </c>
      <c r="AO170" s="1">
        <v>19625</v>
      </c>
      <c r="AP170" s="1">
        <v>0</v>
      </c>
      <c r="AQ170" s="1">
        <v>-44</v>
      </c>
      <c r="AS170" s="54">
        <f>IF(RTD("tos.rtd",,AS$83,"."&amp;$B$134&amp;$AS$82&amp;"C"&amp;$A170)="N/A",0,RTD("tos.rtd",,AS$83,"."&amp;$B$134&amp;$AS$82&amp;"C"&amp;$A170))</f>
        <v>0</v>
      </c>
      <c r="AT170" s="3">
        <f>-IF(RTD("tos.rtd",,AT$83,"."&amp;$B$134&amp;$AS$82&amp;"P"&amp;$A170)="N/A",0,RTD("tos.rtd",,AT$83,"."&amp;$B$134&amp;$AS$82&amp;"P"&amp;$A170))</f>
        <v>-3</v>
      </c>
      <c r="AU170" s="54">
        <f>IF(RTD("tos.rtd",,AU$2,"."&amp;$C$134&amp;$AU$134&amp;"C"&amp;$A170)="N/A",0,RTD("tos.rtd",,AU$2,"."&amp;$C$134&amp;$AU$134&amp;"C"&amp;$A170))</f>
        <v>4</v>
      </c>
      <c r="AV170" s="3">
        <f>-IF(RTD("tos.rtd",,AV$2,"."&amp;$C$134&amp;$AU$134&amp;"P"&amp;$A170)="N/A",0,RTD("tos.rtd",,AV$2,"."&amp;$C$134&amp;$AU$134&amp;"P"&amp;$A170))</f>
        <v>-4</v>
      </c>
      <c r="AW170" s="54">
        <f>IF(RTD("tos.rtd",,AW$2,"."&amp;$D$134&amp;$AW$134&amp;"C"&amp;$A170)="N/A",0,RTD("tos.rtd",,AW$2,"."&amp;$D$134&amp;$AW$134&amp;"C"&amp;$A170))</f>
        <v>28</v>
      </c>
      <c r="AX170" s="3">
        <f>-IF(RTD("tos.rtd",,AX$2,"."&amp;$D$134&amp;$AW$134&amp;"P"&amp;$A170)="N/A",0,RTD("tos.rtd",,AX$2,"."&amp;$D$134&amp;$AW$134&amp;"P"&amp;$A170))</f>
        <v>-8</v>
      </c>
      <c r="AY170" s="76">
        <f t="shared" si="639"/>
        <v>17</v>
      </c>
      <c r="AZ170" s="8">
        <f t="shared" si="542"/>
        <v>19625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0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-48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-4</v>
      </c>
      <c r="BG170" s="3">
        <f ca="1">+Hoja2!Y171</f>
        <v>9</v>
      </c>
      <c r="BH170" s="7">
        <f t="shared" ca="1" si="543"/>
        <v>-43</v>
      </c>
      <c r="BI170" s="32" t="str">
        <f t="shared" ca="1" si="601"/>
        <v/>
      </c>
      <c r="BJ170" s="3" t="e">
        <f ca="1">IF($BP$1=1,DX170,IF(RTD("tos.rtd",,BJ$43,"."&amp;$B$134&amp;$AS$82&amp;"C"&amp;$A170)="N/A",0,RTD("tos.rtd",,BJ$43,"."&amp;$B$134&amp;$AS$82&amp;"C"&amp;$A170)))</f>
        <v>#NUM!</v>
      </c>
      <c r="BK170" s="3" t="e">
        <f ca="1">IF($BP$1=1,DY170,-IF(RTD("tos.rtd",,BK$43,"."&amp;$B$134&amp;$AS$82&amp;"P"&amp;$A170)="N/A",0,RTD("tos.rtd",,BK$43,"."&amp;$B$134&amp;$AS$82&amp;"P"&amp;$A170)))</f>
        <v>#NUM!</v>
      </c>
      <c r="BL170" s="3" t="e">
        <f ca="1">IF($BP$1=1,DZ170,IF(RTD("tos.rtd",,BL$2,"."&amp;$C$134&amp;$AU$82&amp;"C"&amp;$A170)="N/A",0,RTD("tos.rtd",,BL$2,"."&amp;$C$134&amp;$AU$82&amp;"C"&amp;$A170)))</f>
        <v>#NUM!</v>
      </c>
      <c r="BM170" s="3" t="e">
        <f ca="1">IF($BP$1=1,EA170,-IF(RTD("tos.rtd",,BM$2,"."&amp;$C$134&amp;$AU$82&amp;"P"&amp;$A170)="N/A",0,RTD("tos.rtd",,BM$2,"."&amp;$C$134&amp;$AU$82&amp;"P"&amp;$A170)))</f>
        <v>#NUM!</v>
      </c>
      <c r="BN170" s="3" t="e">
        <f ca="1">IF($BP$1=1,EB170,IF(RTD("tos.rtd",,BN$2,"."&amp;$D$134&amp;$AW$82&amp;"C"&amp;$A170)="N/A",0,RTD("tos.rtd",,BN$2,"."&amp;$D$134&amp;$AW$82&amp;"C"&amp;$A170)))</f>
        <v>#NUM!</v>
      </c>
      <c r="BO170" s="3" t="e">
        <f ca="1">IF($BP$1=1,EC170,-IF(RTD("tos.rtd",,BO$2,"."&amp;$D$134&amp;$AW$82&amp;"P"&amp;$A170)="N/A",0,RTD("tos.rtd",,BO$2,"."&amp;$D$134&amp;$AW$82&amp;"P"&amp;$A170)))</f>
        <v>#NUM!</v>
      </c>
      <c r="BQ170" s="3" t="e">
        <f t="shared" ca="1" si="640"/>
        <v>#NUM!</v>
      </c>
      <c r="BR170" s="3" t="e">
        <f t="shared" ca="1" si="544"/>
        <v>#NUM!</v>
      </c>
      <c r="BS170" s="3" t="e">
        <f t="shared" ca="1" si="641"/>
        <v>#NUM!</v>
      </c>
      <c r="BT170" s="3" t="e">
        <f t="shared" ca="1" si="545"/>
        <v>#NUM!</v>
      </c>
      <c r="BU170" s="3" t="e">
        <f t="shared" ca="1" si="642"/>
        <v>#NUM!</v>
      </c>
      <c r="BV170" s="3" t="e">
        <f t="shared" ca="1" si="545"/>
        <v>#NUM!</v>
      </c>
      <c r="BX170" s="3" t="e">
        <f t="shared" ca="1" si="579"/>
        <v>#NUM!</v>
      </c>
      <c r="BY170" s="3" t="e">
        <f t="shared" ca="1" si="580"/>
        <v>#NUM!</v>
      </c>
      <c r="BZ170" s="3" t="e">
        <f t="shared" ca="1" si="581"/>
        <v>#NUM!</v>
      </c>
      <c r="CA170" s="3" t="e">
        <f t="shared" ca="1" si="580"/>
        <v>#NUM!</v>
      </c>
      <c r="CB170" s="3" t="e">
        <f t="shared" ca="1" si="582"/>
        <v>#NUM!</v>
      </c>
      <c r="CC170" s="3" t="e">
        <f t="shared" ca="1" si="580"/>
        <v>#NUM!</v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7.0000000000000007E-2</v>
      </c>
      <c r="CF170" s="3">
        <f>IF(RTD("tos.rtd",,CF$2,"."&amp;$C$134&amp;$AU$82&amp;"C"&amp;$A170)="N/A",0,RTD("tos.rtd",,CF$2,"."&amp;$C$134&amp;$AU$82&amp;"C"&amp;$A170))</f>
        <v>1</v>
      </c>
      <c r="CG170" s="3">
        <f>-IF(RTD("tos.rtd",,CG$2,"."&amp;$C$134&amp;$AU$82&amp;"P"&amp;$A170)="N/A",0,RTD("tos.rtd",,CG$2,"."&amp;$C$134&amp;$AU$82&amp;"P"&amp;$A170))</f>
        <v>7.0000000000000007E-2</v>
      </c>
      <c r="CH170" s="3">
        <f>IF(RTD("tos.rtd",,CH$2,"."&amp;$D$134&amp;$AW$82&amp;"C"&amp;$A170)="N/A",0,RTD("tos.rtd",,CH$2,"."&amp;$D$134&amp;$AW$82&amp;"C"&amp;$A170))</f>
        <v>0.77</v>
      </c>
      <c r="CI170" s="3">
        <f>-IF(RTD("tos.rtd",,CI$2,"."&amp;$D$134&amp;$AW$82&amp;"P"&amp;$A170)="N/A",0,RTD("tos.rtd",,CI$2,"."&amp;$D$134&amp;$AW$82&amp;"P"&amp;$A170))</f>
        <v>0.25</v>
      </c>
      <c r="CK170" s="3">
        <f t="shared" si="643"/>
        <v>-21.000000000000004</v>
      </c>
      <c r="CL170" s="3"/>
      <c r="CM170" s="3">
        <f t="shared" si="644"/>
        <v>372</v>
      </c>
      <c r="CN170" s="3"/>
      <c r="CO170" s="3">
        <f t="shared" si="645"/>
        <v>1956</v>
      </c>
      <c r="CP170" s="3">
        <f t="shared" si="536"/>
        <v>2307</v>
      </c>
      <c r="CQ170" s="3">
        <f t="shared" si="546"/>
        <v>0</v>
      </c>
      <c r="CR170" s="3"/>
      <c r="CS170" s="3">
        <f t="shared" si="547"/>
        <v>-48</v>
      </c>
      <c r="CT170" s="3"/>
      <c r="CU170" s="3">
        <f t="shared" si="548"/>
        <v>-4</v>
      </c>
      <c r="CV170" s="3"/>
      <c r="CW170" s="3" t="e">
        <f t="shared" ca="1" si="549"/>
        <v>#NUM!</v>
      </c>
      <c r="CY170" s="3" t="e">
        <f t="shared" ca="1" si="550"/>
        <v>#NUM!</v>
      </c>
      <c r="CZ170" s="70" t="e">
        <f t="shared" ca="1" si="583"/>
        <v>#NUM!</v>
      </c>
      <c r="DA170" s="3">
        <f>IF(RTD("tos.rtd",,DA$43,"."&amp;$B$134&amp;$AS$82&amp;"C"&amp;$A170)="N/A",0,RTD("tos.rtd",,DA$43,"."&amp;$B$134&amp;$AS$82&amp;"C"&amp;$A170))</f>
        <v>473.8</v>
      </c>
      <c r="DB170" s="3">
        <f>IF(RTD("tos.rtd",,DB$43,"."&amp;$B$134&amp;$AS$82&amp;"P"&amp;$A170)="N/A",0,RTD("tos.rtd",,DB$43,"."&amp;$B$134&amp;$AS$82&amp;"P"&amp;$A170))</f>
        <v>0.13</v>
      </c>
      <c r="DC170" s="3">
        <f>IF(RTD("tos.rtd",,DC$43,"."&amp;$B$134&amp;$AS$82&amp;"C"&amp;$A170)="N/A",0,RTD("tos.rtd",,DC$43,"."&amp;$B$134&amp;$AS$82&amp;"C"&amp;$A170))</f>
        <v>377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327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84"/>
        <v>-421.5</v>
      </c>
      <c r="DH170" s="3">
        <f t="shared" si="551"/>
        <v>0</v>
      </c>
      <c r="DI170" s="3">
        <f t="shared" si="552"/>
        <v>0.28888888888888886</v>
      </c>
      <c r="DJ170" s="3">
        <f t="shared" si="553"/>
        <v>0</v>
      </c>
      <c r="DK170" s="3">
        <f t="shared" si="554"/>
        <v>-44</v>
      </c>
      <c r="DL170" s="3">
        <f t="shared" si="555"/>
        <v>0.28888888888888886</v>
      </c>
      <c r="DM170" s="3">
        <f t="shared" si="556"/>
        <v>-44</v>
      </c>
      <c r="DN170" s="64" t="str">
        <f t="shared" si="557"/>
        <v>UNKNOWN</v>
      </c>
      <c r="DO170" s="64" t="str">
        <f t="shared" si="558"/>
        <v>UNKNOWN</v>
      </c>
      <c r="DP170" s="3">
        <f t="shared" si="559"/>
        <v>3.755555555555555E-2</v>
      </c>
      <c r="DQ170" s="3">
        <f t="shared" si="560"/>
        <v>-5.7200000000000006</v>
      </c>
      <c r="DR170" s="3" t="e">
        <f t="shared" ca="1" si="561"/>
        <v>#NUM!</v>
      </c>
      <c r="DS170" s="3">
        <f t="shared" si="562"/>
        <v>-3.08</v>
      </c>
      <c r="DT170" s="3">
        <f t="shared" si="585"/>
        <v>0</v>
      </c>
      <c r="DU170" s="3">
        <f t="shared" si="586"/>
        <v>44</v>
      </c>
      <c r="DV170" s="3">
        <f t="shared" si="563"/>
        <v>0</v>
      </c>
      <c r="DW170" s="3">
        <f t="shared" si="564"/>
        <v>-1</v>
      </c>
      <c r="DX170" s="3" t="e">
        <f t="shared" ca="1" si="646"/>
        <v>#NUM!</v>
      </c>
      <c r="DY170" s="3" t="e">
        <f t="shared" ca="1" si="647"/>
        <v>#NUM!</v>
      </c>
      <c r="DZ170" s="3" t="e">
        <f t="shared" ca="1" si="648"/>
        <v>#NUM!</v>
      </c>
      <c r="EA170" s="3" t="e">
        <f t="shared" ca="1" si="649"/>
        <v>#NUM!</v>
      </c>
      <c r="EB170" s="3" t="e">
        <f t="shared" ca="1" si="650"/>
        <v>#NUM!</v>
      </c>
      <c r="EC170" s="3" t="e">
        <f t="shared" ca="1" si="651"/>
        <v>#NUM!</v>
      </c>
      <c r="EE170" s="59">
        <f t="shared" si="571"/>
        <v>0.25</v>
      </c>
      <c r="EF170" s="59">
        <f t="shared" si="572"/>
        <v>2.0099</v>
      </c>
      <c r="EG170" s="59">
        <f t="shared" si="573"/>
        <v>0.25</v>
      </c>
      <c r="EH170" s="59">
        <f t="shared" si="574"/>
        <v>2.0099</v>
      </c>
      <c r="EI170" s="59">
        <f t="shared" si="575"/>
        <v>0.27829999999999999</v>
      </c>
      <c r="EJ170" s="59">
        <f t="shared" si="576"/>
        <v>0.29630000000000001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200.99%</v>
      </c>
      <c r="EN170" s="3" t="str">
        <f>RTD("tos.rtd",,EN$2,"."&amp;$C$134&amp;$AU$82&amp;"C"&amp;$A170)</f>
        <v>--</v>
      </c>
      <c r="EO170" s="3" t="str">
        <f>RTD("tos.rtd",,EO$2,"."&amp;$C$134&amp;$AU$82&amp;"P"&amp;$A170)</f>
        <v>200.99%</v>
      </c>
      <c r="EP170" s="3" t="str">
        <f>RTD("tos.rtd",,EP$2,"."&amp;$D$134&amp;$AW$82&amp;"C"&amp;$A170)</f>
        <v>27.83%</v>
      </c>
      <c r="EQ170" s="3" t="str">
        <f>RTD("tos.rtd",,EQ$2,"."&amp;$D$134&amp;$AW$82&amp;"P"&amp;$A170)</f>
        <v>29.63%</v>
      </c>
      <c r="ES170" s="63" t="str">
        <f t="shared" si="577"/>
        <v>19625,-01.00</v>
      </c>
      <c r="ET170" s="64" t="str">
        <f t="shared" ca="1" si="578"/>
        <v>19625,00.00</v>
      </c>
      <c r="EU170" s="68">
        <v>562.84</v>
      </c>
      <c r="EV170" s="68" t="s">
        <v>1379</v>
      </c>
      <c r="EW170" s="68">
        <v>485.51</v>
      </c>
      <c r="EX170" s="68" t="s">
        <v>1380</v>
      </c>
      <c r="EY170" s="68">
        <v>5642</v>
      </c>
      <c r="EZ170" s="68" t="s">
        <v>1381</v>
      </c>
      <c r="FA170" s="68">
        <v>19944.25</v>
      </c>
      <c r="FB170" s="68" t="s">
        <v>1382</v>
      </c>
      <c r="FC170" s="68" t="s">
        <v>1383</v>
      </c>
      <c r="FD170" s="68" t="s">
        <v>1384</v>
      </c>
      <c r="FE170" s="68" t="s">
        <v>1385</v>
      </c>
      <c r="FF170" s="68" t="s">
        <v>1386</v>
      </c>
    </row>
    <row r="171" spans="1:162" ht="11.1" customHeight="1" thickBot="1" x14ac:dyDescent="0.25">
      <c r="A171" s="2">
        <f t="shared" si="587"/>
        <v>19600</v>
      </c>
      <c r="B171" s="3">
        <f t="shared" si="633"/>
        <v>82</v>
      </c>
      <c r="C171" s="3">
        <f t="shared" si="634"/>
        <v>33</v>
      </c>
      <c r="D171" s="3">
        <f t="shared" si="635"/>
        <v>113</v>
      </c>
      <c r="E171" s="3">
        <f t="shared" si="636"/>
        <v>228</v>
      </c>
      <c r="F171" s="4">
        <f t="shared" si="637"/>
        <v>19697.772678522433</v>
      </c>
      <c r="G171" s="5">
        <f t="shared" si="638"/>
        <v>477.05245304666647</v>
      </c>
      <c r="AM171" s="1">
        <v>-7</v>
      </c>
      <c r="AN171" s="1">
        <v>9</v>
      </c>
      <c r="AO171" s="1">
        <v>19600</v>
      </c>
      <c r="AP171" s="1">
        <v>7</v>
      </c>
      <c r="AQ171" s="1">
        <v>-153</v>
      </c>
      <c r="AS171" s="54">
        <f>IF(RTD("tos.rtd",,AS$83,"."&amp;$B$134&amp;$AS$82&amp;"C"&amp;$A171)="N/A",0,RTD("tos.rtd",,AS$83,"."&amp;$B$134&amp;$AS$82&amp;"C"&amp;$A171))</f>
        <v>18</v>
      </c>
      <c r="AT171" s="3">
        <f>-IF(RTD("tos.rtd",,AT$83,"."&amp;$B$134&amp;$AS$82&amp;"P"&amp;$A171)="N/A",0,RTD("tos.rtd",,AT$83,"."&amp;$B$134&amp;$AS$82&amp;"P"&amp;$A171))</f>
        <v>-64</v>
      </c>
      <c r="AU171" s="54">
        <f>IF(RTD("tos.rtd",,AU$2,"."&amp;$C$134&amp;$AU$134&amp;"C"&amp;$A171)="N/A",0,RTD("tos.rtd",,AU$2,"."&amp;$C$134&amp;$AU$134&amp;"C"&amp;$A171))</f>
        <v>11</v>
      </c>
      <c r="AV171" s="3">
        <f>-IF(RTD("tos.rtd",,AV$2,"."&amp;$C$134&amp;$AU$134&amp;"P"&amp;$A171)="N/A",0,RTD("tos.rtd",,AV$2,"."&amp;$C$134&amp;$AU$134&amp;"P"&amp;$A171))</f>
        <v>-22</v>
      </c>
      <c r="AW171" s="54">
        <f>IF(RTD("tos.rtd",,AW$2,"."&amp;$D$134&amp;$AW$134&amp;"C"&amp;$A171)="N/A",0,RTD("tos.rtd",,AW$2,"."&amp;$D$134&amp;$AW$134&amp;"C"&amp;$A171))</f>
        <v>58</v>
      </c>
      <c r="AX171" s="3">
        <f>-IF(RTD("tos.rtd",,AX$2,"."&amp;$D$134&amp;$AW$134&amp;"P"&amp;$A171)="N/A",0,RTD("tos.rtd",,AX$2,"."&amp;$D$134&amp;$AW$134&amp;"P"&amp;$A171))</f>
        <v>-55</v>
      </c>
      <c r="AY171" s="76">
        <f t="shared" si="639"/>
        <v>-54</v>
      </c>
      <c r="AZ171" s="8">
        <f t="shared" si="542"/>
        <v>19600</v>
      </c>
      <c r="BA171" s="54">
        <f>IF(RTD("tos.rtd",,BA$43,"."&amp;$B$134&amp;$AS$82&amp;"C"&amp;$A171)="N/A",0,RTD("tos.rtd",,BA$43,"."&amp;$B$134&amp;$AS$82&amp;"C"&amp;$A171))</f>
        <v>0</v>
      </c>
      <c r="BB171" s="3">
        <f>-IF(RTD("tos.rtd",,BB$43,"."&amp;$B$134&amp;$AS$82&amp;"P"&amp;$A171)="N/A",0,RTD("tos.rtd",,BB$43,"."&amp;$B$134&amp;$AS$82&amp;"P"&amp;$A171))</f>
        <v>0</v>
      </c>
      <c r="BC171" s="54">
        <f>IF(RTD("tos.rtd",,BC$2,"."&amp;$C$134&amp;$AU$82&amp;"C"&amp;$A171)="N/A",0,RTD("tos.rtd",,BC$2,"."&amp;$C$134&amp;$AU$82&amp;"C"&amp;$A171))</f>
        <v>1</v>
      </c>
      <c r="BD171" s="3">
        <f>-IF(RTD("tos.rtd",,BD$2,"."&amp;$C$134&amp;$AU$82&amp;"P"&amp;$A171)="N/A",0,RTD("tos.rtd",,BD$2,"."&amp;$C$134&amp;$AU$82&amp;"P"&amp;$A171))</f>
        <v>-562</v>
      </c>
      <c r="BE171" s="54">
        <f>IF(RTD("tos.rtd",,BE$2,"."&amp;$D$134&amp;$AW$82&amp;"C"&amp;$A171)="N/A",0,RTD("tos.rtd",,BE$2,"."&amp;$D$134&amp;$AW$82&amp;"C"&amp;$A171))</f>
        <v>0</v>
      </c>
      <c r="BF171" s="3">
        <f>-IF(RTD("tos.rtd",,BF$2,"."&amp;$D$134&amp;$AW$82&amp;"P"&amp;$A171)="N/A",0,RTD("tos.rtd",,BF$2,"."&amp;$D$134&amp;$AW$82&amp;"P"&amp;$A171))</f>
        <v>-26</v>
      </c>
      <c r="BG171" s="3">
        <f ca="1">+Hoja2!Y172</f>
        <v>-7</v>
      </c>
      <c r="BH171" s="7">
        <f t="shared" ca="1" si="543"/>
        <v>-594</v>
      </c>
      <c r="BI171" s="32" t="str">
        <f t="shared" ca="1" si="601"/>
        <v/>
      </c>
      <c r="BJ171" s="3" t="e">
        <f ca="1">IF($BP$1=1,DX171,IF(RTD("tos.rtd",,BJ$43,"."&amp;$B$134&amp;$AS$82&amp;"C"&amp;$A171)="N/A",0,RTD("tos.rtd",,BJ$43,"."&amp;$B$134&amp;$AS$82&amp;"C"&amp;$A171)))</f>
        <v>#NUM!</v>
      </c>
      <c r="BK171" s="3" t="e">
        <f ca="1">IF($BP$1=1,DY171,-IF(RTD("tos.rtd",,BK$43,"."&amp;$B$134&amp;$AS$82&amp;"P"&amp;$A171)="N/A",0,RTD("tos.rtd",,BK$43,"."&amp;$B$134&amp;$AS$82&amp;"P"&amp;$A171)))</f>
        <v>#NUM!</v>
      </c>
      <c r="BL171" s="3" t="e">
        <f ca="1">IF($BP$1=1,DZ171,IF(RTD("tos.rtd",,BL$2,"."&amp;$C$134&amp;$AU$82&amp;"C"&amp;$A171)="N/A",0,RTD("tos.rtd",,BL$2,"."&amp;$C$134&amp;$AU$82&amp;"C"&amp;$A171)))</f>
        <v>#NUM!</v>
      </c>
      <c r="BM171" s="3" t="e">
        <f ca="1">IF($BP$1=1,EA171,-IF(RTD("tos.rtd",,BM$2,"."&amp;$C$134&amp;$AU$82&amp;"P"&amp;$A171)="N/A",0,RTD("tos.rtd",,BM$2,"."&amp;$C$134&amp;$AU$82&amp;"P"&amp;$A171)))</f>
        <v>#NUM!</v>
      </c>
      <c r="BN171" s="3" t="e">
        <f ca="1">IF($BP$1=1,EB171,IF(RTD("tos.rtd",,BN$2,"."&amp;$D$134&amp;$AW$82&amp;"C"&amp;$A171)="N/A",0,RTD("tos.rtd",,BN$2,"."&amp;$D$134&amp;$AW$82&amp;"C"&amp;$A171)))</f>
        <v>#NUM!</v>
      </c>
      <c r="BO171" s="3" t="e">
        <f ca="1">IF($BP$1=1,EC171,-IF(RTD("tos.rtd",,BO$2,"."&amp;$D$134&amp;$AW$82&amp;"P"&amp;$A171)="N/A",0,RTD("tos.rtd",,BO$2,"."&amp;$D$134&amp;$AW$82&amp;"P"&amp;$A171)))</f>
        <v>#NUM!</v>
      </c>
      <c r="BQ171" s="3" t="e">
        <f t="shared" ca="1" si="640"/>
        <v>#NUM!</v>
      </c>
      <c r="BR171" s="3" t="e">
        <f t="shared" ca="1" si="544"/>
        <v>#NUM!</v>
      </c>
      <c r="BS171" s="3" t="e">
        <f t="shared" ca="1" si="641"/>
        <v>#NUM!</v>
      </c>
      <c r="BT171" s="3" t="e">
        <f t="shared" ca="1" si="545"/>
        <v>#NUM!</v>
      </c>
      <c r="BU171" s="3" t="e">
        <f t="shared" ca="1" si="642"/>
        <v>#NUM!</v>
      </c>
      <c r="BV171" s="3" t="e">
        <f t="shared" ca="1" si="545"/>
        <v>#NUM!</v>
      </c>
      <c r="BX171" s="3" t="e">
        <f t="shared" ca="1" si="579"/>
        <v>#NUM!</v>
      </c>
      <c r="BY171" s="3" t="e">
        <f t="shared" ca="1" si="580"/>
        <v>#NUM!</v>
      </c>
      <c r="BZ171" s="3" t="e">
        <f t="shared" ca="1" si="581"/>
        <v>#NUM!</v>
      </c>
      <c r="CA171" s="3" t="e">
        <f t="shared" ca="1" si="580"/>
        <v>#NUM!</v>
      </c>
      <c r="CB171" s="3" t="e">
        <f t="shared" ca="1" si="582"/>
        <v>#NUM!</v>
      </c>
      <c r="CC171" s="3" t="e">
        <f t="shared" ca="1" si="580"/>
        <v>#NUM!</v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0.02</v>
      </c>
      <c r="CF171" s="3">
        <f>IF(RTD("tos.rtd",,CF$2,"."&amp;$C$134&amp;$AU$82&amp;"C"&amp;$A171)="N/A",0,RTD("tos.rtd",,CF$2,"."&amp;$C$134&amp;$AU$82&amp;"C"&amp;$A171))</f>
        <v>0.97</v>
      </c>
      <c r="CG171" s="3">
        <f>-IF(RTD("tos.rtd",,CG$2,"."&amp;$C$134&amp;$AU$82&amp;"P"&amp;$A171)="N/A",0,RTD("tos.rtd",,CG$2,"."&amp;$C$134&amp;$AU$82&amp;"P"&amp;$A171))</f>
        <v>0</v>
      </c>
      <c r="CH171" s="3">
        <f>IF(RTD("tos.rtd",,CH$2,"."&amp;$D$134&amp;$AW$82&amp;"C"&amp;$A171)="N/A",0,RTD("tos.rtd",,CH$2,"."&amp;$D$134&amp;$AW$82&amp;"C"&amp;$A171))</f>
        <v>0.78</v>
      </c>
      <c r="CI171" s="3">
        <f>-IF(RTD("tos.rtd",,CI$2,"."&amp;$D$134&amp;$AW$82&amp;"P"&amp;$A171)="N/A",0,RTD("tos.rtd",,CI$2,"."&amp;$D$134&amp;$AW$82&amp;"P"&amp;$A171))</f>
        <v>0.24</v>
      </c>
      <c r="CK171" s="3">
        <f t="shared" si="643"/>
        <v>1672</v>
      </c>
      <c r="CL171" s="3"/>
      <c r="CM171" s="3">
        <f t="shared" si="644"/>
        <v>1067</v>
      </c>
      <c r="CN171" s="3"/>
      <c r="CO171" s="3">
        <f t="shared" si="645"/>
        <v>3204</v>
      </c>
      <c r="CP171" s="3">
        <f t="shared" si="536"/>
        <v>5943</v>
      </c>
      <c r="CQ171" s="3">
        <f t="shared" si="546"/>
        <v>0</v>
      </c>
      <c r="CR171" s="3"/>
      <c r="CS171" s="3">
        <f t="shared" si="547"/>
        <v>-561</v>
      </c>
      <c r="CT171" s="3"/>
      <c r="CU171" s="3">
        <f t="shared" si="548"/>
        <v>-26</v>
      </c>
      <c r="CV171" s="3"/>
      <c r="CW171" s="3" t="e">
        <f t="shared" ca="1" si="549"/>
        <v>#NUM!</v>
      </c>
      <c r="CY171" s="3" t="e">
        <f t="shared" ca="1" si="550"/>
        <v>#NUM!</v>
      </c>
      <c r="CZ171" s="70" t="e">
        <f t="shared" ca="1" si="583"/>
        <v>#NUM!</v>
      </c>
      <c r="DA171" s="3">
        <f>IF(RTD("tos.rtd",,DA$43,"."&amp;$B$134&amp;$AS$82&amp;"C"&amp;$A171)="N/A",0,RTD("tos.rtd",,DA$43,"."&amp;$B$134&amp;$AS$82&amp;"C"&amp;$A171))</f>
        <v>372.15</v>
      </c>
      <c r="DB171" s="3">
        <f>IF(RTD("tos.rtd",,DB$43,"."&amp;$B$134&amp;$AS$82&amp;"P"&amp;$A171)="N/A",0,RTD("tos.rtd",,DB$43,"."&amp;$B$134&amp;$AS$82&amp;"P"&amp;$A171))</f>
        <v>0.25</v>
      </c>
      <c r="DC171" s="3">
        <f>IF(RTD("tos.rtd",,DC$43,"."&amp;$B$134&amp;$AS$82&amp;"C"&amp;$A171)="N/A",0,RTD("tos.rtd",,DC$43,"."&amp;$B$134&amp;$AS$82&amp;"C"&amp;$A171))</f>
        <v>402</v>
      </c>
      <c r="DD171" s="3">
        <f>IF(RTD("tos.rtd",,DD$43,"."&amp;$B$134&amp;$AS$82&amp;"P"&amp;$A171)="N/A",0,RTD("tos.rtd",,DD$43,"."&amp;$B$134&amp;$AS$82&amp;"P"&amp;$A171))</f>
        <v>4.5</v>
      </c>
      <c r="DE171" s="3">
        <f>IF(RTD("tos.rtd",,DE$43,"."&amp;$B$134&amp;$AS$82&amp;"C"&amp;$A171)="N/A",0,RTD("tos.rtd",,DE$43,"."&amp;$B$134&amp;$AS$82&amp;"C"&amp;$A171))</f>
        <v>352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84"/>
        <v>-446.5</v>
      </c>
      <c r="DH171" s="3">
        <f t="shared" si="551"/>
        <v>-2.8209999999999966</v>
      </c>
      <c r="DI171" s="3">
        <f t="shared" si="552"/>
        <v>8.5</v>
      </c>
      <c r="DJ171" s="3">
        <f t="shared" si="553"/>
        <v>0</v>
      </c>
      <c r="DK171" s="3">
        <f t="shared" si="554"/>
        <v>-153</v>
      </c>
      <c r="DL171" s="3">
        <f t="shared" si="555"/>
        <v>5.6790000000000038</v>
      </c>
      <c r="DM171" s="3">
        <f t="shared" si="556"/>
        <v>-153</v>
      </c>
      <c r="DN171" s="64" t="str">
        <f t="shared" si="557"/>
        <v>UNKNOWN</v>
      </c>
      <c r="DO171" s="64" t="str">
        <f t="shared" si="558"/>
        <v>UNKNOWN</v>
      </c>
      <c r="DP171" s="3">
        <f t="shared" si="559"/>
        <v>-1047.7101499999987</v>
      </c>
      <c r="DQ171" s="3">
        <f t="shared" si="560"/>
        <v>-38.25</v>
      </c>
      <c r="DR171" s="3" t="e">
        <f t="shared" ca="1" si="561"/>
        <v>#NUM!</v>
      </c>
      <c r="DS171" s="3">
        <f t="shared" si="562"/>
        <v>-3.06</v>
      </c>
      <c r="DT171" s="3">
        <f t="shared" si="585"/>
        <v>-7</v>
      </c>
      <c r="DU171" s="3">
        <f t="shared" si="586"/>
        <v>153</v>
      </c>
      <c r="DV171" s="3">
        <f t="shared" si="563"/>
        <v>-7</v>
      </c>
      <c r="DW171" s="3">
        <f t="shared" si="564"/>
        <v>9</v>
      </c>
      <c r="DX171" s="3" t="e">
        <f t="shared" ca="1" si="646"/>
        <v>#NUM!</v>
      </c>
      <c r="DY171" s="3" t="e">
        <f t="shared" ca="1" si="647"/>
        <v>#NUM!</v>
      </c>
      <c r="DZ171" s="3" t="e">
        <f t="shared" ca="1" si="648"/>
        <v>#NUM!</v>
      </c>
      <c r="EA171" s="3" t="e">
        <f t="shared" ca="1" si="649"/>
        <v>#NUM!</v>
      </c>
      <c r="EB171" s="3" t="e">
        <f t="shared" ca="1" si="650"/>
        <v>#NUM!</v>
      </c>
      <c r="EC171" s="3" t="e">
        <f t="shared" ca="1" si="651"/>
        <v>#NUM!</v>
      </c>
      <c r="EE171" s="59">
        <f t="shared" si="571"/>
        <v>0.25</v>
      </c>
      <c r="EF171" s="59">
        <f t="shared" si="572"/>
        <v>1.5751999999999999</v>
      </c>
      <c r="EG171" s="59">
        <f t="shared" si="573"/>
        <v>1.6624000000000001</v>
      </c>
      <c r="EH171" s="59">
        <f t="shared" si="574"/>
        <v>1.1529</v>
      </c>
      <c r="EI171" s="59">
        <f t="shared" si="575"/>
        <v>0.27839999999999998</v>
      </c>
      <c r="EJ171" s="59">
        <f t="shared" si="576"/>
        <v>0.29680000000000001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157.52%</v>
      </c>
      <c r="EN171" s="3" t="str">
        <f>RTD("tos.rtd",,EN$2,"."&amp;$C$134&amp;$AU$82&amp;"C"&amp;$A171)</f>
        <v>166.24%</v>
      </c>
      <c r="EO171" s="3" t="str">
        <f>RTD("tos.rtd",,EO$2,"."&amp;$C$134&amp;$AU$82&amp;"P"&amp;$A171)</f>
        <v>115.29%</v>
      </c>
      <c r="EP171" s="3" t="str">
        <f>RTD("tos.rtd",,EP$2,"."&amp;$D$134&amp;$AW$82&amp;"C"&amp;$A171)</f>
        <v>27.84%</v>
      </c>
      <c r="EQ171" s="3" t="str">
        <f>RTD("tos.rtd",,EQ$2,"."&amp;$D$134&amp;$AW$82&amp;"P"&amp;$A171)</f>
        <v>29.68%</v>
      </c>
      <c r="ES171" s="63" t="str">
        <f t="shared" si="577"/>
        <v>19600,02.00</v>
      </c>
      <c r="ET171" s="64" t="str">
        <f t="shared" ca="1" si="578"/>
        <v>19600,00.00</v>
      </c>
      <c r="EU171" s="68">
        <v>562.79</v>
      </c>
      <c r="EV171" s="68" t="s">
        <v>1387</v>
      </c>
      <c r="EW171" s="68">
        <v>485.47</v>
      </c>
      <c r="EX171" s="68" t="s">
        <v>1388</v>
      </c>
      <c r="EY171" s="68">
        <v>5641.5</v>
      </c>
      <c r="EZ171" s="68" t="s">
        <v>1389</v>
      </c>
      <c r="FA171" s="68">
        <v>19942.5</v>
      </c>
      <c r="FB171" s="68" t="s">
        <v>1390</v>
      </c>
      <c r="FC171" s="68" t="s">
        <v>1391</v>
      </c>
      <c r="FD171" s="68" t="s">
        <v>1392</v>
      </c>
      <c r="FE171" s="68" t="s">
        <v>1393</v>
      </c>
      <c r="FF171" s="68" t="s">
        <v>1394</v>
      </c>
    </row>
    <row r="172" spans="1:162" ht="11.1" customHeight="1" thickBot="1" x14ac:dyDescent="0.25">
      <c r="A172" s="2">
        <f t="shared" si="587"/>
        <v>19575</v>
      </c>
      <c r="B172" s="3">
        <f t="shared" si="633"/>
        <v>5</v>
      </c>
      <c r="C172" s="3">
        <f t="shared" si="634"/>
        <v>22</v>
      </c>
      <c r="D172" s="3">
        <f t="shared" si="635"/>
        <v>24</v>
      </c>
      <c r="E172" s="3">
        <f t="shared" si="636"/>
        <v>51</v>
      </c>
      <c r="F172" s="4">
        <f t="shared" si="637"/>
        <v>19672.647968473299</v>
      </c>
      <c r="G172" s="5">
        <f t="shared" si="638"/>
        <v>476.44396777492329</v>
      </c>
      <c r="AM172" s="1">
        <v>0</v>
      </c>
      <c r="AN172" s="1">
        <v>-1</v>
      </c>
      <c r="AO172" s="1">
        <v>19575</v>
      </c>
      <c r="AP172" s="1">
        <v>0</v>
      </c>
      <c r="AQ172" s="1">
        <v>-44</v>
      </c>
      <c r="AS172" s="54">
        <f>IF(RTD("tos.rtd",,AS$83,"."&amp;$B$134&amp;$AS$82&amp;"C"&amp;$A172)="N/A",0,RTD("tos.rtd",,AS$83,"."&amp;$B$134&amp;$AS$82&amp;"C"&amp;$A172))</f>
        <v>2</v>
      </c>
      <c r="AT172" s="3">
        <f>-IF(RTD("tos.rtd",,AT$83,"."&amp;$B$134&amp;$AS$82&amp;"P"&amp;$A172)="N/A",0,RTD("tos.rtd",,AT$83,"."&amp;$B$134&amp;$AS$82&amp;"P"&amp;$A172))</f>
        <v>-3</v>
      </c>
      <c r="AU172" s="54">
        <f>IF(RTD("tos.rtd",,AU$2,"."&amp;$C$134&amp;$AU$134&amp;"C"&amp;$A172)="N/A",0,RTD("tos.rtd",,AU$2,"."&amp;$C$134&amp;$AU$134&amp;"C"&amp;$A172))</f>
        <v>16</v>
      </c>
      <c r="AV172" s="3">
        <f>-IF(RTD("tos.rtd",,AV$2,"."&amp;$C$134&amp;$AU$134&amp;"P"&amp;$A172)="N/A",0,RTD("tos.rtd",,AV$2,"."&amp;$C$134&amp;$AU$134&amp;"P"&amp;$A172))</f>
        <v>-6</v>
      </c>
      <c r="AW172" s="54">
        <f>IF(RTD("tos.rtd",,AW$2,"."&amp;$D$134&amp;$AW$134&amp;"C"&amp;$A172)="N/A",0,RTD("tos.rtd",,AW$2,"."&amp;$D$134&amp;$AW$134&amp;"C"&amp;$A172))</f>
        <v>16</v>
      </c>
      <c r="AX172" s="3">
        <f>-IF(RTD("tos.rtd",,AX$2,"."&amp;$D$134&amp;$AW$134&amp;"P"&amp;$A172)="N/A",0,RTD("tos.rtd",,AX$2,"."&amp;$D$134&amp;$AW$134&amp;"P"&amp;$A172))</f>
        <v>-8</v>
      </c>
      <c r="AY172" s="76">
        <f t="shared" si="639"/>
        <v>17</v>
      </c>
      <c r="AZ172" s="8">
        <f t="shared" si="542"/>
        <v>19575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0</v>
      </c>
      <c r="BC172" s="54">
        <f>IF(RTD("tos.rtd",,BC$2,"."&amp;$C$134&amp;$AU$82&amp;"C"&amp;$A172)="N/A",0,RTD("tos.rtd",,BC$2,"."&amp;$C$134&amp;$AU$82&amp;"C"&amp;$A172))</f>
        <v>9</v>
      </c>
      <c r="BD172" s="3">
        <f>-IF(RTD("tos.rtd",,BD$2,"."&amp;$C$134&amp;$AU$82&amp;"P"&amp;$A172)="N/A",0,RTD("tos.rtd",,BD$2,"."&amp;$C$134&amp;$AU$82&amp;"P"&amp;$A172))</f>
        <v>-50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-1</v>
      </c>
      <c r="BG172" s="3">
        <f ca="1">+Hoja2!Y173</f>
        <v>-1</v>
      </c>
      <c r="BH172" s="7">
        <f t="shared" ca="1" si="543"/>
        <v>-43</v>
      </c>
      <c r="BI172" s="32" t="str">
        <f t="shared" ca="1" si="601"/>
        <v/>
      </c>
      <c r="BJ172" s="3" t="e">
        <f ca="1">IF($BP$1=1,DX172,IF(RTD("tos.rtd",,BJ$43,"."&amp;$B$134&amp;$AS$82&amp;"C"&amp;$A172)="N/A",0,RTD("tos.rtd",,BJ$43,"."&amp;$B$134&amp;$AS$82&amp;"C"&amp;$A172)))</f>
        <v>#NUM!</v>
      </c>
      <c r="BK172" s="3" t="e">
        <f ca="1">IF($BP$1=1,DY172,-IF(RTD("tos.rtd",,BK$43,"."&amp;$B$134&amp;$AS$82&amp;"P"&amp;$A172)="N/A",0,RTD("tos.rtd",,BK$43,"."&amp;$B$134&amp;$AS$82&amp;"P"&amp;$A172)))</f>
        <v>#NUM!</v>
      </c>
      <c r="BL172" s="3" t="e">
        <f ca="1">IF($BP$1=1,DZ172,IF(RTD("tos.rtd",,BL$2,"."&amp;$C$134&amp;$AU$82&amp;"C"&amp;$A172)="N/A",0,RTD("tos.rtd",,BL$2,"."&amp;$C$134&amp;$AU$82&amp;"C"&amp;$A172)))</f>
        <v>#NUM!</v>
      </c>
      <c r="BM172" s="3" t="e">
        <f ca="1">IF($BP$1=1,EA172,-IF(RTD("tos.rtd",,BM$2,"."&amp;$C$134&amp;$AU$82&amp;"P"&amp;$A172)="N/A",0,RTD("tos.rtd",,BM$2,"."&amp;$C$134&amp;$AU$82&amp;"P"&amp;$A172)))</f>
        <v>#NUM!</v>
      </c>
      <c r="BN172" s="3" t="e">
        <f ca="1">IF($BP$1=1,EB172,IF(RTD("tos.rtd",,BN$2,"."&amp;$D$134&amp;$AW$82&amp;"C"&amp;$A172)="N/A",0,RTD("tos.rtd",,BN$2,"."&amp;$D$134&amp;$AW$82&amp;"C"&amp;$A172)))</f>
        <v>#NUM!</v>
      </c>
      <c r="BO172" s="3" t="e">
        <f ca="1">IF($BP$1=1,EC172,-IF(RTD("tos.rtd",,BO$2,"."&amp;$D$134&amp;$AW$82&amp;"P"&amp;$A172)="N/A",0,RTD("tos.rtd",,BO$2,"."&amp;$D$134&amp;$AW$82&amp;"P"&amp;$A172)))</f>
        <v>#NUM!</v>
      </c>
      <c r="BQ172" s="3" t="e">
        <f t="shared" ca="1" si="640"/>
        <v>#NUM!</v>
      </c>
      <c r="BR172" s="3" t="e">
        <f t="shared" ca="1" si="544"/>
        <v>#NUM!</v>
      </c>
      <c r="BS172" s="3" t="e">
        <f t="shared" ca="1" si="641"/>
        <v>#NUM!</v>
      </c>
      <c r="BT172" s="3" t="e">
        <f t="shared" ca="1" si="545"/>
        <v>#NUM!</v>
      </c>
      <c r="BU172" s="3" t="e">
        <f t="shared" ca="1" si="642"/>
        <v>#NUM!</v>
      </c>
      <c r="BV172" s="3" t="e">
        <f t="shared" ca="1" si="545"/>
        <v>#NUM!</v>
      </c>
      <c r="BX172" s="3" t="e">
        <f t="shared" ca="1" si="579"/>
        <v>#NUM!</v>
      </c>
      <c r="BY172" s="3" t="e">
        <f t="shared" ca="1" si="580"/>
        <v>#NUM!</v>
      </c>
      <c r="BZ172" s="3" t="e">
        <f t="shared" ca="1" si="581"/>
        <v>#NUM!</v>
      </c>
      <c r="CA172" s="3" t="e">
        <f t="shared" ca="1" si="580"/>
        <v>#NUM!</v>
      </c>
      <c r="CB172" s="3" t="e">
        <f t="shared" ca="1" si="582"/>
        <v>#NUM!</v>
      </c>
      <c r="CC172" s="3" t="e">
        <f t="shared" ca="1" si="580"/>
        <v>#NUM!</v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7.0000000000000007E-2</v>
      </c>
      <c r="CF172" s="3">
        <f>IF(RTD("tos.rtd",,CF$2,"."&amp;$C$134&amp;$AU$82&amp;"C"&amp;$A172)="N/A",0,RTD("tos.rtd",,CF$2,"."&amp;$C$134&amp;$AU$82&amp;"C"&amp;$A172))</f>
        <v>1</v>
      </c>
      <c r="CG172" s="3">
        <f>-IF(RTD("tos.rtd",,CG$2,"."&amp;$C$134&amp;$AU$82&amp;"P"&amp;$A172)="N/A",0,RTD("tos.rtd",,CG$2,"."&amp;$C$134&amp;$AU$82&amp;"P"&amp;$A172))</f>
        <v>7.0000000000000007E-2</v>
      </c>
      <c r="CH172" s="3">
        <f>IF(RTD("tos.rtd",,CH$2,"."&amp;$D$134&amp;$AW$82&amp;"C"&amp;$A172)="N/A",0,RTD("tos.rtd",,CH$2,"."&amp;$D$134&amp;$AW$82&amp;"C"&amp;$A172))</f>
        <v>0.79</v>
      </c>
      <c r="CI172" s="3">
        <f>-IF(RTD("tos.rtd",,CI$2,"."&amp;$D$134&amp;$AW$82&amp;"P"&amp;$A172)="N/A",0,RTD("tos.rtd",,CI$2,"."&amp;$D$134&amp;$AW$82&amp;"P"&amp;$A172))</f>
        <v>0.22</v>
      </c>
      <c r="CK172" s="3">
        <f t="shared" si="643"/>
        <v>179</v>
      </c>
      <c r="CL172" s="3"/>
      <c r="CM172" s="3">
        <f t="shared" si="644"/>
        <v>1558</v>
      </c>
      <c r="CN172" s="3"/>
      <c r="CO172" s="3">
        <f t="shared" si="645"/>
        <v>1088</v>
      </c>
      <c r="CP172" s="3">
        <f t="shared" si="536"/>
        <v>2825</v>
      </c>
      <c r="CQ172" s="3">
        <f t="shared" si="546"/>
        <v>0</v>
      </c>
      <c r="CR172" s="3"/>
      <c r="CS172" s="3">
        <f t="shared" si="547"/>
        <v>-41</v>
      </c>
      <c r="CT172" s="3"/>
      <c r="CU172" s="3">
        <f t="shared" si="548"/>
        <v>-1</v>
      </c>
      <c r="CV172" s="3"/>
      <c r="CW172" s="3" t="e">
        <f t="shared" ca="1" si="549"/>
        <v>#NUM!</v>
      </c>
      <c r="CY172" s="3" t="e">
        <f t="shared" ca="1" si="550"/>
        <v>#NUM!</v>
      </c>
      <c r="CZ172" s="70" t="e">
        <f t="shared" ca="1" si="583"/>
        <v>#NUM!</v>
      </c>
      <c r="DA172" s="3">
        <f>IF(RTD("tos.rtd",,DA$43,"."&amp;$B$134&amp;$AS$82&amp;"C"&amp;$A172)="N/A",0,RTD("tos.rtd",,DA$43,"."&amp;$B$134&amp;$AS$82&amp;"C"&amp;$A172))</f>
        <v>197.8</v>
      </c>
      <c r="DB172" s="3">
        <f>IF(RTD("tos.rtd",,DB$43,"."&amp;$B$134&amp;$AS$82&amp;"P"&amp;$A172)="N/A",0,RTD("tos.rtd",,DB$43,"."&amp;$B$134&amp;$AS$82&amp;"P"&amp;$A172))</f>
        <v>0.25</v>
      </c>
      <c r="DC172" s="3">
        <f>IF(RTD("tos.rtd",,DC$43,"."&amp;$B$134&amp;$AS$82&amp;"C"&amp;$A172)="N/A",0,RTD("tos.rtd",,DC$43,"."&amp;$B$134&amp;$AS$82&amp;"C"&amp;$A172))</f>
        <v>427.2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377.2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84"/>
        <v>-471.5</v>
      </c>
      <c r="DH172" s="3">
        <f t="shared" si="551"/>
        <v>0</v>
      </c>
      <c r="DI172" s="3">
        <f t="shared" si="552"/>
        <v>0.55555555555555558</v>
      </c>
      <c r="DJ172" s="3">
        <f t="shared" si="553"/>
        <v>0</v>
      </c>
      <c r="DK172" s="3">
        <f t="shared" si="554"/>
        <v>-44</v>
      </c>
      <c r="DL172" s="3">
        <f t="shared" si="555"/>
        <v>0.55555555555555558</v>
      </c>
      <c r="DM172" s="3">
        <f t="shared" si="556"/>
        <v>-44</v>
      </c>
      <c r="DN172" s="64" t="str">
        <f t="shared" si="557"/>
        <v>UNKNOWN</v>
      </c>
      <c r="DO172" s="64" t="str">
        <f t="shared" si="558"/>
        <v>UNKNOWN</v>
      </c>
      <c r="DP172" s="3">
        <f t="shared" si="559"/>
        <v>0.1388888888888889</v>
      </c>
      <c r="DQ172" s="3">
        <f t="shared" si="560"/>
        <v>-11</v>
      </c>
      <c r="DR172" s="3" t="e">
        <f t="shared" ca="1" si="561"/>
        <v>#NUM!</v>
      </c>
      <c r="DS172" s="3">
        <f t="shared" si="562"/>
        <v>-3.08</v>
      </c>
      <c r="DT172" s="3">
        <f t="shared" si="585"/>
        <v>0</v>
      </c>
      <c r="DU172" s="3">
        <f t="shared" si="586"/>
        <v>44</v>
      </c>
      <c r="DV172" s="3">
        <f t="shared" si="563"/>
        <v>0</v>
      </c>
      <c r="DW172" s="3">
        <f t="shared" si="564"/>
        <v>-1</v>
      </c>
      <c r="DX172" s="3" t="e">
        <f t="shared" ca="1" si="646"/>
        <v>#NUM!</v>
      </c>
      <c r="DY172" s="3" t="e">
        <f t="shared" ca="1" si="647"/>
        <v>#NUM!</v>
      </c>
      <c r="DZ172" s="3" t="e">
        <f t="shared" ca="1" si="648"/>
        <v>#NUM!</v>
      </c>
      <c r="EA172" s="3" t="e">
        <f t="shared" ca="1" si="649"/>
        <v>#NUM!</v>
      </c>
      <c r="EB172" s="3" t="e">
        <f t="shared" ca="1" si="650"/>
        <v>#NUM!</v>
      </c>
      <c r="EC172" s="3" t="e">
        <f t="shared" ca="1" si="651"/>
        <v>#NUM!</v>
      </c>
      <c r="EE172" s="59">
        <f t="shared" si="571"/>
        <v>0.25</v>
      </c>
      <c r="EF172" s="59">
        <f t="shared" si="572"/>
        <v>2.1871999999999998</v>
      </c>
      <c r="EG172" s="59">
        <f t="shared" si="573"/>
        <v>0.25</v>
      </c>
      <c r="EH172" s="59">
        <f t="shared" si="574"/>
        <v>2.1871999999999998</v>
      </c>
      <c r="EI172" s="59">
        <f t="shared" si="575"/>
        <v>0.27839999999999998</v>
      </c>
      <c r="EJ172" s="59">
        <f t="shared" si="576"/>
        <v>0.29770000000000002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218.72%</v>
      </c>
      <c r="EN172" s="3" t="str">
        <f>RTD("tos.rtd",,EN$2,"."&amp;$C$134&amp;$AU$82&amp;"C"&amp;$A172)</f>
        <v>--</v>
      </c>
      <c r="EO172" s="3" t="str">
        <f>RTD("tos.rtd",,EO$2,"."&amp;$C$134&amp;$AU$82&amp;"P"&amp;$A172)</f>
        <v>218.72%</v>
      </c>
      <c r="EP172" s="3" t="str">
        <f>RTD("tos.rtd",,EP$2,"."&amp;$D$134&amp;$AW$82&amp;"C"&amp;$A172)</f>
        <v>27.84%</v>
      </c>
      <c r="EQ172" s="3" t="str">
        <f>RTD("tos.rtd",,EQ$2,"."&amp;$D$134&amp;$AW$82&amp;"P"&amp;$A172)</f>
        <v>29.77%</v>
      </c>
      <c r="ES172" s="63" t="str">
        <f t="shared" si="577"/>
        <v>19575,-01.00</v>
      </c>
      <c r="ET172" s="64" t="str">
        <f t="shared" ca="1" si="578"/>
        <v>19575,00.00</v>
      </c>
      <c r="EU172" s="68">
        <v>562.70000000000005</v>
      </c>
      <c r="EV172" s="68" t="s">
        <v>1395</v>
      </c>
      <c r="EW172" s="68">
        <v>485.37</v>
      </c>
      <c r="EX172" s="68" t="s">
        <v>1396</v>
      </c>
      <c r="EY172" s="68">
        <v>5640.5</v>
      </c>
      <c r="EZ172" s="68" t="s">
        <v>1397</v>
      </c>
      <c r="FA172" s="68">
        <v>19938.25</v>
      </c>
      <c r="FB172" s="68" t="s">
        <v>1398</v>
      </c>
      <c r="FC172" s="68" t="s">
        <v>1399</v>
      </c>
      <c r="FD172" s="68" t="s">
        <v>1400</v>
      </c>
      <c r="FE172" s="68" t="s">
        <v>1401</v>
      </c>
      <c r="FF172" s="68" t="s">
        <v>1402</v>
      </c>
    </row>
    <row r="173" spans="1:162" ht="11.1" customHeight="1" thickBot="1" x14ac:dyDescent="0.25">
      <c r="A173" s="2">
        <f t="shared" si="587"/>
        <v>19550</v>
      </c>
      <c r="B173" s="3">
        <f t="shared" si="633"/>
        <v>53</v>
      </c>
      <c r="C173" s="3">
        <f t="shared" si="634"/>
        <v>17</v>
      </c>
      <c r="D173" s="3">
        <f t="shared" si="635"/>
        <v>72</v>
      </c>
      <c r="E173" s="3">
        <f t="shared" si="636"/>
        <v>142</v>
      </c>
      <c r="F173" s="4">
        <f t="shared" si="637"/>
        <v>19647.52325842416</v>
      </c>
      <c r="G173" s="5">
        <f t="shared" si="638"/>
        <v>475.83548250318012</v>
      </c>
      <c r="AM173" s="1">
        <v>0</v>
      </c>
      <c r="AN173" s="1">
        <v>-44</v>
      </c>
      <c r="AO173" s="1">
        <v>19550</v>
      </c>
      <c r="AP173" s="1">
        <v>0</v>
      </c>
      <c r="AQ173" s="1">
        <v>-86</v>
      </c>
      <c r="AS173" s="54">
        <f>IF(RTD("tos.rtd",,AS$83,"."&amp;$B$134&amp;$AS$82&amp;"C"&amp;$A173)="N/A",0,RTD("tos.rtd",,AS$83,"."&amp;$B$134&amp;$AS$82&amp;"C"&amp;$A173))</f>
        <v>34</v>
      </c>
      <c r="AT173" s="3">
        <f>-IF(RTD("tos.rtd",,AT$83,"."&amp;$B$134&amp;$AS$82&amp;"P"&amp;$A173)="N/A",0,RTD("tos.rtd",,AT$83,"."&amp;$B$134&amp;$AS$82&amp;"P"&amp;$A173))</f>
        <v>-19</v>
      </c>
      <c r="AU173" s="54">
        <f>IF(RTD("tos.rtd",,AU$2,"."&amp;$C$134&amp;$AU$134&amp;"C"&amp;$A173)="N/A",0,RTD("tos.rtd",,AU$2,"."&amp;$C$134&amp;$AU$134&amp;"C"&amp;$A173))</f>
        <v>5</v>
      </c>
      <c r="AV173" s="3">
        <f>-IF(RTD("tos.rtd",,AV$2,"."&amp;$C$134&amp;$AU$134&amp;"P"&amp;$A173)="N/A",0,RTD("tos.rtd",,AV$2,"."&amp;$C$134&amp;$AU$134&amp;"P"&amp;$A173))</f>
        <v>-12</v>
      </c>
      <c r="AW173" s="54">
        <f>IF(RTD("tos.rtd",,AW$2,"."&amp;$D$134&amp;$AW$134&amp;"C"&amp;$A173)="N/A",0,RTD("tos.rtd",,AW$2,"."&amp;$D$134&amp;$AW$134&amp;"C"&amp;$A173))</f>
        <v>31</v>
      </c>
      <c r="AX173" s="3">
        <f>-IF(RTD("tos.rtd",,AX$2,"."&amp;$D$134&amp;$AW$134&amp;"P"&amp;$A173)="N/A",0,RTD("tos.rtd",,AX$2,"."&amp;$D$134&amp;$AW$134&amp;"P"&amp;$A173))</f>
        <v>-41</v>
      </c>
      <c r="AY173" s="76">
        <f t="shared" si="639"/>
        <v>-2</v>
      </c>
      <c r="AZ173" s="8">
        <f t="shared" si="542"/>
        <v>19550</v>
      </c>
      <c r="BA173" s="54">
        <f>IF(RTD("tos.rtd",,BA$43,"."&amp;$B$134&amp;$AS$82&amp;"C"&amp;$A173)="N/A",0,RTD("tos.rtd",,BA$43,"."&amp;$B$134&amp;$AS$82&amp;"C"&amp;$A173))</f>
        <v>0</v>
      </c>
      <c r="BB173" s="3">
        <f>-IF(RTD("tos.rtd",,BB$43,"."&amp;$B$134&amp;$AS$82&amp;"P"&amp;$A173)="N/A",0,RTD("tos.rtd",,BB$43,"."&amp;$B$134&amp;$AS$82&amp;"P"&amp;$A173))</f>
        <v>0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-51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-15</v>
      </c>
      <c r="BG173" s="3">
        <f ca="1">+Hoja2!Y174</f>
        <v>-3</v>
      </c>
      <c r="BH173" s="7">
        <f t="shared" ca="1" si="543"/>
        <v>-69</v>
      </c>
      <c r="BI173" s="32" t="str">
        <f t="shared" ca="1" si="601"/>
        <v/>
      </c>
      <c r="BJ173" s="3" t="e">
        <f ca="1">IF($BP$1=1,DX173,IF(RTD("tos.rtd",,BJ$43,"."&amp;$B$134&amp;$AS$82&amp;"C"&amp;$A173)="N/A",0,RTD("tos.rtd",,BJ$43,"."&amp;$B$134&amp;$AS$82&amp;"C"&amp;$A173)))</f>
        <v>#NUM!</v>
      </c>
      <c r="BK173" s="3" t="e">
        <f ca="1">IF($BP$1=1,DY173,-IF(RTD("tos.rtd",,BK$43,"."&amp;$B$134&amp;$AS$82&amp;"P"&amp;$A173)="N/A",0,RTD("tos.rtd",,BK$43,"."&amp;$B$134&amp;$AS$82&amp;"P"&amp;$A173)))</f>
        <v>#NUM!</v>
      </c>
      <c r="BL173" s="3" t="e">
        <f ca="1">IF($BP$1=1,DZ173,IF(RTD("tos.rtd",,BL$2,"."&amp;$C$134&amp;$AU$82&amp;"C"&amp;$A173)="N/A",0,RTD("tos.rtd",,BL$2,"."&amp;$C$134&amp;$AU$82&amp;"C"&amp;$A173)))</f>
        <v>#NUM!</v>
      </c>
      <c r="BM173" s="3" t="e">
        <f ca="1">IF($BP$1=1,EA173,-IF(RTD("tos.rtd",,BM$2,"."&amp;$C$134&amp;$AU$82&amp;"P"&amp;$A173)="N/A",0,RTD("tos.rtd",,BM$2,"."&amp;$C$134&amp;$AU$82&amp;"P"&amp;$A173)))</f>
        <v>#NUM!</v>
      </c>
      <c r="BN173" s="3" t="e">
        <f ca="1">IF($BP$1=1,EB173,IF(RTD("tos.rtd",,BN$2,"."&amp;$D$134&amp;$AW$82&amp;"C"&amp;$A173)="N/A",0,RTD("tos.rtd",,BN$2,"."&amp;$D$134&amp;$AW$82&amp;"C"&amp;$A173)))</f>
        <v>#NUM!</v>
      </c>
      <c r="BO173" s="3" t="e">
        <f ca="1">IF($BP$1=1,EC173,-IF(RTD("tos.rtd",,BO$2,"."&amp;$D$134&amp;$AW$82&amp;"P"&amp;$A173)="N/A",0,RTD("tos.rtd",,BO$2,"."&amp;$D$134&amp;$AW$82&amp;"P"&amp;$A173)))</f>
        <v>#NUM!</v>
      </c>
      <c r="BQ173" s="3" t="e">
        <f t="shared" ca="1" si="640"/>
        <v>#NUM!</v>
      </c>
      <c r="BR173" s="3" t="e">
        <f t="shared" ca="1" si="544"/>
        <v>#NUM!</v>
      </c>
      <c r="BS173" s="3" t="e">
        <f t="shared" ca="1" si="641"/>
        <v>#NUM!</v>
      </c>
      <c r="BT173" s="3" t="e">
        <f t="shared" ca="1" si="545"/>
        <v>#NUM!</v>
      </c>
      <c r="BU173" s="3" t="e">
        <f t="shared" ca="1" si="642"/>
        <v>#NUM!</v>
      </c>
      <c r="BV173" s="3" t="e">
        <f t="shared" ca="1" si="545"/>
        <v>#NUM!</v>
      </c>
      <c r="BX173" s="3" t="e">
        <f t="shared" ca="1" si="579"/>
        <v>#NUM!</v>
      </c>
      <c r="BY173" s="3" t="e">
        <f t="shared" ca="1" si="580"/>
        <v>#NUM!</v>
      </c>
      <c r="BZ173" s="3" t="e">
        <f t="shared" ca="1" si="581"/>
        <v>#NUM!</v>
      </c>
      <c r="CA173" s="3" t="e">
        <f t="shared" ca="1" si="580"/>
        <v>#NUM!</v>
      </c>
      <c r="CB173" s="3" t="e">
        <f t="shared" ca="1" si="582"/>
        <v>#NUM!</v>
      </c>
      <c r="CC173" s="3" t="e">
        <f t="shared" ca="1" si="580"/>
        <v>#NUM!</v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</v>
      </c>
      <c r="CF173" s="3">
        <f>IF(RTD("tos.rtd",,CF$2,"."&amp;$C$134&amp;$AU$82&amp;"C"&amp;$A173)="N/A",0,RTD("tos.rtd",,CF$2,"."&amp;$C$134&amp;$AU$82&amp;"C"&amp;$A173))</f>
        <v>0.97</v>
      </c>
      <c r="CG173" s="3">
        <f>-IF(RTD("tos.rtd",,CG$2,"."&amp;$C$134&amp;$AU$82&amp;"P"&amp;$A173)="N/A",0,RTD("tos.rtd",,CG$2,"."&amp;$C$134&amp;$AU$82&amp;"P"&amp;$A173))</f>
        <v>0.04</v>
      </c>
      <c r="CH173" s="3">
        <f>IF(RTD("tos.rtd",,CH$2,"."&amp;$D$134&amp;$AW$82&amp;"C"&amp;$A173)="N/A",0,RTD("tos.rtd",,CH$2,"."&amp;$D$134&amp;$AW$82&amp;"C"&amp;$A173))</f>
        <v>0.8</v>
      </c>
      <c r="CI173" s="3">
        <f>-IF(RTD("tos.rtd",,CI$2,"."&amp;$D$134&amp;$AW$82&amp;"P"&amp;$A173)="N/A",0,RTD("tos.rtd",,CI$2,"."&amp;$D$134&amp;$AW$82&amp;"P"&amp;$A173))</f>
        <v>0.21</v>
      </c>
      <c r="CK173" s="3">
        <f t="shared" si="643"/>
        <v>3400</v>
      </c>
      <c r="CL173" s="3"/>
      <c r="CM173" s="3">
        <f t="shared" si="644"/>
        <v>436.99999999999994</v>
      </c>
      <c r="CN173" s="3"/>
      <c r="CO173" s="3">
        <f t="shared" si="645"/>
        <v>1619</v>
      </c>
      <c r="CP173" s="3">
        <f t="shared" si="536"/>
        <v>5456</v>
      </c>
      <c r="CQ173" s="3">
        <f t="shared" si="546"/>
        <v>0</v>
      </c>
      <c r="CR173" s="3"/>
      <c r="CS173" s="3">
        <f t="shared" si="547"/>
        <v>-51</v>
      </c>
      <c r="CT173" s="3"/>
      <c r="CU173" s="3">
        <f t="shared" si="548"/>
        <v>-15</v>
      </c>
      <c r="CV173" s="3"/>
      <c r="CW173" s="3" t="e">
        <f t="shared" ca="1" si="549"/>
        <v>#NUM!</v>
      </c>
      <c r="CY173" s="3" t="e">
        <f t="shared" ca="1" si="550"/>
        <v>#NUM!</v>
      </c>
      <c r="CZ173" s="70" t="e">
        <f t="shared" ca="1" si="583"/>
        <v>#NUM!</v>
      </c>
      <c r="DA173" s="3">
        <f>IF(RTD("tos.rtd",,DA$43,"."&amp;$B$134&amp;$AS$82&amp;"C"&amp;$A173)="N/A",0,RTD("tos.rtd",,DA$43,"."&amp;$B$134&amp;$AS$82&amp;"C"&amp;$A173))</f>
        <v>251</v>
      </c>
      <c r="DB173" s="3">
        <f>IF(RTD("tos.rtd",,DB$43,"."&amp;$B$134&amp;$AS$82&amp;"P"&amp;$A173)="N/A",0,RTD("tos.rtd",,DB$43,"."&amp;$B$134&amp;$AS$82&amp;"P"&amp;$A173))</f>
        <v>0.05</v>
      </c>
      <c r="DC173" s="3">
        <f>IF(RTD("tos.rtd",,DC$43,"."&amp;$B$134&amp;$AS$82&amp;"C"&amp;$A173)="N/A",0,RTD("tos.rtd",,DC$43,"."&amp;$B$134&amp;$AS$82&amp;"C"&amp;$A173))</f>
        <v>452.2</v>
      </c>
      <c r="DD173" s="3">
        <f>IF(RTD("tos.rtd",,DD$43,"."&amp;$B$134&amp;$AS$82&amp;"P"&amp;$A173)="N/A",0,RTD("tos.rtd",,DD$43,"."&amp;$B$134&amp;$AS$82&amp;"P"&amp;$A173))</f>
        <v>0.35</v>
      </c>
      <c r="DE173" s="3">
        <f>IF(RTD("tos.rtd",,DE$43,"."&amp;$B$134&amp;$AS$82&amp;"C"&amp;$A173)="N/A",0,RTD("tos.rtd",,DE$43,"."&amp;$B$134&amp;$AS$82&amp;"C"&amp;$A173))</f>
        <v>402.2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84"/>
        <v>-496.5</v>
      </c>
      <c r="DH173" s="3">
        <f t="shared" si="551"/>
        <v>0</v>
      </c>
      <c r="DI173" s="3">
        <f t="shared" si="552"/>
        <v>12.285714285714288</v>
      </c>
      <c r="DJ173" s="3">
        <f t="shared" si="553"/>
        <v>0</v>
      </c>
      <c r="DK173" s="3">
        <f t="shared" si="554"/>
        <v>-86</v>
      </c>
      <c r="DL173" s="3">
        <f t="shared" si="555"/>
        <v>12.285714285714288</v>
      </c>
      <c r="DM173" s="3">
        <f t="shared" si="556"/>
        <v>-86</v>
      </c>
      <c r="DN173" s="64" t="str">
        <f t="shared" si="557"/>
        <v>UNKNOWN</v>
      </c>
      <c r="DO173" s="64" t="str">
        <f t="shared" si="558"/>
        <v>UNKNOWN</v>
      </c>
      <c r="DP173" s="3">
        <f t="shared" si="559"/>
        <v>0.61428571428571443</v>
      </c>
      <c r="DQ173" s="3">
        <f t="shared" si="560"/>
        <v>-4.3</v>
      </c>
      <c r="DR173" s="3" t="e">
        <f t="shared" ca="1" si="561"/>
        <v>#NUM!</v>
      </c>
      <c r="DS173" s="3">
        <f t="shared" si="562"/>
        <v>0</v>
      </c>
      <c r="DT173" s="3">
        <f t="shared" si="585"/>
        <v>0</v>
      </c>
      <c r="DU173" s="3">
        <f t="shared" si="586"/>
        <v>86</v>
      </c>
      <c r="DV173" s="3">
        <f t="shared" si="563"/>
        <v>0</v>
      </c>
      <c r="DW173" s="3">
        <f t="shared" si="564"/>
        <v>-44</v>
      </c>
      <c r="DX173" s="3" t="e">
        <f t="shared" ca="1" si="646"/>
        <v>#NUM!</v>
      </c>
      <c r="DY173" s="3" t="e">
        <f t="shared" ca="1" si="647"/>
        <v>#NUM!</v>
      </c>
      <c r="DZ173" s="3" t="e">
        <f t="shared" ca="1" si="648"/>
        <v>#NUM!</v>
      </c>
      <c r="EA173" s="3" t="e">
        <f t="shared" ca="1" si="649"/>
        <v>#NUM!</v>
      </c>
      <c r="EB173" s="3" t="e">
        <f t="shared" ca="1" si="650"/>
        <v>#NUM!</v>
      </c>
      <c r="EC173" s="3" t="e">
        <f t="shared" ca="1" si="651"/>
        <v>#NUM!</v>
      </c>
      <c r="EE173" s="59">
        <f t="shared" si="571"/>
        <v>0.25</v>
      </c>
      <c r="EF173" s="59">
        <f t="shared" si="572"/>
        <v>1.2493000000000001</v>
      </c>
      <c r="EG173" s="59">
        <f t="shared" si="573"/>
        <v>1.8125</v>
      </c>
      <c r="EH173" s="59">
        <f t="shared" si="574"/>
        <v>1.9636</v>
      </c>
      <c r="EI173" s="59">
        <f t="shared" si="575"/>
        <v>0.27850000000000003</v>
      </c>
      <c r="EJ173" s="59">
        <f t="shared" si="576"/>
        <v>0.2979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124.93%</v>
      </c>
      <c r="EN173" s="3" t="str">
        <f>RTD("tos.rtd",,EN$2,"."&amp;$C$134&amp;$AU$82&amp;"C"&amp;$A173)</f>
        <v>181.25%</v>
      </c>
      <c r="EO173" s="3" t="str">
        <f>RTD("tos.rtd",,EO$2,"."&amp;$C$134&amp;$AU$82&amp;"P"&amp;$A173)</f>
        <v>196.36%</v>
      </c>
      <c r="EP173" s="3" t="str">
        <f>RTD("tos.rtd",,EP$2,"."&amp;$D$134&amp;$AW$82&amp;"C"&amp;$A173)</f>
        <v>27.85%</v>
      </c>
      <c r="EQ173" s="3" t="str">
        <f>RTD("tos.rtd",,EQ$2,"."&amp;$D$134&amp;$AW$82&amp;"P"&amp;$A173)</f>
        <v>29.79%</v>
      </c>
      <c r="ES173" s="63" t="str">
        <f t="shared" si="577"/>
        <v>19550,-44.00</v>
      </c>
      <c r="ET173" s="64" t="str">
        <f t="shared" ca="1" si="578"/>
        <v>19550,00.00</v>
      </c>
      <c r="EU173" s="68">
        <v>562.74</v>
      </c>
      <c r="EV173" s="68" t="s">
        <v>1403</v>
      </c>
      <c r="EW173" s="68">
        <v>485.42</v>
      </c>
      <c r="EX173" s="68" t="s">
        <v>1404</v>
      </c>
      <c r="EY173" s="68">
        <v>5641.25</v>
      </c>
      <c r="EZ173" s="68" t="s">
        <v>1405</v>
      </c>
      <c r="FA173" s="68">
        <v>19941.25</v>
      </c>
      <c r="FB173" s="68" t="s">
        <v>1406</v>
      </c>
      <c r="FC173" s="68" t="s">
        <v>1407</v>
      </c>
      <c r="FD173" s="68" t="s">
        <v>1408</v>
      </c>
      <c r="FE173" s="68" t="s">
        <v>1409</v>
      </c>
      <c r="FF173" s="68" t="s">
        <v>1410</v>
      </c>
    </row>
    <row r="174" spans="1:162" ht="11.1" customHeight="1" thickBot="1" x14ac:dyDescent="0.25">
      <c r="A174" s="2">
        <f t="shared" si="587"/>
        <v>19525</v>
      </c>
      <c r="B174" s="3">
        <f t="shared" si="633"/>
        <v>4</v>
      </c>
      <c r="C174" s="3">
        <f t="shared" si="634"/>
        <v>10</v>
      </c>
      <c r="D174" s="3">
        <f t="shared" si="635"/>
        <v>25</v>
      </c>
      <c r="E174" s="3">
        <f t="shared" si="636"/>
        <v>39</v>
      </c>
      <c r="F174" s="4">
        <f t="shared" si="637"/>
        <v>19622.398548375026</v>
      </c>
      <c r="G174" s="5">
        <f t="shared" si="638"/>
        <v>475.22699723143688</v>
      </c>
      <c r="AM174" s="1">
        <v>-2</v>
      </c>
      <c r="AN174" s="1">
        <v>-22</v>
      </c>
      <c r="AO174" s="1">
        <v>19525</v>
      </c>
      <c r="AP174" s="1">
        <v>2</v>
      </c>
      <c r="AQ174" s="1">
        <v>-70</v>
      </c>
      <c r="AS174" s="54">
        <f>IF(RTD("tos.rtd",,AS$83,"."&amp;$B$134&amp;$AS$82&amp;"C"&amp;$A174)="N/A",0,RTD("tos.rtd",,AS$83,"."&amp;$B$134&amp;$AS$82&amp;"C"&amp;$A174))</f>
        <v>2</v>
      </c>
      <c r="AT174" s="3">
        <f>-IF(RTD("tos.rtd",,AT$83,"."&amp;$B$134&amp;$AS$82&amp;"P"&amp;$A174)="N/A",0,RTD("tos.rtd",,AT$83,"."&amp;$B$134&amp;$AS$82&amp;"P"&amp;$A174))</f>
        <v>-2</v>
      </c>
      <c r="AU174" s="54">
        <f>IF(RTD("tos.rtd",,AU$2,"."&amp;$C$134&amp;$AU$134&amp;"C"&amp;$A174)="N/A",0,RTD("tos.rtd",,AU$2,"."&amp;$C$134&amp;$AU$134&amp;"C"&amp;$A174))</f>
        <v>4</v>
      </c>
      <c r="AV174" s="3">
        <f>-IF(RTD("tos.rtd",,AV$2,"."&amp;$C$134&amp;$AU$134&amp;"P"&amp;$A174)="N/A",0,RTD("tos.rtd",,AV$2,"."&amp;$C$134&amp;$AU$134&amp;"P"&amp;$A174))</f>
        <v>-6</v>
      </c>
      <c r="AW174" s="54">
        <f>IF(RTD("tos.rtd",,AW$2,"."&amp;$D$134&amp;$AW$134&amp;"C"&amp;$A174)="N/A",0,RTD("tos.rtd",,AW$2,"."&amp;$D$134&amp;$AW$134&amp;"C"&amp;$A174))</f>
        <v>22</v>
      </c>
      <c r="AX174" s="3">
        <f>-IF(RTD("tos.rtd",,AX$2,"."&amp;$D$134&amp;$AW$134&amp;"P"&amp;$A174)="N/A",0,RTD("tos.rtd",,AX$2,"."&amp;$D$134&amp;$AW$134&amp;"P"&amp;$A174))</f>
        <v>-3</v>
      </c>
      <c r="AY174" s="76">
        <f t="shared" si="639"/>
        <v>17</v>
      </c>
      <c r="AZ174" s="8">
        <f t="shared" si="542"/>
        <v>19525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0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-32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-14</v>
      </c>
      <c r="BG174" s="3">
        <f ca="1">+Hoja2!Y175</f>
        <v>-3</v>
      </c>
      <c r="BH174" s="7">
        <f t="shared" ca="1" si="543"/>
        <v>-49</v>
      </c>
      <c r="BI174" s="32" t="str">
        <f t="shared" ca="1" si="601"/>
        <v/>
      </c>
      <c r="BJ174" s="3" t="e">
        <f ca="1">IF($BP$1=1,DX174,IF(RTD("tos.rtd",,BJ$43,"."&amp;$B$134&amp;$AS$82&amp;"C"&amp;$A174)="N/A",0,RTD("tos.rtd",,BJ$43,"."&amp;$B$134&amp;$AS$82&amp;"C"&amp;$A174)))</f>
        <v>#NUM!</v>
      </c>
      <c r="BK174" s="3" t="e">
        <f ca="1">IF($BP$1=1,DY174,-IF(RTD("tos.rtd",,BK$43,"."&amp;$B$134&amp;$AS$82&amp;"P"&amp;$A174)="N/A",0,RTD("tos.rtd",,BK$43,"."&amp;$B$134&amp;$AS$82&amp;"P"&amp;$A174)))</f>
        <v>#NUM!</v>
      </c>
      <c r="BL174" s="3" t="e">
        <f ca="1">IF($BP$1=1,DZ174,IF(RTD("tos.rtd",,BL$2,"."&amp;$C$134&amp;$AU$82&amp;"C"&amp;$A174)="N/A",0,RTD("tos.rtd",,BL$2,"."&amp;$C$134&amp;$AU$82&amp;"C"&amp;$A174)))</f>
        <v>#NUM!</v>
      </c>
      <c r="BM174" s="3" t="e">
        <f ca="1">IF($BP$1=1,EA174,-IF(RTD("tos.rtd",,BM$2,"."&amp;$C$134&amp;$AU$82&amp;"P"&amp;$A174)="N/A",0,RTD("tos.rtd",,BM$2,"."&amp;$C$134&amp;$AU$82&amp;"P"&amp;$A174)))</f>
        <v>#NUM!</v>
      </c>
      <c r="BN174" s="3" t="e">
        <f ca="1">IF($BP$1=1,EB174,IF(RTD("tos.rtd",,BN$2,"."&amp;$D$134&amp;$AW$82&amp;"C"&amp;$A174)="N/A",0,RTD("tos.rtd",,BN$2,"."&amp;$D$134&amp;$AW$82&amp;"C"&amp;$A174)))</f>
        <v>#NUM!</v>
      </c>
      <c r="BO174" s="3" t="e">
        <f ca="1">IF($BP$1=1,EC174,-IF(RTD("tos.rtd",,BO$2,"."&amp;$D$134&amp;$AW$82&amp;"P"&amp;$A174)="N/A",0,RTD("tos.rtd",,BO$2,"."&amp;$D$134&amp;$AW$82&amp;"P"&amp;$A174)))</f>
        <v>#NUM!</v>
      </c>
      <c r="BQ174" s="3" t="e">
        <f t="shared" ca="1" si="640"/>
        <v>#NUM!</v>
      </c>
      <c r="BR174" s="3" t="e">
        <f t="shared" ca="1" si="544"/>
        <v>#NUM!</v>
      </c>
      <c r="BS174" s="3" t="e">
        <f t="shared" ca="1" si="641"/>
        <v>#NUM!</v>
      </c>
      <c r="BT174" s="3" t="e">
        <f t="shared" ca="1" si="545"/>
        <v>#NUM!</v>
      </c>
      <c r="BU174" s="3" t="e">
        <f t="shared" ca="1" si="642"/>
        <v>#NUM!</v>
      </c>
      <c r="BV174" s="3" t="e">
        <f t="shared" ca="1" si="545"/>
        <v>#NUM!</v>
      </c>
      <c r="BX174" s="3" t="e">
        <f t="shared" ca="1" si="579"/>
        <v>#NUM!</v>
      </c>
      <c r="BY174" s="3" t="e">
        <f t="shared" ca="1" si="580"/>
        <v>#NUM!</v>
      </c>
      <c r="BZ174" s="3" t="e">
        <f t="shared" ca="1" si="581"/>
        <v>#NUM!</v>
      </c>
      <c r="CA174" s="3" t="e">
        <f t="shared" ca="1" si="580"/>
        <v>#NUM!</v>
      </c>
      <c r="CB174" s="3" t="e">
        <f t="shared" ca="1" si="582"/>
        <v>#NUM!</v>
      </c>
      <c r="CC174" s="3" t="e">
        <f t="shared" ca="1" si="580"/>
        <v>#NUM!</v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0.06</v>
      </c>
      <c r="CF174" s="3">
        <f>IF(RTD("tos.rtd",,CF$2,"."&amp;$C$134&amp;$AU$82&amp;"C"&amp;$A174)="N/A",0,RTD("tos.rtd",,CF$2,"."&amp;$C$134&amp;$AU$82&amp;"C"&amp;$A174))</f>
        <v>1</v>
      </c>
      <c r="CG174" s="3">
        <f>-IF(RTD("tos.rtd",,CG$2,"."&amp;$C$134&amp;$AU$82&amp;"P"&amp;$A174)="N/A",0,RTD("tos.rtd",,CG$2,"."&amp;$C$134&amp;$AU$82&amp;"P"&amp;$A174))</f>
        <v>0.01</v>
      </c>
      <c r="CH174" s="3">
        <f>IF(RTD("tos.rtd",,CH$2,"."&amp;$D$134&amp;$AW$82&amp;"C"&amp;$A174)="N/A",0,RTD("tos.rtd",,CH$2,"."&amp;$D$134&amp;$AW$82&amp;"C"&amp;$A174))</f>
        <v>0.81</v>
      </c>
      <c r="CI174" s="3">
        <f>-IF(RTD("tos.rtd",,CI$2,"."&amp;$D$134&amp;$AW$82&amp;"P"&amp;$A174)="N/A",0,RTD("tos.rtd",,CI$2,"."&amp;$D$134&amp;$AW$82&amp;"P"&amp;$A174))</f>
        <v>0.2</v>
      </c>
      <c r="CK174" s="3">
        <f t="shared" si="643"/>
        <v>188</v>
      </c>
      <c r="CL174" s="3"/>
      <c r="CM174" s="3">
        <f t="shared" si="644"/>
        <v>394</v>
      </c>
      <c r="CN174" s="3"/>
      <c r="CO174" s="3">
        <f t="shared" si="645"/>
        <v>1722</v>
      </c>
      <c r="CP174" s="3">
        <f t="shared" si="536"/>
        <v>2304</v>
      </c>
      <c r="CQ174" s="3">
        <f t="shared" si="546"/>
        <v>0</v>
      </c>
      <c r="CR174" s="3"/>
      <c r="CS174" s="3">
        <f t="shared" si="547"/>
        <v>-32</v>
      </c>
      <c r="CT174" s="3"/>
      <c r="CU174" s="3">
        <f t="shared" si="548"/>
        <v>-14</v>
      </c>
      <c r="CV174" s="3"/>
      <c r="CW174" s="3" t="e">
        <f t="shared" ca="1" si="549"/>
        <v>#NUM!</v>
      </c>
      <c r="CY174" s="3" t="e">
        <f t="shared" ca="1" si="550"/>
        <v>#NUM!</v>
      </c>
      <c r="CZ174" s="70" t="e">
        <f t="shared" ca="1" si="583"/>
        <v>#NUM!</v>
      </c>
      <c r="DA174" s="3">
        <f>IF(RTD("tos.rtd",,DA$43,"."&amp;$B$134&amp;$AS$82&amp;"C"&amp;$A174)="N/A",0,RTD("tos.rtd",,DA$43,"."&amp;$B$134&amp;$AS$82&amp;"C"&amp;$A174))</f>
        <v>509.22</v>
      </c>
      <c r="DB174" s="3">
        <f>IF(RTD("tos.rtd",,DB$43,"."&amp;$B$134&amp;$AS$82&amp;"P"&amp;$A174)="N/A",0,RTD("tos.rtd",,DB$43,"."&amp;$B$134&amp;$AS$82&amp;"P"&amp;$A174))</f>
        <v>0.25</v>
      </c>
      <c r="DC174" s="3">
        <f>IF(RTD("tos.rtd",,DC$43,"."&amp;$B$134&amp;$AS$82&amp;"C"&amp;$A174)="N/A",0,RTD("tos.rtd",,DC$43,"."&amp;$B$134&amp;$AS$82&amp;"C"&amp;$A174))</f>
        <v>480.2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400.2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84"/>
        <v>-521.5</v>
      </c>
      <c r="DH174" s="3">
        <f t="shared" si="551"/>
        <v>-2.7255000000000011</v>
      </c>
      <c r="DI174" s="3">
        <f t="shared" si="552"/>
        <v>0.88383838383838387</v>
      </c>
      <c r="DJ174" s="3">
        <f t="shared" si="553"/>
        <v>-2</v>
      </c>
      <c r="DK174" s="3">
        <f t="shared" si="554"/>
        <v>-70</v>
      </c>
      <c r="DL174" s="3">
        <f t="shared" si="555"/>
        <v>-1.8416616161616173</v>
      </c>
      <c r="DM174" s="3">
        <f t="shared" si="556"/>
        <v>-72</v>
      </c>
      <c r="DN174" s="64" t="str">
        <f t="shared" si="557"/>
        <v>UNKNOWN</v>
      </c>
      <c r="DO174" s="64" t="str">
        <f t="shared" si="558"/>
        <v>UNKNOWN</v>
      </c>
      <c r="DP174" s="3">
        <f t="shared" si="559"/>
        <v>-1387.6581504040412</v>
      </c>
      <c r="DQ174" s="3">
        <f t="shared" si="560"/>
        <v>-1035.94</v>
      </c>
      <c r="DR174" s="3" t="e">
        <f t="shared" ca="1" si="561"/>
        <v>#NUM!</v>
      </c>
      <c r="DS174" s="3">
        <f t="shared" si="562"/>
        <v>-6.2</v>
      </c>
      <c r="DT174" s="3">
        <f t="shared" si="585"/>
        <v>-2</v>
      </c>
      <c r="DU174" s="3">
        <f t="shared" si="586"/>
        <v>70</v>
      </c>
      <c r="DV174" s="3">
        <f t="shared" si="563"/>
        <v>-2</v>
      </c>
      <c r="DW174" s="3">
        <f t="shared" si="564"/>
        <v>-22</v>
      </c>
      <c r="DX174" s="3" t="e">
        <f t="shared" ca="1" si="646"/>
        <v>#NUM!</v>
      </c>
      <c r="DY174" s="3" t="e">
        <f t="shared" ca="1" si="647"/>
        <v>#NUM!</v>
      </c>
      <c r="DZ174" s="3" t="e">
        <f t="shared" ca="1" si="648"/>
        <v>#NUM!</v>
      </c>
      <c r="EA174" s="3" t="e">
        <f t="shared" ca="1" si="649"/>
        <v>#NUM!</v>
      </c>
      <c r="EB174" s="3" t="e">
        <f t="shared" ca="1" si="650"/>
        <v>#NUM!</v>
      </c>
      <c r="EC174" s="3" t="e">
        <f t="shared" ca="1" si="651"/>
        <v>#NUM!</v>
      </c>
      <c r="EE174" s="59">
        <f t="shared" si="571"/>
        <v>0.25</v>
      </c>
      <c r="EF174" s="59">
        <f t="shared" si="572"/>
        <v>2.3622999999999998</v>
      </c>
      <c r="EG174" s="59">
        <f t="shared" si="573"/>
        <v>0.25</v>
      </c>
      <c r="EH174" s="59">
        <f t="shared" si="574"/>
        <v>1.5768</v>
      </c>
      <c r="EI174" s="59">
        <f t="shared" si="575"/>
        <v>0.2787</v>
      </c>
      <c r="EJ174" s="59">
        <f t="shared" si="576"/>
        <v>0.29870000000000002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236.23%</v>
      </c>
      <c r="EN174" s="3" t="str">
        <f>RTD("tos.rtd",,EN$2,"."&amp;$C$134&amp;$AU$82&amp;"C"&amp;$A174)</f>
        <v>--</v>
      </c>
      <c r="EO174" s="3" t="str">
        <f>RTD("tos.rtd",,EO$2,"."&amp;$C$134&amp;$AU$82&amp;"P"&amp;$A174)</f>
        <v>157.68%</v>
      </c>
      <c r="EP174" s="3" t="str">
        <f>RTD("tos.rtd",,EP$2,"."&amp;$D$134&amp;$AW$82&amp;"C"&amp;$A174)</f>
        <v>27.87%</v>
      </c>
      <c r="EQ174" s="3" t="str">
        <f>RTD("tos.rtd",,EQ$2,"."&amp;$D$134&amp;$AW$82&amp;"P"&amp;$A174)</f>
        <v>29.87%</v>
      </c>
      <c r="ES174" s="63" t="str">
        <f t="shared" si="577"/>
        <v>19525,-24.00</v>
      </c>
      <c r="ET174" s="64" t="str">
        <f t="shared" ca="1" si="578"/>
        <v>19525,00.00</v>
      </c>
      <c r="EU174" s="68">
        <v>562.66</v>
      </c>
      <c r="EV174" s="68" t="s">
        <v>1411</v>
      </c>
      <c r="EW174" s="68">
        <v>485.34</v>
      </c>
      <c r="EX174" s="68" t="s">
        <v>1412</v>
      </c>
      <c r="EY174" s="68">
        <v>5640</v>
      </c>
      <c r="EZ174" s="68" t="s">
        <v>1413</v>
      </c>
      <c r="FA174" s="68">
        <v>19937.5</v>
      </c>
      <c r="FB174" s="68" t="s">
        <v>1414</v>
      </c>
      <c r="FC174" s="68" t="s">
        <v>1415</v>
      </c>
      <c r="FD174" s="68" t="s">
        <v>1416</v>
      </c>
      <c r="FE174" s="68" t="s">
        <v>1417</v>
      </c>
      <c r="FF174" s="68" t="s">
        <v>1418</v>
      </c>
    </row>
    <row r="175" spans="1:162" ht="11.1" customHeight="1" thickBot="1" x14ac:dyDescent="0.25">
      <c r="A175" s="2">
        <f t="shared" si="587"/>
        <v>19500</v>
      </c>
      <c r="B175" s="3">
        <f t="shared" si="633"/>
        <v>73</v>
      </c>
      <c r="C175" s="3">
        <f t="shared" si="634"/>
        <v>52</v>
      </c>
      <c r="D175" s="3">
        <f t="shared" si="635"/>
        <v>178</v>
      </c>
      <c r="E175" s="3">
        <f t="shared" si="636"/>
        <v>303</v>
      </c>
      <c r="F175" s="4">
        <f t="shared" si="637"/>
        <v>19597.273838325891</v>
      </c>
      <c r="G175" s="5">
        <f t="shared" si="638"/>
        <v>474.61851195969371</v>
      </c>
      <c r="AM175" s="1">
        <v>0</v>
      </c>
      <c r="AN175" s="1">
        <v>-93</v>
      </c>
      <c r="AO175" s="1">
        <v>19500</v>
      </c>
      <c r="AP175" s="1">
        <v>9</v>
      </c>
      <c r="AQ175" s="1">
        <v>-142</v>
      </c>
      <c r="AS175" s="54">
        <f>IF(RTD("tos.rtd",,AS$83,"."&amp;$B$134&amp;$AS$82&amp;"C"&amp;$A175)="N/A",0,RTD("tos.rtd",,AS$83,"."&amp;$B$134&amp;$AS$82&amp;"C"&amp;$A175))</f>
        <v>52</v>
      </c>
      <c r="AT175" s="3">
        <f>-IF(RTD("tos.rtd",,AT$83,"."&amp;$B$134&amp;$AS$82&amp;"P"&amp;$A175)="N/A",0,RTD("tos.rtd",,AT$83,"."&amp;$B$134&amp;$AS$82&amp;"P"&amp;$A175))</f>
        <v>-21</v>
      </c>
      <c r="AU175" s="54">
        <f>IF(RTD("tos.rtd",,AU$2,"."&amp;$C$134&amp;$AU$134&amp;"C"&amp;$A175)="N/A",0,RTD("tos.rtd",,AU$2,"."&amp;$C$134&amp;$AU$134&amp;"C"&amp;$A175))</f>
        <v>15</v>
      </c>
      <c r="AV175" s="3">
        <f>-IF(RTD("tos.rtd",,AV$2,"."&amp;$C$134&amp;$AU$134&amp;"P"&amp;$A175)="N/A",0,RTD("tos.rtd",,AV$2,"."&amp;$C$134&amp;$AU$134&amp;"P"&amp;$A175))</f>
        <v>-37</v>
      </c>
      <c r="AW175" s="54">
        <f>IF(RTD("tos.rtd",,AW$2,"."&amp;$D$134&amp;$AW$134&amp;"C"&amp;$A175)="N/A",0,RTD("tos.rtd",,AW$2,"."&amp;$D$134&amp;$AW$134&amp;"C"&amp;$A175))</f>
        <v>81</v>
      </c>
      <c r="AX175" s="3">
        <f>-IF(RTD("tos.rtd",,AX$2,"."&amp;$D$134&amp;$AW$134&amp;"P"&amp;$A175)="N/A",0,RTD("tos.rtd",,AX$2,"."&amp;$D$134&amp;$AW$134&amp;"P"&amp;$A175))</f>
        <v>-97</v>
      </c>
      <c r="AY175" s="76">
        <f t="shared" si="639"/>
        <v>-7</v>
      </c>
      <c r="AZ175" s="8">
        <f t="shared" si="542"/>
        <v>19500</v>
      </c>
      <c r="BA175" s="54">
        <f>IF(RTD("tos.rtd",,BA$43,"."&amp;$B$134&amp;$AS$82&amp;"C"&amp;$A175)="N/A",0,RTD("tos.rtd",,BA$43,"."&amp;$B$134&amp;$AS$82&amp;"C"&amp;$A175))</f>
        <v>0</v>
      </c>
      <c r="BB175" s="3">
        <f>-IF(RTD("tos.rtd",,BB$43,"."&amp;$B$134&amp;$AS$82&amp;"P"&amp;$A175)="N/A",0,RTD("tos.rtd",,BB$43,"."&amp;$B$134&amp;$AS$82&amp;"P"&amp;$A175))</f>
        <v>0</v>
      </c>
      <c r="BC175" s="54">
        <f>IF(RTD("tos.rtd",,BC$2,"."&amp;$C$134&amp;$AU$82&amp;"C"&amp;$A175)="N/A",0,RTD("tos.rtd",,BC$2,"."&amp;$C$134&amp;$AU$82&amp;"C"&amp;$A175))</f>
        <v>9</v>
      </c>
      <c r="BD175" s="3">
        <f>-IF(RTD("tos.rtd",,BD$2,"."&amp;$C$134&amp;$AU$82&amp;"P"&amp;$A175)="N/A",0,RTD("tos.rtd",,BD$2,"."&amp;$C$134&amp;$AU$82&amp;"P"&amp;$A175))</f>
        <v>-178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-13</v>
      </c>
      <c r="BG175" s="3">
        <f ca="1">+Hoja2!Y176</f>
        <v>-19</v>
      </c>
      <c r="BH175" s="7">
        <f t="shared" ca="1" si="543"/>
        <v>-201</v>
      </c>
      <c r="BI175" s="32" t="str">
        <f t="shared" ca="1" si="601"/>
        <v/>
      </c>
      <c r="BJ175" s="3" t="e">
        <f ca="1">IF($BP$1=1,DX175,IF(RTD("tos.rtd",,BJ$43,"."&amp;$B$134&amp;$AS$82&amp;"C"&amp;$A175)="N/A",0,RTD("tos.rtd",,BJ$43,"."&amp;$B$134&amp;$AS$82&amp;"C"&amp;$A175)))</f>
        <v>#NUM!</v>
      </c>
      <c r="BK175" s="3" t="e">
        <f ca="1">IF($BP$1=1,DY175,-IF(RTD("tos.rtd",,BK$43,"."&amp;$B$134&amp;$AS$82&amp;"P"&amp;$A175)="N/A",0,RTD("tos.rtd",,BK$43,"."&amp;$B$134&amp;$AS$82&amp;"P"&amp;$A175)))</f>
        <v>#NUM!</v>
      </c>
      <c r="BL175" s="3" t="e">
        <f ca="1">IF($BP$1=1,DZ175,IF(RTD("tos.rtd",,BL$2,"."&amp;$C$134&amp;$AU$82&amp;"C"&amp;$A175)="N/A",0,RTD("tos.rtd",,BL$2,"."&amp;$C$134&amp;$AU$82&amp;"C"&amp;$A175)))</f>
        <v>#NUM!</v>
      </c>
      <c r="BM175" s="3" t="e">
        <f ca="1">IF($BP$1=1,EA175,-IF(RTD("tos.rtd",,BM$2,"."&amp;$C$134&amp;$AU$82&amp;"P"&amp;$A175)="N/A",0,RTD("tos.rtd",,BM$2,"."&amp;$C$134&amp;$AU$82&amp;"P"&amp;$A175)))</f>
        <v>#NUM!</v>
      </c>
      <c r="BN175" s="3" t="e">
        <f ca="1">IF($BP$1=1,EB175,IF(RTD("tos.rtd",,BN$2,"."&amp;$D$134&amp;$AW$82&amp;"C"&amp;$A175)="N/A",0,RTD("tos.rtd",,BN$2,"."&amp;$D$134&amp;$AW$82&amp;"C"&amp;$A175)))</f>
        <v>#NUM!</v>
      </c>
      <c r="BO175" s="3" t="e">
        <f ca="1">IF($BP$1=1,EC175,-IF(RTD("tos.rtd",,BO$2,"."&amp;$D$134&amp;$AW$82&amp;"P"&amp;$A175)="N/A",0,RTD("tos.rtd",,BO$2,"."&amp;$D$134&amp;$AW$82&amp;"P"&amp;$A175)))</f>
        <v>#NUM!</v>
      </c>
      <c r="BQ175" s="3" t="e">
        <f t="shared" ca="1" si="640"/>
        <v>#NUM!</v>
      </c>
      <c r="BR175" s="3" t="e">
        <f t="shared" ca="1" si="544"/>
        <v>#NUM!</v>
      </c>
      <c r="BS175" s="3" t="e">
        <f t="shared" ca="1" si="641"/>
        <v>#NUM!</v>
      </c>
      <c r="BT175" s="3" t="e">
        <f t="shared" ca="1" si="545"/>
        <v>#NUM!</v>
      </c>
      <c r="BU175" s="3" t="e">
        <f t="shared" ca="1" si="642"/>
        <v>#NUM!</v>
      </c>
      <c r="BV175" s="3" t="e">
        <f t="shared" ca="1" si="545"/>
        <v>#NUM!</v>
      </c>
      <c r="BX175" s="3" t="e">
        <f t="shared" ca="1" si="579"/>
        <v>#NUM!</v>
      </c>
      <c r="BY175" s="3" t="e">
        <f t="shared" ca="1" si="580"/>
        <v>#NUM!</v>
      </c>
      <c r="BZ175" s="3" t="e">
        <f t="shared" ca="1" si="581"/>
        <v>#NUM!</v>
      </c>
      <c r="CA175" s="3" t="e">
        <f t="shared" ca="1" si="580"/>
        <v>#NUM!</v>
      </c>
      <c r="CB175" s="3" t="e">
        <f t="shared" ca="1" si="582"/>
        <v>#NUM!</v>
      </c>
      <c r="CC175" s="3" t="e">
        <f t="shared" ca="1" si="580"/>
        <v>#NUM!</v>
      </c>
      <c r="CD175" s="3">
        <f>IF(RTD("tos.rtd",,CD$43,"."&amp;$B$134&amp;$AS$82&amp;"C"&amp;$A175)="N/A",0,RTD("tos.rtd",,CD$43,"."&amp;$B$134&amp;$AS$82&amp;"C"&amp;$A175))</f>
        <v>1</v>
      </c>
      <c r="CE175" s="3">
        <f>-IF(RTD("tos.rtd",,CE$43,"."&amp;$B$134&amp;$AS$82&amp;"P"&amp;$A175)="N/A",0,RTD("tos.rtd",,CE$43,"."&amp;$B$134&amp;$AS$82&amp;"P"&amp;$A175))</f>
        <v>0</v>
      </c>
      <c r="CF175" s="3">
        <f>IF(RTD("tos.rtd",,CF$2,"."&amp;$C$134&amp;$AU$82&amp;"C"&amp;$A175)="N/A",0,RTD("tos.rtd",,CF$2,"."&amp;$C$134&amp;$AU$82&amp;"C"&amp;$A175))</f>
        <v>0.97</v>
      </c>
      <c r="CG175" s="3">
        <f>-IF(RTD("tos.rtd",,CG$2,"."&amp;$C$134&amp;$AU$82&amp;"P"&amp;$A175)="N/A",0,RTD("tos.rtd",,CG$2,"."&amp;$C$134&amp;$AU$82&amp;"P"&amp;$A175))</f>
        <v>0.01</v>
      </c>
      <c r="CH175" s="3">
        <f>IF(RTD("tos.rtd",,CH$2,"."&amp;$D$134&amp;$AW$82&amp;"C"&amp;$A175)="N/A",0,RTD("tos.rtd",,CH$2,"."&amp;$D$134&amp;$AW$82&amp;"C"&amp;$A175))</f>
        <v>0.82</v>
      </c>
      <c r="CI175" s="3">
        <f>-IF(RTD("tos.rtd",,CI$2,"."&amp;$D$134&amp;$AW$82&amp;"P"&amp;$A175)="N/A",0,RTD("tos.rtd",,CI$2,"."&amp;$D$134&amp;$AW$82&amp;"P"&amp;$A175))</f>
        <v>0.19</v>
      </c>
      <c r="CK175" s="3">
        <f t="shared" si="643"/>
        <v>5200</v>
      </c>
      <c r="CL175" s="3"/>
      <c r="CM175" s="3">
        <f t="shared" si="644"/>
        <v>1418</v>
      </c>
      <c r="CN175" s="3"/>
      <c r="CO175" s="3">
        <f t="shared" si="645"/>
        <v>4799</v>
      </c>
      <c r="CP175" s="3">
        <f t="shared" si="536"/>
        <v>11417</v>
      </c>
      <c r="CQ175" s="3">
        <f t="shared" si="546"/>
        <v>0</v>
      </c>
      <c r="CR175" s="3"/>
      <c r="CS175" s="3">
        <f t="shared" si="547"/>
        <v>-169</v>
      </c>
      <c r="CT175" s="3"/>
      <c r="CU175" s="3">
        <f t="shared" si="548"/>
        <v>-13</v>
      </c>
      <c r="CV175" s="3"/>
      <c r="CW175" s="3" t="e">
        <f t="shared" ca="1" si="549"/>
        <v>#NUM!</v>
      </c>
      <c r="CY175" s="3" t="e">
        <f t="shared" ca="1" si="550"/>
        <v>#NUM!</v>
      </c>
      <c r="CZ175" s="70" t="e">
        <f t="shared" ca="1" si="583"/>
        <v>#NUM!</v>
      </c>
      <c r="DA175" s="3">
        <f>IF(RTD("tos.rtd",,DA$43,"."&amp;$B$134&amp;$AS$82&amp;"C"&amp;$A175)="N/A",0,RTD("tos.rtd",,DA$43,"."&amp;$B$134&amp;$AS$82&amp;"C"&amp;$A175))</f>
        <v>552.54</v>
      </c>
      <c r="DB175" s="3">
        <f>IF(RTD("tos.rtd",,DB$43,"."&amp;$B$134&amp;$AS$82&amp;"P"&amp;$A175)="N/A",0,RTD("tos.rtd",,DB$43,"."&amp;$B$134&amp;$AS$82&amp;"P"&amp;$A175))</f>
        <v>0.05</v>
      </c>
      <c r="DC175" s="3">
        <f>IF(RTD("tos.rtd",,DC$43,"."&amp;$B$134&amp;$AS$82&amp;"C"&amp;$A175)="N/A",0,RTD("tos.rtd",,DC$43,"."&amp;$B$134&amp;$AS$82&amp;"C"&amp;$A175))</f>
        <v>505.2</v>
      </c>
      <c r="DD175" s="3">
        <f>IF(RTD("tos.rtd",,DD$43,"."&amp;$B$134&amp;$AS$82&amp;"P"&amp;$A175)="N/A",0,RTD("tos.rtd",,DD$43,"."&amp;$B$134&amp;$AS$82&amp;"P"&amp;$A175))</f>
        <v>0.05</v>
      </c>
      <c r="DE175" s="3">
        <f>IF(RTD("tos.rtd",,DE$43,"."&amp;$B$134&amp;$AS$82&amp;"C"&amp;$A175)="N/A",0,RTD("tos.rtd",,DE$43,"."&amp;$B$134&amp;$AS$82&amp;"C"&amp;$A175))</f>
        <v>425.2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84"/>
        <v>-546.5</v>
      </c>
      <c r="DH175" s="3">
        <f t="shared" si="551"/>
        <v>-14.325749999999998</v>
      </c>
      <c r="DI175" s="3">
        <f t="shared" si="552"/>
        <v>142</v>
      </c>
      <c r="DJ175" s="3">
        <f t="shared" si="553"/>
        <v>-9</v>
      </c>
      <c r="DK175" s="3">
        <f t="shared" si="554"/>
        <v>142</v>
      </c>
      <c r="DL175" s="3">
        <f t="shared" si="555"/>
        <v>127.67425</v>
      </c>
      <c r="DM175" s="3">
        <f t="shared" si="556"/>
        <v>133</v>
      </c>
      <c r="DN175" s="64" t="str">
        <f t="shared" si="557"/>
        <v>UNKNOWN</v>
      </c>
      <c r="DO175" s="64" t="str">
        <f t="shared" si="558"/>
        <v>UNKNOWN</v>
      </c>
      <c r="DP175" s="3">
        <f t="shared" si="559"/>
        <v>-7908.4499049999977</v>
      </c>
      <c r="DQ175" s="3">
        <f t="shared" si="560"/>
        <v>-4965.7599999999993</v>
      </c>
      <c r="DR175" s="3" t="e">
        <f t="shared" ca="1" si="561"/>
        <v>#NUM!</v>
      </c>
      <c r="DS175" s="3">
        <f t="shared" si="562"/>
        <v>-9</v>
      </c>
      <c r="DT175" s="3">
        <f t="shared" si="585"/>
        <v>-9</v>
      </c>
      <c r="DU175" s="3">
        <f t="shared" si="586"/>
        <v>142</v>
      </c>
      <c r="DV175" s="3">
        <f t="shared" si="563"/>
        <v>0</v>
      </c>
      <c r="DW175" s="3">
        <f t="shared" si="564"/>
        <v>-93</v>
      </c>
      <c r="DX175" s="3" t="e">
        <f t="shared" ca="1" si="646"/>
        <v>#NUM!</v>
      </c>
      <c r="DY175" s="3" t="e">
        <f t="shared" ca="1" si="647"/>
        <v>#NUM!</v>
      </c>
      <c r="DZ175" s="3" t="e">
        <f t="shared" ca="1" si="648"/>
        <v>#NUM!</v>
      </c>
      <c r="EA175" s="3" t="e">
        <f t="shared" ca="1" si="649"/>
        <v>#NUM!</v>
      </c>
      <c r="EB175" s="3" t="e">
        <f t="shared" ca="1" si="650"/>
        <v>#NUM!</v>
      </c>
      <c r="EC175" s="3" t="e">
        <f t="shared" ca="1" si="651"/>
        <v>#NUM!</v>
      </c>
      <c r="EE175" s="59">
        <f t="shared" si="571"/>
        <v>0.25</v>
      </c>
      <c r="EF175" s="59">
        <f t="shared" si="572"/>
        <v>1.1516</v>
      </c>
      <c r="EG175" s="59">
        <f t="shared" si="573"/>
        <v>1.9340999999999999</v>
      </c>
      <c r="EH175" s="59">
        <f t="shared" si="574"/>
        <v>1.6356999999999999</v>
      </c>
      <c r="EI175" s="59">
        <f t="shared" si="575"/>
        <v>0.2787</v>
      </c>
      <c r="EJ175" s="59">
        <f t="shared" si="576"/>
        <v>0.29949999999999999</v>
      </c>
      <c r="EL175" s="3" t="str">
        <f>RTD("tos.rtd",,EL$43,"."&amp;$B$134&amp;$AS$82&amp;"C"&amp;$A175)</f>
        <v>--</v>
      </c>
      <c r="EM175" s="3" t="str">
        <f>RTD("tos.rtd",,EM$43,"."&amp;$B$134&amp;$AS$82&amp;"P"&amp;$A175)</f>
        <v>115.16%</v>
      </c>
      <c r="EN175" s="3" t="str">
        <f>RTD("tos.rtd",,EN$2,"."&amp;$C$134&amp;$AU$82&amp;"C"&amp;$A175)</f>
        <v>193.41%</v>
      </c>
      <c r="EO175" s="3" t="str">
        <f>RTD("tos.rtd",,EO$2,"."&amp;$C$134&amp;$AU$82&amp;"P"&amp;$A175)</f>
        <v>163.57%</v>
      </c>
      <c r="EP175" s="3" t="str">
        <f>RTD("tos.rtd",,EP$2,"."&amp;$D$134&amp;$AW$82&amp;"C"&amp;$A175)</f>
        <v>27.87%</v>
      </c>
      <c r="EQ175" s="3" t="str">
        <f>RTD("tos.rtd",,EQ$2,"."&amp;$D$134&amp;$AW$82&amp;"P"&amp;$A175)</f>
        <v>29.95%</v>
      </c>
      <c r="ES175" s="63" t="str">
        <f t="shared" si="577"/>
        <v>19500,-93.00</v>
      </c>
      <c r="ET175" s="64" t="str">
        <f t="shared" ca="1" si="578"/>
        <v>19500,00.00</v>
      </c>
      <c r="EU175" s="68">
        <v>562.57000000000005</v>
      </c>
      <c r="EV175" s="68" t="s">
        <v>1419</v>
      </c>
      <c r="EW175" s="68">
        <v>485.23</v>
      </c>
      <c r="EX175" s="68" t="s">
        <v>1420</v>
      </c>
      <c r="EY175" s="68">
        <v>5639.25</v>
      </c>
      <c r="EZ175" s="68" t="s">
        <v>1421</v>
      </c>
      <c r="FA175" s="68">
        <v>19932</v>
      </c>
      <c r="FB175" s="68" t="s">
        <v>1422</v>
      </c>
      <c r="FC175" s="68" t="s">
        <v>1423</v>
      </c>
      <c r="FD175" s="68" t="s">
        <v>1424</v>
      </c>
      <c r="FE175" s="68" t="s">
        <v>1425</v>
      </c>
      <c r="FF175" s="68" t="s">
        <v>1426</v>
      </c>
    </row>
    <row r="176" spans="1:162" ht="11.1" customHeight="1" thickBot="1" x14ac:dyDescent="0.25">
      <c r="A176" s="2">
        <f t="shared" si="587"/>
        <v>19475</v>
      </c>
      <c r="B176" s="3">
        <f t="shared" si="623"/>
        <v>6</v>
      </c>
      <c r="C176" s="3">
        <f t="shared" si="624"/>
        <v>11</v>
      </c>
      <c r="D176" s="3">
        <f t="shared" si="625"/>
        <v>291</v>
      </c>
      <c r="E176" s="3">
        <f t="shared" si="626"/>
        <v>308</v>
      </c>
      <c r="F176" s="4">
        <f t="shared" si="627"/>
        <v>19572.149128276753</v>
      </c>
      <c r="G176" s="5">
        <f t="shared" si="628"/>
        <v>474.01002668795053</v>
      </c>
      <c r="AM176" s="1">
        <v>-1</v>
      </c>
      <c r="AN176" s="1">
        <v>-9</v>
      </c>
      <c r="AO176" s="1">
        <v>19475</v>
      </c>
      <c r="AP176" s="1">
        <v>2</v>
      </c>
      <c r="AQ176" s="1">
        <v>-22</v>
      </c>
      <c r="AS176" s="54">
        <f>IF(RTD("tos.rtd",,AS$83,"."&amp;$B$134&amp;$AS$82&amp;"C"&amp;$A176)="N/A",0,RTD("tos.rtd",,AS$83,"."&amp;$B$134&amp;$AS$82&amp;"C"&amp;$A176))</f>
        <v>3</v>
      </c>
      <c r="AT176" s="3">
        <f>-IF(RTD("tos.rtd",,AT$83,"."&amp;$B$134&amp;$AS$82&amp;"P"&amp;$A176)="N/A",0,RTD("tos.rtd",,AT$83,"."&amp;$B$134&amp;$AS$82&amp;"P"&amp;$A176))</f>
        <v>-3</v>
      </c>
      <c r="AU176" s="54">
        <f>IF(RTD("tos.rtd",,AU$2,"."&amp;$C$134&amp;$AU$134&amp;"C"&amp;$A176)="N/A",0,RTD("tos.rtd",,AU$2,"."&amp;$C$134&amp;$AU$134&amp;"C"&amp;$A176))</f>
        <v>1</v>
      </c>
      <c r="AV176" s="3">
        <f>-IF(RTD("tos.rtd",,AV$2,"."&amp;$C$134&amp;$AU$134&amp;"P"&amp;$A176)="N/A",0,RTD("tos.rtd",,AV$2,"."&amp;$C$134&amp;$AU$134&amp;"P"&amp;$A176))</f>
        <v>-10</v>
      </c>
      <c r="AW176" s="54">
        <f>IF(RTD("tos.rtd",,AW$2,"."&amp;$D$134&amp;$AW$134&amp;"C"&amp;$A176)="N/A",0,RTD("tos.rtd",,AW$2,"."&amp;$D$134&amp;$AW$134&amp;"C"&amp;$A176))</f>
        <v>257</v>
      </c>
      <c r="AX176" s="3">
        <f>-IF(RTD("tos.rtd",,AX$2,"."&amp;$D$134&amp;$AW$134&amp;"P"&amp;$A176)="N/A",0,RTD("tos.rtd",,AX$2,"."&amp;$D$134&amp;$AW$134&amp;"P"&amp;$A176))</f>
        <v>-34</v>
      </c>
      <c r="AY176" s="76">
        <f t="shared" si="629"/>
        <v>214</v>
      </c>
      <c r="AZ176" s="8">
        <f t="shared" si="542"/>
        <v>19475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0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-5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-6</v>
      </c>
      <c r="BG176" s="3">
        <f ca="1">+Hoja2!Y177</f>
        <v>-7</v>
      </c>
      <c r="BH176" s="7">
        <f t="shared" ca="1" si="543"/>
        <v>-18</v>
      </c>
      <c r="BI176" s="32" t="str">
        <f t="shared" ca="1" si="601"/>
        <v/>
      </c>
      <c r="BJ176" s="3" t="e">
        <f ca="1">IF($BP$1=1,DX176,IF(RTD("tos.rtd",,BJ$43,"."&amp;$B$134&amp;$AS$82&amp;"C"&amp;$A176)="N/A",0,RTD("tos.rtd",,BJ$43,"."&amp;$B$134&amp;$AS$82&amp;"C"&amp;$A176)))</f>
        <v>#NUM!</v>
      </c>
      <c r="BK176" s="3" t="e">
        <f ca="1">IF($BP$1=1,DY176,-IF(RTD("tos.rtd",,BK$43,"."&amp;$B$134&amp;$AS$82&amp;"P"&amp;$A176)="N/A",0,RTD("tos.rtd",,BK$43,"."&amp;$B$134&amp;$AS$82&amp;"P"&amp;$A176)))</f>
        <v>#NUM!</v>
      </c>
      <c r="BL176" s="3" t="e">
        <f ca="1">IF($BP$1=1,DZ176,IF(RTD("tos.rtd",,BL$2,"."&amp;$C$134&amp;$AU$82&amp;"C"&amp;$A176)="N/A",0,RTD("tos.rtd",,BL$2,"."&amp;$C$134&amp;$AU$82&amp;"C"&amp;$A176)))</f>
        <v>#NUM!</v>
      </c>
      <c r="BM176" s="3" t="e">
        <f ca="1">IF($BP$1=1,EA176,-IF(RTD("tos.rtd",,BM$2,"."&amp;$C$134&amp;$AU$82&amp;"P"&amp;$A176)="N/A",0,RTD("tos.rtd",,BM$2,"."&amp;$C$134&amp;$AU$82&amp;"P"&amp;$A176)))</f>
        <v>#NUM!</v>
      </c>
      <c r="BN176" s="3" t="e">
        <f ca="1">IF($BP$1=1,EB176,IF(RTD("tos.rtd",,BN$2,"."&amp;$D$134&amp;$AW$82&amp;"C"&amp;$A176)="N/A",0,RTD("tos.rtd",,BN$2,"."&amp;$D$134&amp;$AW$82&amp;"C"&amp;$A176)))</f>
        <v>#NUM!</v>
      </c>
      <c r="BO176" s="3" t="e">
        <f ca="1">IF($BP$1=1,EC176,-IF(RTD("tos.rtd",,BO$2,"."&amp;$D$134&amp;$AW$82&amp;"P"&amp;$A176)="N/A",0,RTD("tos.rtd",,BO$2,"."&amp;$D$134&amp;$AW$82&amp;"P"&amp;$A176)))</f>
        <v>#NUM!</v>
      </c>
      <c r="BQ176" s="3" t="e">
        <f t="shared" ca="1" si="630"/>
        <v>#NUM!</v>
      </c>
      <c r="BR176" s="3" t="e">
        <f t="shared" ca="1" si="544"/>
        <v>#NUM!</v>
      </c>
      <c r="BS176" s="3" t="e">
        <f t="shared" ca="1" si="631"/>
        <v>#NUM!</v>
      </c>
      <c r="BT176" s="3" t="e">
        <f t="shared" ca="1" si="545"/>
        <v>#NUM!</v>
      </c>
      <c r="BU176" s="3" t="e">
        <f t="shared" ca="1" si="632"/>
        <v>#NUM!</v>
      </c>
      <c r="BV176" s="3" t="e">
        <f t="shared" ca="1" si="545"/>
        <v>#NUM!</v>
      </c>
      <c r="BX176" s="3" t="e">
        <f t="shared" ca="1" si="579"/>
        <v>#NUM!</v>
      </c>
      <c r="BY176" s="3" t="e">
        <f t="shared" ca="1" si="580"/>
        <v>#NUM!</v>
      </c>
      <c r="BZ176" s="3" t="e">
        <f t="shared" ca="1" si="581"/>
        <v>#NUM!</v>
      </c>
      <c r="CA176" s="3" t="e">
        <f t="shared" ca="1" si="580"/>
        <v>#NUM!</v>
      </c>
      <c r="CB176" s="3" t="e">
        <f t="shared" ca="1" si="582"/>
        <v>#NUM!</v>
      </c>
      <c r="CC176" s="3" t="e">
        <f t="shared" ca="1" si="580"/>
        <v>#NUM!</v>
      </c>
      <c r="CD176" s="3">
        <f>IF(RTD("tos.rtd",,CD$43,"."&amp;$B$134&amp;$AS$82&amp;"C"&amp;$A176)="N/A",0,RTD("tos.rtd",,CD$43,"."&amp;$B$134&amp;$AS$82&amp;"C"&amp;$A176))</f>
        <v>1</v>
      </c>
      <c r="CE176" s="3">
        <f>-IF(RTD("tos.rtd",,CE$43,"."&amp;$B$134&amp;$AS$82&amp;"P"&amp;$A176)="N/A",0,RTD("tos.rtd",,CE$43,"."&amp;$B$134&amp;$AS$82&amp;"P"&amp;$A176))</f>
        <v>0.06</v>
      </c>
      <c r="CF176" s="3">
        <f>IF(RTD("tos.rtd",,CF$2,"."&amp;$C$134&amp;$AU$82&amp;"C"&amp;$A176)="N/A",0,RTD("tos.rtd",,CF$2,"."&amp;$C$134&amp;$AU$82&amp;"C"&amp;$A176))</f>
        <v>0.98</v>
      </c>
      <c r="CG176" s="3">
        <f>-IF(RTD("tos.rtd",,CG$2,"."&amp;$C$134&amp;$AU$82&amp;"P"&amp;$A176)="N/A",0,RTD("tos.rtd",,CG$2,"."&amp;$C$134&amp;$AU$82&amp;"P"&amp;$A176))</f>
        <v>0.06</v>
      </c>
      <c r="CH176" s="3">
        <f>IF(RTD("tos.rtd",,CH$2,"."&amp;$D$134&amp;$AW$82&amp;"C"&amp;$A176)="N/A",0,RTD("tos.rtd",,CH$2,"."&amp;$D$134&amp;$AW$82&amp;"C"&amp;$A176))</f>
        <v>0.83</v>
      </c>
      <c r="CI176" s="3">
        <f>-IF(RTD("tos.rtd",,CI$2,"."&amp;$D$134&amp;$AW$82&amp;"P"&amp;$A176)="N/A",0,RTD("tos.rtd",,CI$2,"."&amp;$D$134&amp;$AW$82&amp;"P"&amp;$A176))</f>
        <v>0.18</v>
      </c>
      <c r="CK176" s="3">
        <f t="shared" ref="CK176:CK189" si="652">+AS176*CD176*100+AT176*CE176*100</f>
        <v>282</v>
      </c>
      <c r="CL176" s="3"/>
      <c r="CM176" s="3">
        <f t="shared" ref="CM176:CM189" si="653">+AU176*CF176*100+AV176*CG176*100</f>
        <v>38</v>
      </c>
      <c r="CN176" s="3"/>
      <c r="CO176" s="3">
        <f t="shared" ref="CO176:CO189" si="654">+AW176*CH176*100+AX176*CI176*100</f>
        <v>20719</v>
      </c>
      <c r="CP176" s="3">
        <f t="shared" si="536"/>
        <v>21039</v>
      </c>
      <c r="CQ176" s="3">
        <f t="shared" si="546"/>
        <v>0</v>
      </c>
      <c r="CR176" s="3"/>
      <c r="CS176" s="3">
        <f t="shared" si="547"/>
        <v>-5</v>
      </c>
      <c r="CT176" s="3"/>
      <c r="CU176" s="3">
        <f t="shared" si="548"/>
        <v>-6</v>
      </c>
      <c r="CV176" s="3"/>
      <c r="CW176" s="3" t="e">
        <f t="shared" ca="1" si="549"/>
        <v>#NUM!</v>
      </c>
      <c r="CY176" s="3" t="e">
        <f t="shared" ca="1" si="550"/>
        <v>#NUM!</v>
      </c>
      <c r="CZ176" s="70" t="e">
        <f t="shared" ca="1" si="583"/>
        <v>#NUM!</v>
      </c>
      <c r="DA176" s="3">
        <f>IF(RTD("tos.rtd",,DA$43,"."&amp;$B$134&amp;$AS$82&amp;"C"&amp;$A176)="N/A",0,RTD("tos.rtd",,DA$43,"."&amp;$B$134&amp;$AS$82&amp;"C"&amp;$A176))</f>
        <v>576.23</v>
      </c>
      <c r="DB176" s="3">
        <f>IF(RTD("tos.rtd",,DB$43,"."&amp;$B$134&amp;$AS$82&amp;"P"&amp;$A176)="N/A",0,RTD("tos.rtd",,DB$43,"."&amp;$B$134&amp;$AS$82&amp;"P"&amp;$A176))</f>
        <v>0.05</v>
      </c>
      <c r="DC176" s="3">
        <f>IF(RTD("tos.rtd",,DC$43,"."&amp;$B$134&amp;$AS$82&amp;"C"&amp;$A176)="N/A",0,RTD("tos.rtd",,DC$43,"."&amp;$B$134&amp;$AS$82&amp;"C"&amp;$A176))</f>
        <v>530.20000000000005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450.2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84"/>
        <v>-571.5</v>
      </c>
      <c r="DH176" s="3">
        <f t="shared" si="551"/>
        <v>-3.1507499999999986</v>
      </c>
      <c r="DI176" s="3">
        <f t="shared" si="552"/>
        <v>5.5555555555555559E-2</v>
      </c>
      <c r="DJ176" s="3">
        <f t="shared" si="553"/>
        <v>-2</v>
      </c>
      <c r="DK176" s="3">
        <f t="shared" si="554"/>
        <v>-22</v>
      </c>
      <c r="DL176" s="3">
        <f t="shared" si="555"/>
        <v>-3.0951944444444432</v>
      </c>
      <c r="DM176" s="3">
        <f t="shared" si="556"/>
        <v>-24</v>
      </c>
      <c r="DN176" s="64" t="str">
        <f t="shared" si="557"/>
        <v>UNKNOWN</v>
      </c>
      <c r="DO176" s="64" t="str">
        <f t="shared" si="558"/>
        <v>UNKNOWN</v>
      </c>
      <c r="DP176" s="3">
        <f t="shared" si="559"/>
        <v>-1815.5538947222215</v>
      </c>
      <c r="DQ176" s="3">
        <f t="shared" si="560"/>
        <v>-1153.56</v>
      </c>
      <c r="DR176" s="3" t="e">
        <f t="shared" ca="1" si="561"/>
        <v>#NUM!</v>
      </c>
      <c r="DS176" s="3">
        <f t="shared" si="562"/>
        <v>-3.32</v>
      </c>
      <c r="DT176" s="3">
        <f t="shared" si="585"/>
        <v>-2</v>
      </c>
      <c r="DU176" s="3">
        <f t="shared" si="586"/>
        <v>22</v>
      </c>
      <c r="DV176" s="3">
        <f t="shared" si="563"/>
        <v>-1</v>
      </c>
      <c r="DW176" s="3">
        <f t="shared" si="564"/>
        <v>-9</v>
      </c>
      <c r="DX176" s="3" t="e">
        <f t="shared" ca="1" si="646"/>
        <v>#NUM!</v>
      </c>
      <c r="DY176" s="3" t="e">
        <f t="shared" ca="1" si="647"/>
        <v>#NUM!</v>
      </c>
      <c r="DZ176" s="3" t="e">
        <f t="shared" ca="1" si="648"/>
        <v>#NUM!</v>
      </c>
      <c r="EA176" s="3" t="e">
        <f t="shared" ca="1" si="649"/>
        <v>#NUM!</v>
      </c>
      <c r="EB176" s="3" t="e">
        <f t="shared" ca="1" si="650"/>
        <v>#NUM!</v>
      </c>
      <c r="EC176" s="3" t="e">
        <f t="shared" ca="1" si="651"/>
        <v>#NUM!</v>
      </c>
      <c r="EE176" s="59">
        <f t="shared" si="571"/>
        <v>0.25</v>
      </c>
      <c r="EF176" s="59">
        <f t="shared" si="572"/>
        <v>2.5354999999999999</v>
      </c>
      <c r="EG176" s="59">
        <f t="shared" si="573"/>
        <v>1.9468000000000001</v>
      </c>
      <c r="EH176" s="59">
        <f t="shared" si="574"/>
        <v>2.5354999999999999</v>
      </c>
      <c r="EI176" s="59">
        <f t="shared" si="575"/>
        <v>0.27850000000000003</v>
      </c>
      <c r="EJ176" s="59">
        <f t="shared" si="576"/>
        <v>0.2999</v>
      </c>
      <c r="EL176" s="3" t="str">
        <f>RTD("tos.rtd",,EL$43,"."&amp;$B$134&amp;$AS$82&amp;"C"&amp;$A176)</f>
        <v>--</v>
      </c>
      <c r="EM176" s="3" t="str">
        <f>RTD("tos.rtd",,EM$43,"."&amp;$B$134&amp;$AS$82&amp;"P"&amp;$A176)</f>
        <v>253.55%</v>
      </c>
      <c r="EN176" s="3" t="str">
        <f>RTD("tos.rtd",,EN$2,"."&amp;$C$134&amp;$AU$82&amp;"C"&amp;$A176)</f>
        <v>194.68%</v>
      </c>
      <c r="EO176" s="3" t="str">
        <f>RTD("tos.rtd",,EO$2,"."&amp;$C$134&amp;$AU$82&amp;"P"&amp;$A176)</f>
        <v>253.55%</v>
      </c>
      <c r="EP176" s="3" t="str">
        <f>RTD("tos.rtd",,EP$2,"."&amp;$D$134&amp;$AW$82&amp;"C"&amp;$A176)</f>
        <v>27.85%</v>
      </c>
      <c r="EQ176" s="3" t="str">
        <f>RTD("tos.rtd",,EQ$2,"."&amp;$D$134&amp;$AW$82&amp;"P"&amp;$A176)</f>
        <v>29.99%</v>
      </c>
      <c r="ES176" s="63" t="str">
        <f t="shared" si="577"/>
        <v>19475,-10.00</v>
      </c>
      <c r="ET176" s="64" t="str">
        <f t="shared" ca="1" si="578"/>
        <v>19475,00.00</v>
      </c>
      <c r="EU176" s="68">
        <v>562.55999999999995</v>
      </c>
      <c r="EV176" s="68" t="s">
        <v>1427</v>
      </c>
      <c r="EW176" s="68">
        <v>485.24</v>
      </c>
      <c r="EX176" s="68" t="s">
        <v>1428</v>
      </c>
      <c r="EY176" s="68">
        <v>5639</v>
      </c>
      <c r="EZ176" s="68" t="s">
        <v>1429</v>
      </c>
      <c r="FA176" s="68">
        <v>19933.25</v>
      </c>
      <c r="FB176" s="68" t="s">
        <v>1430</v>
      </c>
      <c r="FC176" s="68" t="s">
        <v>1431</v>
      </c>
      <c r="FD176" s="68" t="s">
        <v>1432</v>
      </c>
      <c r="FE176" s="68" t="s">
        <v>1433</v>
      </c>
      <c r="FF176" s="68" t="s">
        <v>1434</v>
      </c>
    </row>
    <row r="177" spans="1:162" ht="11.1" customHeight="1" thickBot="1" x14ac:dyDescent="0.25">
      <c r="A177" s="2">
        <f t="shared" si="587"/>
        <v>19450</v>
      </c>
      <c r="B177" s="3">
        <f t="shared" si="623"/>
        <v>9</v>
      </c>
      <c r="C177" s="3">
        <f t="shared" si="624"/>
        <v>26</v>
      </c>
      <c r="D177" s="3">
        <f t="shared" si="625"/>
        <v>40</v>
      </c>
      <c r="E177" s="3">
        <f t="shared" si="626"/>
        <v>75</v>
      </c>
      <c r="F177" s="4">
        <f t="shared" si="627"/>
        <v>19547.024418227618</v>
      </c>
      <c r="G177" s="5">
        <f t="shared" si="628"/>
        <v>473.40154141620729</v>
      </c>
      <c r="AM177" s="1">
        <v>1</v>
      </c>
      <c r="AN177" s="1">
        <v>-34</v>
      </c>
      <c r="AO177" s="1">
        <v>19450</v>
      </c>
      <c r="AP177" s="1">
        <v>3</v>
      </c>
      <c r="AQ177" s="1">
        <v>-318</v>
      </c>
      <c r="AS177" s="54">
        <f>IF(RTD("tos.rtd",,AS$83,"."&amp;$B$134&amp;$AS$82&amp;"C"&amp;$A177)="N/A",0,RTD("tos.rtd",,AS$83,"."&amp;$B$134&amp;$AS$82&amp;"C"&amp;$A177))</f>
        <v>3</v>
      </c>
      <c r="AT177" s="3">
        <f>-IF(RTD("tos.rtd",,AT$83,"."&amp;$B$134&amp;$AS$82&amp;"P"&amp;$A177)="N/A",0,RTD("tos.rtd",,AT$83,"."&amp;$B$134&amp;$AS$82&amp;"P"&amp;$A177))</f>
        <v>-6</v>
      </c>
      <c r="AU177" s="54">
        <f>IF(RTD("tos.rtd",,AU$2,"."&amp;$C$134&amp;$AU$134&amp;"C"&amp;$A177)="N/A",0,RTD("tos.rtd",,AU$2,"."&amp;$C$134&amp;$AU$134&amp;"C"&amp;$A177))</f>
        <v>8</v>
      </c>
      <c r="AV177" s="3">
        <f>-IF(RTD("tos.rtd",,AV$2,"."&amp;$C$134&amp;$AU$134&amp;"P"&amp;$A177)="N/A",0,RTD("tos.rtd",,AV$2,"."&amp;$C$134&amp;$AU$134&amp;"P"&amp;$A177))</f>
        <v>-18</v>
      </c>
      <c r="AW177" s="54">
        <f>IF(RTD("tos.rtd",,AW$2,"."&amp;$D$134&amp;$AW$134&amp;"C"&amp;$A177)="N/A",0,RTD("tos.rtd",,AW$2,"."&amp;$D$134&amp;$AW$134&amp;"C"&amp;$A177))</f>
        <v>25</v>
      </c>
      <c r="AX177" s="3">
        <f>-IF(RTD("tos.rtd",,AX$2,"."&amp;$D$134&amp;$AW$134&amp;"P"&amp;$A177)="N/A",0,RTD("tos.rtd",,AX$2,"."&amp;$D$134&amp;$AW$134&amp;"P"&amp;$A177))</f>
        <v>-15</v>
      </c>
      <c r="AY177" s="76">
        <f t="shared" si="629"/>
        <v>-3</v>
      </c>
      <c r="AZ177" s="8">
        <f t="shared" si="542"/>
        <v>19450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0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-29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-3</v>
      </c>
      <c r="BG177" s="3">
        <f ca="1">+Hoja2!Y178</f>
        <v>-7</v>
      </c>
      <c r="BH177" s="7">
        <f t="shared" ca="1" si="543"/>
        <v>-39</v>
      </c>
      <c r="BI177" s="32" t="str">
        <f t="shared" ca="1" si="601"/>
        <v/>
      </c>
      <c r="BJ177" s="3" t="e">
        <f ca="1">IF($BP$1=1,DX177,IF(RTD("tos.rtd",,BJ$43,"."&amp;$B$134&amp;$AS$82&amp;"C"&amp;$A177)="N/A",0,RTD("tos.rtd",,BJ$43,"."&amp;$B$134&amp;$AS$82&amp;"C"&amp;$A177)))</f>
        <v>#NUM!</v>
      </c>
      <c r="BK177" s="3" t="e">
        <f ca="1">IF($BP$1=1,DY177,-IF(RTD("tos.rtd",,BK$43,"."&amp;$B$134&amp;$AS$82&amp;"P"&amp;$A177)="N/A",0,RTD("tos.rtd",,BK$43,"."&amp;$B$134&amp;$AS$82&amp;"P"&amp;$A177)))</f>
        <v>#NUM!</v>
      </c>
      <c r="BL177" s="3" t="e">
        <f ca="1">IF($BP$1=1,DZ177,IF(RTD("tos.rtd",,BL$2,"."&amp;$C$134&amp;$AU$82&amp;"C"&amp;$A177)="N/A",0,RTD("tos.rtd",,BL$2,"."&amp;$C$134&amp;$AU$82&amp;"C"&amp;$A177)))</f>
        <v>#NUM!</v>
      </c>
      <c r="BM177" s="3" t="e">
        <f ca="1">IF($BP$1=1,EA177,-IF(RTD("tos.rtd",,BM$2,"."&amp;$C$134&amp;$AU$82&amp;"P"&amp;$A177)="N/A",0,RTD("tos.rtd",,BM$2,"."&amp;$C$134&amp;$AU$82&amp;"P"&amp;$A177)))</f>
        <v>#NUM!</v>
      </c>
      <c r="BN177" s="3" t="e">
        <f ca="1">IF($BP$1=1,EB177,IF(RTD("tos.rtd",,BN$2,"."&amp;$D$134&amp;$AW$82&amp;"C"&amp;$A177)="N/A",0,RTD("tos.rtd",,BN$2,"."&amp;$D$134&amp;$AW$82&amp;"C"&amp;$A177)))</f>
        <v>#NUM!</v>
      </c>
      <c r="BO177" s="3" t="e">
        <f ca="1">IF($BP$1=1,EC177,-IF(RTD("tos.rtd",,BO$2,"."&amp;$D$134&amp;$AW$82&amp;"P"&amp;$A177)="N/A",0,RTD("tos.rtd",,BO$2,"."&amp;$D$134&amp;$AW$82&amp;"P"&amp;$A177)))</f>
        <v>#NUM!</v>
      </c>
      <c r="BQ177" s="3" t="e">
        <f t="shared" ca="1" si="630"/>
        <v>#NUM!</v>
      </c>
      <c r="BR177" s="3" t="e">
        <f t="shared" ca="1" si="544"/>
        <v>#NUM!</v>
      </c>
      <c r="BS177" s="3" t="e">
        <f t="shared" ca="1" si="631"/>
        <v>#NUM!</v>
      </c>
      <c r="BT177" s="3" t="e">
        <f t="shared" ca="1" si="545"/>
        <v>#NUM!</v>
      </c>
      <c r="BU177" s="3" t="e">
        <f t="shared" ca="1" si="632"/>
        <v>#NUM!</v>
      </c>
      <c r="BV177" s="3" t="e">
        <f t="shared" ca="1" si="545"/>
        <v>#NUM!</v>
      </c>
      <c r="BX177" s="3" t="e">
        <f t="shared" ca="1" si="579"/>
        <v>#NUM!</v>
      </c>
      <c r="BY177" s="3" t="e">
        <f t="shared" ca="1" si="580"/>
        <v>#NUM!</v>
      </c>
      <c r="BZ177" s="3" t="e">
        <f t="shared" ca="1" si="581"/>
        <v>#NUM!</v>
      </c>
      <c r="CA177" s="3" t="e">
        <f t="shared" ca="1" si="580"/>
        <v>#NUM!</v>
      </c>
      <c r="CB177" s="3" t="e">
        <f t="shared" ca="1" si="582"/>
        <v>#NUM!</v>
      </c>
      <c r="CC177" s="3" t="e">
        <f t="shared" ca="1" si="580"/>
        <v>#NUM!</v>
      </c>
      <c r="CD177" s="3">
        <f>IF(RTD("tos.rtd",,CD$43,"."&amp;$B$134&amp;$AS$82&amp;"C"&amp;$A177)="N/A",0,RTD("tos.rtd",,CD$43,"."&amp;$B$134&amp;$AS$82&amp;"C"&amp;$A177))</f>
        <v>1</v>
      </c>
      <c r="CE177" s="3">
        <f>-IF(RTD("tos.rtd",,CE$43,"."&amp;$B$134&amp;$AS$82&amp;"P"&amp;$A177)="N/A",0,RTD("tos.rtd",,CE$43,"."&amp;$B$134&amp;$AS$82&amp;"P"&amp;$A177))</f>
        <v>0.06</v>
      </c>
      <c r="CF177" s="3">
        <f>IF(RTD("tos.rtd",,CF$2,"."&amp;$C$134&amp;$AU$82&amp;"C"&amp;$A177)="N/A",0,RTD("tos.rtd",,CF$2,"."&amp;$C$134&amp;$AU$82&amp;"C"&amp;$A177))</f>
        <v>0.98</v>
      </c>
      <c r="CG177" s="3">
        <f>-IF(RTD("tos.rtd",,CG$2,"."&amp;$C$134&amp;$AU$82&amp;"P"&amp;$A177)="N/A",0,RTD("tos.rtd",,CG$2,"."&amp;$C$134&amp;$AU$82&amp;"P"&amp;$A177))</f>
        <v>0.06</v>
      </c>
      <c r="CH177" s="3">
        <f>IF(RTD("tos.rtd",,CH$2,"."&amp;$D$134&amp;$AW$82&amp;"C"&amp;$A177)="N/A",0,RTD("tos.rtd",,CH$2,"."&amp;$D$134&amp;$AW$82&amp;"C"&amp;$A177))</f>
        <v>0.84</v>
      </c>
      <c r="CI177" s="3">
        <f>-IF(RTD("tos.rtd",,CI$2,"."&amp;$D$134&amp;$AW$82&amp;"P"&amp;$A177)="N/A",0,RTD("tos.rtd",,CI$2,"."&amp;$D$134&amp;$AW$82&amp;"P"&amp;$A177))</f>
        <v>0.17</v>
      </c>
      <c r="CK177" s="3">
        <f t="shared" si="652"/>
        <v>264</v>
      </c>
      <c r="CL177" s="3"/>
      <c r="CM177" s="3">
        <f t="shared" si="653"/>
        <v>676</v>
      </c>
      <c r="CN177" s="3"/>
      <c r="CO177" s="3">
        <f t="shared" si="654"/>
        <v>1845</v>
      </c>
      <c r="CP177" s="3">
        <f t="shared" si="536"/>
        <v>2785</v>
      </c>
      <c r="CQ177" s="3">
        <f t="shared" si="546"/>
        <v>0</v>
      </c>
      <c r="CR177" s="3"/>
      <c r="CS177" s="3">
        <f t="shared" si="547"/>
        <v>-29</v>
      </c>
      <c r="CT177" s="3"/>
      <c r="CU177" s="3">
        <f t="shared" si="548"/>
        <v>-3</v>
      </c>
      <c r="CV177" s="3"/>
      <c r="CW177" s="3" t="e">
        <f t="shared" ca="1" si="549"/>
        <v>#NUM!</v>
      </c>
      <c r="CY177" s="3" t="e">
        <f t="shared" ca="1" si="550"/>
        <v>#NUM!</v>
      </c>
      <c r="CZ177" s="70" t="e">
        <f t="shared" ca="1" si="583"/>
        <v>#NUM!</v>
      </c>
      <c r="DA177" s="3">
        <f>IF(RTD("tos.rtd",,DA$43,"."&amp;$B$134&amp;$AS$82&amp;"C"&amp;$A177)="N/A",0,RTD("tos.rtd",,DA$43,"."&amp;$B$134&amp;$AS$82&amp;"C"&amp;$A177))</f>
        <v>582.87</v>
      </c>
      <c r="DB177" s="3">
        <f>IF(RTD("tos.rtd",,DB$43,"."&amp;$B$134&amp;$AS$82&amp;"P"&amp;$A177)="N/A",0,RTD("tos.rtd",,DB$43,"."&amp;$B$134&amp;$AS$82&amp;"P"&amp;$A177))</f>
        <v>0.25</v>
      </c>
      <c r="DC177" s="3">
        <f>IF(RTD("tos.rtd",,DC$43,"."&amp;$B$134&amp;$AS$82&amp;"C"&amp;$A177)="N/A",0,RTD("tos.rtd",,DC$43,"."&amp;$B$134&amp;$AS$82&amp;"C"&amp;$A177))</f>
        <v>554.6</v>
      </c>
      <c r="DD177" s="3">
        <f>IF(RTD("tos.rtd",,DD$43,"."&amp;$B$134&amp;$AS$82&amp;"P"&amp;$A177)="N/A",0,RTD("tos.rtd",,DD$43,"."&amp;$B$134&amp;$AS$82&amp;"P"&amp;$A177))</f>
        <v>19.8</v>
      </c>
      <c r="DE177" s="3">
        <f>IF(RTD("tos.rtd",,DE$43,"."&amp;$B$134&amp;$AS$82&amp;"C"&amp;$A177)="N/A",0,RTD("tos.rtd",,DE$43,"."&amp;$B$134&amp;$AS$82&amp;"C"&amp;$A177))</f>
        <v>474.6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84"/>
        <v>-596.5</v>
      </c>
      <c r="DH177" s="3">
        <f t="shared" si="551"/>
        <v>-4.0601249999999993</v>
      </c>
      <c r="DI177" s="3">
        <f t="shared" si="552"/>
        <v>4.0151515151515147</v>
      </c>
      <c r="DJ177" s="3">
        <f t="shared" si="553"/>
        <v>-3</v>
      </c>
      <c r="DK177" s="3">
        <f t="shared" si="554"/>
        <v>-318</v>
      </c>
      <c r="DL177" s="3">
        <f t="shared" si="555"/>
        <v>-4.4973484848484624E-2</v>
      </c>
      <c r="DM177" s="3">
        <f t="shared" si="556"/>
        <v>-321</v>
      </c>
      <c r="DN177" s="64" t="str">
        <f t="shared" si="557"/>
        <v>UNKNOWN</v>
      </c>
      <c r="DO177" s="64" t="str">
        <f t="shared" si="558"/>
        <v>UNKNOWN</v>
      </c>
      <c r="DP177" s="3">
        <f t="shared" si="559"/>
        <v>-2365.5212708712115</v>
      </c>
      <c r="DQ177" s="3">
        <f t="shared" si="560"/>
        <v>-1828.1100000000001</v>
      </c>
      <c r="DR177" s="3" t="e">
        <f t="shared" ca="1" si="561"/>
        <v>#NUM!</v>
      </c>
      <c r="DS177" s="3">
        <f t="shared" si="562"/>
        <v>-22.08</v>
      </c>
      <c r="DT177" s="3">
        <f t="shared" si="585"/>
        <v>-3</v>
      </c>
      <c r="DU177" s="3">
        <f t="shared" si="586"/>
        <v>318</v>
      </c>
      <c r="DV177" s="3">
        <f t="shared" si="563"/>
        <v>1</v>
      </c>
      <c r="DW177" s="3">
        <f t="shared" si="564"/>
        <v>-34</v>
      </c>
      <c r="DX177" s="3" t="e">
        <f t="shared" ca="1" si="646"/>
        <v>#NUM!</v>
      </c>
      <c r="DY177" s="3" t="e">
        <f t="shared" ca="1" si="647"/>
        <v>#NUM!</v>
      </c>
      <c r="DZ177" s="3" t="e">
        <f t="shared" ca="1" si="648"/>
        <v>#NUM!</v>
      </c>
      <c r="EA177" s="3" t="e">
        <f t="shared" ca="1" si="649"/>
        <v>#NUM!</v>
      </c>
      <c r="EB177" s="3" t="e">
        <f t="shared" ca="1" si="650"/>
        <v>#NUM!</v>
      </c>
      <c r="EC177" s="3" t="e">
        <f t="shared" ca="1" si="651"/>
        <v>#NUM!</v>
      </c>
      <c r="EE177" s="59">
        <f t="shared" si="571"/>
        <v>0.25</v>
      </c>
      <c r="EF177" s="59">
        <f t="shared" si="572"/>
        <v>2.6215000000000002</v>
      </c>
      <c r="EG177" s="59">
        <f t="shared" si="573"/>
        <v>2.0800999999999998</v>
      </c>
      <c r="EH177" s="59">
        <f t="shared" si="574"/>
        <v>2.6215000000000002</v>
      </c>
      <c r="EI177" s="59">
        <f t="shared" si="575"/>
        <v>0.27829999999999999</v>
      </c>
      <c r="EJ177" s="59">
        <f t="shared" si="576"/>
        <v>0.30049999999999999</v>
      </c>
      <c r="EL177" s="3" t="str">
        <f>RTD("tos.rtd",,EL$43,"."&amp;$B$134&amp;$AS$82&amp;"C"&amp;$A177)</f>
        <v>--</v>
      </c>
      <c r="EM177" s="3" t="str">
        <f>RTD("tos.rtd",,EM$43,"."&amp;$B$134&amp;$AS$82&amp;"P"&amp;$A177)</f>
        <v>262.15%</v>
      </c>
      <c r="EN177" s="3" t="str">
        <f>RTD("tos.rtd",,EN$2,"."&amp;$C$134&amp;$AU$82&amp;"C"&amp;$A177)</f>
        <v>208.01%</v>
      </c>
      <c r="EO177" s="3" t="str">
        <f>RTD("tos.rtd",,EO$2,"."&amp;$C$134&amp;$AU$82&amp;"P"&amp;$A177)</f>
        <v>262.15%</v>
      </c>
      <c r="EP177" s="3" t="str">
        <f>RTD("tos.rtd",,EP$2,"."&amp;$D$134&amp;$AW$82&amp;"C"&amp;$A177)</f>
        <v>27.83%</v>
      </c>
      <c r="EQ177" s="3" t="str">
        <f>RTD("tos.rtd",,EQ$2,"."&amp;$D$134&amp;$AW$82&amp;"P"&amp;$A177)</f>
        <v>30.05%</v>
      </c>
      <c r="ES177" s="63" t="str">
        <f t="shared" si="577"/>
        <v>19450,-33.00</v>
      </c>
      <c r="ET177" s="64" t="str">
        <f t="shared" ca="1" si="578"/>
        <v>19450,00.00</v>
      </c>
      <c r="EU177" s="68">
        <v>562.66</v>
      </c>
      <c r="EV177" s="68" t="s">
        <v>1435</v>
      </c>
      <c r="EW177" s="68">
        <v>485.36</v>
      </c>
      <c r="EX177" s="68" t="s">
        <v>1436</v>
      </c>
      <c r="EY177" s="68">
        <v>5640.25</v>
      </c>
      <c r="EZ177" s="68" t="s">
        <v>1437</v>
      </c>
      <c r="FA177" s="68">
        <v>19938</v>
      </c>
      <c r="FB177" s="68" t="s">
        <v>1438</v>
      </c>
      <c r="FC177" s="68" t="s">
        <v>1439</v>
      </c>
      <c r="FD177" s="68" t="s">
        <v>1440</v>
      </c>
      <c r="FE177" s="68" t="s">
        <v>1441</v>
      </c>
      <c r="FF177" s="68" t="s">
        <v>1442</v>
      </c>
    </row>
    <row r="178" spans="1:162" ht="11.1" customHeight="1" thickBot="1" x14ac:dyDescent="0.25">
      <c r="A178" s="2">
        <f t="shared" si="587"/>
        <v>19425</v>
      </c>
      <c r="B178" s="3">
        <f t="shared" si="623"/>
        <v>1</v>
      </c>
      <c r="C178" s="3">
        <f t="shared" si="624"/>
        <v>37</v>
      </c>
      <c r="D178" s="3">
        <f t="shared" si="625"/>
        <v>61</v>
      </c>
      <c r="E178" s="3">
        <f t="shared" si="626"/>
        <v>99</v>
      </c>
      <c r="F178" s="4">
        <f t="shared" si="627"/>
        <v>19521.899708178484</v>
      </c>
      <c r="G178" s="5">
        <f t="shared" si="628"/>
        <v>472.79305614446412</v>
      </c>
      <c r="AM178" s="1">
        <v>0</v>
      </c>
      <c r="AN178" s="1">
        <v>-38</v>
      </c>
      <c r="AO178" s="1">
        <v>19425</v>
      </c>
      <c r="AP178" s="1">
        <v>0</v>
      </c>
      <c r="AQ178" s="1">
        <v>-46</v>
      </c>
      <c r="AS178" s="54">
        <f>IF(RTD("tos.rtd",,AS$83,"."&amp;$B$134&amp;$AS$82&amp;"C"&amp;$A178)="N/A",0,RTD("tos.rtd",,AS$83,"."&amp;$B$134&amp;$AS$82&amp;"C"&amp;$A178))</f>
        <v>1</v>
      </c>
      <c r="AT178" s="3">
        <f>-IF(RTD("tos.rtd",,AT$83,"."&amp;$B$134&amp;$AS$82&amp;"P"&amp;$A178)="N/A",0,RTD("tos.rtd",,AT$83,"."&amp;$B$134&amp;$AS$82&amp;"P"&amp;$A178))</f>
        <v>0</v>
      </c>
      <c r="AU178" s="54">
        <f>IF(RTD("tos.rtd",,AU$2,"."&amp;$C$134&amp;$AU$134&amp;"C"&amp;$A178)="N/A",0,RTD("tos.rtd",,AU$2,"."&amp;$C$134&amp;$AU$134&amp;"C"&amp;$A178))</f>
        <v>1</v>
      </c>
      <c r="AV178" s="3">
        <f>-IF(RTD("tos.rtd",,AV$2,"."&amp;$C$134&amp;$AU$134&amp;"P"&amp;$A178)="N/A",0,RTD("tos.rtd",,AV$2,"."&amp;$C$134&amp;$AU$134&amp;"P"&amp;$A178))</f>
        <v>-36</v>
      </c>
      <c r="AW178" s="54">
        <f>IF(RTD("tos.rtd",,AW$2,"."&amp;$D$134&amp;$AW$134&amp;"C"&amp;$A178)="N/A",0,RTD("tos.rtd",,AW$2,"."&amp;$D$134&amp;$AW$134&amp;"C"&amp;$A178))</f>
        <v>33</v>
      </c>
      <c r="AX178" s="3">
        <f>-IF(RTD("tos.rtd",,AX$2,"."&amp;$D$134&amp;$AW$134&amp;"P"&amp;$A178)="N/A",0,RTD("tos.rtd",,AX$2,"."&amp;$D$134&amp;$AW$134&amp;"P"&amp;$A178))</f>
        <v>-28</v>
      </c>
      <c r="AY178" s="76">
        <f t="shared" si="629"/>
        <v>-29</v>
      </c>
      <c r="AZ178" s="8">
        <f t="shared" si="542"/>
        <v>19425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0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-26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-13</v>
      </c>
      <c r="BG178" s="3">
        <f ca="1">+Hoja2!Y179</f>
        <v>-11</v>
      </c>
      <c r="BH178" s="7">
        <f t="shared" ca="1" si="543"/>
        <v>-50</v>
      </c>
      <c r="BI178" s="32" t="str">
        <f t="shared" ca="1" si="601"/>
        <v/>
      </c>
      <c r="BJ178" s="3" t="e">
        <f ca="1">IF($BP$1=1,DX178,IF(RTD("tos.rtd",,BJ$43,"."&amp;$B$134&amp;$AS$82&amp;"C"&amp;$A178)="N/A",0,RTD("tos.rtd",,BJ$43,"."&amp;$B$134&amp;$AS$82&amp;"C"&amp;$A178)))</f>
        <v>#NUM!</v>
      </c>
      <c r="BK178" s="3" t="e">
        <f ca="1">IF($BP$1=1,DY178,-IF(RTD("tos.rtd",,BK$43,"."&amp;$B$134&amp;$AS$82&amp;"P"&amp;$A178)="N/A",0,RTD("tos.rtd",,BK$43,"."&amp;$B$134&amp;$AS$82&amp;"P"&amp;$A178)))</f>
        <v>#NUM!</v>
      </c>
      <c r="BL178" s="3" t="e">
        <f ca="1">IF($BP$1=1,DZ178,IF(RTD("tos.rtd",,BL$2,"."&amp;$C$134&amp;$AU$82&amp;"C"&amp;$A178)="N/A",0,RTD("tos.rtd",,BL$2,"."&amp;$C$134&amp;$AU$82&amp;"C"&amp;$A178)))</f>
        <v>#NUM!</v>
      </c>
      <c r="BM178" s="3" t="e">
        <f ca="1">IF($BP$1=1,EA178,-IF(RTD("tos.rtd",,BM$2,"."&amp;$C$134&amp;$AU$82&amp;"P"&amp;$A178)="N/A",0,RTD("tos.rtd",,BM$2,"."&amp;$C$134&amp;$AU$82&amp;"P"&amp;$A178)))</f>
        <v>#NUM!</v>
      </c>
      <c r="BN178" s="3" t="e">
        <f ca="1">IF($BP$1=1,EB178,IF(RTD("tos.rtd",,BN$2,"."&amp;$D$134&amp;$AW$82&amp;"C"&amp;$A178)="N/A",0,RTD("tos.rtd",,BN$2,"."&amp;$D$134&amp;$AW$82&amp;"C"&amp;$A178)))</f>
        <v>#NUM!</v>
      </c>
      <c r="BO178" s="3" t="e">
        <f ca="1">IF($BP$1=1,EC178,-IF(RTD("tos.rtd",,BO$2,"."&amp;$D$134&amp;$AW$82&amp;"P"&amp;$A178)="N/A",0,RTD("tos.rtd",,BO$2,"."&amp;$D$134&amp;$AW$82&amp;"P"&amp;$A178)))</f>
        <v>#NUM!</v>
      </c>
      <c r="BQ178" s="3" t="e">
        <f t="shared" ca="1" si="630"/>
        <v>#NUM!</v>
      </c>
      <c r="BR178" s="3" t="e">
        <f t="shared" ca="1" si="544"/>
        <v>#NUM!</v>
      </c>
      <c r="BS178" s="3" t="e">
        <f t="shared" ca="1" si="631"/>
        <v>#NUM!</v>
      </c>
      <c r="BT178" s="3" t="e">
        <f t="shared" ca="1" si="545"/>
        <v>#NUM!</v>
      </c>
      <c r="BU178" s="3" t="e">
        <f t="shared" ca="1" si="632"/>
        <v>#NUM!</v>
      </c>
      <c r="BV178" s="3" t="e">
        <f t="shared" ca="1" si="545"/>
        <v>#NUM!</v>
      </c>
      <c r="BX178" s="3" t="e">
        <f t="shared" ca="1" si="579"/>
        <v>#NUM!</v>
      </c>
      <c r="BY178" s="3" t="e">
        <f t="shared" ca="1" si="580"/>
        <v>#NUM!</v>
      </c>
      <c r="BZ178" s="3" t="e">
        <f t="shared" ca="1" si="581"/>
        <v>#NUM!</v>
      </c>
      <c r="CA178" s="3" t="e">
        <f t="shared" ca="1" si="580"/>
        <v>#NUM!</v>
      </c>
      <c r="CB178" s="3" t="e">
        <f t="shared" ca="1" si="582"/>
        <v>#NUM!</v>
      </c>
      <c r="CC178" s="3" t="e">
        <f t="shared" ca="1" si="580"/>
        <v>#NUM!</v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0.06</v>
      </c>
      <c r="CF178" s="3">
        <f>IF(RTD("tos.rtd",,CF$2,"."&amp;$C$134&amp;$AU$82&amp;"C"&amp;$A178)="N/A",0,RTD("tos.rtd",,CF$2,"."&amp;$C$134&amp;$AU$82&amp;"C"&amp;$A178))</f>
        <v>0.98</v>
      </c>
      <c r="CG178" s="3">
        <f>-IF(RTD("tos.rtd",,CG$2,"."&amp;$C$134&amp;$AU$82&amp;"P"&amp;$A178)="N/A",0,RTD("tos.rtd",,CG$2,"."&amp;$C$134&amp;$AU$82&amp;"P"&amp;$A178))</f>
        <v>0.06</v>
      </c>
      <c r="CH178" s="3">
        <f>IF(RTD("tos.rtd",,CH$2,"."&amp;$D$134&amp;$AW$82&amp;"C"&amp;$A178)="N/A",0,RTD("tos.rtd",,CH$2,"."&amp;$D$134&amp;$AW$82&amp;"C"&amp;$A178))</f>
        <v>0.85</v>
      </c>
      <c r="CI178" s="3">
        <f>-IF(RTD("tos.rtd",,CI$2,"."&amp;$D$134&amp;$AW$82&amp;"P"&amp;$A178)="N/A",0,RTD("tos.rtd",,CI$2,"."&amp;$D$134&amp;$AW$82&amp;"P"&amp;$A178))</f>
        <v>0.17</v>
      </c>
      <c r="CK178" s="3">
        <f t="shared" si="652"/>
        <v>100</v>
      </c>
      <c r="CL178" s="3"/>
      <c r="CM178" s="3">
        <f t="shared" si="653"/>
        <v>-118</v>
      </c>
      <c r="CN178" s="3"/>
      <c r="CO178" s="3">
        <f t="shared" si="654"/>
        <v>2329</v>
      </c>
      <c r="CP178" s="3">
        <f t="shared" si="536"/>
        <v>2311</v>
      </c>
      <c r="CQ178" s="3">
        <f t="shared" si="546"/>
        <v>0</v>
      </c>
      <c r="CR178" s="3"/>
      <c r="CS178" s="3">
        <f t="shared" si="547"/>
        <v>-26</v>
      </c>
      <c r="CT178" s="3"/>
      <c r="CU178" s="3">
        <f t="shared" si="548"/>
        <v>-13</v>
      </c>
      <c r="CV178" s="3"/>
      <c r="CW178" s="3" t="e">
        <f t="shared" ca="1" si="549"/>
        <v>#NUM!</v>
      </c>
      <c r="CY178" s="3" t="e">
        <f t="shared" ca="1" si="550"/>
        <v>#NUM!</v>
      </c>
      <c r="CZ178" s="70" t="e">
        <f t="shared" ca="1" si="583"/>
        <v>#NUM!</v>
      </c>
      <c r="DA178" s="3">
        <f>IF(RTD("tos.rtd",,DA$43,"."&amp;$B$134&amp;$AS$82&amp;"C"&amp;$A178)="N/A",0,RTD("tos.rtd",,DA$43,"."&amp;$B$134&amp;$AS$82&amp;"C"&amp;$A178))</f>
        <v>131.30000000000001</v>
      </c>
      <c r="DB178" s="3">
        <f>IF(RTD("tos.rtd",,DB$43,"."&amp;$B$134&amp;$AS$82&amp;"P"&amp;$A178)="N/A",0,RTD("tos.rtd",,DB$43,"."&amp;$B$134&amp;$AS$82&amp;"P"&amp;$A178))</f>
        <v>0.25</v>
      </c>
      <c r="DC178" s="3">
        <f>IF(RTD("tos.rtd",,DC$43,"."&amp;$B$134&amp;$AS$82&amp;"C"&amp;$A178)="N/A",0,RTD("tos.rtd",,DC$43,"."&amp;$B$134&amp;$AS$82&amp;"C"&amp;$A178))</f>
        <v>578</v>
      </c>
      <c r="DD178" s="3">
        <f>IF(RTD("tos.rtd",,DD$43,"."&amp;$B$134&amp;$AS$82&amp;"P"&amp;$A178)="N/A",0,RTD("tos.rtd",,DD$43,"."&amp;$B$134&amp;$AS$82&amp;"P"&amp;$A178))</f>
        <v>19.8</v>
      </c>
      <c r="DE178" s="3">
        <f>IF(RTD("tos.rtd",,DE$43,"."&amp;$B$134&amp;$AS$82&amp;"C"&amp;$A178)="N/A",0,RTD("tos.rtd",,DE$43,"."&amp;$B$134&amp;$AS$82&amp;"C"&amp;$A178))</f>
        <v>498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84"/>
        <v>-621.5</v>
      </c>
      <c r="DH178" s="3">
        <f t="shared" si="551"/>
        <v>0</v>
      </c>
      <c r="DI178" s="3">
        <f t="shared" si="552"/>
        <v>0.58080808080808077</v>
      </c>
      <c r="DJ178" s="3">
        <f t="shared" si="553"/>
        <v>0</v>
      </c>
      <c r="DK178" s="3">
        <f t="shared" si="554"/>
        <v>-46</v>
      </c>
      <c r="DL178" s="3">
        <f t="shared" si="555"/>
        <v>0.58080808080808077</v>
      </c>
      <c r="DM178" s="3">
        <f t="shared" si="556"/>
        <v>-46</v>
      </c>
      <c r="DN178" s="64" t="str">
        <f t="shared" si="557"/>
        <v>UNKNOWN</v>
      </c>
      <c r="DO178" s="64" t="str">
        <f t="shared" si="558"/>
        <v>UNKNOWN</v>
      </c>
      <c r="DP178" s="3">
        <f t="shared" si="559"/>
        <v>0.14520202020202019</v>
      </c>
      <c r="DQ178" s="3">
        <f t="shared" si="560"/>
        <v>-11.5</v>
      </c>
      <c r="DR178" s="3" t="e">
        <f t="shared" ca="1" si="561"/>
        <v>#NUM!</v>
      </c>
      <c r="DS178" s="3">
        <f t="shared" si="562"/>
        <v>-2.76</v>
      </c>
      <c r="DT178" s="3">
        <f t="shared" si="585"/>
        <v>0</v>
      </c>
      <c r="DU178" s="3">
        <f t="shared" si="586"/>
        <v>46</v>
      </c>
      <c r="DV178" s="3">
        <f t="shared" si="563"/>
        <v>0</v>
      </c>
      <c r="DW178" s="3">
        <f t="shared" si="564"/>
        <v>-38</v>
      </c>
      <c r="DX178" s="3" t="e">
        <f t="shared" ca="1" si="646"/>
        <v>#NUM!</v>
      </c>
      <c r="DY178" s="3" t="e">
        <f t="shared" ca="1" si="647"/>
        <v>#NUM!</v>
      </c>
      <c r="DZ178" s="3" t="e">
        <f t="shared" ca="1" si="648"/>
        <v>#NUM!</v>
      </c>
      <c r="EA178" s="3" t="e">
        <f t="shared" ca="1" si="649"/>
        <v>#NUM!</v>
      </c>
      <c r="EB178" s="3" t="e">
        <f t="shared" ca="1" si="650"/>
        <v>#NUM!</v>
      </c>
      <c r="EC178" s="3" t="e">
        <f t="shared" ca="1" si="651"/>
        <v>#NUM!</v>
      </c>
      <c r="EE178" s="59">
        <f t="shared" si="571"/>
        <v>0.25</v>
      </c>
      <c r="EF178" s="59">
        <f t="shared" si="572"/>
        <v>2.7069999999999999</v>
      </c>
      <c r="EG178" s="59">
        <f t="shared" si="573"/>
        <v>2.089</v>
      </c>
      <c r="EH178" s="59">
        <f t="shared" si="574"/>
        <v>2.7069999999999999</v>
      </c>
      <c r="EI178" s="59">
        <f t="shared" si="575"/>
        <v>0.27810000000000001</v>
      </c>
      <c r="EJ178" s="59">
        <f t="shared" si="576"/>
        <v>0.30149999999999999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270.70%</v>
      </c>
      <c r="EN178" s="3" t="str">
        <f>RTD("tos.rtd",,EN$2,"."&amp;$C$134&amp;$AU$82&amp;"C"&amp;$A178)</f>
        <v>208.90%</v>
      </c>
      <c r="EO178" s="3" t="str">
        <f>RTD("tos.rtd",,EO$2,"."&amp;$C$134&amp;$AU$82&amp;"P"&amp;$A178)</f>
        <v>270.70%</v>
      </c>
      <c r="EP178" s="3" t="str">
        <f>RTD("tos.rtd",,EP$2,"."&amp;$D$134&amp;$AW$82&amp;"C"&amp;$A178)</f>
        <v>27.81%</v>
      </c>
      <c r="EQ178" s="3" t="str">
        <f>RTD("tos.rtd",,EQ$2,"."&amp;$D$134&amp;$AW$82&amp;"P"&amp;$A178)</f>
        <v>30.15%</v>
      </c>
      <c r="ES178" s="63" t="str">
        <f t="shared" si="577"/>
        <v>19425,-38.00</v>
      </c>
      <c r="ET178" s="64" t="str">
        <f t="shared" ca="1" si="578"/>
        <v>19425,00.00</v>
      </c>
      <c r="EU178" s="68">
        <v>562.70000000000005</v>
      </c>
      <c r="EV178" s="68" t="s">
        <v>1443</v>
      </c>
      <c r="EW178" s="68">
        <v>485.36</v>
      </c>
      <c r="EX178" s="68" t="s">
        <v>1444</v>
      </c>
      <c r="EY178" s="68">
        <v>5640.5</v>
      </c>
      <c r="EZ178" s="68" t="s">
        <v>1445</v>
      </c>
      <c r="FA178" s="68">
        <v>19938.25</v>
      </c>
      <c r="FB178" s="68" t="s">
        <v>1446</v>
      </c>
      <c r="FC178" s="68" t="s">
        <v>1447</v>
      </c>
      <c r="FD178" s="68" t="s">
        <v>1448</v>
      </c>
      <c r="FE178" s="68" t="s">
        <v>1449</v>
      </c>
      <c r="FF178" s="68" t="s">
        <v>1450</v>
      </c>
    </row>
    <row r="179" spans="1:162" ht="11.1" customHeight="1" thickBot="1" x14ac:dyDescent="0.25">
      <c r="A179" s="2">
        <f t="shared" si="587"/>
        <v>19400</v>
      </c>
      <c r="B179" s="3">
        <f t="shared" si="623"/>
        <v>41</v>
      </c>
      <c r="C179" s="3">
        <f t="shared" si="624"/>
        <v>49</v>
      </c>
      <c r="D179" s="3">
        <f t="shared" si="625"/>
        <v>95</v>
      </c>
      <c r="E179" s="3">
        <f t="shared" si="626"/>
        <v>185</v>
      </c>
      <c r="F179" s="4">
        <f t="shared" si="627"/>
        <v>19496.774998129345</v>
      </c>
      <c r="G179" s="5">
        <f t="shared" si="628"/>
        <v>472.18457087272094</v>
      </c>
      <c r="AM179" s="1">
        <v>1</v>
      </c>
      <c r="AN179" s="1">
        <v>-125</v>
      </c>
      <c r="AO179" s="1">
        <v>19400</v>
      </c>
      <c r="AP179" s="1">
        <v>1</v>
      </c>
      <c r="AQ179" s="1">
        <v>-505</v>
      </c>
      <c r="AS179" s="54">
        <f>IF(RTD("tos.rtd",,AS$83,"."&amp;$B$134&amp;$AS$82&amp;"C"&amp;$A179)="N/A",0,RTD("tos.rtd",,AS$83,"."&amp;$B$134&amp;$AS$82&amp;"C"&amp;$A179))</f>
        <v>23</v>
      </c>
      <c r="AT179" s="3">
        <f>-IF(RTD("tos.rtd",,AT$83,"."&amp;$B$134&amp;$AS$82&amp;"P"&amp;$A179)="N/A",0,RTD("tos.rtd",,AT$83,"."&amp;$B$134&amp;$AS$82&amp;"P"&amp;$A179))</f>
        <v>-18</v>
      </c>
      <c r="AU179" s="54">
        <f>IF(RTD("tos.rtd",,AU$2,"."&amp;$C$134&amp;$AU$134&amp;"C"&amp;$A179)="N/A",0,RTD("tos.rtd",,AU$2,"."&amp;$C$134&amp;$AU$134&amp;"C"&amp;$A179))</f>
        <v>9</v>
      </c>
      <c r="AV179" s="3">
        <f>-IF(RTD("tos.rtd",,AV$2,"."&amp;$C$134&amp;$AU$134&amp;"P"&amp;$A179)="N/A",0,RTD("tos.rtd",,AV$2,"."&amp;$C$134&amp;$AU$134&amp;"P"&amp;$A179))</f>
        <v>-40</v>
      </c>
      <c r="AW179" s="54">
        <f>IF(RTD("tos.rtd",,AW$2,"."&amp;$D$134&amp;$AW$134&amp;"C"&amp;$A179)="N/A",0,RTD("tos.rtd",,AW$2,"."&amp;$D$134&amp;$AW$134&amp;"C"&amp;$A179))</f>
        <v>41</v>
      </c>
      <c r="AX179" s="3">
        <f>-IF(RTD("tos.rtd",,AX$2,"."&amp;$D$134&amp;$AW$134&amp;"P"&amp;$A179)="N/A",0,RTD("tos.rtd",,AX$2,"."&amp;$D$134&amp;$AW$134&amp;"P"&amp;$A179))</f>
        <v>-54</v>
      </c>
      <c r="AY179" s="76">
        <f t="shared" si="629"/>
        <v>-39</v>
      </c>
      <c r="AZ179" s="8">
        <f t="shared" si="542"/>
        <v>19400</v>
      </c>
      <c r="BA179" s="54">
        <f>IF(RTD("tos.rtd",,BA$43,"."&amp;$B$134&amp;$AS$82&amp;"C"&amp;$A179)="N/A",0,RTD("tos.rtd",,BA$43,"."&amp;$B$134&amp;$AS$82&amp;"C"&amp;$A179))</f>
        <v>0</v>
      </c>
      <c r="BB179" s="3">
        <f>-IF(RTD("tos.rtd",,BB$43,"."&amp;$B$134&amp;$AS$82&amp;"P"&amp;$A179)="N/A",0,RTD("tos.rtd",,BB$43,"."&amp;$B$134&amp;$AS$82&amp;"P"&amp;$A179))</f>
        <v>0</v>
      </c>
      <c r="BC179" s="54">
        <f>IF(RTD("tos.rtd",,BC$2,"."&amp;$C$134&amp;$AU$82&amp;"C"&amp;$A179)="N/A",0,RTD("tos.rtd",,BC$2,"."&amp;$C$134&amp;$AU$82&amp;"C"&amp;$A179))</f>
        <v>0</v>
      </c>
      <c r="BD179" s="3">
        <f>-IF(RTD("tos.rtd",,BD$2,"."&amp;$C$134&amp;$AU$82&amp;"P"&amp;$A179)="N/A",0,RTD("tos.rtd",,BD$2,"."&amp;$C$134&amp;$AU$82&amp;"P"&amp;$A179))</f>
        <v>-142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-9</v>
      </c>
      <c r="BG179" s="3">
        <f ca="1">+Hoja2!Y180</f>
        <v>-8</v>
      </c>
      <c r="BH179" s="7">
        <f t="shared" ca="1" si="543"/>
        <v>-159</v>
      </c>
      <c r="BI179" s="32" t="str">
        <f t="shared" ca="1" si="601"/>
        <v/>
      </c>
      <c r="BJ179" s="3" t="e">
        <f ca="1">IF($BP$1=1,DX179,IF(RTD("tos.rtd",,BJ$43,"."&amp;$B$134&amp;$AS$82&amp;"C"&amp;$A179)="N/A",0,RTD("tos.rtd",,BJ$43,"."&amp;$B$134&amp;$AS$82&amp;"C"&amp;$A179)))</f>
        <v>#NUM!</v>
      </c>
      <c r="BK179" s="3" t="e">
        <f ca="1">IF($BP$1=1,DY179,-IF(RTD("tos.rtd",,BK$43,"."&amp;$B$134&amp;$AS$82&amp;"P"&amp;$A179)="N/A",0,RTD("tos.rtd",,BK$43,"."&amp;$B$134&amp;$AS$82&amp;"P"&amp;$A179)))</f>
        <v>#NUM!</v>
      </c>
      <c r="BL179" s="3" t="e">
        <f ca="1">IF($BP$1=1,DZ179,IF(RTD("tos.rtd",,BL$2,"."&amp;$C$134&amp;$AU$82&amp;"C"&amp;$A179)="N/A",0,RTD("tos.rtd",,BL$2,"."&amp;$C$134&amp;$AU$82&amp;"C"&amp;$A179)))</f>
        <v>#NUM!</v>
      </c>
      <c r="BM179" s="3" t="e">
        <f ca="1">IF($BP$1=1,EA179,-IF(RTD("tos.rtd",,BM$2,"."&amp;$C$134&amp;$AU$82&amp;"P"&amp;$A179)="N/A",0,RTD("tos.rtd",,BM$2,"."&amp;$C$134&amp;$AU$82&amp;"P"&amp;$A179)))</f>
        <v>#NUM!</v>
      </c>
      <c r="BN179" s="3" t="e">
        <f ca="1">IF($BP$1=1,EB179,IF(RTD("tos.rtd",,BN$2,"."&amp;$D$134&amp;$AW$82&amp;"C"&amp;$A179)="N/A",0,RTD("tos.rtd",,BN$2,"."&amp;$D$134&amp;$AW$82&amp;"C"&amp;$A179)))</f>
        <v>#NUM!</v>
      </c>
      <c r="BO179" s="3" t="e">
        <f ca="1">IF($BP$1=1,EC179,-IF(RTD("tos.rtd",,BO$2,"."&amp;$D$134&amp;$AW$82&amp;"P"&amp;$A179)="N/A",0,RTD("tos.rtd",,BO$2,"."&amp;$D$134&amp;$AW$82&amp;"P"&amp;$A179)))</f>
        <v>#NUM!</v>
      </c>
      <c r="BQ179" s="3" t="e">
        <f t="shared" ca="1" si="630"/>
        <v>#NUM!</v>
      </c>
      <c r="BR179" s="3" t="e">
        <f t="shared" ca="1" si="544"/>
        <v>#NUM!</v>
      </c>
      <c r="BS179" s="3" t="e">
        <f t="shared" ca="1" si="631"/>
        <v>#NUM!</v>
      </c>
      <c r="BT179" s="3" t="e">
        <f t="shared" ca="1" si="545"/>
        <v>#NUM!</v>
      </c>
      <c r="BU179" s="3" t="e">
        <f t="shared" ca="1" si="632"/>
        <v>#NUM!</v>
      </c>
      <c r="BV179" s="3" t="e">
        <f t="shared" ca="1" si="545"/>
        <v>#NUM!</v>
      </c>
      <c r="BX179" s="3" t="e">
        <f t="shared" ca="1" si="579"/>
        <v>#NUM!</v>
      </c>
      <c r="BY179" s="3" t="e">
        <f t="shared" ca="1" si="580"/>
        <v>#NUM!</v>
      </c>
      <c r="BZ179" s="3" t="e">
        <f t="shared" ca="1" si="581"/>
        <v>#NUM!</v>
      </c>
      <c r="CA179" s="3" t="e">
        <f t="shared" ca="1" si="580"/>
        <v>#NUM!</v>
      </c>
      <c r="CB179" s="3" t="e">
        <f t="shared" ca="1" si="582"/>
        <v>#NUM!</v>
      </c>
      <c r="CC179" s="3" t="e">
        <f t="shared" ca="1" si="580"/>
        <v>#NUM!</v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</v>
      </c>
      <c r="CF179" s="3">
        <f>IF(RTD("tos.rtd",,CF$2,"."&amp;$C$134&amp;$AU$82&amp;"C"&amp;$A179)="N/A",0,RTD("tos.rtd",,CF$2,"."&amp;$C$134&amp;$AU$82&amp;"C"&amp;$A179))</f>
        <v>1</v>
      </c>
      <c r="CG179" s="3">
        <f>-IF(RTD("tos.rtd",,CG$2,"."&amp;$C$134&amp;$AU$82&amp;"P"&amp;$A179)="N/A",0,RTD("tos.rtd",,CG$2,"."&amp;$C$134&amp;$AU$82&amp;"P"&amp;$A179))</f>
        <v>0.05</v>
      </c>
      <c r="CH179" s="3">
        <f>IF(RTD("tos.rtd",,CH$2,"."&amp;$D$134&amp;$AW$82&amp;"C"&amp;$A179)="N/A",0,RTD("tos.rtd",,CH$2,"."&amp;$D$134&amp;$AW$82&amp;"C"&amp;$A179))</f>
        <v>0.86</v>
      </c>
      <c r="CI179" s="3">
        <f>-IF(RTD("tos.rtd",,CI$2,"."&amp;$D$134&amp;$AW$82&amp;"P"&amp;$A179)="N/A",0,RTD("tos.rtd",,CI$2,"."&amp;$D$134&amp;$AW$82&amp;"P"&amp;$A179))</f>
        <v>0.16</v>
      </c>
      <c r="CK179" s="3">
        <f t="shared" si="652"/>
        <v>2300</v>
      </c>
      <c r="CL179" s="3"/>
      <c r="CM179" s="3">
        <f t="shared" si="653"/>
        <v>700</v>
      </c>
      <c r="CN179" s="3"/>
      <c r="CO179" s="3">
        <f t="shared" si="654"/>
        <v>2662</v>
      </c>
      <c r="CP179" s="3">
        <f t="shared" si="536"/>
        <v>5662</v>
      </c>
      <c r="CQ179" s="3">
        <f t="shared" si="546"/>
        <v>0</v>
      </c>
      <c r="CR179" s="3"/>
      <c r="CS179" s="3">
        <f t="shared" si="547"/>
        <v>-142</v>
      </c>
      <c r="CT179" s="3"/>
      <c r="CU179" s="3">
        <f t="shared" si="548"/>
        <v>-9</v>
      </c>
      <c r="CV179" s="3"/>
      <c r="CW179" s="3" t="e">
        <f t="shared" ca="1" si="549"/>
        <v>#NUM!</v>
      </c>
      <c r="CY179" s="3" t="e">
        <f t="shared" ca="1" si="550"/>
        <v>#NUM!</v>
      </c>
      <c r="CZ179" s="70" t="e">
        <f t="shared" ca="1" si="583"/>
        <v>#NUM!</v>
      </c>
      <c r="DA179" s="3">
        <f>IF(RTD("tos.rtd",,DA$43,"."&amp;$B$134&amp;$AS$82&amp;"C"&amp;$A179)="N/A",0,RTD("tos.rtd",,DA$43,"."&amp;$B$134&amp;$AS$82&amp;"C"&amp;$A179))</f>
        <v>673.02</v>
      </c>
      <c r="DB179" s="3">
        <f>IF(RTD("tos.rtd",,DB$43,"."&amp;$B$134&amp;$AS$82&amp;"P"&amp;$A179)="N/A",0,RTD("tos.rtd",,DB$43,"."&amp;$B$134&amp;$AS$82&amp;"P"&amp;$A179))</f>
        <v>0.1</v>
      </c>
      <c r="DC179" s="3">
        <f>IF(RTD("tos.rtd",,DC$43,"."&amp;$B$134&amp;$AS$82&amp;"C"&amp;$A179)="N/A",0,RTD("tos.rtd",,DC$43,"."&amp;$B$134&amp;$AS$82&amp;"C"&amp;$A179))</f>
        <v>603</v>
      </c>
      <c r="DD179" s="3">
        <f>IF(RTD("tos.rtd",,DD$43,"."&amp;$B$134&amp;$AS$82&amp;"P"&amp;$A179)="N/A",0,RTD("tos.rtd",,DD$43,"."&amp;$B$134&amp;$AS$82&amp;"P"&amp;$A179))</f>
        <v>0.15</v>
      </c>
      <c r="DE179" s="3">
        <f>IF(RTD("tos.rtd",,DE$43,"."&amp;$B$134&amp;$AS$82&amp;"C"&amp;$A179)="N/A",0,RTD("tos.rtd",,DE$43,"."&amp;$B$134&amp;$AS$82&amp;"C"&amp;$A179))</f>
        <v>523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84"/>
        <v>-646.5</v>
      </c>
      <c r="DH179" s="3">
        <f t="shared" si="551"/>
        <v>-1.8752499999999999</v>
      </c>
      <c r="DI179" s="3">
        <f t="shared" si="552"/>
        <v>336.66666666666669</v>
      </c>
      <c r="DJ179" s="3">
        <f t="shared" si="553"/>
        <v>-1</v>
      </c>
      <c r="DK179" s="3">
        <f t="shared" si="554"/>
        <v>505</v>
      </c>
      <c r="DL179" s="3">
        <f t="shared" si="555"/>
        <v>334.79141666666669</v>
      </c>
      <c r="DM179" s="3">
        <f t="shared" si="556"/>
        <v>504</v>
      </c>
      <c r="DN179" s="64" t="str">
        <f t="shared" si="557"/>
        <v>UNKNOWN</v>
      </c>
      <c r="DO179" s="64" t="str">
        <f t="shared" si="558"/>
        <v>UNKNOWN</v>
      </c>
      <c r="DP179" s="3">
        <f t="shared" si="559"/>
        <v>-1228.4140883333332</v>
      </c>
      <c r="DQ179" s="3">
        <f t="shared" si="560"/>
        <v>-622.52</v>
      </c>
      <c r="DR179" s="3" t="e">
        <f t="shared" ca="1" si="561"/>
        <v>#NUM!</v>
      </c>
      <c r="DS179" s="3">
        <f t="shared" si="562"/>
        <v>-1</v>
      </c>
      <c r="DT179" s="3">
        <f t="shared" si="585"/>
        <v>-1</v>
      </c>
      <c r="DU179" s="3">
        <f t="shared" si="586"/>
        <v>505</v>
      </c>
      <c r="DV179" s="3">
        <f t="shared" si="563"/>
        <v>1</v>
      </c>
      <c r="DW179" s="3">
        <f t="shared" si="564"/>
        <v>-125</v>
      </c>
      <c r="DX179" s="3" t="e">
        <f t="shared" ca="1" si="646"/>
        <v>#NUM!</v>
      </c>
      <c r="DY179" s="3" t="e">
        <f t="shared" ca="1" si="647"/>
        <v>#NUM!</v>
      </c>
      <c r="DZ179" s="3" t="e">
        <f t="shared" ca="1" si="648"/>
        <v>#NUM!</v>
      </c>
      <c r="EA179" s="3" t="e">
        <f t="shared" ca="1" si="649"/>
        <v>#NUM!</v>
      </c>
      <c r="EB179" s="3" t="e">
        <f t="shared" ca="1" si="650"/>
        <v>#NUM!</v>
      </c>
      <c r="EC179" s="3" t="e">
        <f t="shared" ca="1" si="651"/>
        <v>#NUM!</v>
      </c>
      <c r="EE179" s="59">
        <f t="shared" si="571"/>
        <v>0.25</v>
      </c>
      <c r="EF179" s="59">
        <f t="shared" si="572"/>
        <v>1.4653</v>
      </c>
      <c r="EG179" s="59">
        <f t="shared" si="573"/>
        <v>0.25</v>
      </c>
      <c r="EH179" s="59">
        <f t="shared" si="574"/>
        <v>2.7921999999999998</v>
      </c>
      <c r="EI179" s="59">
        <f t="shared" si="575"/>
        <v>0.27760000000000001</v>
      </c>
      <c r="EJ179" s="59">
        <f t="shared" si="576"/>
        <v>0.30170000000000002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146.53%</v>
      </c>
      <c r="EN179" s="3" t="str">
        <f>RTD("tos.rtd",,EN$2,"."&amp;$C$134&amp;$AU$82&amp;"C"&amp;$A179)</f>
        <v>--</v>
      </c>
      <c r="EO179" s="3" t="str">
        <f>RTD("tos.rtd",,EO$2,"."&amp;$C$134&amp;$AU$82&amp;"P"&amp;$A179)</f>
        <v>279.22%</v>
      </c>
      <c r="EP179" s="3" t="str">
        <f>RTD("tos.rtd",,EP$2,"."&amp;$D$134&amp;$AW$82&amp;"C"&amp;$A179)</f>
        <v>27.76%</v>
      </c>
      <c r="EQ179" s="3" t="str">
        <f>RTD("tos.rtd",,EQ$2,"."&amp;$D$134&amp;$AW$82&amp;"P"&amp;$A179)</f>
        <v>30.17%</v>
      </c>
      <c r="ES179" s="63" t="str">
        <f t="shared" si="577"/>
        <v>19400,-124.00</v>
      </c>
      <c r="ET179" s="64" t="str">
        <f t="shared" ca="1" si="578"/>
        <v>19400,00.00</v>
      </c>
      <c r="EU179" s="68">
        <v>562.71</v>
      </c>
      <c r="EV179" s="68" t="s">
        <v>1451</v>
      </c>
      <c r="EW179" s="68">
        <v>485.4</v>
      </c>
      <c r="EX179" s="68" t="s">
        <v>1452</v>
      </c>
      <c r="EY179" s="68">
        <v>5640.75</v>
      </c>
      <c r="EZ179" s="68" t="s">
        <v>1453</v>
      </c>
      <c r="FA179" s="68">
        <v>19940.5</v>
      </c>
      <c r="FB179" s="68" t="s">
        <v>1454</v>
      </c>
      <c r="FC179" s="68" t="s">
        <v>1455</v>
      </c>
      <c r="FD179" s="68" t="s">
        <v>1456</v>
      </c>
      <c r="FE179" s="68" t="s">
        <v>1457</v>
      </c>
      <c r="FF179" s="68" t="s">
        <v>1458</v>
      </c>
    </row>
    <row r="180" spans="1:162" ht="11.1" customHeight="1" thickBot="1" x14ac:dyDescent="0.25">
      <c r="A180" s="2">
        <f t="shared" si="587"/>
        <v>19375</v>
      </c>
      <c r="B180" s="3">
        <f t="shared" si="623"/>
        <v>5</v>
      </c>
      <c r="C180" s="3">
        <f t="shared" si="624"/>
        <v>26</v>
      </c>
      <c r="D180" s="3">
        <f t="shared" si="625"/>
        <v>30</v>
      </c>
      <c r="E180" s="3">
        <f t="shared" si="626"/>
        <v>61</v>
      </c>
      <c r="F180" s="4">
        <f t="shared" si="627"/>
        <v>19471.650288080211</v>
      </c>
      <c r="G180" s="5">
        <f t="shared" si="628"/>
        <v>471.57608560097771</v>
      </c>
      <c r="AM180" s="1">
        <v>0</v>
      </c>
      <c r="AN180" s="1">
        <v>0</v>
      </c>
      <c r="AO180" s="1">
        <v>19375</v>
      </c>
      <c r="AP180" s="1">
        <v>0</v>
      </c>
      <c r="AQ180" s="1">
        <v>-10</v>
      </c>
      <c r="AS180" s="54">
        <f>IF(RTD("tos.rtd",,AS$83,"."&amp;$B$134&amp;$AS$82&amp;"C"&amp;$A180)="N/A",0,RTD("tos.rtd",,AS$83,"."&amp;$B$134&amp;$AS$82&amp;"C"&amp;$A180))</f>
        <v>0</v>
      </c>
      <c r="AT180" s="3">
        <f>-IF(RTD("tos.rtd",,AT$83,"."&amp;$B$134&amp;$AS$82&amp;"P"&amp;$A180)="N/A",0,RTD("tos.rtd",,AT$83,"."&amp;$B$134&amp;$AS$82&amp;"P"&amp;$A180))</f>
        <v>-5</v>
      </c>
      <c r="AU180" s="54">
        <f>IF(RTD("tos.rtd",,AU$2,"."&amp;$C$134&amp;$AU$134&amp;"C"&amp;$A180)="N/A",0,RTD("tos.rtd",,AU$2,"."&amp;$C$134&amp;$AU$134&amp;"C"&amp;$A180))</f>
        <v>0</v>
      </c>
      <c r="AV180" s="3">
        <f>-IF(RTD("tos.rtd",,AV$2,"."&amp;$C$134&amp;$AU$134&amp;"P"&amp;$A180)="N/A",0,RTD("tos.rtd",,AV$2,"."&amp;$C$134&amp;$AU$134&amp;"P"&amp;$A180))</f>
        <v>-26</v>
      </c>
      <c r="AW180" s="54">
        <f>IF(RTD("tos.rtd",,AW$2,"."&amp;$D$134&amp;$AW$134&amp;"C"&amp;$A180)="N/A",0,RTD("tos.rtd",,AW$2,"."&amp;$D$134&amp;$AW$134&amp;"C"&amp;$A180))</f>
        <v>18</v>
      </c>
      <c r="AX180" s="3">
        <f>-IF(RTD("tos.rtd",,AX$2,"."&amp;$D$134&amp;$AW$134&amp;"P"&amp;$A180)="N/A",0,RTD("tos.rtd",,AX$2,"."&amp;$D$134&amp;$AW$134&amp;"P"&amp;$A180))</f>
        <v>-12</v>
      </c>
      <c r="AY180" s="76">
        <f t="shared" si="629"/>
        <v>-25</v>
      </c>
      <c r="AZ180" s="8">
        <f t="shared" si="542"/>
        <v>19375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0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-1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-16</v>
      </c>
      <c r="BG180" s="3">
        <f ca="1">+Hoja2!Y181</f>
        <v>0</v>
      </c>
      <c r="BH180" s="7">
        <f t="shared" ca="1" si="543"/>
        <v>-17</v>
      </c>
      <c r="BI180" s="32" t="str">
        <f t="shared" ca="1" si="601"/>
        <v/>
      </c>
      <c r="BJ180" s="3" t="e">
        <f ca="1">IF($BP$1=1,DX180,IF(RTD("tos.rtd",,BJ$43,"."&amp;$B$134&amp;$AS$82&amp;"C"&amp;$A180)="N/A",0,RTD("tos.rtd",,BJ$43,"."&amp;$B$134&amp;$AS$82&amp;"C"&amp;$A180)))</f>
        <v>#NUM!</v>
      </c>
      <c r="BK180" s="3" t="e">
        <f ca="1">IF($BP$1=1,DY180,-IF(RTD("tos.rtd",,BK$43,"."&amp;$B$134&amp;$AS$82&amp;"P"&amp;$A180)="N/A",0,RTD("tos.rtd",,BK$43,"."&amp;$B$134&amp;$AS$82&amp;"P"&amp;$A180)))</f>
        <v>#NUM!</v>
      </c>
      <c r="BL180" s="3" t="e">
        <f ca="1">IF($BP$1=1,DZ180,IF(RTD("tos.rtd",,BL$2,"."&amp;$C$134&amp;$AU$82&amp;"C"&amp;$A180)="N/A",0,RTD("tos.rtd",,BL$2,"."&amp;$C$134&amp;$AU$82&amp;"C"&amp;$A180)))</f>
        <v>#NUM!</v>
      </c>
      <c r="BM180" s="3" t="e">
        <f ca="1">IF($BP$1=1,EA180,-IF(RTD("tos.rtd",,BM$2,"."&amp;$C$134&amp;$AU$82&amp;"P"&amp;$A180)="N/A",0,RTD("tos.rtd",,BM$2,"."&amp;$C$134&amp;$AU$82&amp;"P"&amp;$A180)))</f>
        <v>#NUM!</v>
      </c>
      <c r="BN180" s="3" t="e">
        <f ca="1">IF($BP$1=1,EB180,IF(RTD("tos.rtd",,BN$2,"."&amp;$D$134&amp;$AW$82&amp;"C"&amp;$A180)="N/A",0,RTD("tos.rtd",,BN$2,"."&amp;$D$134&amp;$AW$82&amp;"C"&amp;$A180)))</f>
        <v>#NUM!</v>
      </c>
      <c r="BO180" s="3" t="e">
        <f ca="1">IF($BP$1=1,EC180,-IF(RTD("tos.rtd",,BO$2,"."&amp;$D$134&amp;$AW$82&amp;"P"&amp;$A180)="N/A",0,RTD("tos.rtd",,BO$2,"."&amp;$D$134&amp;$AW$82&amp;"P"&amp;$A180)))</f>
        <v>#NUM!</v>
      </c>
      <c r="BQ180" s="3" t="e">
        <f t="shared" ca="1" si="630"/>
        <v>#NUM!</v>
      </c>
      <c r="BR180" s="3" t="e">
        <f t="shared" ca="1" si="544"/>
        <v>#NUM!</v>
      </c>
      <c r="BS180" s="3" t="e">
        <f t="shared" ca="1" si="631"/>
        <v>#NUM!</v>
      </c>
      <c r="BT180" s="3" t="e">
        <f t="shared" ca="1" si="545"/>
        <v>#NUM!</v>
      </c>
      <c r="BU180" s="3" t="e">
        <f t="shared" ca="1" si="632"/>
        <v>#NUM!</v>
      </c>
      <c r="BV180" s="3" t="e">
        <f t="shared" ca="1" si="545"/>
        <v>#NUM!</v>
      </c>
      <c r="BX180" s="3" t="e">
        <f t="shared" ca="1" si="579"/>
        <v>#NUM!</v>
      </c>
      <c r="BY180" s="3" t="e">
        <f t="shared" ca="1" si="580"/>
        <v>#NUM!</v>
      </c>
      <c r="BZ180" s="3" t="e">
        <f t="shared" ca="1" si="581"/>
        <v>#NUM!</v>
      </c>
      <c r="CA180" s="3" t="e">
        <f t="shared" ca="1" si="580"/>
        <v>#NUM!</v>
      </c>
      <c r="CB180" s="3" t="e">
        <f t="shared" ca="1" si="582"/>
        <v>#NUM!</v>
      </c>
      <c r="CC180" s="3" t="e">
        <f t="shared" ca="1" si="580"/>
        <v>#NUM!</v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0.05</v>
      </c>
      <c r="CF180" s="3">
        <f>IF(RTD("tos.rtd",,CF$2,"."&amp;$C$134&amp;$AU$82&amp;"C"&amp;$A180)="N/A",0,RTD("tos.rtd",,CF$2,"."&amp;$C$134&amp;$AU$82&amp;"C"&amp;$A180))</f>
        <v>1</v>
      </c>
      <c r="CG180" s="3">
        <f>-IF(RTD("tos.rtd",,CG$2,"."&amp;$C$134&amp;$AU$82&amp;"P"&amp;$A180)="N/A",0,RTD("tos.rtd",,CG$2,"."&amp;$C$134&amp;$AU$82&amp;"P"&amp;$A180))</f>
        <v>0.05</v>
      </c>
      <c r="CH180" s="3">
        <f>IF(RTD("tos.rtd",,CH$2,"."&amp;$D$134&amp;$AW$82&amp;"C"&amp;$A180)="N/A",0,RTD("tos.rtd",,CH$2,"."&amp;$D$134&amp;$AW$82&amp;"C"&amp;$A180))</f>
        <v>0.87</v>
      </c>
      <c r="CI180" s="3">
        <f>-IF(RTD("tos.rtd",,CI$2,"."&amp;$D$134&amp;$AW$82&amp;"P"&amp;$A180)="N/A",0,RTD("tos.rtd",,CI$2,"."&amp;$D$134&amp;$AW$82&amp;"P"&amp;$A180))</f>
        <v>0.15</v>
      </c>
      <c r="CK180" s="3">
        <f t="shared" si="652"/>
        <v>-25</v>
      </c>
      <c r="CL180" s="3"/>
      <c r="CM180" s="3">
        <f t="shared" si="653"/>
        <v>-130</v>
      </c>
      <c r="CN180" s="3"/>
      <c r="CO180" s="3">
        <f t="shared" si="654"/>
        <v>1386</v>
      </c>
      <c r="CP180" s="3">
        <f t="shared" si="536"/>
        <v>1231</v>
      </c>
      <c r="CQ180" s="3">
        <f t="shared" si="546"/>
        <v>0</v>
      </c>
      <c r="CR180" s="3"/>
      <c r="CS180" s="3">
        <f t="shared" si="547"/>
        <v>-1</v>
      </c>
      <c r="CT180" s="3"/>
      <c r="CU180" s="3">
        <f t="shared" si="548"/>
        <v>-16</v>
      </c>
      <c r="CV180" s="3"/>
      <c r="CW180" s="3" t="e">
        <f t="shared" ca="1" si="549"/>
        <v>#NUM!</v>
      </c>
      <c r="CY180" s="3" t="e">
        <f t="shared" ca="1" si="550"/>
        <v>#NUM!</v>
      </c>
      <c r="CZ180" s="70" t="e">
        <f t="shared" ca="1" si="583"/>
        <v>#NUM!</v>
      </c>
      <c r="DA180" s="3">
        <f>IF(RTD("tos.rtd",,DA$43,"."&amp;$B$134&amp;$AS$82&amp;"C"&amp;$A180)="N/A",0,RTD("tos.rtd",,DA$43,"."&amp;$B$134&amp;$AS$82&amp;"C"&amp;$A180))</f>
        <v>0</v>
      </c>
      <c r="DB180" s="3">
        <f>IF(RTD("tos.rtd",,DB$43,"."&amp;$B$134&amp;$AS$82&amp;"P"&amp;$A180)="N/A",0,RTD("tos.rtd",,DB$43,"."&amp;$B$134&amp;$AS$82&amp;"P"&amp;$A180))</f>
        <v>1.32</v>
      </c>
      <c r="DC180" s="3">
        <f>IF(RTD("tos.rtd",,DC$43,"."&amp;$B$134&amp;$AS$82&amp;"C"&amp;$A180)="N/A",0,RTD("tos.rtd",,DC$43,"."&amp;$B$134&amp;$AS$82&amp;"C"&amp;$A180))</f>
        <v>628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548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84"/>
        <v>-671.5</v>
      </c>
      <c r="DH180" s="3">
        <f t="shared" si="551"/>
        <v>0</v>
      </c>
      <c r="DI180" s="3">
        <f t="shared" si="552"/>
        <v>0.66666666666666663</v>
      </c>
      <c r="DJ180" s="3">
        <f t="shared" si="553"/>
        <v>0</v>
      </c>
      <c r="DK180" s="3">
        <f t="shared" si="554"/>
        <v>-10</v>
      </c>
      <c r="DL180" s="3">
        <f t="shared" si="555"/>
        <v>0.66666666666666663</v>
      </c>
      <c r="DM180" s="3">
        <f t="shared" si="556"/>
        <v>-10</v>
      </c>
      <c r="DN180" s="64" t="str">
        <f t="shared" si="557"/>
        <v>UNKNOWN</v>
      </c>
      <c r="DO180" s="64" t="str">
        <f t="shared" si="558"/>
        <v>UNKNOWN</v>
      </c>
      <c r="DP180" s="3">
        <f t="shared" si="559"/>
        <v>0.88</v>
      </c>
      <c r="DQ180" s="3">
        <f t="shared" si="560"/>
        <v>-13.200000000000001</v>
      </c>
      <c r="DR180" s="3" t="e">
        <f t="shared" ca="1" si="561"/>
        <v>#NUM!</v>
      </c>
      <c r="DS180" s="3">
        <f t="shared" si="562"/>
        <v>-0.5</v>
      </c>
      <c r="DT180" s="3">
        <f t="shared" si="585"/>
        <v>0</v>
      </c>
      <c r="DU180" s="3">
        <f t="shared" si="586"/>
        <v>10</v>
      </c>
      <c r="DV180" s="3">
        <f t="shared" si="563"/>
        <v>0</v>
      </c>
      <c r="DW180" s="3">
        <f t="shared" si="564"/>
        <v>0</v>
      </c>
      <c r="DX180" s="3" t="e">
        <f t="shared" ca="1" si="646"/>
        <v>#NUM!</v>
      </c>
      <c r="DY180" s="3" t="e">
        <f t="shared" ca="1" si="647"/>
        <v>#NUM!</v>
      </c>
      <c r="DZ180" s="3" t="e">
        <f t="shared" ca="1" si="648"/>
        <v>#NUM!</v>
      </c>
      <c r="EA180" s="3" t="e">
        <f t="shared" ca="1" si="649"/>
        <v>#NUM!</v>
      </c>
      <c r="EB180" s="3" t="e">
        <f t="shared" ca="1" si="650"/>
        <v>#NUM!</v>
      </c>
      <c r="EC180" s="3" t="e">
        <f t="shared" ca="1" si="651"/>
        <v>#NUM!</v>
      </c>
      <c r="EE180" s="59">
        <f t="shared" si="571"/>
        <v>0.25</v>
      </c>
      <c r="EF180" s="59">
        <f t="shared" si="572"/>
        <v>2.8771</v>
      </c>
      <c r="EG180" s="59">
        <f t="shared" si="573"/>
        <v>0.25</v>
      </c>
      <c r="EH180" s="59">
        <f t="shared" si="574"/>
        <v>2.8771</v>
      </c>
      <c r="EI180" s="59">
        <f t="shared" si="575"/>
        <v>0.27710000000000001</v>
      </c>
      <c r="EJ180" s="59">
        <f t="shared" si="576"/>
        <v>0.30230000000000001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287.71%</v>
      </c>
      <c r="EN180" s="3" t="str">
        <f>RTD("tos.rtd",,EN$2,"."&amp;$C$134&amp;$AU$82&amp;"C"&amp;$A180)</f>
        <v>--</v>
      </c>
      <c r="EO180" s="3" t="str">
        <f>RTD("tos.rtd",,EO$2,"."&amp;$C$134&amp;$AU$82&amp;"P"&amp;$A180)</f>
        <v>287.71%</v>
      </c>
      <c r="EP180" s="3" t="str">
        <f>RTD("tos.rtd",,EP$2,"."&amp;$D$134&amp;$AW$82&amp;"C"&amp;$A180)</f>
        <v>27.71%</v>
      </c>
      <c r="EQ180" s="3" t="str">
        <f>RTD("tos.rtd",,EQ$2,"."&amp;$D$134&amp;$AW$82&amp;"P"&amp;$A180)</f>
        <v>30.23%</v>
      </c>
      <c r="ES180" s="63" t="str">
        <f t="shared" si="577"/>
        <v>19375,00.00</v>
      </c>
      <c r="ET180" s="64" t="str">
        <f t="shared" ca="1" si="578"/>
        <v>19375,00.00</v>
      </c>
      <c r="EU180" s="68">
        <v>562.74</v>
      </c>
      <c r="EV180" s="68" t="s">
        <v>1459</v>
      </c>
      <c r="EW180" s="68">
        <v>485.43</v>
      </c>
      <c r="EX180" s="68" t="s">
        <v>1460</v>
      </c>
      <c r="EY180" s="68">
        <v>5641</v>
      </c>
      <c r="EZ180" s="68" t="s">
        <v>1461</v>
      </c>
      <c r="FA180" s="68">
        <v>19941.25</v>
      </c>
      <c r="FB180" s="68" t="s">
        <v>1462</v>
      </c>
      <c r="FC180" s="68" t="s">
        <v>1463</v>
      </c>
      <c r="FD180" s="68" t="s">
        <v>1464</v>
      </c>
      <c r="FE180" s="68" t="s">
        <v>1465</v>
      </c>
      <c r="FF180" s="68" t="s">
        <v>1466</v>
      </c>
    </row>
    <row r="181" spans="1:162" ht="11.1" customHeight="1" thickBot="1" x14ac:dyDescent="0.25">
      <c r="A181" s="2">
        <f t="shared" si="587"/>
        <v>19350</v>
      </c>
      <c r="B181" s="3">
        <f t="shared" si="623"/>
        <v>9</v>
      </c>
      <c r="C181" s="3">
        <f t="shared" si="624"/>
        <v>49</v>
      </c>
      <c r="D181" s="3">
        <f t="shared" si="625"/>
        <v>47</v>
      </c>
      <c r="E181" s="3">
        <f t="shared" si="626"/>
        <v>105</v>
      </c>
      <c r="F181" s="4">
        <f t="shared" si="627"/>
        <v>19446.525578031076</v>
      </c>
      <c r="G181" s="5">
        <f t="shared" si="628"/>
        <v>470.96760032923453</v>
      </c>
      <c r="AM181" s="1">
        <v>0</v>
      </c>
      <c r="AN181" s="1">
        <v>-116</v>
      </c>
      <c r="AO181" s="1">
        <v>19350</v>
      </c>
      <c r="AP181" s="1">
        <v>0</v>
      </c>
      <c r="AQ181" s="1">
        <v>-237</v>
      </c>
      <c r="AS181" s="54">
        <f>IF(RTD("tos.rtd",,AS$83,"."&amp;$B$134&amp;$AS$82&amp;"C"&amp;$A181)="N/A",0,RTD("tos.rtd",,AS$83,"."&amp;$B$134&amp;$AS$82&amp;"C"&amp;$A181))</f>
        <v>0</v>
      </c>
      <c r="AT181" s="3">
        <f>-IF(RTD("tos.rtd",,AT$83,"."&amp;$B$134&amp;$AS$82&amp;"P"&amp;$A181)="N/A",0,RTD("tos.rtd",,AT$83,"."&amp;$B$134&amp;$AS$82&amp;"P"&amp;$A181))</f>
        <v>-9</v>
      </c>
      <c r="AU181" s="54">
        <f>IF(RTD("tos.rtd",,AU$2,"."&amp;$C$134&amp;$AU$134&amp;"C"&amp;$A181)="N/A",0,RTD("tos.rtd",,AU$2,"."&amp;$C$134&amp;$AU$134&amp;"C"&amp;$A181))</f>
        <v>4</v>
      </c>
      <c r="AV181" s="3">
        <f>-IF(RTD("tos.rtd",,AV$2,"."&amp;$C$134&amp;$AU$134&amp;"P"&amp;$A181)="N/A",0,RTD("tos.rtd",,AV$2,"."&amp;$C$134&amp;$AU$134&amp;"P"&amp;$A181))</f>
        <v>-45</v>
      </c>
      <c r="AW181" s="54">
        <f>IF(RTD("tos.rtd",,AW$2,"."&amp;$D$134&amp;$AW$134&amp;"C"&amp;$A181)="N/A",0,RTD("tos.rtd",,AW$2,"."&amp;$D$134&amp;$AW$134&amp;"C"&amp;$A181))</f>
        <v>31</v>
      </c>
      <c r="AX181" s="3">
        <f>-IF(RTD("tos.rtd",,AX$2,"."&amp;$D$134&amp;$AW$134&amp;"P"&amp;$A181)="N/A",0,RTD("tos.rtd",,AX$2,"."&amp;$D$134&amp;$AW$134&amp;"P"&amp;$A181))</f>
        <v>-16</v>
      </c>
      <c r="AY181" s="76">
        <f t="shared" si="629"/>
        <v>-35</v>
      </c>
      <c r="AZ181" s="8">
        <f t="shared" si="542"/>
        <v>19350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0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-402</v>
      </c>
      <c r="BE181" s="54">
        <f>IF(RTD("tos.rtd",,BE$2,"."&amp;$D$134&amp;$AW$82&amp;"C"&amp;$A181)="N/A",0,RTD("tos.rtd",,BE$2,"."&amp;$D$134&amp;$AW$82&amp;"C"&amp;$A181))</f>
        <v>0</v>
      </c>
      <c r="BF181" s="3">
        <f>-IF(RTD("tos.rtd",,BF$2,"."&amp;$D$134&amp;$AW$82&amp;"P"&amp;$A181)="N/A",0,RTD("tos.rtd",,BF$2,"."&amp;$D$134&amp;$AW$82&amp;"P"&amp;$A181))</f>
        <v>-30</v>
      </c>
      <c r="BG181" s="3">
        <f ca="1">+Hoja2!Y182</f>
        <v>-4</v>
      </c>
      <c r="BH181" s="7">
        <f t="shared" ca="1" si="543"/>
        <v>-436</v>
      </c>
      <c r="BI181" s="32" t="str">
        <f t="shared" ca="1" si="601"/>
        <v/>
      </c>
      <c r="BJ181" s="3" t="e">
        <f ca="1">IF($BP$1=1,DX181,IF(RTD("tos.rtd",,BJ$43,"."&amp;$B$134&amp;$AS$82&amp;"C"&amp;$A181)="N/A",0,RTD("tos.rtd",,BJ$43,"."&amp;$B$134&amp;$AS$82&amp;"C"&amp;$A181)))</f>
        <v>#NUM!</v>
      </c>
      <c r="BK181" s="3" t="e">
        <f ca="1">IF($BP$1=1,DY181,-IF(RTD("tos.rtd",,BK$43,"."&amp;$B$134&amp;$AS$82&amp;"P"&amp;$A181)="N/A",0,RTD("tos.rtd",,BK$43,"."&amp;$B$134&amp;$AS$82&amp;"P"&amp;$A181)))</f>
        <v>#NUM!</v>
      </c>
      <c r="BL181" s="3" t="e">
        <f ca="1">IF($BP$1=1,DZ181,IF(RTD("tos.rtd",,BL$2,"."&amp;$C$134&amp;$AU$82&amp;"C"&amp;$A181)="N/A",0,RTD("tos.rtd",,BL$2,"."&amp;$C$134&amp;$AU$82&amp;"C"&amp;$A181)))</f>
        <v>#NUM!</v>
      </c>
      <c r="BM181" s="3" t="e">
        <f ca="1">IF($BP$1=1,EA181,-IF(RTD("tos.rtd",,BM$2,"."&amp;$C$134&amp;$AU$82&amp;"P"&amp;$A181)="N/A",0,RTD("tos.rtd",,BM$2,"."&amp;$C$134&amp;$AU$82&amp;"P"&amp;$A181)))</f>
        <v>#NUM!</v>
      </c>
      <c r="BN181" s="3" t="e">
        <f ca="1">IF($BP$1=1,EB181,IF(RTD("tos.rtd",,BN$2,"."&amp;$D$134&amp;$AW$82&amp;"C"&amp;$A181)="N/A",0,RTD("tos.rtd",,BN$2,"."&amp;$D$134&amp;$AW$82&amp;"C"&amp;$A181)))</f>
        <v>#NUM!</v>
      </c>
      <c r="BO181" s="3" t="e">
        <f ca="1">IF($BP$1=1,EC181,-IF(RTD("tos.rtd",,BO$2,"."&amp;$D$134&amp;$AW$82&amp;"P"&amp;$A181)="N/A",0,RTD("tos.rtd",,BO$2,"."&amp;$D$134&amp;$AW$82&amp;"P"&amp;$A181)))</f>
        <v>#NUM!</v>
      </c>
      <c r="BQ181" s="3" t="e">
        <f t="shared" ca="1" si="630"/>
        <v>#NUM!</v>
      </c>
      <c r="BR181" s="3" t="e">
        <f t="shared" ca="1" si="544"/>
        <v>#NUM!</v>
      </c>
      <c r="BS181" s="3" t="e">
        <f t="shared" ca="1" si="631"/>
        <v>#NUM!</v>
      </c>
      <c r="BT181" s="3" t="e">
        <f t="shared" ca="1" si="545"/>
        <v>#NUM!</v>
      </c>
      <c r="BU181" s="3" t="e">
        <f t="shared" ca="1" si="632"/>
        <v>#NUM!</v>
      </c>
      <c r="BV181" s="3" t="e">
        <f t="shared" ca="1" si="545"/>
        <v>#NUM!</v>
      </c>
      <c r="BX181" s="3" t="e">
        <f t="shared" ca="1" si="579"/>
        <v>#NUM!</v>
      </c>
      <c r="BY181" s="3" t="e">
        <f t="shared" ca="1" si="580"/>
        <v>#NUM!</v>
      </c>
      <c r="BZ181" s="3" t="e">
        <f t="shared" ca="1" si="581"/>
        <v>#NUM!</v>
      </c>
      <c r="CA181" s="3" t="e">
        <f t="shared" ca="1" si="580"/>
        <v>#NUM!</v>
      </c>
      <c r="CB181" s="3" t="e">
        <f t="shared" ca="1" si="582"/>
        <v>#NUM!</v>
      </c>
      <c r="CC181" s="3" t="e">
        <f t="shared" ca="1" si="580"/>
        <v>#NUM!</v>
      </c>
      <c r="CD181" s="3">
        <f>IF(RTD("tos.rtd",,CD$43,"."&amp;$B$134&amp;$AS$82&amp;"C"&amp;$A181)="N/A",0,RTD("tos.rtd",,CD$43,"."&amp;$B$134&amp;$AS$82&amp;"C"&amp;$A181))</f>
        <v>1</v>
      </c>
      <c r="CE181" s="3">
        <f>-IF(RTD("tos.rtd",,CE$43,"."&amp;$B$134&amp;$AS$82&amp;"P"&amp;$A181)="N/A",0,RTD("tos.rtd",,CE$43,"."&amp;$B$134&amp;$AS$82&amp;"P"&amp;$A181))</f>
        <v>0.05</v>
      </c>
      <c r="CF181" s="3">
        <f>IF(RTD("tos.rtd",,CF$2,"."&amp;$C$134&amp;$AU$82&amp;"C"&amp;$A181)="N/A",0,RTD("tos.rtd",,CF$2,"."&amp;$C$134&amp;$AU$82&amp;"C"&amp;$A181))</f>
        <v>1</v>
      </c>
      <c r="CG181" s="3">
        <f>-IF(RTD("tos.rtd",,CG$2,"."&amp;$C$134&amp;$AU$82&amp;"P"&amp;$A181)="N/A",0,RTD("tos.rtd",,CG$2,"."&amp;$C$134&amp;$AU$82&amp;"P"&amp;$A181))</f>
        <v>0</v>
      </c>
      <c r="CH181" s="3">
        <f>IF(RTD("tos.rtd",,CH$2,"."&amp;$D$134&amp;$AW$82&amp;"C"&amp;$A181)="N/A",0,RTD("tos.rtd",,CH$2,"."&amp;$D$134&amp;$AW$82&amp;"C"&amp;$A181))</f>
        <v>0.88</v>
      </c>
      <c r="CI181" s="3">
        <f>-IF(RTD("tos.rtd",,CI$2,"."&amp;$D$134&amp;$AW$82&amp;"P"&amp;$A181)="N/A",0,RTD("tos.rtd",,CI$2,"."&amp;$D$134&amp;$AW$82&amp;"P"&amp;$A181))</f>
        <v>0.14000000000000001</v>
      </c>
      <c r="CK181" s="3">
        <f t="shared" si="652"/>
        <v>-45</v>
      </c>
      <c r="CL181" s="3"/>
      <c r="CM181" s="3">
        <f t="shared" si="653"/>
        <v>400</v>
      </c>
      <c r="CN181" s="3"/>
      <c r="CO181" s="3">
        <f t="shared" si="654"/>
        <v>2504</v>
      </c>
      <c r="CP181" s="3">
        <f t="shared" si="536"/>
        <v>2859</v>
      </c>
      <c r="CQ181" s="3">
        <f t="shared" si="546"/>
        <v>0</v>
      </c>
      <c r="CR181" s="3"/>
      <c r="CS181" s="3">
        <f t="shared" si="547"/>
        <v>-402</v>
      </c>
      <c r="CT181" s="3"/>
      <c r="CU181" s="3">
        <f t="shared" si="548"/>
        <v>-30</v>
      </c>
      <c r="CV181" s="3"/>
      <c r="CW181" s="3" t="e">
        <f t="shared" ca="1" si="549"/>
        <v>#NUM!</v>
      </c>
      <c r="CY181" s="3" t="e">
        <f t="shared" ca="1" si="550"/>
        <v>#NUM!</v>
      </c>
      <c r="CZ181" s="70" t="e">
        <f t="shared" ca="1" si="583"/>
        <v>#NUM!</v>
      </c>
      <c r="DA181" s="3">
        <f>IF(RTD("tos.rtd",,DA$43,"."&amp;$B$134&amp;$AS$82&amp;"C"&amp;$A181)="N/A",0,RTD("tos.rtd",,DA$43,"."&amp;$B$134&amp;$AS$82&amp;"C"&amp;$A181))</f>
        <v>302.89999999999998</v>
      </c>
      <c r="DB181" s="3">
        <f>IF(RTD("tos.rtd",,DB$43,"."&amp;$B$134&amp;$AS$82&amp;"P"&amp;$A181)="N/A",0,RTD("tos.rtd",,DB$43,"."&amp;$B$134&amp;$AS$82&amp;"P"&amp;$A181))</f>
        <v>0.67</v>
      </c>
      <c r="DC181" s="3">
        <f>IF(RTD("tos.rtd",,DC$43,"."&amp;$B$134&amp;$AS$82&amp;"C"&amp;$A181)="N/A",0,RTD("tos.rtd",,DC$43,"."&amp;$B$134&amp;$AS$82&amp;"C"&amp;$A181))</f>
        <v>653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573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84"/>
        <v>-696.5</v>
      </c>
      <c r="DH181" s="3">
        <f t="shared" si="551"/>
        <v>0</v>
      </c>
      <c r="DI181" s="3">
        <f t="shared" si="552"/>
        <v>8.0196969696969695</v>
      </c>
      <c r="DJ181" s="3">
        <f t="shared" si="553"/>
        <v>0</v>
      </c>
      <c r="DK181" s="3">
        <f t="shared" si="554"/>
        <v>-237</v>
      </c>
      <c r="DL181" s="3">
        <f t="shared" si="555"/>
        <v>8.0196969696969695</v>
      </c>
      <c r="DM181" s="3">
        <f t="shared" si="556"/>
        <v>-237</v>
      </c>
      <c r="DN181" s="64" t="str">
        <f t="shared" si="557"/>
        <v>UNKNOWN</v>
      </c>
      <c r="DO181" s="64" t="str">
        <f t="shared" si="558"/>
        <v>UNKNOWN</v>
      </c>
      <c r="DP181" s="3">
        <f t="shared" si="559"/>
        <v>5.3731969696969699</v>
      </c>
      <c r="DQ181" s="3">
        <f t="shared" si="560"/>
        <v>-158.79000000000002</v>
      </c>
      <c r="DR181" s="3" t="e">
        <f t="shared" ca="1" si="561"/>
        <v>#NUM!</v>
      </c>
      <c r="DS181" s="3">
        <f t="shared" si="562"/>
        <v>-11.850000000000001</v>
      </c>
      <c r="DT181" s="3">
        <f t="shared" si="585"/>
        <v>0</v>
      </c>
      <c r="DU181" s="3">
        <f t="shared" si="586"/>
        <v>237</v>
      </c>
      <c r="DV181" s="3">
        <f t="shared" si="563"/>
        <v>0</v>
      </c>
      <c r="DW181" s="3">
        <f t="shared" si="564"/>
        <v>-116</v>
      </c>
      <c r="DX181" s="3" t="e">
        <f t="shared" ca="1" si="646"/>
        <v>#NUM!</v>
      </c>
      <c r="DY181" s="3" t="e">
        <f t="shared" ca="1" si="647"/>
        <v>#NUM!</v>
      </c>
      <c r="DZ181" s="3" t="e">
        <f t="shared" ca="1" si="648"/>
        <v>#NUM!</v>
      </c>
      <c r="EA181" s="3" t="e">
        <f t="shared" ca="1" si="649"/>
        <v>#NUM!</v>
      </c>
      <c r="EB181" s="3" t="e">
        <f t="shared" ca="1" si="650"/>
        <v>#NUM!</v>
      </c>
      <c r="EC181" s="3" t="e">
        <f t="shared" ca="1" si="651"/>
        <v>#NUM!</v>
      </c>
      <c r="EE181" s="59">
        <f t="shared" si="571"/>
        <v>0.25</v>
      </c>
      <c r="EF181" s="59">
        <f t="shared" si="572"/>
        <v>2.9617</v>
      </c>
      <c r="EG181" s="59">
        <f t="shared" si="573"/>
        <v>0.25</v>
      </c>
      <c r="EH181" s="59">
        <f t="shared" si="574"/>
        <v>1.6395999999999999</v>
      </c>
      <c r="EI181" s="59">
        <f t="shared" si="575"/>
        <v>0.2767</v>
      </c>
      <c r="EJ181" s="59">
        <f t="shared" si="576"/>
        <v>0.30299999999999999</v>
      </c>
      <c r="EL181" s="3" t="str">
        <f>RTD("tos.rtd",,EL$43,"."&amp;$B$134&amp;$AS$82&amp;"C"&amp;$A181)</f>
        <v>--</v>
      </c>
      <c r="EM181" s="3" t="str">
        <f>RTD("tos.rtd",,EM$43,"."&amp;$B$134&amp;$AS$82&amp;"P"&amp;$A181)</f>
        <v>296.17%</v>
      </c>
      <c r="EN181" s="3" t="str">
        <f>RTD("tos.rtd",,EN$2,"."&amp;$C$134&amp;$AU$82&amp;"C"&amp;$A181)</f>
        <v>--</v>
      </c>
      <c r="EO181" s="3" t="str">
        <f>RTD("tos.rtd",,EO$2,"."&amp;$C$134&amp;$AU$82&amp;"P"&amp;$A181)</f>
        <v>163.96%</v>
      </c>
      <c r="EP181" s="3" t="str">
        <f>RTD("tos.rtd",,EP$2,"."&amp;$D$134&amp;$AW$82&amp;"C"&amp;$A181)</f>
        <v>27.67%</v>
      </c>
      <c r="EQ181" s="3" t="str">
        <f>RTD("tos.rtd",,EQ$2,"."&amp;$D$134&amp;$AW$82&amp;"P"&amp;$A181)</f>
        <v>30.30%</v>
      </c>
      <c r="ES181" s="63" t="str">
        <f t="shared" si="577"/>
        <v>19350,-116.00</v>
      </c>
      <c r="ET181" s="64" t="str">
        <f t="shared" ca="1" si="578"/>
        <v>19350,00.00</v>
      </c>
      <c r="EU181" s="68">
        <v>562.99</v>
      </c>
      <c r="EV181" s="68" t="s">
        <v>1467</v>
      </c>
      <c r="EW181" s="68">
        <v>485.69</v>
      </c>
      <c r="EX181" s="68" t="s">
        <v>1468</v>
      </c>
      <c r="EY181" s="68">
        <v>5643.5</v>
      </c>
      <c r="EZ181" s="68" t="s">
        <v>1469</v>
      </c>
      <c r="FA181" s="68">
        <v>19951</v>
      </c>
      <c r="FB181" s="68" t="s">
        <v>1470</v>
      </c>
      <c r="FC181" s="68" t="s">
        <v>1471</v>
      </c>
      <c r="FD181" s="68" t="s">
        <v>1472</v>
      </c>
      <c r="FE181" s="68" t="s">
        <v>1473</v>
      </c>
      <c r="FF181" s="68" t="s">
        <v>1474</v>
      </c>
    </row>
    <row r="182" spans="1:162" ht="11.1" customHeight="1" thickBot="1" x14ac:dyDescent="0.25">
      <c r="A182" s="2">
        <f t="shared" si="587"/>
        <v>19325</v>
      </c>
      <c r="B182" s="3">
        <f t="shared" si="620"/>
        <v>2</v>
      </c>
      <c r="C182" s="3">
        <f t="shared" si="621"/>
        <v>33</v>
      </c>
      <c r="D182" s="3">
        <f t="shared" si="622"/>
        <v>54</v>
      </c>
      <c r="E182" s="3">
        <f t="shared" ref="E182:E189" si="655">SUM(B182:D182)</f>
        <v>89</v>
      </c>
      <c r="F182" s="4">
        <f t="shared" si="615"/>
        <v>19421.400867981942</v>
      </c>
      <c r="G182" s="5">
        <f t="shared" ref="G182:G189" si="656">+$G$136/$A$136*A182</f>
        <v>470.35911505749135</v>
      </c>
      <c r="AM182" s="1">
        <v>0</v>
      </c>
      <c r="AN182" s="1">
        <v>-3</v>
      </c>
      <c r="AO182" s="1">
        <v>19325</v>
      </c>
      <c r="AP182" s="1">
        <v>1</v>
      </c>
      <c r="AQ182" s="1">
        <v>-3</v>
      </c>
      <c r="AS182" s="54">
        <f>IF(RTD("tos.rtd",,AS$83,"."&amp;$B$134&amp;$AS$82&amp;"C"&amp;$A182)="N/A",0,RTD("tos.rtd",,AS$83,"."&amp;$B$134&amp;$AS$82&amp;"C"&amp;$A182))</f>
        <v>1</v>
      </c>
      <c r="AT182" s="3">
        <f>-IF(RTD("tos.rtd",,AT$83,"."&amp;$B$134&amp;$AS$82&amp;"P"&amp;$A182)="N/A",0,RTD("tos.rtd",,AT$83,"."&amp;$B$134&amp;$AS$82&amp;"P"&amp;$A182))</f>
        <v>-1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-32</v>
      </c>
      <c r="AW182" s="54">
        <f>IF(RTD("tos.rtd",,AW$2,"."&amp;$D$134&amp;$AW$134&amp;"C"&amp;$A182)="N/A",0,RTD("tos.rtd",,AW$2,"."&amp;$D$134&amp;$AW$134&amp;"C"&amp;$A182))</f>
        <v>30</v>
      </c>
      <c r="AX182" s="3">
        <f>-IF(RTD("tos.rtd",,AX$2,"."&amp;$D$134&amp;$AW$134&amp;"P"&amp;$A182)="N/A",0,RTD("tos.rtd",,AX$2,"."&amp;$D$134&amp;$AW$134&amp;"P"&amp;$A182))</f>
        <v>-24</v>
      </c>
      <c r="AY182" s="76">
        <f t="shared" si="616"/>
        <v>-25</v>
      </c>
      <c r="AZ182" s="8">
        <f t="shared" si="542"/>
        <v>19325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0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-1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-36</v>
      </c>
      <c r="BG182" s="3">
        <f ca="1">+Hoja2!Y183</f>
        <v>0</v>
      </c>
      <c r="BH182" s="7">
        <f t="shared" ca="1" si="543"/>
        <v>-37</v>
      </c>
      <c r="BI182" s="32" t="str">
        <f t="shared" ca="1" si="601"/>
        <v/>
      </c>
      <c r="BJ182" s="3" t="e">
        <f ca="1">IF($BP$1=1,DX182,IF(RTD("tos.rtd",,BJ$43,"."&amp;$B$134&amp;$AS$82&amp;"C"&amp;$A182)="N/A",0,RTD("tos.rtd",,BJ$43,"."&amp;$B$134&amp;$AS$82&amp;"C"&amp;$A182)))</f>
        <v>#NUM!</v>
      </c>
      <c r="BK182" s="3" t="e">
        <f ca="1">IF($BP$1=1,DY182,-IF(RTD("tos.rtd",,BK$43,"."&amp;$B$134&amp;$AS$82&amp;"P"&amp;$A182)="N/A",0,RTD("tos.rtd",,BK$43,"."&amp;$B$134&amp;$AS$82&amp;"P"&amp;$A182)))</f>
        <v>#NUM!</v>
      </c>
      <c r="BL182" s="3" t="e">
        <f ca="1">IF($BP$1=1,DZ182,IF(RTD("tos.rtd",,BL$2,"."&amp;$C$134&amp;$AU$82&amp;"C"&amp;$A182)="N/A",0,RTD("tos.rtd",,BL$2,"."&amp;$C$134&amp;$AU$82&amp;"C"&amp;$A182)))</f>
        <v>#NUM!</v>
      </c>
      <c r="BM182" s="3" t="e">
        <f ca="1">IF($BP$1=1,EA182,-IF(RTD("tos.rtd",,BM$2,"."&amp;$C$134&amp;$AU$82&amp;"P"&amp;$A182)="N/A",0,RTD("tos.rtd",,BM$2,"."&amp;$C$134&amp;$AU$82&amp;"P"&amp;$A182)))</f>
        <v>#NUM!</v>
      </c>
      <c r="BN182" s="3" t="e">
        <f ca="1">IF($BP$1=1,EB182,IF(RTD("tos.rtd",,BN$2,"."&amp;$D$134&amp;$AW$82&amp;"C"&amp;$A182)="N/A",0,RTD("tos.rtd",,BN$2,"."&amp;$D$134&amp;$AW$82&amp;"C"&amp;$A182)))</f>
        <v>#NUM!</v>
      </c>
      <c r="BO182" s="3" t="e">
        <f ca="1">IF($BP$1=1,EC182,-IF(RTD("tos.rtd",,BO$2,"."&amp;$D$134&amp;$AW$82&amp;"P"&amp;$A182)="N/A",0,RTD("tos.rtd",,BO$2,"."&amp;$D$134&amp;$AW$82&amp;"P"&amp;$A182)))</f>
        <v>#NUM!</v>
      </c>
      <c r="BQ182" s="3" t="e">
        <f t="shared" ca="1" si="617"/>
        <v>#NUM!</v>
      </c>
      <c r="BR182" s="3" t="e">
        <f t="shared" ca="1" si="544"/>
        <v>#NUM!</v>
      </c>
      <c r="BS182" s="3" t="e">
        <f t="shared" ca="1" si="618"/>
        <v>#NUM!</v>
      </c>
      <c r="BT182" s="3" t="e">
        <f t="shared" ca="1" si="545"/>
        <v>#NUM!</v>
      </c>
      <c r="BU182" s="3" t="e">
        <f t="shared" ca="1" si="619"/>
        <v>#NUM!</v>
      </c>
      <c r="BV182" s="3" t="e">
        <f t="shared" ca="1" si="545"/>
        <v>#NUM!</v>
      </c>
      <c r="BX182" s="3" t="e">
        <f t="shared" ca="1" si="579"/>
        <v>#NUM!</v>
      </c>
      <c r="BY182" s="3" t="e">
        <f t="shared" ca="1" si="580"/>
        <v>#NUM!</v>
      </c>
      <c r="BZ182" s="3" t="e">
        <f t="shared" ca="1" si="581"/>
        <v>#NUM!</v>
      </c>
      <c r="CA182" s="3" t="e">
        <f t="shared" ca="1" si="580"/>
        <v>#NUM!</v>
      </c>
      <c r="CB182" s="3" t="e">
        <f t="shared" ca="1" si="582"/>
        <v>#NUM!</v>
      </c>
      <c r="CC182" s="3" t="e">
        <f t="shared" ca="1" si="580"/>
        <v>#NUM!</v>
      </c>
      <c r="CD182" s="3">
        <f>IF(RTD("tos.rtd",,CD$43,"."&amp;$B$134&amp;$AS$82&amp;"C"&amp;$A182)="N/A",0,RTD("tos.rtd",,CD$43,"."&amp;$B$134&amp;$AS$82&amp;"C"&amp;$A182))</f>
        <v>1</v>
      </c>
      <c r="CE182" s="3">
        <f>-IF(RTD("tos.rtd",,CE$43,"."&amp;$B$134&amp;$AS$82&amp;"P"&amp;$A182)="N/A",0,RTD("tos.rtd",,CE$43,"."&amp;$B$134&amp;$AS$82&amp;"P"&amp;$A182))</f>
        <v>0.05</v>
      </c>
      <c r="CF182" s="3">
        <f>IF(RTD("tos.rtd",,CF$2,"."&amp;$C$134&amp;$AU$82&amp;"C"&amp;$A182)="N/A",0,RTD("tos.rtd",,CF$2,"."&amp;$C$134&amp;$AU$82&amp;"C"&amp;$A182))</f>
        <v>1</v>
      </c>
      <c r="CG182" s="3">
        <f>-IF(RTD("tos.rtd",,CG$2,"."&amp;$C$134&amp;$AU$82&amp;"P"&amp;$A182)="N/A",0,RTD("tos.rtd",,CG$2,"."&amp;$C$134&amp;$AU$82&amp;"P"&amp;$A182))</f>
        <v>0.05</v>
      </c>
      <c r="CH182" s="3">
        <f>IF(RTD("tos.rtd",,CH$2,"."&amp;$D$134&amp;$AW$82&amp;"C"&amp;$A182)="N/A",0,RTD("tos.rtd",,CH$2,"."&amp;$D$134&amp;$AW$82&amp;"C"&amp;$A182))</f>
        <v>0.89</v>
      </c>
      <c r="CI182" s="3">
        <f>-IF(RTD("tos.rtd",,CI$2,"."&amp;$D$134&amp;$AW$82&amp;"P"&amp;$A182)="N/A",0,RTD("tos.rtd",,CI$2,"."&amp;$D$134&amp;$AW$82&amp;"P"&amp;$A182))</f>
        <v>0.13</v>
      </c>
      <c r="CK182" s="3">
        <f t="shared" si="652"/>
        <v>95</v>
      </c>
      <c r="CL182" s="3"/>
      <c r="CM182" s="3">
        <f t="shared" si="653"/>
        <v>-60</v>
      </c>
      <c r="CN182" s="3"/>
      <c r="CO182" s="3">
        <f t="shared" si="654"/>
        <v>2358</v>
      </c>
      <c r="CP182" s="3">
        <f t="shared" si="536"/>
        <v>2393</v>
      </c>
      <c r="CQ182" s="3">
        <f t="shared" si="546"/>
        <v>0</v>
      </c>
      <c r="CR182" s="3"/>
      <c r="CS182" s="3">
        <f t="shared" si="547"/>
        <v>-1</v>
      </c>
      <c r="CT182" s="3"/>
      <c r="CU182" s="3">
        <f t="shared" si="548"/>
        <v>-36</v>
      </c>
      <c r="CV182" s="3"/>
      <c r="CW182" s="3" t="e">
        <f t="shared" ca="1" si="549"/>
        <v>#NUM!</v>
      </c>
      <c r="CY182" s="3" t="e">
        <f t="shared" ca="1" si="550"/>
        <v>#NUM!</v>
      </c>
      <c r="CZ182" s="70" t="e">
        <f t="shared" ca="1" si="583"/>
        <v>#NUM!</v>
      </c>
      <c r="DA182" s="3">
        <f>IF(RTD("tos.rtd",,DA$43,"."&amp;$B$134&amp;$AS$82&amp;"C"&amp;$A182)="N/A",0,RTD("tos.rtd",,DA$43,"."&amp;$B$134&amp;$AS$82&amp;"C"&amp;$A182))</f>
        <v>725.6</v>
      </c>
      <c r="DB182" s="3">
        <f>IF(RTD("tos.rtd",,DB$43,"."&amp;$B$134&amp;$AS$82&amp;"P"&amp;$A182)="N/A",0,RTD("tos.rtd",,DB$43,"."&amp;$B$134&amp;$AS$82&amp;"P"&amp;$A182))</f>
        <v>0.24</v>
      </c>
      <c r="DC182" s="3">
        <f>IF(RTD("tos.rtd",,DC$43,"."&amp;$B$134&amp;$AS$82&amp;"C"&amp;$A182)="N/A",0,RTD("tos.rtd",,DC$43,"."&amp;$B$134&amp;$AS$82&amp;"C"&amp;$A182))</f>
        <v>678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598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84"/>
        <v>-721.5</v>
      </c>
      <c r="DH182" s="3">
        <f t="shared" si="551"/>
        <v>-1.5950000000000002</v>
      </c>
      <c r="DI182" s="3">
        <f t="shared" si="552"/>
        <v>3.6363636363636362E-2</v>
      </c>
      <c r="DJ182" s="3">
        <f t="shared" si="553"/>
        <v>-1</v>
      </c>
      <c r="DK182" s="3">
        <f t="shared" si="554"/>
        <v>-3</v>
      </c>
      <c r="DL182" s="3">
        <f t="shared" si="555"/>
        <v>-1.5586363636363638</v>
      </c>
      <c r="DM182" s="3">
        <f t="shared" si="556"/>
        <v>-4</v>
      </c>
      <c r="DN182" s="64" t="str">
        <f t="shared" si="557"/>
        <v>UNKNOWN</v>
      </c>
      <c r="DO182" s="64" t="str">
        <f t="shared" si="558"/>
        <v>UNKNOWN</v>
      </c>
      <c r="DP182" s="3">
        <f t="shared" si="559"/>
        <v>-1157.3232727272728</v>
      </c>
      <c r="DQ182" s="3">
        <f t="shared" si="560"/>
        <v>-726.32</v>
      </c>
      <c r="DR182" s="3" t="e">
        <f t="shared" ca="1" si="561"/>
        <v>#NUM!</v>
      </c>
      <c r="DS182" s="3">
        <f t="shared" si="562"/>
        <v>-1.1499999999999999</v>
      </c>
      <c r="DT182" s="3">
        <f t="shared" si="585"/>
        <v>-1</v>
      </c>
      <c r="DU182" s="3">
        <f t="shared" si="586"/>
        <v>3</v>
      </c>
      <c r="DV182" s="3">
        <f t="shared" si="563"/>
        <v>0</v>
      </c>
      <c r="DW182" s="3">
        <f t="shared" si="564"/>
        <v>-3</v>
      </c>
      <c r="DX182" s="3" t="e">
        <f t="shared" ca="1" si="646"/>
        <v>#NUM!</v>
      </c>
      <c r="DY182" s="3" t="e">
        <f t="shared" ca="1" si="647"/>
        <v>#NUM!</v>
      </c>
      <c r="DZ182" s="3" t="e">
        <f t="shared" ca="1" si="648"/>
        <v>#NUM!</v>
      </c>
      <c r="EA182" s="3" t="e">
        <f t="shared" ca="1" si="649"/>
        <v>#NUM!</v>
      </c>
      <c r="EB182" s="3" t="e">
        <f t="shared" ca="1" si="650"/>
        <v>#NUM!</v>
      </c>
      <c r="EC182" s="3" t="e">
        <f t="shared" ca="1" si="651"/>
        <v>#NUM!</v>
      </c>
      <c r="EE182" s="59">
        <f t="shared" si="571"/>
        <v>0.25</v>
      </c>
      <c r="EF182" s="59">
        <f t="shared" si="572"/>
        <v>3.0459000000000001</v>
      </c>
      <c r="EG182" s="59">
        <f t="shared" si="573"/>
        <v>0.25</v>
      </c>
      <c r="EH182" s="59">
        <f t="shared" si="574"/>
        <v>3.0459000000000001</v>
      </c>
      <c r="EI182" s="59">
        <f t="shared" si="575"/>
        <v>0.27629999999999999</v>
      </c>
      <c r="EJ182" s="59">
        <f t="shared" si="576"/>
        <v>0.30420000000000003</v>
      </c>
      <c r="EL182" s="3" t="str">
        <f>RTD("tos.rtd",,EL$43,"."&amp;$B$134&amp;$AS$82&amp;"C"&amp;$A182)</f>
        <v>--</v>
      </c>
      <c r="EM182" s="3" t="str">
        <f>RTD("tos.rtd",,EM$43,"."&amp;$B$134&amp;$AS$82&amp;"P"&amp;$A182)</f>
        <v>304.59%</v>
      </c>
      <c r="EN182" s="3" t="str">
        <f>RTD("tos.rtd",,EN$2,"."&amp;$C$134&amp;$AU$82&amp;"C"&amp;$A182)</f>
        <v>--</v>
      </c>
      <c r="EO182" s="3" t="str">
        <f>RTD("tos.rtd",,EO$2,"."&amp;$C$134&amp;$AU$82&amp;"P"&amp;$A182)</f>
        <v>304.59%</v>
      </c>
      <c r="EP182" s="3" t="str">
        <f>RTD("tos.rtd",,EP$2,"."&amp;$D$134&amp;$AW$82&amp;"C"&amp;$A182)</f>
        <v>27.63%</v>
      </c>
      <c r="EQ182" s="3" t="str">
        <f>RTD("tos.rtd",,EQ$2,"."&amp;$D$134&amp;$AW$82&amp;"P"&amp;$A182)</f>
        <v>30.42%</v>
      </c>
      <c r="ES182" s="63" t="str">
        <f t="shared" si="577"/>
        <v>19325,-03.00</v>
      </c>
      <c r="ET182" s="64" t="str">
        <f t="shared" ca="1" si="578"/>
        <v>19325,00.00</v>
      </c>
      <c r="EU182" s="68">
        <v>563.07000000000005</v>
      </c>
      <c r="EV182" s="68" t="s">
        <v>1475</v>
      </c>
      <c r="EW182" s="68">
        <v>485.75</v>
      </c>
      <c r="EX182" s="68" t="s">
        <v>1476</v>
      </c>
      <c r="EY182" s="68">
        <v>5644.5</v>
      </c>
      <c r="EZ182" s="68" t="s">
        <v>1477</v>
      </c>
      <c r="FA182" s="68">
        <v>19954.5</v>
      </c>
      <c r="FB182" s="68" t="s">
        <v>1478</v>
      </c>
      <c r="FC182" s="68" t="s">
        <v>1479</v>
      </c>
      <c r="FD182" s="68" t="s">
        <v>1480</v>
      </c>
      <c r="FE182" s="68" t="s">
        <v>1481</v>
      </c>
      <c r="FF182" s="68" t="s">
        <v>1482</v>
      </c>
    </row>
    <row r="183" spans="1:162" ht="11.1" customHeight="1" thickBot="1" x14ac:dyDescent="0.25">
      <c r="A183" s="2">
        <f t="shared" si="587"/>
        <v>19300</v>
      </c>
      <c r="B183" s="3">
        <f t="shared" si="620"/>
        <v>32</v>
      </c>
      <c r="C183" s="3">
        <f t="shared" si="621"/>
        <v>67</v>
      </c>
      <c r="D183" s="3">
        <f t="shared" si="622"/>
        <v>84</v>
      </c>
      <c r="E183" s="3">
        <f t="shared" si="655"/>
        <v>183</v>
      </c>
      <c r="F183" s="4">
        <f t="shared" si="615"/>
        <v>19396.276157932803</v>
      </c>
      <c r="G183" s="5">
        <f t="shared" si="656"/>
        <v>469.75062978574812</v>
      </c>
      <c r="AM183" s="1">
        <v>-4</v>
      </c>
      <c r="AN183" s="1">
        <v>4</v>
      </c>
      <c r="AO183" s="1">
        <v>19300</v>
      </c>
      <c r="AP183" s="1">
        <v>4</v>
      </c>
      <c r="AQ183" s="1">
        <v>-19</v>
      </c>
      <c r="AS183" s="54">
        <f>IF(RTD("tos.rtd",,AS$83,"."&amp;$B$134&amp;$AS$82&amp;"C"&amp;$A183)="N/A",0,RTD("tos.rtd",,AS$83,"."&amp;$B$134&amp;$AS$82&amp;"C"&amp;$A183))</f>
        <v>17</v>
      </c>
      <c r="AT183" s="3">
        <f>-IF(RTD("tos.rtd",,AT$83,"."&amp;$B$134&amp;$AS$82&amp;"P"&amp;$A183)="N/A",0,RTD("tos.rtd",,AT$83,"."&amp;$B$134&amp;$AS$82&amp;"P"&amp;$A183))</f>
        <v>-15</v>
      </c>
      <c r="AU183" s="54">
        <f>IF(RTD("tos.rtd",,AU$2,"."&amp;$C$134&amp;$AU$134&amp;"C"&amp;$A183)="N/A",0,RTD("tos.rtd",,AU$2,"."&amp;$C$134&amp;$AU$134&amp;"C"&amp;$A183))</f>
        <v>4</v>
      </c>
      <c r="AV183" s="3">
        <f>-IF(RTD("tos.rtd",,AV$2,"."&amp;$C$134&amp;$AU$134&amp;"P"&amp;$A183)="N/A",0,RTD("tos.rtd",,AV$2,"."&amp;$C$134&amp;$AU$134&amp;"P"&amp;$A183))</f>
        <v>-63</v>
      </c>
      <c r="AW183" s="54">
        <f>IF(RTD("tos.rtd",,AW$2,"."&amp;$D$134&amp;$AW$134&amp;"C"&amp;$A183)="N/A",0,RTD("tos.rtd",,AW$2,"."&amp;$D$134&amp;$AW$134&amp;"C"&amp;$A183))</f>
        <v>69</v>
      </c>
      <c r="AX183" s="3">
        <f>-IF(RTD("tos.rtd",,AX$2,"."&amp;$D$134&amp;$AW$134&amp;"P"&amp;$A183)="N/A",0,RTD("tos.rtd",,AX$2,"."&amp;$D$134&amp;$AW$134&amp;"P"&amp;$A183))</f>
        <v>-15</v>
      </c>
      <c r="AY183" s="76">
        <f t="shared" si="616"/>
        <v>-3</v>
      </c>
      <c r="AZ183" s="8">
        <f t="shared" si="542"/>
        <v>19300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0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-214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-31</v>
      </c>
      <c r="BG183" s="3">
        <f ca="1">+Hoja2!Y184</f>
        <v>-6</v>
      </c>
      <c r="BH183" s="7">
        <f t="shared" ca="1" si="543"/>
        <v>-251</v>
      </c>
      <c r="BI183" s="32" t="str">
        <f t="shared" ca="1" si="601"/>
        <v/>
      </c>
      <c r="BJ183" s="3" t="e">
        <f ca="1">IF($BP$1=1,DX183,IF(RTD("tos.rtd",,BJ$43,"."&amp;$B$134&amp;$AS$82&amp;"C"&amp;$A183)="N/A",0,RTD("tos.rtd",,BJ$43,"."&amp;$B$134&amp;$AS$82&amp;"C"&amp;$A183)))</f>
        <v>#NUM!</v>
      </c>
      <c r="BK183" s="3" t="e">
        <f ca="1">IF($BP$1=1,DY183,-IF(RTD("tos.rtd",,BK$43,"."&amp;$B$134&amp;$AS$82&amp;"P"&amp;$A183)="N/A",0,RTD("tos.rtd",,BK$43,"."&amp;$B$134&amp;$AS$82&amp;"P"&amp;$A183)))</f>
        <v>#NUM!</v>
      </c>
      <c r="BL183" s="3" t="e">
        <f ca="1">IF($BP$1=1,DZ183,IF(RTD("tos.rtd",,BL$2,"."&amp;$C$134&amp;$AU$82&amp;"C"&amp;$A183)="N/A",0,RTD("tos.rtd",,BL$2,"."&amp;$C$134&amp;$AU$82&amp;"C"&amp;$A183)))</f>
        <v>#NUM!</v>
      </c>
      <c r="BM183" s="3" t="e">
        <f ca="1">IF($BP$1=1,EA183,-IF(RTD("tos.rtd",,BM$2,"."&amp;$C$134&amp;$AU$82&amp;"P"&amp;$A183)="N/A",0,RTD("tos.rtd",,BM$2,"."&amp;$C$134&amp;$AU$82&amp;"P"&amp;$A183)))</f>
        <v>#NUM!</v>
      </c>
      <c r="BN183" s="3" t="e">
        <f ca="1">IF($BP$1=1,EB183,IF(RTD("tos.rtd",,BN$2,"."&amp;$D$134&amp;$AW$82&amp;"C"&amp;$A183)="N/A",0,RTD("tos.rtd",,BN$2,"."&amp;$D$134&amp;$AW$82&amp;"C"&amp;$A183)))</f>
        <v>#NUM!</v>
      </c>
      <c r="BO183" s="3" t="e">
        <f ca="1">IF($BP$1=1,EC183,-IF(RTD("tos.rtd",,BO$2,"."&amp;$D$134&amp;$AW$82&amp;"P"&amp;$A183)="N/A",0,RTD("tos.rtd",,BO$2,"."&amp;$D$134&amp;$AW$82&amp;"P"&amp;$A183)))</f>
        <v>#NUM!</v>
      </c>
      <c r="BQ183" s="3" t="e">
        <f t="shared" ca="1" si="617"/>
        <v>#NUM!</v>
      </c>
      <c r="BR183" s="3" t="e">
        <f t="shared" ca="1" si="544"/>
        <v>#NUM!</v>
      </c>
      <c r="BS183" s="3" t="e">
        <f t="shared" ca="1" si="618"/>
        <v>#NUM!</v>
      </c>
      <c r="BT183" s="3" t="e">
        <f t="shared" ca="1" si="545"/>
        <v>#NUM!</v>
      </c>
      <c r="BU183" s="3" t="e">
        <f t="shared" ca="1" si="619"/>
        <v>#NUM!</v>
      </c>
      <c r="BV183" s="3" t="e">
        <f t="shared" ca="1" si="545"/>
        <v>#NUM!</v>
      </c>
      <c r="BX183" s="3" t="e">
        <f t="shared" ca="1" si="579"/>
        <v>#NUM!</v>
      </c>
      <c r="BY183" s="3" t="e">
        <f t="shared" ca="1" si="580"/>
        <v>#NUM!</v>
      </c>
      <c r="BZ183" s="3" t="e">
        <f t="shared" ca="1" si="581"/>
        <v>#NUM!</v>
      </c>
      <c r="CA183" s="3" t="e">
        <f t="shared" ca="1" si="580"/>
        <v>#NUM!</v>
      </c>
      <c r="CB183" s="3" t="e">
        <f t="shared" ca="1" si="582"/>
        <v>#NUM!</v>
      </c>
      <c r="CC183" s="3" t="e">
        <f t="shared" ca="1" si="580"/>
        <v>#NUM!</v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</v>
      </c>
      <c r="CF183" s="3">
        <f>IF(RTD("tos.rtd",,CF$2,"."&amp;$C$134&amp;$AU$82&amp;"C"&amp;$A183)="N/A",0,RTD("tos.rtd",,CF$2,"."&amp;$C$134&amp;$AU$82&amp;"C"&amp;$A183))</f>
        <v>1</v>
      </c>
      <c r="CG183" s="3">
        <f>-IF(RTD("tos.rtd",,CG$2,"."&amp;$C$134&amp;$AU$82&amp;"P"&amp;$A183)="N/A",0,RTD("tos.rtd",,CG$2,"."&amp;$C$134&amp;$AU$82&amp;"P"&amp;$A183))</f>
        <v>0</v>
      </c>
      <c r="CH183" s="3">
        <f>IF(RTD("tos.rtd",,CH$2,"."&amp;$D$134&amp;$AW$82&amp;"C"&amp;$A183)="N/A",0,RTD("tos.rtd",,CH$2,"."&amp;$D$134&amp;$AW$82&amp;"C"&amp;$A183))</f>
        <v>0.9</v>
      </c>
      <c r="CI183" s="3">
        <f>-IF(RTD("tos.rtd",,CI$2,"."&amp;$D$134&amp;$AW$82&amp;"P"&amp;$A183)="N/A",0,RTD("tos.rtd",,CI$2,"."&amp;$D$134&amp;$AW$82&amp;"P"&amp;$A183))</f>
        <v>0.13</v>
      </c>
      <c r="CK183" s="3">
        <f t="shared" si="652"/>
        <v>1700</v>
      </c>
      <c r="CL183" s="3"/>
      <c r="CM183" s="3">
        <f t="shared" si="653"/>
        <v>400</v>
      </c>
      <c r="CN183" s="3"/>
      <c r="CO183" s="3">
        <f t="shared" si="654"/>
        <v>6015</v>
      </c>
      <c r="CP183" s="3">
        <f t="shared" si="536"/>
        <v>8115</v>
      </c>
      <c r="CQ183" s="3">
        <f t="shared" si="546"/>
        <v>0</v>
      </c>
      <c r="CR183" s="3"/>
      <c r="CS183" s="3">
        <f t="shared" si="547"/>
        <v>-214</v>
      </c>
      <c r="CT183" s="3"/>
      <c r="CU183" s="3">
        <f t="shared" si="548"/>
        <v>-31</v>
      </c>
      <c r="CV183" s="3"/>
      <c r="CW183" s="3" t="e">
        <f t="shared" ca="1" si="549"/>
        <v>#NUM!</v>
      </c>
      <c r="CY183" s="3" t="e">
        <f t="shared" ca="1" si="550"/>
        <v>#NUM!</v>
      </c>
      <c r="CZ183" s="70" t="e">
        <f t="shared" ca="1" si="583"/>
        <v>#NUM!</v>
      </c>
      <c r="DA183" s="3">
        <f>IF(RTD("tos.rtd",,DA$43,"."&amp;$B$134&amp;$AS$82&amp;"C"&amp;$A183)="N/A",0,RTD("tos.rtd",,DA$43,"."&amp;$B$134&amp;$AS$82&amp;"C"&amp;$A183))</f>
        <v>676.53</v>
      </c>
      <c r="DB183" s="3">
        <f>IF(RTD("tos.rtd",,DB$43,"."&amp;$B$134&amp;$AS$82&amp;"P"&amp;$A183)="N/A",0,RTD("tos.rtd",,DB$43,"."&amp;$B$134&amp;$AS$82&amp;"P"&amp;$A183))</f>
        <v>0.05</v>
      </c>
      <c r="DC183" s="3">
        <f>IF(RTD("tos.rtd",,DC$43,"."&amp;$B$134&amp;$AS$82&amp;"C"&amp;$A183)="N/A",0,RTD("tos.rtd",,DC$43,"."&amp;$B$134&amp;$AS$82&amp;"C"&amp;$A183))</f>
        <v>701.6</v>
      </c>
      <c r="DD183" s="3">
        <f>IF(RTD("tos.rtd",,DD$43,"."&amp;$B$134&amp;$AS$82&amp;"P"&amp;$A183)="N/A",0,RTD("tos.rtd",,DD$43,"."&amp;$B$134&amp;$AS$82&amp;"P"&amp;$A183))</f>
        <v>0.35</v>
      </c>
      <c r="DE183" s="3">
        <f>IF(RTD("tos.rtd",,DE$43,"."&amp;$B$134&amp;$AS$82&amp;"C"&amp;$A183)="N/A",0,RTD("tos.rtd",,DE$43,"."&amp;$B$134&amp;$AS$82&amp;"C"&amp;$A183))</f>
        <v>621.6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84"/>
        <v>-746.5</v>
      </c>
      <c r="DH183" s="3">
        <f t="shared" si="551"/>
        <v>-2.7464999999999975</v>
      </c>
      <c r="DI183" s="3">
        <f t="shared" si="552"/>
        <v>2.7142857142857149</v>
      </c>
      <c r="DJ183" s="3">
        <f t="shared" si="553"/>
        <v>-4</v>
      </c>
      <c r="DK183" s="3">
        <f t="shared" si="554"/>
        <v>-19</v>
      </c>
      <c r="DL183" s="3">
        <f t="shared" si="555"/>
        <v>-3.2214285714282642E-2</v>
      </c>
      <c r="DM183" s="3">
        <f t="shared" si="556"/>
        <v>-23</v>
      </c>
      <c r="DN183" s="64" t="str">
        <f t="shared" si="557"/>
        <v>UNKNOWN</v>
      </c>
      <c r="DO183" s="64" t="str">
        <f t="shared" si="558"/>
        <v>UNKNOWN</v>
      </c>
      <c r="DP183" s="3">
        <f t="shared" si="559"/>
        <v>-1857.9539307142838</v>
      </c>
      <c r="DQ183" s="3">
        <f t="shared" si="560"/>
        <v>-2707.0699999999997</v>
      </c>
      <c r="DR183" s="3" t="e">
        <f t="shared" ca="1" si="561"/>
        <v>#NUM!</v>
      </c>
      <c r="DS183" s="3">
        <f t="shared" si="562"/>
        <v>-4</v>
      </c>
      <c r="DT183" s="3">
        <f t="shared" si="585"/>
        <v>-4</v>
      </c>
      <c r="DU183" s="3">
        <f t="shared" si="586"/>
        <v>19</v>
      </c>
      <c r="DV183" s="3">
        <f t="shared" si="563"/>
        <v>-4</v>
      </c>
      <c r="DW183" s="3">
        <f t="shared" si="564"/>
        <v>4</v>
      </c>
      <c r="DX183" s="3" t="e">
        <f t="shared" ca="1" si="646"/>
        <v>#NUM!</v>
      </c>
      <c r="DY183" s="3" t="e">
        <f t="shared" ca="1" si="647"/>
        <v>#NUM!</v>
      </c>
      <c r="DZ183" s="3" t="e">
        <f t="shared" ca="1" si="648"/>
        <v>#NUM!</v>
      </c>
      <c r="EA183" s="3" t="e">
        <f t="shared" ca="1" si="649"/>
        <v>#NUM!</v>
      </c>
      <c r="EB183" s="3" t="e">
        <f t="shared" ca="1" si="650"/>
        <v>#NUM!</v>
      </c>
      <c r="EC183" s="3" t="e">
        <f t="shared" ca="1" si="651"/>
        <v>#NUM!</v>
      </c>
      <c r="EE183" s="59">
        <f t="shared" si="571"/>
        <v>0.25</v>
      </c>
      <c r="EF183" s="59">
        <f t="shared" si="572"/>
        <v>1.8009999999999999</v>
      </c>
      <c r="EG183" s="59">
        <f t="shared" si="573"/>
        <v>0.25</v>
      </c>
      <c r="EH183" s="59">
        <f t="shared" si="574"/>
        <v>1.5350999999999999</v>
      </c>
      <c r="EI183" s="59">
        <f t="shared" si="575"/>
        <v>0.27550000000000002</v>
      </c>
      <c r="EJ183" s="59">
        <f t="shared" si="576"/>
        <v>0.3049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180.10%</v>
      </c>
      <c r="EN183" s="3" t="str">
        <f>RTD("tos.rtd",,EN$2,"."&amp;$C$134&amp;$AU$82&amp;"C"&amp;$A183)</f>
        <v>--</v>
      </c>
      <c r="EO183" s="3" t="str">
        <f>RTD("tos.rtd",,EO$2,"."&amp;$C$134&amp;$AU$82&amp;"P"&amp;$A183)</f>
        <v>153.51%</v>
      </c>
      <c r="EP183" s="3" t="str">
        <f>RTD("tos.rtd",,EP$2,"."&amp;$D$134&amp;$AW$82&amp;"C"&amp;$A183)</f>
        <v>27.55%</v>
      </c>
      <c r="EQ183" s="3" t="str">
        <f>RTD("tos.rtd",,EQ$2,"."&amp;$D$134&amp;$AW$82&amp;"P"&amp;$A183)</f>
        <v>30.49%</v>
      </c>
      <c r="ES183" s="63" t="str">
        <f t="shared" si="577"/>
        <v>19300,00.00</v>
      </c>
      <c r="ET183" s="64" t="str">
        <f t="shared" ca="1" si="578"/>
        <v>19300,00.00</v>
      </c>
      <c r="EU183" s="68">
        <v>563</v>
      </c>
      <c r="EV183" s="68" t="s">
        <v>1483</v>
      </c>
      <c r="EW183" s="68">
        <v>485.79</v>
      </c>
      <c r="EX183" s="68" t="s">
        <v>1484</v>
      </c>
      <c r="EY183" s="68">
        <v>5645.25</v>
      </c>
      <c r="EZ183" s="68" t="s">
        <v>1485</v>
      </c>
      <c r="FA183" s="68">
        <v>19957</v>
      </c>
      <c r="FB183" s="68" t="s">
        <v>1486</v>
      </c>
      <c r="FC183" s="68" t="s">
        <v>1487</v>
      </c>
      <c r="FD183" s="68" t="s">
        <v>1488</v>
      </c>
      <c r="FE183" s="68" t="s">
        <v>1489</v>
      </c>
      <c r="FF183" s="68" t="s">
        <v>1490</v>
      </c>
    </row>
    <row r="184" spans="1:162" ht="11.1" customHeight="1" thickBot="1" x14ac:dyDescent="0.25">
      <c r="A184" s="2">
        <f t="shared" si="587"/>
        <v>19275</v>
      </c>
      <c r="B184" s="3">
        <f t="shared" si="620"/>
        <v>22</v>
      </c>
      <c r="C184" s="3">
        <f t="shared" si="621"/>
        <v>17</v>
      </c>
      <c r="D184" s="3">
        <f t="shared" si="622"/>
        <v>16</v>
      </c>
      <c r="E184" s="3">
        <f t="shared" si="655"/>
        <v>55</v>
      </c>
      <c r="F184" s="4">
        <f t="shared" si="615"/>
        <v>19371.151447883669</v>
      </c>
      <c r="G184" s="5">
        <f t="shared" si="656"/>
        <v>469.14214451400494</v>
      </c>
      <c r="AM184" s="1">
        <v>-1</v>
      </c>
      <c r="AN184" s="1">
        <v>-3</v>
      </c>
      <c r="AO184" s="1">
        <v>19275</v>
      </c>
      <c r="AP184" s="1">
        <v>1</v>
      </c>
      <c r="AQ184" s="1">
        <v>-3</v>
      </c>
      <c r="AS184" s="54">
        <f>IF(RTD("tos.rtd",,AS$83,"."&amp;$B$134&amp;$AS$82&amp;"C"&amp;$A184)="N/A",0,RTD("tos.rtd",,AS$83,"."&amp;$B$134&amp;$AS$82&amp;"C"&amp;$A184))</f>
        <v>3</v>
      </c>
      <c r="AT184" s="3">
        <f>-IF(RTD("tos.rtd",,AT$83,"."&amp;$B$134&amp;$AS$82&amp;"P"&amp;$A184)="N/A",0,RTD("tos.rtd",,AT$83,"."&amp;$B$134&amp;$AS$82&amp;"P"&amp;$A184))</f>
        <v>-19</v>
      </c>
      <c r="AU184" s="54">
        <f>IF(RTD("tos.rtd",,AU$2,"."&amp;$C$134&amp;$AU$134&amp;"C"&amp;$A184)="N/A",0,RTD("tos.rtd",,AU$2,"."&amp;$C$134&amp;$AU$134&amp;"C"&amp;$A184))</f>
        <v>7</v>
      </c>
      <c r="AV184" s="3">
        <f>-IF(RTD("tos.rtd",,AV$2,"."&amp;$C$134&amp;$AU$134&amp;"P"&amp;$A184)="N/A",0,RTD("tos.rtd",,AV$2,"."&amp;$C$134&amp;$AU$134&amp;"P"&amp;$A184))</f>
        <v>-10</v>
      </c>
      <c r="AW184" s="54">
        <f>IF(RTD("tos.rtd",,AW$2,"."&amp;$D$134&amp;$AW$134&amp;"C"&amp;$A184)="N/A",0,RTD("tos.rtd",,AW$2,"."&amp;$D$134&amp;$AW$134&amp;"C"&amp;$A184))</f>
        <v>10</v>
      </c>
      <c r="AX184" s="3">
        <f>-IF(RTD("tos.rtd",,AX$2,"."&amp;$D$134&amp;$AW$134&amp;"P"&amp;$A184)="N/A",0,RTD("tos.rtd",,AX$2,"."&amp;$D$134&amp;$AW$134&amp;"P"&amp;$A184))</f>
        <v>-6</v>
      </c>
      <c r="AY184" s="76">
        <f t="shared" si="616"/>
        <v>-15</v>
      </c>
      <c r="AZ184" s="8">
        <f t="shared" si="542"/>
        <v>19275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0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-1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-42</v>
      </c>
      <c r="BG184" s="3">
        <f ca="1">+Hoja2!Y185</f>
        <v>0</v>
      </c>
      <c r="BH184" s="7">
        <f t="shared" ca="1" si="543"/>
        <v>-43</v>
      </c>
      <c r="BI184" s="32" t="str">
        <f t="shared" ca="1" si="601"/>
        <v/>
      </c>
      <c r="BJ184" s="3" t="e">
        <f ca="1">IF($BP$1=1,DX184,IF(RTD("tos.rtd",,BJ$43,"."&amp;$B$134&amp;$AS$82&amp;"C"&amp;$A184)="N/A",0,RTD("tos.rtd",,BJ$43,"."&amp;$B$134&amp;$AS$82&amp;"C"&amp;$A184)))</f>
        <v>#NUM!</v>
      </c>
      <c r="BK184" s="3" t="e">
        <f ca="1">IF($BP$1=1,DY184,-IF(RTD("tos.rtd",,BK$43,"."&amp;$B$134&amp;$AS$82&amp;"P"&amp;$A184)="N/A",0,RTD("tos.rtd",,BK$43,"."&amp;$B$134&amp;$AS$82&amp;"P"&amp;$A184)))</f>
        <v>#NUM!</v>
      </c>
      <c r="BL184" s="3" t="e">
        <f ca="1">IF($BP$1=1,DZ184,IF(RTD("tos.rtd",,BL$2,"."&amp;$C$134&amp;$AU$82&amp;"C"&amp;$A184)="N/A",0,RTD("tos.rtd",,BL$2,"."&amp;$C$134&amp;$AU$82&amp;"C"&amp;$A184)))</f>
        <v>#NUM!</v>
      </c>
      <c r="BM184" s="3" t="e">
        <f ca="1">IF($BP$1=1,EA184,-IF(RTD("tos.rtd",,BM$2,"."&amp;$C$134&amp;$AU$82&amp;"P"&amp;$A184)="N/A",0,RTD("tos.rtd",,BM$2,"."&amp;$C$134&amp;$AU$82&amp;"P"&amp;$A184)))</f>
        <v>#NUM!</v>
      </c>
      <c r="BN184" s="3" t="e">
        <f ca="1">IF($BP$1=1,EB184,IF(RTD("tos.rtd",,BN$2,"."&amp;$D$134&amp;$AW$82&amp;"C"&amp;$A184)="N/A",0,RTD("tos.rtd",,BN$2,"."&amp;$D$134&amp;$AW$82&amp;"C"&amp;$A184)))</f>
        <v>#NUM!</v>
      </c>
      <c r="BO184" s="3" t="e">
        <f ca="1">IF($BP$1=1,EC184,-IF(RTD("tos.rtd",,BO$2,"."&amp;$D$134&amp;$AW$82&amp;"P"&amp;$A184)="N/A",0,RTD("tos.rtd",,BO$2,"."&amp;$D$134&amp;$AW$82&amp;"P"&amp;$A184)))</f>
        <v>#NUM!</v>
      </c>
      <c r="BQ184" s="3" t="e">
        <f t="shared" ca="1" si="617"/>
        <v>#NUM!</v>
      </c>
      <c r="BR184" s="3" t="e">
        <f t="shared" ca="1" si="544"/>
        <v>#NUM!</v>
      </c>
      <c r="BS184" s="3" t="e">
        <f t="shared" ca="1" si="618"/>
        <v>#NUM!</v>
      </c>
      <c r="BT184" s="3" t="e">
        <f t="shared" ca="1" si="545"/>
        <v>#NUM!</v>
      </c>
      <c r="BU184" s="3" t="e">
        <f t="shared" ca="1" si="619"/>
        <v>#NUM!</v>
      </c>
      <c r="BV184" s="3" t="e">
        <f t="shared" ca="1" si="545"/>
        <v>#NUM!</v>
      </c>
      <c r="BX184" s="3" t="e">
        <f t="shared" ca="1" si="579"/>
        <v>#NUM!</v>
      </c>
      <c r="BY184" s="3" t="e">
        <f t="shared" ca="1" si="580"/>
        <v>#NUM!</v>
      </c>
      <c r="BZ184" s="3" t="e">
        <f t="shared" ca="1" si="581"/>
        <v>#NUM!</v>
      </c>
      <c r="CA184" s="3" t="e">
        <f t="shared" ca="1" si="580"/>
        <v>#NUM!</v>
      </c>
      <c r="CB184" s="3" t="e">
        <f t="shared" ca="1" si="582"/>
        <v>#NUM!</v>
      </c>
      <c r="CC184" s="3" t="e">
        <f t="shared" ca="1" si="580"/>
        <v>#NUM!</v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0.05</v>
      </c>
      <c r="CF184" s="3">
        <f>IF(RTD("tos.rtd",,CF$2,"."&amp;$C$134&amp;$AU$82&amp;"C"&amp;$A184)="N/A",0,RTD("tos.rtd",,CF$2,"."&amp;$C$134&amp;$AU$82&amp;"C"&amp;$A184))</f>
        <v>1</v>
      </c>
      <c r="CG184" s="3">
        <f>-IF(RTD("tos.rtd",,CG$2,"."&amp;$C$134&amp;$AU$82&amp;"P"&amp;$A184)="N/A",0,RTD("tos.rtd",,CG$2,"."&amp;$C$134&amp;$AU$82&amp;"P"&amp;$A184))</f>
        <v>0</v>
      </c>
      <c r="CH184" s="3">
        <f>IF(RTD("tos.rtd",,CH$2,"."&amp;$D$134&amp;$AW$82&amp;"C"&amp;$A184)="N/A",0,RTD("tos.rtd",,CH$2,"."&amp;$D$134&amp;$AW$82&amp;"C"&amp;$A184))</f>
        <v>0.9</v>
      </c>
      <c r="CI184" s="3">
        <f>-IF(RTD("tos.rtd",,CI$2,"."&amp;$D$134&amp;$AW$82&amp;"P"&amp;$A184)="N/A",0,RTD("tos.rtd",,CI$2,"."&amp;$D$134&amp;$AW$82&amp;"P"&amp;$A184))</f>
        <v>0.12</v>
      </c>
      <c r="CK184" s="3">
        <f t="shared" si="652"/>
        <v>205</v>
      </c>
      <c r="CL184" s="3"/>
      <c r="CM184" s="3">
        <f t="shared" si="653"/>
        <v>700</v>
      </c>
      <c r="CN184" s="3"/>
      <c r="CO184" s="3">
        <f t="shared" si="654"/>
        <v>828</v>
      </c>
      <c r="CP184" s="3">
        <f t="shared" si="536"/>
        <v>1733</v>
      </c>
      <c r="CQ184" s="3">
        <f t="shared" si="546"/>
        <v>0</v>
      </c>
      <c r="CR184" s="3"/>
      <c r="CS184" s="3">
        <f t="shared" si="547"/>
        <v>-1</v>
      </c>
      <c r="CT184" s="3"/>
      <c r="CU184" s="3">
        <f t="shared" si="548"/>
        <v>-42</v>
      </c>
      <c r="CV184" s="3"/>
      <c r="CW184" s="3" t="e">
        <f t="shared" ca="1" si="549"/>
        <v>#NUM!</v>
      </c>
      <c r="CY184" s="3" t="e">
        <f t="shared" ca="1" si="550"/>
        <v>#NUM!</v>
      </c>
      <c r="CZ184" s="70" t="e">
        <f t="shared" ca="1" si="583"/>
        <v>#NUM!</v>
      </c>
      <c r="DA184" s="3">
        <f>IF(RTD("tos.rtd",,DA$43,"."&amp;$B$134&amp;$AS$82&amp;"C"&amp;$A184)="N/A",0,RTD("tos.rtd",,DA$43,"."&amp;$B$134&amp;$AS$82&amp;"C"&amp;$A184))</f>
        <v>716.33</v>
      </c>
      <c r="DB184" s="3">
        <f>IF(RTD("tos.rtd",,DB$43,"."&amp;$B$134&amp;$AS$82&amp;"P"&amp;$A184)="N/A",0,RTD("tos.rtd",,DB$43,"."&amp;$B$134&amp;$AS$82&amp;"P"&amp;$A184))</f>
        <v>0.89</v>
      </c>
      <c r="DC184" s="3">
        <f>IF(RTD("tos.rtd",,DC$43,"."&amp;$B$134&amp;$AS$82&amp;"C"&amp;$A184)="N/A",0,RTD("tos.rtd",,DC$43,"."&amp;$B$134&amp;$AS$82&amp;"C"&amp;$A184))</f>
        <v>726.6</v>
      </c>
      <c r="DD184" s="3">
        <f>IF(RTD("tos.rtd",,DD$43,"."&amp;$B$134&amp;$AS$82&amp;"P"&amp;$A184)="N/A",0,RTD("tos.rtd",,DD$43,"."&amp;$B$134&amp;$AS$82&amp;"P"&amp;$A184))</f>
        <v>19.8</v>
      </c>
      <c r="DE184" s="3">
        <f>IF(RTD("tos.rtd",,DE$43,"."&amp;$B$134&amp;$AS$82&amp;"C"&amp;$A184)="N/A",0,RTD("tos.rtd",,DE$43,"."&amp;$B$134&amp;$AS$82&amp;"C"&amp;$A184))</f>
        <v>646.6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84"/>
        <v>-771.5</v>
      </c>
      <c r="DH184" s="3">
        <f t="shared" si="551"/>
        <v>-0.87162500000000021</v>
      </c>
      <c r="DI184" s="3">
        <f t="shared" si="552"/>
        <v>0.13484848484848483</v>
      </c>
      <c r="DJ184" s="3">
        <f t="shared" si="553"/>
        <v>-1</v>
      </c>
      <c r="DK184" s="3">
        <f t="shared" si="554"/>
        <v>-3</v>
      </c>
      <c r="DL184" s="3">
        <f t="shared" si="555"/>
        <v>-0.73677651515151532</v>
      </c>
      <c r="DM184" s="3">
        <f t="shared" si="556"/>
        <v>-4</v>
      </c>
      <c r="DN184" s="64" t="str">
        <f t="shared" si="557"/>
        <v>UNKNOWN</v>
      </c>
      <c r="DO184" s="64" t="str">
        <f t="shared" si="558"/>
        <v>UNKNOWN</v>
      </c>
      <c r="DP184" s="3">
        <f t="shared" si="559"/>
        <v>-624.25112109848499</v>
      </c>
      <c r="DQ184" s="3">
        <f t="shared" si="560"/>
        <v>-719</v>
      </c>
      <c r="DR184" s="3" t="e">
        <f t="shared" ca="1" si="561"/>
        <v>#NUM!</v>
      </c>
      <c r="DS184" s="3">
        <f t="shared" si="562"/>
        <v>-1.1499999999999999</v>
      </c>
      <c r="DT184" s="3">
        <f t="shared" si="585"/>
        <v>-1</v>
      </c>
      <c r="DU184" s="3">
        <f t="shared" si="586"/>
        <v>3</v>
      </c>
      <c r="DV184" s="3">
        <f t="shared" si="563"/>
        <v>-1</v>
      </c>
      <c r="DW184" s="3">
        <f t="shared" si="564"/>
        <v>-3</v>
      </c>
      <c r="DX184" s="3" t="e">
        <f t="shared" ca="1" si="646"/>
        <v>#NUM!</v>
      </c>
      <c r="DY184" s="3" t="e">
        <f t="shared" ca="1" si="647"/>
        <v>#NUM!</v>
      </c>
      <c r="DZ184" s="3" t="e">
        <f t="shared" ca="1" si="648"/>
        <v>#NUM!</v>
      </c>
      <c r="EA184" s="3" t="e">
        <f t="shared" ca="1" si="649"/>
        <v>#NUM!</v>
      </c>
      <c r="EB184" s="3" t="e">
        <f t="shared" ca="1" si="650"/>
        <v>#NUM!</v>
      </c>
      <c r="EC184" s="3" t="e">
        <f t="shared" ca="1" si="651"/>
        <v>#NUM!</v>
      </c>
      <c r="EE184" s="59">
        <f t="shared" si="571"/>
        <v>0.25</v>
      </c>
      <c r="EF184" s="59">
        <f t="shared" si="572"/>
        <v>3.2136</v>
      </c>
      <c r="EG184" s="59">
        <f t="shared" si="573"/>
        <v>0.25</v>
      </c>
      <c r="EH184" s="59">
        <f t="shared" si="574"/>
        <v>1.5829</v>
      </c>
      <c r="EI184" s="59">
        <f t="shared" si="575"/>
        <v>0.27479999999999999</v>
      </c>
      <c r="EJ184" s="59">
        <f t="shared" si="576"/>
        <v>0.30580000000000002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321.36%</v>
      </c>
      <c r="EN184" s="3" t="str">
        <f>RTD("tos.rtd",,EN$2,"."&amp;$C$134&amp;$AU$82&amp;"C"&amp;$A184)</f>
        <v>--</v>
      </c>
      <c r="EO184" s="3" t="str">
        <f>RTD("tos.rtd",,EO$2,"."&amp;$C$134&amp;$AU$82&amp;"P"&amp;$A184)</f>
        <v>158.29%</v>
      </c>
      <c r="EP184" s="3" t="str">
        <f>RTD("tos.rtd",,EP$2,"."&amp;$D$134&amp;$AW$82&amp;"C"&amp;$A184)</f>
        <v>27.48%</v>
      </c>
      <c r="EQ184" s="3" t="str">
        <f>RTD("tos.rtd",,EQ$2,"."&amp;$D$134&amp;$AW$82&amp;"P"&amp;$A184)</f>
        <v>30.58%</v>
      </c>
      <c r="ES184" s="63" t="str">
        <f t="shared" si="577"/>
        <v>19275,-04.00</v>
      </c>
      <c r="ET184" s="64" t="str">
        <f t="shared" ca="1" si="578"/>
        <v>19275,00.00</v>
      </c>
      <c r="EU184" s="68">
        <v>563.19000000000005</v>
      </c>
      <c r="EV184" s="68" t="s">
        <v>1491</v>
      </c>
      <c r="EW184" s="68">
        <v>485.9</v>
      </c>
      <c r="EX184" s="68" t="s">
        <v>1492</v>
      </c>
      <c r="EY184" s="68">
        <v>5645.75</v>
      </c>
      <c r="EZ184" s="68" t="s">
        <v>1493</v>
      </c>
      <c r="FA184" s="68">
        <v>19961</v>
      </c>
      <c r="FB184" s="68" t="s">
        <v>1494</v>
      </c>
      <c r="FC184" s="68" t="s">
        <v>1495</v>
      </c>
      <c r="FD184" s="68" t="s">
        <v>1496</v>
      </c>
      <c r="FE184" s="68" t="s">
        <v>1497</v>
      </c>
      <c r="FF184" s="68" t="s">
        <v>1498</v>
      </c>
    </row>
    <row r="185" spans="1:162" ht="11.1" customHeight="1" thickBot="1" x14ac:dyDescent="0.25">
      <c r="A185" s="2">
        <f t="shared" si="587"/>
        <v>19250</v>
      </c>
      <c r="B185" s="3">
        <f t="shared" si="620"/>
        <v>46</v>
      </c>
      <c r="C185" s="3">
        <f t="shared" si="621"/>
        <v>38</v>
      </c>
      <c r="D185" s="3">
        <f t="shared" si="622"/>
        <v>28</v>
      </c>
      <c r="E185" s="3">
        <f t="shared" si="655"/>
        <v>112</v>
      </c>
      <c r="F185" s="4">
        <f t="shared" si="615"/>
        <v>19346.026737834534</v>
      </c>
      <c r="G185" s="5">
        <f t="shared" si="656"/>
        <v>468.53365924226171</v>
      </c>
      <c r="AM185" s="1">
        <v>-2</v>
      </c>
      <c r="AN185" s="1">
        <v>-6</v>
      </c>
      <c r="AO185" s="1">
        <v>19250</v>
      </c>
      <c r="AP185" s="1">
        <v>2</v>
      </c>
      <c r="AQ185" s="1">
        <v>-35</v>
      </c>
      <c r="AS185" s="54">
        <f>IF(RTD("tos.rtd",,AS$83,"."&amp;$B$134&amp;$AS$82&amp;"C"&amp;$A185)="N/A",0,RTD("tos.rtd",,AS$83,"."&amp;$B$134&amp;$AS$82&amp;"C"&amp;$A185))</f>
        <v>3</v>
      </c>
      <c r="AT185" s="3">
        <f>-IF(RTD("tos.rtd",,AT$83,"."&amp;$B$134&amp;$AS$82&amp;"P"&amp;$A185)="N/A",0,RTD("tos.rtd",,AT$83,"."&amp;$B$134&amp;$AS$82&amp;"P"&amp;$A185))</f>
        <v>-43</v>
      </c>
      <c r="AU185" s="54">
        <f>IF(RTD("tos.rtd",,AU$2,"."&amp;$C$134&amp;$AU$134&amp;"C"&amp;$A185)="N/A",0,RTD("tos.rtd",,AU$2,"."&amp;$C$134&amp;$AU$134&amp;"C"&amp;$A185))</f>
        <v>2</v>
      </c>
      <c r="AV185" s="3">
        <f>-IF(RTD("tos.rtd",,AV$2,"."&amp;$C$134&amp;$AU$134&amp;"P"&amp;$A185)="N/A",0,RTD("tos.rtd",,AV$2,"."&amp;$C$134&amp;$AU$134&amp;"P"&amp;$A185))</f>
        <v>-36</v>
      </c>
      <c r="AW185" s="54">
        <f>IF(RTD("tos.rtd",,AW$2,"."&amp;$D$134&amp;$AW$134&amp;"C"&amp;$A185)="N/A",0,RTD("tos.rtd",,AW$2,"."&amp;$D$134&amp;$AW$134&amp;"C"&amp;$A185))</f>
        <v>21</v>
      </c>
      <c r="AX185" s="3">
        <f>-IF(RTD("tos.rtd",,AX$2,"."&amp;$D$134&amp;$AW$134&amp;"P"&amp;$A185)="N/A",0,RTD("tos.rtd",,AX$2,"."&amp;$D$134&amp;$AW$134&amp;"P"&amp;$A185))</f>
        <v>-7</v>
      </c>
      <c r="AY185" s="76">
        <f t="shared" si="616"/>
        <v>-60</v>
      </c>
      <c r="AZ185" s="8">
        <f t="shared" si="542"/>
        <v>19250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0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-8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-23</v>
      </c>
      <c r="BG185" s="3">
        <f ca="1">+Hoja2!Y186</f>
        <v>1</v>
      </c>
      <c r="BH185" s="7">
        <f t="shared" ca="1" si="543"/>
        <v>-30</v>
      </c>
      <c r="BI185" s="32" t="str">
        <f t="shared" ca="1" si="601"/>
        <v/>
      </c>
      <c r="BJ185" s="3" t="e">
        <f ca="1">IF($BP$1=1,DX185,IF(RTD("tos.rtd",,BJ$43,"."&amp;$B$134&amp;$AS$82&amp;"C"&amp;$A185)="N/A",0,RTD("tos.rtd",,BJ$43,"."&amp;$B$134&amp;$AS$82&amp;"C"&amp;$A185)))</f>
        <v>#NUM!</v>
      </c>
      <c r="BK185" s="3" t="e">
        <f ca="1">IF($BP$1=1,DY185,-IF(RTD("tos.rtd",,BK$43,"."&amp;$B$134&amp;$AS$82&amp;"P"&amp;$A185)="N/A",0,RTD("tos.rtd",,BK$43,"."&amp;$B$134&amp;$AS$82&amp;"P"&amp;$A185)))</f>
        <v>#NUM!</v>
      </c>
      <c r="BL185" s="3" t="e">
        <f ca="1">IF($BP$1=1,DZ185,IF(RTD("tos.rtd",,BL$2,"."&amp;$C$134&amp;$AU$82&amp;"C"&amp;$A185)="N/A",0,RTD("tos.rtd",,BL$2,"."&amp;$C$134&amp;$AU$82&amp;"C"&amp;$A185)))</f>
        <v>#NUM!</v>
      </c>
      <c r="BM185" s="3" t="e">
        <f ca="1">IF($BP$1=1,EA185,-IF(RTD("tos.rtd",,BM$2,"."&amp;$C$134&amp;$AU$82&amp;"P"&amp;$A185)="N/A",0,RTD("tos.rtd",,BM$2,"."&amp;$C$134&amp;$AU$82&amp;"P"&amp;$A185)))</f>
        <v>#NUM!</v>
      </c>
      <c r="BN185" s="3" t="e">
        <f ca="1">IF($BP$1=1,EB185,IF(RTD("tos.rtd",,BN$2,"."&amp;$D$134&amp;$AW$82&amp;"C"&amp;$A185)="N/A",0,RTD("tos.rtd",,BN$2,"."&amp;$D$134&amp;$AW$82&amp;"C"&amp;$A185)))</f>
        <v>#NUM!</v>
      </c>
      <c r="BO185" s="3" t="e">
        <f ca="1">IF($BP$1=1,EC185,-IF(RTD("tos.rtd",,BO$2,"."&amp;$D$134&amp;$AW$82&amp;"P"&amp;$A185)="N/A",0,RTD("tos.rtd",,BO$2,"."&amp;$D$134&amp;$AW$82&amp;"P"&amp;$A185)))</f>
        <v>#NUM!</v>
      </c>
      <c r="BQ185" s="3" t="e">
        <f t="shared" ca="1" si="617"/>
        <v>#NUM!</v>
      </c>
      <c r="BR185" s="3" t="e">
        <f t="shared" ca="1" si="544"/>
        <v>#NUM!</v>
      </c>
      <c r="BS185" s="3" t="e">
        <f t="shared" ca="1" si="618"/>
        <v>#NUM!</v>
      </c>
      <c r="BT185" s="3" t="e">
        <f t="shared" ca="1" si="545"/>
        <v>#NUM!</v>
      </c>
      <c r="BU185" s="3" t="e">
        <f t="shared" ca="1" si="619"/>
        <v>#NUM!</v>
      </c>
      <c r="BV185" s="3" t="e">
        <f t="shared" ca="1" si="545"/>
        <v>#NUM!</v>
      </c>
      <c r="BX185" s="3" t="e">
        <f t="shared" ca="1" si="579"/>
        <v>#NUM!</v>
      </c>
      <c r="BY185" s="3" t="e">
        <f t="shared" ca="1" si="580"/>
        <v>#NUM!</v>
      </c>
      <c r="BZ185" s="3" t="e">
        <f t="shared" ca="1" si="581"/>
        <v>#NUM!</v>
      </c>
      <c r="CA185" s="3" t="e">
        <f t="shared" ca="1" si="580"/>
        <v>#NUM!</v>
      </c>
      <c r="CB185" s="3" t="e">
        <f t="shared" ca="1" si="582"/>
        <v>#NUM!</v>
      </c>
      <c r="CC185" s="3" t="e">
        <f t="shared" ca="1" si="580"/>
        <v>#NUM!</v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0.05</v>
      </c>
      <c r="CF185" s="3">
        <f>IF(RTD("tos.rtd",,CF$2,"."&amp;$C$134&amp;$AU$82&amp;"C"&amp;$A185)="N/A",0,RTD("tos.rtd",,CF$2,"."&amp;$C$134&amp;$AU$82&amp;"C"&amp;$A185))</f>
        <v>1</v>
      </c>
      <c r="CG185" s="3">
        <f>-IF(RTD("tos.rtd",,CG$2,"."&amp;$C$134&amp;$AU$82&amp;"P"&amp;$A185)="N/A",0,RTD("tos.rtd",,CG$2,"."&amp;$C$134&amp;$AU$82&amp;"P"&amp;$A185))</f>
        <v>0</v>
      </c>
      <c r="CH185" s="3">
        <f>IF(RTD("tos.rtd",,CH$2,"."&amp;$D$134&amp;$AW$82&amp;"C"&amp;$A185)="N/A",0,RTD("tos.rtd",,CH$2,"."&amp;$D$134&amp;$AW$82&amp;"C"&amp;$A185))</f>
        <v>0.9</v>
      </c>
      <c r="CI185" s="3">
        <f>-IF(RTD("tos.rtd",,CI$2,"."&amp;$D$134&amp;$AW$82&amp;"P"&amp;$A185)="N/A",0,RTD("tos.rtd",,CI$2,"."&amp;$D$134&amp;$AW$82&amp;"P"&amp;$A185))</f>
        <v>0.11</v>
      </c>
      <c r="CK185" s="3">
        <f t="shared" si="652"/>
        <v>85</v>
      </c>
      <c r="CL185" s="3"/>
      <c r="CM185" s="3">
        <f t="shared" si="653"/>
        <v>200</v>
      </c>
      <c r="CN185" s="3"/>
      <c r="CO185" s="3">
        <f t="shared" si="654"/>
        <v>1813.0000000000002</v>
      </c>
      <c r="CP185" s="3">
        <f t="shared" si="536"/>
        <v>2098</v>
      </c>
      <c r="CQ185" s="3">
        <f t="shared" si="546"/>
        <v>0</v>
      </c>
      <c r="CR185" s="3"/>
      <c r="CS185" s="3">
        <f t="shared" si="547"/>
        <v>-8</v>
      </c>
      <c r="CT185" s="3"/>
      <c r="CU185" s="3">
        <f t="shared" si="548"/>
        <v>-23</v>
      </c>
      <c r="CV185" s="3"/>
      <c r="CW185" s="3" t="e">
        <f t="shared" ca="1" si="549"/>
        <v>#NUM!</v>
      </c>
      <c r="CY185" s="3" t="e">
        <f t="shared" ca="1" si="550"/>
        <v>#NUM!</v>
      </c>
      <c r="CZ185" s="70" t="e">
        <f t="shared" ca="1" si="583"/>
        <v>#NUM!</v>
      </c>
      <c r="DA185" s="3">
        <f>IF(RTD("tos.rtd",,DA$43,"."&amp;$B$134&amp;$AS$82&amp;"C"&amp;$A185)="N/A",0,RTD("tos.rtd",,DA$43,"."&amp;$B$134&amp;$AS$82&amp;"C"&amp;$A185))</f>
        <v>832.65</v>
      </c>
      <c r="DB185" s="3">
        <f>IF(RTD("tos.rtd",,DB$43,"."&amp;$B$134&amp;$AS$82&amp;"P"&amp;$A185)="N/A",0,RTD("tos.rtd",,DB$43,"."&amp;$B$134&amp;$AS$82&amp;"P"&amp;$A185))</f>
        <v>0.13</v>
      </c>
      <c r="DC185" s="3">
        <f>IF(RTD("tos.rtd",,DC$43,"."&amp;$B$134&amp;$AS$82&amp;"C"&amp;$A185)="N/A",0,RTD("tos.rtd",,DC$43,"."&amp;$B$134&amp;$AS$82&amp;"C"&amp;$A185))</f>
        <v>751.6</v>
      </c>
      <c r="DD185" s="3">
        <f>IF(RTD("tos.rtd",,DD$43,"."&amp;$B$134&amp;$AS$82&amp;"P"&amp;$A185)="N/A",0,RTD("tos.rtd",,DD$43,"."&amp;$B$134&amp;$AS$82&amp;"P"&amp;$A185))</f>
        <v>19.8</v>
      </c>
      <c r="DE185" s="3">
        <f>IF(RTD("tos.rtd",,DE$43,"."&amp;$B$134&amp;$AS$82&amp;"C"&amp;$A185)="N/A",0,RTD("tos.rtd",,DE$43,"."&amp;$B$134&amp;$AS$82&amp;"C"&amp;$A185))</f>
        <v>671.6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84"/>
        <v>-796.5</v>
      </c>
      <c r="DH185" s="3">
        <f t="shared" si="551"/>
        <v>-4.0262499999999992</v>
      </c>
      <c r="DI185" s="3">
        <f t="shared" si="552"/>
        <v>0.22979797979797978</v>
      </c>
      <c r="DJ185" s="3">
        <f t="shared" si="553"/>
        <v>-2</v>
      </c>
      <c r="DK185" s="3">
        <f t="shared" si="554"/>
        <v>-35</v>
      </c>
      <c r="DL185" s="3">
        <f t="shared" si="555"/>
        <v>-3.7964520202020196</v>
      </c>
      <c r="DM185" s="3">
        <f t="shared" si="556"/>
        <v>-37</v>
      </c>
      <c r="DN185" s="64" t="str">
        <f t="shared" si="557"/>
        <v>UNKNOWN</v>
      </c>
      <c r="DO185" s="64" t="str">
        <f t="shared" si="558"/>
        <v>UNKNOWN</v>
      </c>
      <c r="DP185" s="3">
        <f t="shared" si="559"/>
        <v>-3352.4271887626255</v>
      </c>
      <c r="DQ185" s="3">
        <f t="shared" si="560"/>
        <v>-1669.85</v>
      </c>
      <c r="DR185" s="3" t="e">
        <f t="shared" ca="1" si="561"/>
        <v>#NUM!</v>
      </c>
      <c r="DS185" s="3">
        <f t="shared" si="562"/>
        <v>-3.75</v>
      </c>
      <c r="DT185" s="3">
        <f t="shared" si="585"/>
        <v>-2</v>
      </c>
      <c r="DU185" s="3">
        <f t="shared" si="586"/>
        <v>35</v>
      </c>
      <c r="DV185" s="3">
        <f t="shared" si="563"/>
        <v>-2</v>
      </c>
      <c r="DW185" s="3">
        <f t="shared" si="564"/>
        <v>-6</v>
      </c>
      <c r="DX185" s="3" t="e">
        <f t="shared" ca="1" si="646"/>
        <v>#NUM!</v>
      </c>
      <c r="DY185" s="3" t="e">
        <f t="shared" ca="1" si="647"/>
        <v>#NUM!</v>
      </c>
      <c r="DZ185" s="3" t="e">
        <f t="shared" ca="1" si="648"/>
        <v>#NUM!</v>
      </c>
      <c r="EA185" s="3" t="e">
        <f t="shared" ca="1" si="649"/>
        <v>#NUM!</v>
      </c>
      <c r="EB185" s="3" t="e">
        <f t="shared" ca="1" si="650"/>
        <v>#NUM!</v>
      </c>
      <c r="EC185" s="3" t="e">
        <f t="shared" ca="1" si="651"/>
        <v>#NUM!</v>
      </c>
      <c r="EE185" s="59">
        <f t="shared" si="571"/>
        <v>0.25</v>
      </c>
      <c r="EF185" s="59">
        <f t="shared" si="572"/>
        <v>3.2970999999999999</v>
      </c>
      <c r="EG185" s="59">
        <f t="shared" si="573"/>
        <v>0.25</v>
      </c>
      <c r="EH185" s="59">
        <f t="shared" si="574"/>
        <v>1.6306</v>
      </c>
      <c r="EI185" s="59">
        <f t="shared" si="575"/>
        <v>0.28349999999999997</v>
      </c>
      <c r="EJ185" s="59">
        <f t="shared" si="576"/>
        <v>0.30649999999999999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329.71%</v>
      </c>
      <c r="EN185" s="3" t="str">
        <f>RTD("tos.rtd",,EN$2,"."&amp;$C$134&amp;$AU$82&amp;"C"&amp;$A185)</f>
        <v>--</v>
      </c>
      <c r="EO185" s="3" t="str">
        <f>RTD("tos.rtd",,EO$2,"."&amp;$C$134&amp;$AU$82&amp;"P"&amp;$A185)</f>
        <v>163.06%</v>
      </c>
      <c r="EP185" s="3" t="str">
        <f>RTD("tos.rtd",,EP$2,"."&amp;$D$134&amp;$AW$82&amp;"C"&amp;$A185)</f>
        <v>28.35%</v>
      </c>
      <c r="EQ185" s="3" t="str">
        <f>RTD("tos.rtd",,EQ$2,"."&amp;$D$134&amp;$AW$82&amp;"P"&amp;$A185)</f>
        <v>30.65%</v>
      </c>
      <c r="ES185" s="63" t="str">
        <f t="shared" si="577"/>
        <v>19250,-08.00</v>
      </c>
      <c r="ET185" s="64" t="str">
        <f t="shared" ca="1" si="578"/>
        <v>19250,00.00</v>
      </c>
      <c r="EU185" s="68">
        <v>563.24</v>
      </c>
      <c r="EV185" s="68" t="s">
        <v>1499</v>
      </c>
      <c r="EW185" s="68">
        <v>485.92</v>
      </c>
      <c r="EX185" s="68" t="s">
        <v>1500</v>
      </c>
      <c r="EY185" s="68">
        <v>5646</v>
      </c>
      <c r="EZ185" s="68" t="s">
        <v>1501</v>
      </c>
      <c r="FA185" s="68">
        <v>19960.75</v>
      </c>
      <c r="FB185" s="68" t="s">
        <v>1502</v>
      </c>
      <c r="FC185" s="68" t="s">
        <v>1503</v>
      </c>
      <c r="FD185" s="68" t="s">
        <v>1504</v>
      </c>
      <c r="FE185" s="68" t="s">
        <v>1505</v>
      </c>
      <c r="FF185" s="68" t="s">
        <v>1506</v>
      </c>
    </row>
    <row r="186" spans="1:162" ht="11.1" customHeight="1" thickBot="1" x14ac:dyDescent="0.25">
      <c r="A186" s="2">
        <f t="shared" si="587"/>
        <v>19225</v>
      </c>
      <c r="B186" s="3">
        <f t="shared" si="620"/>
        <v>11</v>
      </c>
      <c r="C186" s="3">
        <f t="shared" si="621"/>
        <v>11</v>
      </c>
      <c r="D186" s="3">
        <f t="shared" si="622"/>
        <v>13</v>
      </c>
      <c r="E186" s="3">
        <f t="shared" si="655"/>
        <v>35</v>
      </c>
      <c r="F186" s="4">
        <f t="shared" si="615"/>
        <v>19320.902027785396</v>
      </c>
      <c r="G186" s="5">
        <f t="shared" si="656"/>
        <v>467.92517397051853</v>
      </c>
      <c r="AM186" s="1">
        <v>-3</v>
      </c>
      <c r="AN186" s="1">
        <v>-2</v>
      </c>
      <c r="AO186" s="1">
        <v>19225</v>
      </c>
      <c r="AP186" s="1">
        <v>3</v>
      </c>
      <c r="AQ186" s="1">
        <v>-2</v>
      </c>
      <c r="AS186" s="54">
        <f>IF(RTD("tos.rtd",,AS$83,"."&amp;$B$134&amp;$AS$82&amp;"C"&amp;$A186)="N/A",0,RTD("tos.rtd",,AS$83,"."&amp;$B$134&amp;$AS$82&amp;"C"&amp;$A186))</f>
        <v>4</v>
      </c>
      <c r="AT186" s="3">
        <f>-IF(RTD("tos.rtd",,AT$83,"."&amp;$B$134&amp;$AS$82&amp;"P"&amp;$A186)="N/A",0,RTD("tos.rtd",,AT$83,"."&amp;$B$134&amp;$AS$82&amp;"P"&amp;$A186))</f>
        <v>-7</v>
      </c>
      <c r="AU186" s="54">
        <f>IF(RTD("tos.rtd",,AU$2,"."&amp;$C$134&amp;$AU$134&amp;"C"&amp;$A186)="N/A",0,RTD("tos.rtd",,AU$2,"."&amp;$C$134&amp;$AU$134&amp;"C"&amp;$A186))</f>
        <v>4</v>
      </c>
      <c r="AV186" s="3">
        <f>-IF(RTD("tos.rtd",,AV$2,"."&amp;$C$134&amp;$AU$134&amp;"P"&amp;$A186)="N/A",0,RTD("tos.rtd",,AV$2,"."&amp;$C$134&amp;$AU$134&amp;"P"&amp;$A186))</f>
        <v>-7</v>
      </c>
      <c r="AW186" s="54">
        <f>IF(RTD("tos.rtd",,AW$2,"."&amp;$D$134&amp;$AW$134&amp;"C"&amp;$A186)="N/A",0,RTD("tos.rtd",,AW$2,"."&amp;$D$134&amp;$AW$134&amp;"C"&amp;$A186))</f>
        <v>4</v>
      </c>
      <c r="AX186" s="3">
        <f>-IF(RTD("tos.rtd",,AX$2,"."&amp;$D$134&amp;$AW$134&amp;"P"&amp;$A186)="N/A",0,RTD("tos.rtd",,AX$2,"."&amp;$D$134&amp;$AW$134&amp;"P"&amp;$A186))</f>
        <v>-9</v>
      </c>
      <c r="AY186" s="76">
        <f t="shared" si="616"/>
        <v>-11</v>
      </c>
      <c r="AZ186" s="8">
        <f t="shared" si="542"/>
        <v>19225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0</v>
      </c>
      <c r="BC186" s="54">
        <f>IF(RTD("tos.rtd",,BC$2,"."&amp;$C$134&amp;$AU$82&amp;"C"&amp;$A186)="N/A",0,RTD("tos.rtd",,BC$2,"."&amp;$C$134&amp;$AU$82&amp;"C"&amp;$A186))</f>
        <v>1</v>
      </c>
      <c r="BD186" s="3">
        <f>-IF(RTD("tos.rtd",,BD$2,"."&amp;$C$134&amp;$AU$82&amp;"P"&amp;$A186)="N/A",0,RTD("tos.rtd",,BD$2,"."&amp;$C$134&amp;$AU$82&amp;"P"&amp;$A186))</f>
        <v>0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-37</v>
      </c>
      <c r="BG186" s="3">
        <f ca="1">+Hoja2!Y187</f>
        <v>-2</v>
      </c>
      <c r="BH186" s="7">
        <f t="shared" ca="1" si="543"/>
        <v>-38</v>
      </c>
      <c r="BI186" s="32" t="str">
        <f t="shared" ca="1" si="601"/>
        <v/>
      </c>
      <c r="BJ186" s="3" t="e">
        <f ca="1">IF($BP$1=1,DX186,IF(RTD("tos.rtd",,BJ$43,"."&amp;$B$134&amp;$AS$82&amp;"C"&amp;$A186)="N/A",0,RTD("tos.rtd",,BJ$43,"."&amp;$B$134&amp;$AS$82&amp;"C"&amp;$A186)))</f>
        <v>#NUM!</v>
      </c>
      <c r="BK186" s="3" t="e">
        <f ca="1">IF($BP$1=1,DY186,-IF(RTD("tos.rtd",,BK$43,"."&amp;$B$134&amp;$AS$82&amp;"P"&amp;$A186)="N/A",0,RTD("tos.rtd",,BK$43,"."&amp;$B$134&amp;$AS$82&amp;"P"&amp;$A186)))</f>
        <v>#NUM!</v>
      </c>
      <c r="BL186" s="3" t="e">
        <f ca="1">IF($BP$1=1,DZ186,IF(RTD("tos.rtd",,BL$2,"."&amp;$C$134&amp;$AU$82&amp;"C"&amp;$A186)="N/A",0,RTD("tos.rtd",,BL$2,"."&amp;$C$134&amp;$AU$82&amp;"C"&amp;$A186)))</f>
        <v>#NUM!</v>
      </c>
      <c r="BM186" s="3" t="e">
        <f ca="1">IF($BP$1=1,EA186,-IF(RTD("tos.rtd",,BM$2,"."&amp;$C$134&amp;$AU$82&amp;"P"&amp;$A186)="N/A",0,RTD("tos.rtd",,BM$2,"."&amp;$C$134&amp;$AU$82&amp;"P"&amp;$A186)))</f>
        <v>#NUM!</v>
      </c>
      <c r="BN186" s="3" t="e">
        <f ca="1">IF($BP$1=1,EB186,IF(RTD("tos.rtd",,BN$2,"."&amp;$D$134&amp;$AW$82&amp;"C"&amp;$A186)="N/A",0,RTD("tos.rtd",,BN$2,"."&amp;$D$134&amp;$AW$82&amp;"C"&amp;$A186)))</f>
        <v>#NUM!</v>
      </c>
      <c r="BO186" s="3" t="e">
        <f ca="1">IF($BP$1=1,EC186,-IF(RTD("tos.rtd",,BO$2,"."&amp;$D$134&amp;$AW$82&amp;"P"&amp;$A186)="N/A",0,RTD("tos.rtd",,BO$2,"."&amp;$D$134&amp;$AW$82&amp;"P"&amp;$A186)))</f>
        <v>#NUM!</v>
      </c>
      <c r="BQ186" s="3" t="e">
        <f t="shared" ca="1" si="617"/>
        <v>#NUM!</v>
      </c>
      <c r="BR186" s="3" t="e">
        <f t="shared" ca="1" si="544"/>
        <v>#NUM!</v>
      </c>
      <c r="BS186" s="3" t="e">
        <f t="shared" ca="1" si="618"/>
        <v>#NUM!</v>
      </c>
      <c r="BT186" s="3" t="e">
        <f t="shared" ca="1" si="545"/>
        <v>#NUM!</v>
      </c>
      <c r="BU186" s="3" t="e">
        <f t="shared" ca="1" si="619"/>
        <v>#NUM!</v>
      </c>
      <c r="BV186" s="3" t="e">
        <f t="shared" ca="1" si="545"/>
        <v>#NUM!</v>
      </c>
      <c r="BX186" s="3" t="e">
        <f t="shared" ca="1" si="579"/>
        <v>#NUM!</v>
      </c>
      <c r="BY186" s="3" t="e">
        <f t="shared" ca="1" si="580"/>
        <v>#NUM!</v>
      </c>
      <c r="BZ186" s="3" t="e">
        <f t="shared" ca="1" si="581"/>
        <v>#NUM!</v>
      </c>
      <c r="CA186" s="3" t="e">
        <f t="shared" ca="1" si="580"/>
        <v>#NUM!</v>
      </c>
      <c r="CB186" s="3" t="e">
        <f t="shared" ca="1" si="582"/>
        <v>#NUM!</v>
      </c>
      <c r="CC186" s="3" t="e">
        <f t="shared" ca="1" si="580"/>
        <v>#NUM!</v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0.05</v>
      </c>
      <c r="CF186" s="3">
        <f>IF(RTD("tos.rtd",,CF$2,"."&amp;$C$134&amp;$AU$82&amp;"C"&amp;$A186)="N/A",0,RTD("tos.rtd",,CF$2,"."&amp;$C$134&amp;$AU$82&amp;"C"&amp;$A186))</f>
        <v>1</v>
      </c>
      <c r="CG186" s="3">
        <f>-IF(RTD("tos.rtd",,CG$2,"."&amp;$C$134&amp;$AU$82&amp;"P"&amp;$A186)="N/A",0,RTD("tos.rtd",,CG$2,"."&amp;$C$134&amp;$AU$82&amp;"P"&amp;$A186))</f>
        <v>0.05</v>
      </c>
      <c r="CH186" s="3">
        <f>IF(RTD("tos.rtd",,CH$2,"."&amp;$D$134&amp;$AW$82&amp;"C"&amp;$A186)="N/A",0,RTD("tos.rtd",,CH$2,"."&amp;$D$134&amp;$AW$82&amp;"C"&amp;$A186))</f>
        <v>0.93</v>
      </c>
      <c r="CI186" s="3">
        <f>-IF(RTD("tos.rtd",,CI$2,"."&amp;$D$134&amp;$AW$82&amp;"P"&amp;$A186)="N/A",0,RTD("tos.rtd",,CI$2,"."&amp;$D$134&amp;$AW$82&amp;"P"&amp;$A186))</f>
        <v>0.11</v>
      </c>
      <c r="CK186" s="3">
        <f t="shared" si="652"/>
        <v>365</v>
      </c>
      <c r="CL186" s="3"/>
      <c r="CM186" s="3">
        <f t="shared" si="653"/>
        <v>365</v>
      </c>
      <c r="CN186" s="3"/>
      <c r="CO186" s="3">
        <f t="shared" si="654"/>
        <v>273</v>
      </c>
      <c r="CP186" s="3">
        <f t="shared" si="536"/>
        <v>1003</v>
      </c>
      <c r="CQ186" s="3">
        <f t="shared" si="546"/>
        <v>0</v>
      </c>
      <c r="CR186" s="3"/>
      <c r="CS186" s="3">
        <f t="shared" si="547"/>
        <v>1</v>
      </c>
      <c r="CT186" s="3"/>
      <c r="CU186" s="3">
        <f t="shared" si="548"/>
        <v>-37</v>
      </c>
      <c r="CV186" s="3"/>
      <c r="CW186" s="3" t="e">
        <f t="shared" ca="1" si="549"/>
        <v>#NUM!</v>
      </c>
      <c r="CY186" s="3" t="e">
        <f t="shared" ca="1" si="550"/>
        <v>#NUM!</v>
      </c>
      <c r="CZ186" s="70" t="e">
        <f t="shared" ca="1" si="583"/>
        <v>#NUM!</v>
      </c>
      <c r="DA186" s="3">
        <f>IF(RTD("tos.rtd",,DA$43,"."&amp;$B$134&amp;$AS$82&amp;"C"&amp;$A186)="N/A",0,RTD("tos.rtd",,DA$43,"."&amp;$B$134&amp;$AS$82&amp;"C"&amp;$A186))</f>
        <v>858.65</v>
      </c>
      <c r="DB186" s="3">
        <f>IF(RTD("tos.rtd",,DB$43,"."&amp;$B$134&amp;$AS$82&amp;"P"&amp;$A186)="N/A",0,RTD("tos.rtd",,DB$43,"."&amp;$B$134&amp;$AS$82&amp;"P"&amp;$A186))</f>
        <v>1.31</v>
      </c>
      <c r="DC186" s="3">
        <f>IF(RTD("tos.rtd",,DC$43,"."&amp;$B$134&amp;$AS$82&amp;"C"&amp;$A186)="N/A",0,RTD("tos.rtd",,DC$43,"."&amp;$B$134&amp;$AS$82&amp;"C"&amp;$A186))</f>
        <v>776.6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696.6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84"/>
        <v>-821.5</v>
      </c>
      <c r="DH186" s="3">
        <f t="shared" si="551"/>
        <v>-6.0768749999999976</v>
      </c>
      <c r="DI186" s="3">
        <f t="shared" si="552"/>
        <v>0.13232323232323231</v>
      </c>
      <c r="DJ186" s="3">
        <f t="shared" si="553"/>
        <v>-3</v>
      </c>
      <c r="DK186" s="3">
        <f t="shared" si="554"/>
        <v>-2</v>
      </c>
      <c r="DL186" s="3">
        <f t="shared" si="555"/>
        <v>-5.9445517676767654</v>
      </c>
      <c r="DM186" s="3">
        <f t="shared" si="556"/>
        <v>-5</v>
      </c>
      <c r="DN186" s="64" t="str">
        <f t="shared" si="557"/>
        <v>UNKNOWN</v>
      </c>
      <c r="DO186" s="64" t="str">
        <f t="shared" si="558"/>
        <v>UNKNOWN</v>
      </c>
      <c r="DP186" s="3">
        <f t="shared" si="559"/>
        <v>-5217.7353753156549</v>
      </c>
      <c r="DQ186" s="3">
        <f t="shared" si="560"/>
        <v>-2578.5699999999997</v>
      </c>
      <c r="DR186" s="3" t="e">
        <f t="shared" ca="1" si="561"/>
        <v>#NUM!</v>
      </c>
      <c r="DS186" s="3">
        <f t="shared" si="562"/>
        <v>-3.1</v>
      </c>
      <c r="DT186" s="3">
        <f t="shared" si="585"/>
        <v>-3</v>
      </c>
      <c r="DU186" s="3">
        <f t="shared" si="586"/>
        <v>2</v>
      </c>
      <c r="DV186" s="3">
        <f t="shared" si="563"/>
        <v>-3</v>
      </c>
      <c r="DW186" s="3">
        <f t="shared" si="564"/>
        <v>-2</v>
      </c>
      <c r="DX186" s="3" t="e">
        <f t="shared" ca="1" si="646"/>
        <v>#NUM!</v>
      </c>
      <c r="DY186" s="3" t="e">
        <f t="shared" ca="1" si="647"/>
        <v>#NUM!</v>
      </c>
      <c r="DZ186" s="3" t="e">
        <f t="shared" ca="1" si="648"/>
        <v>#NUM!</v>
      </c>
      <c r="EA186" s="3" t="e">
        <f t="shared" ca="1" si="649"/>
        <v>#NUM!</v>
      </c>
      <c r="EB186" s="3" t="e">
        <f t="shared" ca="1" si="650"/>
        <v>#NUM!</v>
      </c>
      <c r="EC186" s="3" t="e">
        <f t="shared" ca="1" si="651"/>
        <v>#NUM!</v>
      </c>
      <c r="EE186" s="59">
        <f t="shared" si="571"/>
        <v>0.25</v>
      </c>
      <c r="EF186" s="59">
        <f t="shared" si="572"/>
        <v>3.3803000000000001</v>
      </c>
      <c r="EG186" s="59">
        <f t="shared" si="573"/>
        <v>0.25</v>
      </c>
      <c r="EH186" s="59">
        <f t="shared" si="574"/>
        <v>3.3803000000000001</v>
      </c>
      <c r="EI186" s="59">
        <f t="shared" si="575"/>
        <v>0.25559999999999999</v>
      </c>
      <c r="EJ186" s="59">
        <f t="shared" si="576"/>
        <v>0.30709999999999998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338.03%</v>
      </c>
      <c r="EN186" s="3" t="str">
        <f>RTD("tos.rtd",,EN$2,"."&amp;$C$134&amp;$AU$82&amp;"C"&amp;$A186)</f>
        <v>--</v>
      </c>
      <c r="EO186" s="3" t="str">
        <f>RTD("tos.rtd",,EO$2,"."&amp;$C$134&amp;$AU$82&amp;"P"&amp;$A186)</f>
        <v>338.03%</v>
      </c>
      <c r="EP186" s="3" t="str">
        <f>RTD("tos.rtd",,EP$2,"."&amp;$D$134&amp;$AW$82&amp;"C"&amp;$A186)</f>
        <v>25.56%</v>
      </c>
      <c r="EQ186" s="3" t="str">
        <f>RTD("tos.rtd",,EQ$2,"."&amp;$D$134&amp;$AW$82&amp;"P"&amp;$A186)</f>
        <v>30.71%</v>
      </c>
      <c r="ES186" s="63" t="str">
        <f t="shared" si="577"/>
        <v>19225,-05.00</v>
      </c>
      <c r="ET186" s="64" t="str">
        <f t="shared" ca="1" si="578"/>
        <v>19225,00.00</v>
      </c>
      <c r="EU186" s="68">
        <v>563.07000000000005</v>
      </c>
      <c r="EV186" s="68" t="s">
        <v>1507</v>
      </c>
      <c r="EW186" s="68">
        <v>485.72</v>
      </c>
      <c r="EX186" s="68" t="s">
        <v>1508</v>
      </c>
      <c r="EY186" s="68">
        <v>5644.5</v>
      </c>
      <c r="EZ186" s="68" t="s">
        <v>1509</v>
      </c>
      <c r="FA186" s="68">
        <v>19952.25</v>
      </c>
      <c r="FB186" s="68" t="s">
        <v>1510</v>
      </c>
      <c r="FC186" s="68" t="s">
        <v>1511</v>
      </c>
      <c r="FD186" s="68" t="s">
        <v>1512</v>
      </c>
      <c r="FE186" s="68" t="s">
        <v>1513</v>
      </c>
      <c r="FF186" s="68" t="s">
        <v>1514</v>
      </c>
    </row>
    <row r="187" spans="1:162" ht="11.1" customHeight="1" thickBot="1" x14ac:dyDescent="0.25">
      <c r="A187" s="2">
        <f t="shared" si="587"/>
        <v>19200</v>
      </c>
      <c r="B187" s="3">
        <f t="shared" si="620"/>
        <v>41</v>
      </c>
      <c r="C187" s="3">
        <f t="shared" si="621"/>
        <v>54</v>
      </c>
      <c r="D187" s="3">
        <f t="shared" si="622"/>
        <v>227</v>
      </c>
      <c r="E187" s="3">
        <f t="shared" si="655"/>
        <v>322</v>
      </c>
      <c r="F187" s="4">
        <f t="shared" si="615"/>
        <v>19295.777317736261</v>
      </c>
      <c r="G187" s="5">
        <f t="shared" si="656"/>
        <v>467.31668869877535</v>
      </c>
      <c r="AM187" s="1">
        <v>0</v>
      </c>
      <c r="AN187" s="1">
        <v>16</v>
      </c>
      <c r="AO187" s="1">
        <v>19200</v>
      </c>
      <c r="AP187" s="1">
        <v>0</v>
      </c>
      <c r="AQ187" s="1">
        <v>-20</v>
      </c>
      <c r="AS187" s="54">
        <f>IF(RTD("tos.rtd",,AS$83,"."&amp;$B$134&amp;$AS$82&amp;"C"&amp;$A187)="N/A",0,RTD("tos.rtd",,AS$83,"."&amp;$B$134&amp;$AS$82&amp;"C"&amp;$A187))</f>
        <v>5</v>
      </c>
      <c r="AT187" s="3">
        <f>-IF(RTD("tos.rtd",,AT$83,"."&amp;$B$134&amp;$AS$82&amp;"P"&amp;$A187)="N/A",0,RTD("tos.rtd",,AT$83,"."&amp;$B$134&amp;$AS$82&amp;"P"&amp;$A187))</f>
        <v>-36</v>
      </c>
      <c r="AU187" s="54">
        <f>IF(RTD("tos.rtd",,AU$2,"."&amp;$C$134&amp;$AU$134&amp;"C"&amp;$A187)="N/A",0,RTD("tos.rtd",,AU$2,"."&amp;$C$134&amp;$AU$134&amp;"C"&amp;$A187))</f>
        <v>38</v>
      </c>
      <c r="AV187" s="3">
        <f>-IF(RTD("tos.rtd",,AV$2,"."&amp;$C$134&amp;$AU$134&amp;"P"&amp;$A187)="N/A",0,RTD("tos.rtd",,AV$2,"."&amp;$C$134&amp;$AU$134&amp;"P"&amp;$A187))</f>
        <v>-16</v>
      </c>
      <c r="AW187" s="54">
        <f>IF(RTD("tos.rtd",,AW$2,"."&amp;$D$134&amp;$AW$134&amp;"C"&amp;$A187)="N/A",0,RTD("tos.rtd",,AW$2,"."&amp;$D$134&amp;$AW$134&amp;"C"&amp;$A187))</f>
        <v>80</v>
      </c>
      <c r="AX187" s="3">
        <f>-IF(RTD("tos.rtd",,AX$2,"."&amp;$D$134&amp;$AW$134&amp;"P"&amp;$A187)="N/A",0,RTD("tos.rtd",,AX$2,"."&amp;$D$134&amp;$AW$134&amp;"P"&amp;$A187))</f>
        <v>-147</v>
      </c>
      <c r="AY187" s="76">
        <f t="shared" si="616"/>
        <v>-76</v>
      </c>
      <c r="AZ187" s="8">
        <f t="shared" si="542"/>
        <v>19200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0</v>
      </c>
      <c r="BC187" s="54">
        <f>IF(RTD("tos.rtd",,BC$2,"."&amp;$C$134&amp;$AU$82&amp;"C"&amp;$A187)="N/A",0,RTD("tos.rtd",,BC$2,"."&amp;$C$134&amp;$AU$82&amp;"C"&amp;$A187))</f>
        <v>35</v>
      </c>
      <c r="BD187" s="3">
        <f>-IF(RTD("tos.rtd",,BD$2,"."&amp;$C$134&amp;$AU$82&amp;"P"&amp;$A187)="N/A",0,RTD("tos.rtd",,BD$2,"."&amp;$C$134&amp;$AU$82&amp;"P"&amp;$A187))</f>
        <v>-8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-31</v>
      </c>
      <c r="BG187" s="3">
        <f ca="1">+Hoja2!Y188</f>
        <v>-37</v>
      </c>
      <c r="BH187" s="7">
        <f t="shared" ca="1" si="543"/>
        <v>-41</v>
      </c>
      <c r="BI187" s="32" t="str">
        <f t="shared" ca="1" si="601"/>
        <v/>
      </c>
      <c r="BJ187" s="3" t="e">
        <f ca="1">IF($BP$1=1,DX187,IF(RTD("tos.rtd",,BJ$43,"."&amp;$B$134&amp;$AS$82&amp;"C"&amp;$A187)="N/A",0,RTD("tos.rtd",,BJ$43,"."&amp;$B$134&amp;$AS$82&amp;"C"&amp;$A187)))</f>
        <v>#NUM!</v>
      </c>
      <c r="BK187" s="3" t="e">
        <f ca="1">IF($BP$1=1,DY187,-IF(RTD("tos.rtd",,BK$43,"."&amp;$B$134&amp;$AS$82&amp;"P"&amp;$A187)="N/A",0,RTD("tos.rtd",,BK$43,"."&amp;$B$134&amp;$AS$82&amp;"P"&amp;$A187)))</f>
        <v>#NUM!</v>
      </c>
      <c r="BL187" s="3" t="e">
        <f ca="1">IF($BP$1=1,DZ187,IF(RTD("tos.rtd",,BL$2,"."&amp;$C$134&amp;$AU$82&amp;"C"&amp;$A187)="N/A",0,RTD("tos.rtd",,BL$2,"."&amp;$C$134&amp;$AU$82&amp;"C"&amp;$A187)))</f>
        <v>#NUM!</v>
      </c>
      <c r="BM187" s="3" t="e">
        <f ca="1">IF($BP$1=1,EA187,-IF(RTD("tos.rtd",,BM$2,"."&amp;$C$134&amp;$AU$82&amp;"P"&amp;$A187)="N/A",0,RTD("tos.rtd",,BM$2,"."&amp;$C$134&amp;$AU$82&amp;"P"&amp;$A187)))</f>
        <v>#NUM!</v>
      </c>
      <c r="BN187" s="3" t="e">
        <f ca="1">IF($BP$1=1,EB187,IF(RTD("tos.rtd",,BN$2,"."&amp;$D$134&amp;$AW$82&amp;"C"&amp;$A187)="N/A",0,RTD("tos.rtd",,BN$2,"."&amp;$D$134&amp;$AW$82&amp;"C"&amp;$A187)))</f>
        <v>#NUM!</v>
      </c>
      <c r="BO187" s="3" t="e">
        <f ca="1">IF($BP$1=1,EC187,-IF(RTD("tos.rtd",,BO$2,"."&amp;$D$134&amp;$AW$82&amp;"P"&amp;$A187)="N/A",0,RTD("tos.rtd",,BO$2,"."&amp;$D$134&amp;$AW$82&amp;"P"&amp;$A187)))</f>
        <v>#NUM!</v>
      </c>
      <c r="BQ187" s="3" t="e">
        <f t="shared" ca="1" si="617"/>
        <v>#NUM!</v>
      </c>
      <c r="BR187" s="3" t="e">
        <f t="shared" ca="1" si="544"/>
        <v>#NUM!</v>
      </c>
      <c r="BS187" s="3" t="e">
        <f t="shared" ca="1" si="618"/>
        <v>#NUM!</v>
      </c>
      <c r="BT187" s="3" t="e">
        <f t="shared" ca="1" si="545"/>
        <v>#NUM!</v>
      </c>
      <c r="BU187" s="3" t="e">
        <f t="shared" ca="1" si="619"/>
        <v>#NUM!</v>
      </c>
      <c r="BV187" s="3" t="e">
        <f t="shared" ca="1" si="545"/>
        <v>#NUM!</v>
      </c>
      <c r="BX187" s="3" t="e">
        <f t="shared" ca="1" si="579"/>
        <v>#NUM!</v>
      </c>
      <c r="BY187" s="3" t="e">
        <f t="shared" ca="1" si="580"/>
        <v>#NUM!</v>
      </c>
      <c r="BZ187" s="3" t="e">
        <f t="shared" ca="1" si="581"/>
        <v>#NUM!</v>
      </c>
      <c r="CA187" s="3" t="e">
        <f t="shared" ca="1" si="580"/>
        <v>#NUM!</v>
      </c>
      <c r="CB187" s="3" t="e">
        <f t="shared" ca="1" si="582"/>
        <v>#NUM!</v>
      </c>
      <c r="CC187" s="3" t="e">
        <f t="shared" ca="1" si="580"/>
        <v>#NUM!</v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</v>
      </c>
      <c r="CF187" s="3">
        <f>IF(RTD("tos.rtd",,CF$2,"."&amp;$C$134&amp;$AU$82&amp;"C"&amp;$A187)="N/A",0,RTD("tos.rtd",,CF$2,"."&amp;$C$134&amp;$AU$82&amp;"C"&amp;$A187))</f>
        <v>1</v>
      </c>
      <c r="CG187" s="3">
        <f>-IF(RTD("tos.rtd",,CG$2,"."&amp;$C$134&amp;$AU$82&amp;"P"&amp;$A187)="N/A",0,RTD("tos.rtd",,CG$2,"."&amp;$C$134&amp;$AU$82&amp;"P"&amp;$A187))</f>
        <v>0.05</v>
      </c>
      <c r="CH187" s="3">
        <f>IF(RTD("tos.rtd",,CH$2,"."&amp;$D$134&amp;$AW$82&amp;"C"&amp;$A187)="N/A",0,RTD("tos.rtd",,CH$2,"."&amp;$D$134&amp;$AW$82&amp;"C"&amp;$A187))</f>
        <v>0.93</v>
      </c>
      <c r="CI187" s="3">
        <f>-IF(RTD("tos.rtd",,CI$2,"."&amp;$D$134&amp;$AW$82&amp;"P"&amp;$A187)="N/A",0,RTD("tos.rtd",,CI$2,"."&amp;$D$134&amp;$AW$82&amp;"P"&amp;$A187))</f>
        <v>0.1</v>
      </c>
      <c r="CK187" s="3">
        <f t="shared" si="652"/>
        <v>500</v>
      </c>
      <c r="CL187" s="3"/>
      <c r="CM187" s="3">
        <f t="shared" si="653"/>
        <v>3720</v>
      </c>
      <c r="CN187" s="3"/>
      <c r="CO187" s="3">
        <f t="shared" si="654"/>
        <v>5970.0000000000009</v>
      </c>
      <c r="CP187" s="3">
        <f t="shared" si="536"/>
        <v>10190</v>
      </c>
      <c r="CQ187" s="3">
        <f t="shared" si="546"/>
        <v>0</v>
      </c>
      <c r="CR187" s="3"/>
      <c r="CS187" s="3">
        <f t="shared" si="547"/>
        <v>27</v>
      </c>
      <c r="CT187" s="3"/>
      <c r="CU187" s="3">
        <f t="shared" si="548"/>
        <v>-31</v>
      </c>
      <c r="CV187" s="3"/>
      <c r="CW187" s="3" t="e">
        <f t="shared" ca="1" si="549"/>
        <v>#NUM!</v>
      </c>
      <c r="CY187" s="3" t="e">
        <f t="shared" ca="1" si="550"/>
        <v>#NUM!</v>
      </c>
      <c r="CZ187" s="70" t="e">
        <f t="shared" ca="1" si="583"/>
        <v>#NUM!</v>
      </c>
      <c r="DA187" s="3">
        <f>IF(RTD("tos.rtd",,DA$43,"."&amp;$B$134&amp;$AS$82&amp;"C"&amp;$A187)="N/A",0,RTD("tos.rtd",,DA$43,"."&amp;$B$134&amp;$AS$82&amp;"C"&amp;$A187))</f>
        <v>945.6</v>
      </c>
      <c r="DB187" s="3">
        <f>IF(RTD("tos.rtd",,DB$43,"."&amp;$B$134&amp;$AS$82&amp;"P"&amp;$A187)="N/A",0,RTD("tos.rtd",,DB$43,"."&amp;$B$134&amp;$AS$82&amp;"P"&amp;$A187))</f>
        <v>0.35</v>
      </c>
      <c r="DC187" s="3">
        <f>IF(RTD("tos.rtd",,DC$43,"."&amp;$B$134&amp;$AS$82&amp;"C"&amp;$A187)="N/A",0,RTD("tos.rtd",,DC$43,"."&amp;$B$134&amp;$AS$82&amp;"C"&amp;$A187))</f>
        <v>802.7</v>
      </c>
      <c r="DD187" s="3">
        <f>IF(RTD("tos.rtd",,DD$43,"."&amp;$B$134&amp;$AS$82&amp;"P"&amp;$A187)="N/A",0,RTD("tos.rtd",,DD$43,"."&amp;$B$134&amp;$AS$82&amp;"P"&amp;$A187))</f>
        <v>0.55000000000000004</v>
      </c>
      <c r="DE187" s="3">
        <f>IF(RTD("tos.rtd",,DE$43,"."&amp;$B$134&amp;$AS$82&amp;"C"&amp;$A187)="N/A",0,RTD("tos.rtd",,DE$43,"."&amp;$B$134&amp;$AS$82&amp;"C"&amp;$A187))</f>
        <v>722.7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84"/>
        <v>-846.5</v>
      </c>
      <c r="DH187" s="3">
        <f t="shared" si="551"/>
        <v>0</v>
      </c>
      <c r="DI187" s="3">
        <f t="shared" si="552"/>
        <v>12.727272727272725</v>
      </c>
      <c r="DJ187" s="3">
        <f t="shared" si="553"/>
        <v>0</v>
      </c>
      <c r="DK187" s="3">
        <f t="shared" si="554"/>
        <v>20</v>
      </c>
      <c r="DL187" s="3">
        <f t="shared" si="555"/>
        <v>12.727272727272725</v>
      </c>
      <c r="DM187" s="3">
        <f t="shared" si="556"/>
        <v>20</v>
      </c>
      <c r="DN187" s="64" t="str">
        <f t="shared" si="557"/>
        <v>UNKNOWN</v>
      </c>
      <c r="DO187" s="64" t="str">
        <f t="shared" si="558"/>
        <v>UNKNOWN</v>
      </c>
      <c r="DP187" s="3">
        <f t="shared" si="559"/>
        <v>4.4545454545454533</v>
      </c>
      <c r="DQ187" s="3">
        <f t="shared" si="560"/>
        <v>7</v>
      </c>
      <c r="DR187" s="3" t="e">
        <f t="shared" ca="1" si="561"/>
        <v>#NUM!</v>
      </c>
      <c r="DS187" s="3">
        <f t="shared" si="562"/>
        <v>0</v>
      </c>
      <c r="DT187" s="3">
        <f t="shared" si="585"/>
        <v>0</v>
      </c>
      <c r="DU187" s="3">
        <f t="shared" si="586"/>
        <v>20</v>
      </c>
      <c r="DV187" s="3">
        <f t="shared" si="563"/>
        <v>0</v>
      </c>
      <c r="DW187" s="3">
        <f t="shared" si="564"/>
        <v>16</v>
      </c>
      <c r="DX187" s="3" t="e">
        <f t="shared" ca="1" si="646"/>
        <v>#NUM!</v>
      </c>
      <c r="DY187" s="3" t="e">
        <f t="shared" ca="1" si="647"/>
        <v>#NUM!</v>
      </c>
      <c r="DZ187" s="3" t="e">
        <f t="shared" ca="1" si="648"/>
        <v>#NUM!</v>
      </c>
      <c r="EA187" s="3" t="e">
        <f t="shared" ca="1" si="649"/>
        <v>#NUM!</v>
      </c>
      <c r="EB187" s="3" t="e">
        <f t="shared" ca="1" si="650"/>
        <v>#NUM!</v>
      </c>
      <c r="EC187" s="3" t="e">
        <f t="shared" ca="1" si="651"/>
        <v>#NUM!</v>
      </c>
      <c r="EE187" s="59">
        <f t="shared" si="571"/>
        <v>0.25</v>
      </c>
      <c r="EF187" s="59">
        <f t="shared" si="572"/>
        <v>2.1082999999999998</v>
      </c>
      <c r="EG187" s="59">
        <f t="shared" si="573"/>
        <v>0.25</v>
      </c>
      <c r="EH187" s="59">
        <f t="shared" si="574"/>
        <v>3.4632999999999998</v>
      </c>
      <c r="EI187" s="59">
        <f t="shared" si="575"/>
        <v>0.27200000000000002</v>
      </c>
      <c r="EJ187" s="59">
        <f t="shared" si="576"/>
        <v>0.308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210.83%</v>
      </c>
      <c r="EN187" s="3" t="str">
        <f>RTD("tos.rtd",,EN$2,"."&amp;$C$134&amp;$AU$82&amp;"C"&amp;$A187)</f>
        <v>--</v>
      </c>
      <c r="EO187" s="3" t="str">
        <f>RTD("tos.rtd",,EO$2,"."&amp;$C$134&amp;$AU$82&amp;"P"&amp;$A187)</f>
        <v>346.33%</v>
      </c>
      <c r="EP187" s="3" t="str">
        <f>RTD("tos.rtd",,EP$2,"."&amp;$D$134&amp;$AW$82&amp;"C"&amp;$A187)</f>
        <v>27.20%</v>
      </c>
      <c r="EQ187" s="3" t="str">
        <f>RTD("tos.rtd",,EQ$2,"."&amp;$D$134&amp;$AW$82&amp;"P"&amp;$A187)</f>
        <v>30.80%</v>
      </c>
      <c r="ES187" s="63" t="str">
        <f t="shared" si="577"/>
        <v>19200,16.00</v>
      </c>
      <c r="ET187" s="64" t="str">
        <f t="shared" ca="1" si="578"/>
        <v>19200,00.00</v>
      </c>
      <c r="EU187" s="68">
        <v>563.25</v>
      </c>
      <c r="EV187" s="68" t="s">
        <v>1515</v>
      </c>
      <c r="EW187" s="68">
        <v>485.86</v>
      </c>
      <c r="EX187" s="68" t="s">
        <v>1516</v>
      </c>
      <c r="EY187" s="68">
        <v>5646.25</v>
      </c>
      <c r="EZ187" s="68" t="s">
        <v>1517</v>
      </c>
      <c r="FA187" s="68">
        <v>19960.25</v>
      </c>
      <c r="FB187" s="68" t="s">
        <v>1518</v>
      </c>
      <c r="FC187" s="68" t="s">
        <v>1519</v>
      </c>
      <c r="FD187" s="68" t="s">
        <v>1520</v>
      </c>
      <c r="FE187" s="68" t="s">
        <v>1521</v>
      </c>
      <c r="FF187" s="68" t="s">
        <v>1522</v>
      </c>
    </row>
    <row r="188" spans="1:162" ht="11.1" customHeight="1" thickBot="1" x14ac:dyDescent="0.25">
      <c r="A188" s="2">
        <f t="shared" si="587"/>
        <v>19175</v>
      </c>
      <c r="B188" s="3">
        <f t="shared" si="620"/>
        <v>20</v>
      </c>
      <c r="C188" s="3">
        <f t="shared" si="621"/>
        <v>26</v>
      </c>
      <c r="D188" s="3">
        <f t="shared" si="622"/>
        <v>17</v>
      </c>
      <c r="E188" s="3">
        <f t="shared" si="655"/>
        <v>63</v>
      </c>
      <c r="F188" s="11">
        <f t="shared" si="615"/>
        <v>19270.652607687127</v>
      </c>
      <c r="G188" s="5">
        <f t="shared" si="656"/>
        <v>466.70820342703212</v>
      </c>
      <c r="AM188" s="1">
        <v>0</v>
      </c>
      <c r="AN188" s="1">
        <v>0</v>
      </c>
      <c r="AO188" s="1">
        <v>19175</v>
      </c>
      <c r="AP188" s="1">
        <v>0</v>
      </c>
      <c r="AQ188" s="1">
        <v>0</v>
      </c>
      <c r="AS188" s="54">
        <f>IF(RTD("tos.rtd",,AS$83,"."&amp;$B$134&amp;$AS$82&amp;"C"&amp;$A188)="N/A",0,RTD("tos.rtd",,AS$83,"."&amp;$B$134&amp;$AS$82&amp;"C"&amp;$A188))</f>
        <v>0</v>
      </c>
      <c r="AT188" s="3">
        <f>-IF(RTD("tos.rtd",,AT$83,"."&amp;$B$134&amp;$AS$82&amp;"P"&amp;$A188)="N/A",0,RTD("tos.rtd",,AT$83,"."&amp;$B$134&amp;$AS$82&amp;"P"&amp;$A188))</f>
        <v>-20</v>
      </c>
      <c r="AU188" s="54">
        <f>IF(RTD("tos.rtd",,AU$2,"."&amp;$C$134&amp;$AU$134&amp;"C"&amp;$A188)="N/A",0,RTD("tos.rtd",,AU$2,"."&amp;$C$134&amp;$AU$134&amp;"C"&amp;$A188))</f>
        <v>4</v>
      </c>
      <c r="AV188" s="3">
        <f>-IF(RTD("tos.rtd",,AV$2,"."&amp;$C$134&amp;$AU$134&amp;"P"&amp;$A188)="N/A",0,RTD("tos.rtd",,AV$2,"."&amp;$C$134&amp;$AU$134&amp;"P"&amp;$A188))</f>
        <v>-22</v>
      </c>
      <c r="AW188" s="54">
        <f>IF(RTD("tos.rtd",,AW$2,"."&amp;$D$134&amp;$AW$134&amp;"C"&amp;$A188)="N/A",0,RTD("tos.rtd",,AW$2,"."&amp;$D$134&amp;$AW$134&amp;"C"&amp;$A188))</f>
        <v>5</v>
      </c>
      <c r="AX188" s="3">
        <f>-IF(RTD("tos.rtd",,AX$2,"."&amp;$D$134&amp;$AW$134&amp;"P"&amp;$A188)="N/A",0,RTD("tos.rtd",,AX$2,"."&amp;$D$134&amp;$AW$134&amp;"P"&amp;$A188))</f>
        <v>-12</v>
      </c>
      <c r="AY188" s="76">
        <f t="shared" si="616"/>
        <v>-45</v>
      </c>
      <c r="AZ188" s="8">
        <f t="shared" si="542"/>
        <v>19175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0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0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-11</v>
      </c>
      <c r="BG188" s="3">
        <f ca="1">+Hoja2!Y189</f>
        <v>0</v>
      </c>
      <c r="BH188" s="7">
        <f t="shared" ca="1" si="543"/>
        <v>-11</v>
      </c>
      <c r="BI188" s="32" t="str">
        <f t="shared" ca="1" si="601"/>
        <v/>
      </c>
      <c r="BJ188" s="3" t="e">
        <f ca="1">IF($BP$1=1,DX188,IF(RTD("tos.rtd",,BJ$43,"."&amp;$B$134&amp;$AS$82&amp;"C"&amp;$A188)="N/A",0,RTD("tos.rtd",,BJ$43,"."&amp;$B$134&amp;$AS$82&amp;"C"&amp;$A188)))</f>
        <v>#NUM!</v>
      </c>
      <c r="BK188" s="3" t="e">
        <f ca="1">IF($BP$1=1,DY188,-IF(RTD("tos.rtd",,BK$43,"."&amp;$B$134&amp;$AS$82&amp;"P"&amp;$A188)="N/A",0,RTD("tos.rtd",,BK$43,"."&amp;$B$134&amp;$AS$82&amp;"P"&amp;$A188)))</f>
        <v>#NUM!</v>
      </c>
      <c r="BL188" s="3" t="e">
        <f ca="1">IF($BP$1=1,DZ188,IF(RTD("tos.rtd",,BL$2,"."&amp;$C$134&amp;$AU$82&amp;"C"&amp;$A188)="N/A",0,RTD("tos.rtd",,BL$2,"."&amp;$C$134&amp;$AU$82&amp;"C"&amp;$A188)))</f>
        <v>#NUM!</v>
      </c>
      <c r="BM188" s="3" t="e">
        <f ca="1">IF($BP$1=1,EA188,-IF(RTD("tos.rtd",,BM$2,"."&amp;$C$134&amp;$AU$82&amp;"P"&amp;$A188)="N/A",0,RTD("tos.rtd",,BM$2,"."&amp;$C$134&amp;$AU$82&amp;"P"&amp;$A188)))</f>
        <v>#NUM!</v>
      </c>
      <c r="BN188" s="3" t="e">
        <f ca="1">IF($BP$1=1,EB188,IF(RTD("tos.rtd",,BN$2,"."&amp;$D$134&amp;$AW$82&amp;"C"&amp;$A188)="N/A",0,RTD("tos.rtd",,BN$2,"."&amp;$D$134&amp;$AW$82&amp;"C"&amp;$A188)))</f>
        <v>#NUM!</v>
      </c>
      <c r="BO188" s="3" t="e">
        <f ca="1">IF($BP$1=1,EC188,-IF(RTD("tos.rtd",,BO$2,"."&amp;$D$134&amp;$AW$82&amp;"P"&amp;$A188)="N/A",0,RTD("tos.rtd",,BO$2,"."&amp;$D$134&amp;$AW$82&amp;"P"&amp;$A188)))</f>
        <v>#NUM!</v>
      </c>
      <c r="BQ188" s="3" t="e">
        <f t="shared" ca="1" si="617"/>
        <v>#NUM!</v>
      </c>
      <c r="BR188" s="3" t="e">
        <f t="shared" ca="1" si="544"/>
        <v>#NUM!</v>
      </c>
      <c r="BS188" s="3" t="e">
        <f t="shared" ca="1" si="618"/>
        <v>#NUM!</v>
      </c>
      <c r="BT188" s="3" t="e">
        <f t="shared" ca="1" si="545"/>
        <v>#NUM!</v>
      </c>
      <c r="BU188" s="3" t="e">
        <f t="shared" ca="1" si="619"/>
        <v>#NUM!</v>
      </c>
      <c r="BV188" s="3" t="e">
        <f t="shared" ca="1" si="545"/>
        <v>#NUM!</v>
      </c>
      <c r="BX188" s="3" t="e">
        <f t="shared" ca="1" si="579"/>
        <v>#NUM!</v>
      </c>
      <c r="BY188" s="3" t="e">
        <f t="shared" ca="1" si="580"/>
        <v>#NUM!</v>
      </c>
      <c r="BZ188" s="3" t="e">
        <f t="shared" ca="1" si="581"/>
        <v>#NUM!</v>
      </c>
      <c r="CA188" s="3" t="e">
        <f t="shared" ca="1" si="580"/>
        <v>#NUM!</v>
      </c>
      <c r="CB188" s="3" t="e">
        <f t="shared" ca="1" si="582"/>
        <v>#NUM!</v>
      </c>
      <c r="CC188" s="3" t="e">
        <f t="shared" ca="1" si="580"/>
        <v>#NUM!</v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0.04</v>
      </c>
      <c r="CF188" s="3">
        <f>IF(RTD("tos.rtd",,CF$2,"."&amp;$C$134&amp;$AU$82&amp;"C"&amp;$A188)="N/A",0,RTD("tos.rtd",,CF$2,"."&amp;$C$134&amp;$AU$82&amp;"C"&amp;$A188))</f>
        <v>0.92</v>
      </c>
      <c r="CG188" s="3">
        <f>-IF(RTD("tos.rtd",,CG$2,"."&amp;$C$134&amp;$AU$82&amp;"P"&amp;$A188)="N/A",0,RTD("tos.rtd",,CG$2,"."&amp;$C$134&amp;$AU$82&amp;"P"&amp;$A188))</f>
        <v>0.04</v>
      </c>
      <c r="CH188" s="3">
        <f>IF(RTD("tos.rtd",,CH$2,"."&amp;$D$134&amp;$AW$82&amp;"C"&amp;$A188)="N/A",0,RTD("tos.rtd",,CH$2,"."&amp;$D$134&amp;$AW$82&amp;"C"&amp;$A188))</f>
        <v>0.91</v>
      </c>
      <c r="CI188" s="3">
        <f>-IF(RTD("tos.rtd",,CI$2,"."&amp;$D$134&amp;$AW$82&amp;"P"&amp;$A188)="N/A",0,RTD("tos.rtd",,CI$2,"."&amp;$D$134&amp;$AW$82&amp;"P"&amp;$A188))</f>
        <v>0.09</v>
      </c>
      <c r="CK188" s="3">
        <f t="shared" si="652"/>
        <v>-80</v>
      </c>
      <c r="CL188" s="3"/>
      <c r="CM188" s="3">
        <f t="shared" si="653"/>
        <v>280</v>
      </c>
      <c r="CN188" s="3"/>
      <c r="CO188" s="3">
        <f t="shared" si="654"/>
        <v>347</v>
      </c>
      <c r="CP188" s="3">
        <f t="shared" si="536"/>
        <v>547</v>
      </c>
      <c r="CQ188" s="3">
        <f t="shared" si="546"/>
        <v>0</v>
      </c>
      <c r="CR188" s="3"/>
      <c r="CS188" s="3">
        <f t="shared" si="547"/>
        <v>0</v>
      </c>
      <c r="CT188" s="3"/>
      <c r="CU188" s="3">
        <f t="shared" si="548"/>
        <v>-11</v>
      </c>
      <c r="CV188" s="3"/>
      <c r="CW188" s="3" t="e">
        <f t="shared" ca="1" si="549"/>
        <v>#NUM!</v>
      </c>
      <c r="CY188" s="3" t="e">
        <f t="shared" ca="1" si="550"/>
        <v>#NUM!</v>
      </c>
      <c r="CZ188" s="70" t="e">
        <f t="shared" ca="1" si="583"/>
        <v>#NUM!</v>
      </c>
      <c r="DA188" s="3">
        <f>IF(RTD("tos.rtd",,DA$43,"."&amp;$B$134&amp;$AS$82&amp;"C"&amp;$A188)="N/A",0,RTD("tos.rtd",,DA$43,"."&amp;$B$134&amp;$AS$82&amp;"C"&amp;$A188))</f>
        <v>0</v>
      </c>
      <c r="DB188" s="3">
        <f>IF(RTD("tos.rtd",,DB$43,"."&amp;$B$134&amp;$AS$82&amp;"P"&amp;$A188)="N/A",0,RTD("tos.rtd",,DB$43,"."&amp;$B$134&amp;$AS$82&amp;"P"&amp;$A188))</f>
        <v>2.25</v>
      </c>
      <c r="DC188" s="3">
        <f>IF(RTD("tos.rtd",,DC$43,"."&amp;$B$134&amp;$AS$82&amp;"C"&amp;$A188)="N/A",0,RTD("tos.rtd",,DC$43,"."&amp;$B$134&amp;$AS$82&amp;"C"&amp;$A188))</f>
        <v>827.7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747.7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84"/>
        <v>-871.5</v>
      </c>
      <c r="DH188" s="3">
        <f t="shared" si="551"/>
        <v>0</v>
      </c>
      <c r="DI188" s="3">
        <f t="shared" si="552"/>
        <v>0</v>
      </c>
      <c r="DJ188" s="3">
        <f t="shared" si="553"/>
        <v>0</v>
      </c>
      <c r="DK188" s="3">
        <f t="shared" si="554"/>
        <v>0</v>
      </c>
      <c r="DL188" s="3">
        <f t="shared" si="555"/>
        <v>0</v>
      </c>
      <c r="DM188" s="3">
        <f t="shared" si="556"/>
        <v>0</v>
      </c>
      <c r="DN188" s="64" t="str">
        <f t="shared" si="557"/>
        <v>UNKNOWN</v>
      </c>
      <c r="DO188" s="64" t="str">
        <f t="shared" si="558"/>
        <v>UNKNOWN</v>
      </c>
      <c r="DP188" s="3">
        <f t="shared" si="559"/>
        <v>0</v>
      </c>
      <c r="DQ188" s="3">
        <f t="shared" si="560"/>
        <v>0</v>
      </c>
      <c r="DR188" s="3" t="e">
        <f t="shared" ca="1" si="561"/>
        <v>#NUM!</v>
      </c>
      <c r="DS188" s="3">
        <f t="shared" si="562"/>
        <v>0</v>
      </c>
      <c r="DT188" s="3">
        <f t="shared" si="585"/>
        <v>0</v>
      </c>
      <c r="DU188" s="3">
        <f t="shared" si="586"/>
        <v>0</v>
      </c>
      <c r="DV188" s="3">
        <f t="shared" si="563"/>
        <v>0</v>
      </c>
      <c r="DW188" s="3">
        <f t="shared" si="564"/>
        <v>0</v>
      </c>
      <c r="DX188" s="3" t="e">
        <f t="shared" ca="1" si="646"/>
        <v>#NUM!</v>
      </c>
      <c r="DY188" s="3" t="e">
        <f t="shared" ca="1" si="647"/>
        <v>#NUM!</v>
      </c>
      <c r="DZ188" s="3" t="e">
        <f t="shared" ca="1" si="648"/>
        <v>#NUM!</v>
      </c>
      <c r="EA188" s="3" t="e">
        <f t="shared" ca="1" si="649"/>
        <v>#NUM!</v>
      </c>
      <c r="EB188" s="3" t="e">
        <f t="shared" ca="1" si="650"/>
        <v>#NUM!</v>
      </c>
      <c r="EC188" s="3" t="e">
        <f t="shared" ca="1" si="651"/>
        <v>#NUM!</v>
      </c>
      <c r="EE188" s="59">
        <f t="shared" si="571"/>
        <v>0.25</v>
      </c>
      <c r="EF188" s="59">
        <f t="shared" si="572"/>
        <v>3.5459999999999998</v>
      </c>
      <c r="EG188" s="59">
        <f t="shared" si="573"/>
        <v>4.3404999999999996</v>
      </c>
      <c r="EH188" s="59">
        <f t="shared" si="574"/>
        <v>3.5459999999999998</v>
      </c>
      <c r="EI188" s="59">
        <f t="shared" si="575"/>
        <v>0.29930000000000001</v>
      </c>
      <c r="EJ188" s="59">
        <f t="shared" si="576"/>
        <v>0.30869999999999997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354.60%</v>
      </c>
      <c r="EN188" s="3" t="str">
        <f>RTD("tos.rtd",,EN$2,"."&amp;$C$134&amp;$AU$82&amp;"C"&amp;$A188)</f>
        <v>434.05%</v>
      </c>
      <c r="EO188" s="3" t="str">
        <f>RTD("tos.rtd",,EO$2,"."&amp;$C$134&amp;$AU$82&amp;"P"&amp;$A188)</f>
        <v>354.60%</v>
      </c>
      <c r="EP188" s="3" t="str">
        <f>RTD("tos.rtd",,EP$2,"."&amp;$D$134&amp;$AW$82&amp;"C"&amp;$A188)</f>
        <v>29.93%</v>
      </c>
      <c r="EQ188" s="3" t="str">
        <f>RTD("tos.rtd",,EQ$2,"."&amp;$D$134&amp;$AW$82&amp;"P"&amp;$A188)</f>
        <v>30.87%</v>
      </c>
      <c r="ES188" s="63" t="str">
        <f t="shared" si="577"/>
        <v>19175,00.00</v>
      </c>
      <c r="ET188" s="64" t="str">
        <f t="shared" ca="1" si="578"/>
        <v>19175,00.00</v>
      </c>
      <c r="EU188" s="68">
        <v>563.46</v>
      </c>
      <c r="EV188" s="68" t="s">
        <v>1523</v>
      </c>
      <c r="EW188" s="68">
        <v>486.05</v>
      </c>
      <c r="EX188" s="68" t="s">
        <v>1524</v>
      </c>
      <c r="EY188" s="68">
        <v>5648.25</v>
      </c>
      <c r="EZ188" s="68" t="s">
        <v>1525</v>
      </c>
      <c r="FA188" s="68">
        <v>19966.75</v>
      </c>
      <c r="FB188" s="68" t="s">
        <v>1526</v>
      </c>
      <c r="FC188" s="68" t="s">
        <v>1527</v>
      </c>
      <c r="FD188" s="68" t="s">
        <v>1528</v>
      </c>
      <c r="FE188" s="68" t="s">
        <v>1529</v>
      </c>
      <c r="FF188" s="68" t="s">
        <v>1530</v>
      </c>
    </row>
    <row r="189" spans="1:162" ht="11.1" customHeight="1" thickBot="1" x14ac:dyDescent="0.25">
      <c r="A189" s="2">
        <f t="shared" si="587"/>
        <v>19150</v>
      </c>
      <c r="B189" s="3">
        <f t="shared" si="620"/>
        <v>10</v>
      </c>
      <c r="C189" s="3">
        <f t="shared" si="621"/>
        <v>38</v>
      </c>
      <c r="D189" s="3">
        <f t="shared" si="622"/>
        <v>21</v>
      </c>
      <c r="E189" s="3">
        <f t="shared" si="655"/>
        <v>69</v>
      </c>
      <c r="F189" s="11">
        <f t="shared" si="615"/>
        <v>19245.527897637989</v>
      </c>
      <c r="G189" s="5">
        <f t="shared" si="656"/>
        <v>466.09971815528894</v>
      </c>
      <c r="AM189" s="1">
        <v>0</v>
      </c>
      <c r="AN189" s="1">
        <v>-131</v>
      </c>
      <c r="AO189" s="1">
        <v>19150</v>
      </c>
      <c r="AP189" s="1">
        <v>0</v>
      </c>
      <c r="AQ189" s="1">
        <v>-135</v>
      </c>
      <c r="AS189" s="56">
        <f>IF(RTD("tos.rtd",,AS$83,"."&amp;$B$134&amp;$AS$82&amp;"C"&amp;$A189)="N/A",0,RTD("tos.rtd",,AS$83,"."&amp;$B$134&amp;$AS$82&amp;"C"&amp;$A189))</f>
        <v>5</v>
      </c>
      <c r="AT189" s="35">
        <f>-IF(RTD("tos.rtd",,AT$83,"."&amp;$B$134&amp;$AS$82&amp;"P"&amp;$A189)="N/A",0,RTD("tos.rtd",,AT$83,"."&amp;$B$134&amp;$AS$82&amp;"P"&amp;$A189))</f>
        <v>-5</v>
      </c>
      <c r="AU189" s="16">
        <f>IF(RTD("tos.rtd",,AU$2,"."&amp;$C$134&amp;$AU$134&amp;"C"&amp;$A189)="N/A",0,RTD("tos.rtd",,AU$2,"."&amp;$C$134&amp;$AU$134&amp;"C"&amp;$A189))</f>
        <v>4</v>
      </c>
      <c r="AV189" s="16">
        <f>-IF(RTD("tos.rtd",,AV$2,"."&amp;$C$134&amp;$AU$134&amp;"P"&amp;$A189)="N/A",0,RTD("tos.rtd",,AV$2,"."&amp;$C$134&amp;$AU$134&amp;"P"&amp;$A189))</f>
        <v>-34</v>
      </c>
      <c r="AW189" s="56">
        <f>IF(RTD("tos.rtd",,AW$2,"."&amp;$D$134&amp;$AW$134&amp;"C"&amp;$A189)="N/A",0,RTD("tos.rtd",,AW$2,"."&amp;$D$134&amp;$AW$134&amp;"C"&amp;$A189))</f>
        <v>11</v>
      </c>
      <c r="AX189" s="35">
        <f>-IF(RTD("tos.rtd",,AX$2,"."&amp;$D$134&amp;$AW$134&amp;"P"&amp;$A189)="N/A",0,RTD("tos.rtd",,AX$2,"."&amp;$D$134&amp;$AW$134&amp;"P"&amp;$A189))</f>
        <v>-10</v>
      </c>
      <c r="AY189" s="77">
        <f t="shared" si="616"/>
        <v>-29</v>
      </c>
      <c r="AZ189" s="8">
        <f t="shared" si="542"/>
        <v>19150</v>
      </c>
      <c r="BA189" s="56">
        <f>IF(RTD("tos.rtd",,BA$43,"."&amp;$B$134&amp;$AS$82&amp;"C"&amp;$A189)="N/A",0,RTD("tos.rtd",,BA$43,"."&amp;$B$134&amp;$AS$82&amp;"C"&amp;$A189))</f>
        <v>0</v>
      </c>
      <c r="BB189" s="35">
        <f>-IF(RTD("tos.rtd",,BB$43,"."&amp;$B$134&amp;$AS$82&amp;"P"&amp;$A189)="N/A",0,RTD("tos.rtd",,BB$43,"."&amp;$B$134&amp;$AS$82&amp;"P"&amp;$A189))</f>
        <v>0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-7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-18</v>
      </c>
      <c r="BG189" s="35">
        <f ca="1">+Hoja2!Y190</f>
        <v>-4</v>
      </c>
      <c r="BH189" s="36">
        <f t="shared" ca="1" si="543"/>
        <v>-29</v>
      </c>
      <c r="BI189" s="32" t="str">
        <f t="shared" ca="1" si="601"/>
        <v/>
      </c>
      <c r="BJ189" s="3" t="e">
        <f ca="1">IF($BP$1=1,DX189,IF(RTD("tos.rtd",,BJ$43,"."&amp;$B$134&amp;$AS$82&amp;"C"&amp;$A189)="N/A",0,RTD("tos.rtd",,BJ$43,"."&amp;$B$134&amp;$AS$82&amp;"C"&amp;$A189)))</f>
        <v>#NUM!</v>
      </c>
      <c r="BK189" s="3" t="e">
        <f ca="1">IF($BP$1=1,DY189,-IF(RTD("tos.rtd",,BK$43,"."&amp;$B$134&amp;$AS$82&amp;"P"&amp;$A189)="N/A",0,RTD("tos.rtd",,BK$43,"."&amp;$B$134&amp;$AS$82&amp;"P"&amp;$A189)))</f>
        <v>#NUM!</v>
      </c>
      <c r="BL189" s="83" t="e">
        <f ca="1">IF($BP$1=1,DZ189,IF(RTD("tos.rtd",,BL$2,"."&amp;$C$134&amp;$AU$82&amp;"C"&amp;$A189)="N/A",0,RTD("tos.rtd",,BL$2,"."&amp;$C$134&amp;$AU$82&amp;"C"&amp;$A189)))</f>
        <v>#NUM!</v>
      </c>
      <c r="BM189" s="83" t="e">
        <f ca="1">IF($BP$1=1,EA189,-IF(RTD("tos.rtd",,BM$2,"."&amp;$C$134&amp;$AU$82&amp;"P"&amp;$A189)="N/A",0,RTD("tos.rtd",,BM$2,"."&amp;$C$134&amp;$AU$82&amp;"P"&amp;$A189)))</f>
        <v>#NUM!</v>
      </c>
      <c r="BN189" s="3" t="e">
        <f ca="1">IF($BP$1=1,EB189,IF(RTD("tos.rtd",,BN$2,"."&amp;$D$134&amp;$AW$82&amp;"C"&amp;$A189)="N/A",0,RTD("tos.rtd",,BN$2,"."&amp;$D$134&amp;$AW$82&amp;"C"&amp;$A189)))</f>
        <v>#NUM!</v>
      </c>
      <c r="BO189" s="3" t="e">
        <f ca="1">IF($BP$1=1,EC189,-IF(RTD("tos.rtd",,BO$2,"."&amp;$D$134&amp;$AW$82&amp;"P"&amp;$A189)="N/A",0,RTD("tos.rtd",,BO$2,"."&amp;$D$134&amp;$AW$82&amp;"P"&amp;$A189)))</f>
        <v>#NUM!</v>
      </c>
      <c r="BQ189" s="3" t="e">
        <f t="shared" ca="1" si="617"/>
        <v>#NUM!</v>
      </c>
      <c r="BR189" s="3"/>
      <c r="BS189" s="83" t="e">
        <f t="shared" ca="1" si="618"/>
        <v>#NUM!</v>
      </c>
      <c r="BT189" s="83"/>
      <c r="BU189" s="3" t="e">
        <f t="shared" ca="1" si="619"/>
        <v>#NUM!</v>
      </c>
      <c r="BV189" s="3" t="e">
        <f t="shared" ref="BV189" ca="1" si="657">IF(AND(BU189&lt;0,BU188&gt;0), "Cruce -", IF(AND(BU189&gt;0,BU188&lt;0),"Cruce +", ""))</f>
        <v>#NUM!</v>
      </c>
      <c r="BX189" s="3" t="e">
        <f t="shared" ca="1" si="579"/>
        <v>#NUM!</v>
      </c>
      <c r="BY189" s="3" t="e">
        <f t="shared" ca="1" si="580"/>
        <v>#NUM!</v>
      </c>
      <c r="BZ189" s="83" t="e">
        <f t="shared" ca="1" si="581"/>
        <v>#NUM!</v>
      </c>
      <c r="CA189" s="83" t="e">
        <f t="shared" ca="1" si="580"/>
        <v>#NUM!</v>
      </c>
      <c r="CB189" s="3" t="e">
        <f t="shared" ca="1" si="582"/>
        <v>#NUM!</v>
      </c>
      <c r="CC189" s="3" t="e">
        <f t="shared" ca="1" si="580"/>
        <v>#NUM!</v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0.04</v>
      </c>
      <c r="CF189" s="83">
        <f>IF(RTD("tos.rtd",,CF$2,"."&amp;$C$134&amp;$AU$82&amp;"C"&amp;$A189)="N/A",0,RTD("tos.rtd",,CF$2,"."&amp;$C$134&amp;$AU$82&amp;"C"&amp;$A189))</f>
        <v>0.99</v>
      </c>
      <c r="CG189" s="83">
        <f>-IF(RTD("tos.rtd",,CG$2,"."&amp;$C$134&amp;$AU$82&amp;"P"&amp;$A189)="N/A",0,RTD("tos.rtd",,CG$2,"."&amp;$C$134&amp;$AU$82&amp;"P"&amp;$A189))</f>
        <v>0.04</v>
      </c>
      <c r="CH189" s="3">
        <f>IF(RTD("tos.rtd",,CH$2,"."&amp;$D$134&amp;$AW$82&amp;"C"&amp;$A189)="N/A",0,RTD("tos.rtd",,CH$2,"."&amp;$D$134&amp;$AW$82&amp;"C"&amp;$A189))</f>
        <v>0.94</v>
      </c>
      <c r="CI189" s="3">
        <f>-IF(RTD("tos.rtd",,CI$2,"."&amp;$D$134&amp;$AW$82&amp;"P"&amp;$A189)="N/A",0,RTD("tos.rtd",,CI$2,"."&amp;$D$134&amp;$AW$82&amp;"P"&amp;$A189))</f>
        <v>0.09</v>
      </c>
      <c r="CK189" s="3">
        <f t="shared" si="652"/>
        <v>480</v>
      </c>
      <c r="CL189" s="3"/>
      <c r="CM189" s="83">
        <f t="shared" si="653"/>
        <v>260</v>
      </c>
      <c r="CN189" s="83"/>
      <c r="CO189" s="3">
        <f t="shared" si="654"/>
        <v>944</v>
      </c>
      <c r="CP189" s="3">
        <f t="shared" si="536"/>
        <v>1684</v>
      </c>
      <c r="CQ189" s="3">
        <f t="shared" si="546"/>
        <v>0</v>
      </c>
      <c r="CR189" s="3"/>
      <c r="CS189" s="83">
        <f t="shared" si="547"/>
        <v>-7</v>
      </c>
      <c r="CT189" s="83"/>
      <c r="CU189" s="3">
        <f t="shared" si="548"/>
        <v>-18</v>
      </c>
      <c r="CV189" s="3"/>
      <c r="CW189" s="3" t="e">
        <f t="shared" ca="1" si="549"/>
        <v>#NUM!</v>
      </c>
      <c r="CY189" s="3" t="e">
        <f t="shared" ca="1" si="550"/>
        <v>#NUM!</v>
      </c>
      <c r="CZ189" s="70" t="e">
        <f t="shared" ca="1" si="583"/>
        <v>#NUM!</v>
      </c>
      <c r="DA189" s="3">
        <f>IF(RTD("tos.rtd",,DA$43,"."&amp;$B$134&amp;$AS$82&amp;"C"&amp;$A189)="N/A",0,RTD("tos.rtd",,DA$43,"."&amp;$B$134&amp;$AS$82&amp;"C"&amp;$A189))</f>
        <v>743.98</v>
      </c>
      <c r="DB189" s="3">
        <f>IF(RTD("tos.rtd",,DB$43,"."&amp;$B$134&amp;$AS$82&amp;"P"&amp;$A189)="N/A",0,RTD("tos.rtd",,DB$43,"."&amp;$B$134&amp;$AS$82&amp;"P"&amp;$A189))</f>
        <v>0.72</v>
      </c>
      <c r="DC189" s="3">
        <f>IF(RTD("tos.rtd",,DC$43,"."&amp;$B$134&amp;$AS$82&amp;"C"&amp;$A189)="N/A",0,RTD("tos.rtd",,DC$43,"."&amp;$B$134&amp;$AS$82&amp;"C"&amp;$A189))</f>
        <v>852.8</v>
      </c>
      <c r="DD189" s="3">
        <f>IF(RTD("tos.rtd",,DD$43,"."&amp;$B$134&amp;$AS$82&amp;"P"&amp;$A189)="N/A",0,RTD("tos.rtd",,DD$43,"."&amp;$B$134&amp;$AS$82&amp;"P"&amp;$A189))</f>
        <v>19.8</v>
      </c>
      <c r="DE189" s="3">
        <f>IF(RTD("tos.rtd",,DE$43,"."&amp;$B$134&amp;$AS$82&amp;"C"&amp;$A189)="N/A",0,RTD("tos.rtd",,DE$43,"."&amp;$B$134&amp;$AS$82&amp;"C"&amp;$A189))</f>
        <v>772.8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84"/>
        <v>-896.5</v>
      </c>
      <c r="DH189" s="3">
        <f t="shared" si="551"/>
        <v>0</v>
      </c>
      <c r="DI189" s="3">
        <f t="shared" si="552"/>
        <v>4.9090909090909092</v>
      </c>
      <c r="DJ189" s="3">
        <f t="shared" ref="DJ189" si="658">IF(DA189&gt;=(DE189+(DC189-DE189)*0.6),(BA189-AP189),IF(DA189&lt;=(DE189+(DC189-DE189)*0.4),-(BA189-AP189),0))</f>
        <v>0</v>
      </c>
      <c r="DK189" s="3">
        <f t="shared" ref="DK189" si="659">IF(DB189&lt;=(DF189+(DD189-DF189)*0.4),-(BB189-AQ189),IF(DB189&gt;=(DF189+(DD189-DF189)*0.6),(BB189-AQ189),0))</f>
        <v>-135</v>
      </c>
      <c r="DL189" s="3">
        <f t="shared" si="555"/>
        <v>4.9090909090909092</v>
      </c>
      <c r="DM189" s="3">
        <f t="shared" si="556"/>
        <v>-135</v>
      </c>
      <c r="DN189" s="64" t="str">
        <f t="shared" si="557"/>
        <v>UNKNOWN</v>
      </c>
      <c r="DO189" s="64" t="str">
        <f t="shared" si="558"/>
        <v>UNKNOWN</v>
      </c>
      <c r="DP189" s="3">
        <f t="shared" si="559"/>
        <v>3.5345454545454547</v>
      </c>
      <c r="DQ189" s="3">
        <f t="shared" si="560"/>
        <v>-97.2</v>
      </c>
      <c r="DR189" s="83" t="e">
        <f t="shared" ca="1" si="561"/>
        <v>#NUM!</v>
      </c>
      <c r="DS189" s="83">
        <f t="shared" si="562"/>
        <v>-5.4</v>
      </c>
      <c r="DT189" s="3">
        <f t="shared" si="585"/>
        <v>0</v>
      </c>
      <c r="DU189" s="3">
        <f t="shared" si="586"/>
        <v>135</v>
      </c>
      <c r="DV189" s="3">
        <f t="shared" si="563"/>
        <v>0</v>
      </c>
      <c r="DW189" s="3">
        <f t="shared" si="564"/>
        <v>-131</v>
      </c>
      <c r="DX189" s="3" t="e">
        <f t="shared" ca="1" si="646"/>
        <v>#NUM!</v>
      </c>
      <c r="DY189" s="3" t="e">
        <f t="shared" ca="1" si="647"/>
        <v>#NUM!</v>
      </c>
      <c r="DZ189" s="83" t="e">
        <f t="shared" ca="1" si="648"/>
        <v>#NUM!</v>
      </c>
      <c r="EA189" s="83" t="e">
        <f t="shared" ca="1" si="649"/>
        <v>#NUM!</v>
      </c>
      <c r="EB189" s="3" t="e">
        <f t="shared" ca="1" si="650"/>
        <v>#NUM!</v>
      </c>
      <c r="EC189" s="3" t="e">
        <f t="shared" ca="1" si="651"/>
        <v>#NUM!</v>
      </c>
      <c r="EE189" s="59">
        <f t="shared" si="571"/>
        <v>0.25</v>
      </c>
      <c r="EF189" s="59">
        <f t="shared" si="572"/>
        <v>3.6286</v>
      </c>
      <c r="EG189" s="84">
        <f t="shared" si="573"/>
        <v>2.8403999999999998</v>
      </c>
      <c r="EH189" s="84">
        <f t="shared" si="574"/>
        <v>3.6286</v>
      </c>
      <c r="EI189" s="59">
        <f t="shared" si="575"/>
        <v>0.26929999999999998</v>
      </c>
      <c r="EJ189" s="59">
        <f t="shared" si="576"/>
        <v>0.30930000000000002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362.86%</v>
      </c>
      <c r="EN189" s="83" t="str">
        <f>RTD("tos.rtd",,EN$2,"."&amp;$C$134&amp;$AU$82&amp;"C"&amp;$A189)</f>
        <v>284.04%</v>
      </c>
      <c r="EO189" s="83" t="str">
        <f>RTD("tos.rtd",,EO$2,"."&amp;$C$134&amp;$AU$82&amp;"P"&amp;$A189)</f>
        <v>362.86%</v>
      </c>
      <c r="EP189" s="3" t="str">
        <f>RTD("tos.rtd",,EP$2,"."&amp;$D$134&amp;$AW$82&amp;"C"&amp;$A189)</f>
        <v>26.93%</v>
      </c>
      <c r="EQ189" s="3" t="str">
        <f>RTD("tos.rtd",,EQ$2,"."&amp;$D$134&amp;$AW$82&amp;"P"&amp;$A189)</f>
        <v>30.93%</v>
      </c>
      <c r="ES189" s="63" t="str">
        <f t="shared" si="577"/>
        <v>19150,-131.00</v>
      </c>
      <c r="ET189" s="64" t="str">
        <f t="shared" ca="1" si="578"/>
        <v>19150,00.00</v>
      </c>
      <c r="EU189" s="68">
        <v>563.25</v>
      </c>
      <c r="EV189" s="68" t="s">
        <v>1531</v>
      </c>
      <c r="EW189" s="68">
        <v>485.77</v>
      </c>
      <c r="EX189" s="68" t="s">
        <v>1532</v>
      </c>
      <c r="EY189" s="68">
        <v>5645.5</v>
      </c>
      <c r="EZ189" s="68" t="s">
        <v>1533</v>
      </c>
      <c r="FA189" s="68">
        <v>19954.75</v>
      </c>
      <c r="FB189" s="68" t="s">
        <v>1534</v>
      </c>
      <c r="FC189" s="68" t="s">
        <v>1535</v>
      </c>
      <c r="FD189" s="68" t="s">
        <v>1536</v>
      </c>
      <c r="FE189" s="68" t="s">
        <v>1537</v>
      </c>
      <c r="FF189" s="68" t="s">
        <v>1538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-2763</v>
      </c>
      <c r="BI190" s="1">
        <f ca="1">IFERROR(IF(MIN(BH137:BH189)&lt;&gt;0,INDEX(A137:A189,MATCH(MIN(BH137:BH189),BH137:BH189,0)),""),"")</f>
        <v>19800</v>
      </c>
      <c r="BP190" s="64" t="e">
        <f ca="1">INDEX(BQ190:BU190,MATCH(MAX(BQ136:BU136),BQ136:BU136,0))</f>
        <v>#NUM!</v>
      </c>
      <c r="BQ190" s="1" t="e">
        <f ca="1">IF(AND(BQ136&gt;0,ABS(MAX(BQ137:BQ189))&gt;ABS(MIN(BQ137:BQ189))),IF(MAX(BQ137:BQ189)&lt;&gt;0,INDEX($A137:$A189,MATCH(MAX(BQ137:BQ189),BQ137:BQ189,0)),""),"")</f>
        <v>#NUM!</v>
      </c>
      <c r="BS190" s="1" t="e">
        <f ca="1">IF(AND(BS136&gt;0,ABS(MAX(BS137:BS189))&gt;ABS(MIN(BS137:BS189))),IF(MAX(BS137:BS189)&lt;&gt;0,INDEX($A137:$A189,MATCH(MAX(BS137:BS189),BS137:BS189,0)),""),"")</f>
        <v>#NUM!</v>
      </c>
      <c r="BU190" s="1" t="e">
        <f ca="1">IF(AND(BU136&gt;0,ABS(MAX(BU137:BU189))&gt;ABS(MIN(BU137:BU189))),IF(MAX(BU137:BU189)&lt;&gt;0,INDEX($A137:$A189,MATCH(MAX(BU137:BU189),BU137:BU189,0)),""),"")</f>
        <v>#NUM!</v>
      </c>
      <c r="BW190" s="64" t="e">
        <f ca="1">INDEX(BX190:CB190,MATCH(MAX(BX136:CB136),BX136:CB136,0))</f>
        <v>#NUM!</v>
      </c>
      <c r="BX190" s="1" t="e">
        <f ca="1">IF(AND(BX136&gt;0,ABS(MAX(BX137:BX189))&gt;ABS(MIN(BX137:BX189))),IF(MAX(BX137:BX189)&lt;&gt;0,INDEX($A137:$A189,MATCH(MAX(BX137:BX189),BX137:BX189,0)),""),"")</f>
        <v>#NUM!</v>
      </c>
      <c r="BY190" s="1" t="e">
        <f ca="1">INDEX($A$137:$A$189,MATCH("Cruce -",BY137:BY189,)+1)</f>
        <v>#N/A</v>
      </c>
      <c r="BZ190" s="1" t="e">
        <f ca="1">IF(AND(BZ136&gt;0,ABS(MAX(BZ137:BZ189))&gt;ABS(MIN(BZ137:BZ189))),IF(MAX(BZ137:BZ189)&lt;&gt;0,INDEX($A137:$A189,MATCH(MAX(BZ137:BZ189),BZ137:BZ189,0)),""),"")</f>
        <v>#NUM!</v>
      </c>
      <c r="CB190" s="1" t="e">
        <f ca="1">IF(AND(CB136&gt;0,ABS(MAX(CB137:CB189))&gt;ABS(MIN(CB137:CB189))),IF(MAX(CB137:CB189)&lt;&gt;0,INDEX($A137:$A189,MATCH(MAX(CB137:CB189),CB137:CB189,0)),""),"")</f>
        <v>#NUM!</v>
      </c>
      <c r="CJ190" s="64">
        <f>INDEX(CK190:CO190,MATCH(MAX(CK136:CO136),CK136:CO136,0))</f>
        <v>19475</v>
      </c>
      <c r="CK190" s="1">
        <f>IF(AND(CK136&gt;0,ABS(MAX(CK137:CK189))&gt;ABS(MIN(CK137:CK189))),IF(MAX(CK137:CK189)&lt;&gt;0,INDEX($A137:$A189,MATCH(MAX(CK137:CK189),CK137:CK189,0)),""),"")</f>
        <v>20000</v>
      </c>
      <c r="CM190" s="1">
        <f>IF(AND(CM136&gt;0,ABS(MAX(CM137:CM189))&gt;ABS(MIN(CM137:CM189))),IF(MAX(CM137:CM189)&lt;&gt;0,INDEX($A137:$A189,MATCH(MAX(CM137:CM189),CM137:CM189,0)),""),"")</f>
        <v>19650</v>
      </c>
      <c r="CO190" s="1">
        <f>IF(AND(CO136&gt;0,ABS(MAX(CO137:CO189))&gt;ABS(MIN(CO137:CO189))),IF(MAX(CO137:CO189)&lt;&gt;0,INDEX($A137:$A189,MATCH(MAX(CO137:CO189),CO137:CO189,0)),""),"")</f>
        <v>19475</v>
      </c>
      <c r="CP190" s="1">
        <f>IF(ABS(MAX(CP137:CP189))&gt;ABS(MIN(CP137:CP189)),IF(MAX(CP137:CP189)&lt;&gt;0,INDEX($A137:$A189,MATCH(MAX(CP137:CP189),CP137:CP189,0)),""),"")</f>
        <v>19475</v>
      </c>
      <c r="CW190" s="1" t="e">
        <f ca="1">IF(AND(CW136&gt;0,ABS(MAX(CW137:CW189))&gt;ABS(MIN(CW137:CW189))),IF(MAX(CW137:CW189)&lt;&gt;0,INDEX($A137:$A189,MATCH(MAX(CW137:CW189),CW137:CW189,0)),""),"")</f>
        <v>#NUM!</v>
      </c>
      <c r="CY190" s="1" t="e">
        <f ca="1">IF(AND(CY136&gt;0,ABS(MAX(CY137:CY189))&gt;ABS(MIN(CY137:CY189))),IF(MAX(CY137:CY189)&lt;&gt;0,INDEX($A137:$A189,MATCH(MAX(CY137:CY189),CY137:CY189,0)),""),"")</f>
        <v>#NUM!</v>
      </c>
      <c r="DH190" s="1" t="str">
        <f t="shared" ref="DH190:DM190" si="660">IF(AND(DH136&gt;0,ABS(MAX(DH137:DH189))&gt;ABS(MIN(DH137:DH189))),IF(MAX(DH137:DH189)&lt;&gt;0,INDEX($A137:$A189,MATCH(MAX(DH137:DH189),DH137:DH189,0)),""),"")</f>
        <v/>
      </c>
      <c r="DI190" s="1">
        <f t="shared" si="660"/>
        <v>19900</v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660"/>
        <v/>
      </c>
      <c r="DM190" s="1" t="str">
        <f t="shared" si="660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>
        <f>IF(AND(DQ136&gt;0,ABS(MAX(DQ137:DQ189))&gt;ABS(MIN(DQ137:DQ189))),IF(MAX(DQ137:DQ189)&lt;&gt;0,INDEX($A137:$A189,MATCH(MAX(DQ137:DQ189),DQ137:DQ189,0)),""),"")</f>
        <v>20050</v>
      </c>
      <c r="DR190" s="1" t="e">
        <f ca="1">IF(AND(DR136&gt;0,ABS(MAX(DR137:DR189))&gt;ABS(MIN(DR137:DR189))),IF(MAX(DR137:DR189)&lt;&gt;0,INDEX($A137:$A189,MATCH(MAX(DR137:DR189),DR137:DR189,0)),""),"")</f>
        <v>#NUM!</v>
      </c>
      <c r="EU190" s="68">
        <v>563.29</v>
      </c>
      <c r="EV190" s="68" t="s">
        <v>1539</v>
      </c>
      <c r="EW190" s="68">
        <v>485.81</v>
      </c>
      <c r="EX190" s="68" t="s">
        <v>1540</v>
      </c>
      <c r="EY190" s="68">
        <v>5646</v>
      </c>
      <c r="EZ190" s="68" t="s">
        <v>1541</v>
      </c>
      <c r="FA190" s="68">
        <v>19956.5</v>
      </c>
      <c r="FB190" s="68" t="s">
        <v>1542</v>
      </c>
      <c r="FC190" s="68" t="s">
        <v>1543</v>
      </c>
      <c r="FD190" s="68" t="s">
        <v>1544</v>
      </c>
      <c r="FE190" s="68" t="s">
        <v>1545</v>
      </c>
      <c r="FF190" s="68" t="s">
        <v>1546</v>
      </c>
    </row>
    <row r="191" spans="1:162" x14ac:dyDescent="0.2">
      <c r="BP191" s="64" t="e">
        <f ca="1">INDEX(BQ191:BU191,MATCH(MIN(BQ136:BU136),BQ136:BU136,0))</f>
        <v>#NUM!</v>
      </c>
      <c r="BQ191" s="1" t="e">
        <f ca="1">IF(AND(BQ136&lt;0,ABS(MIN(BQ137:BQ189))&gt;ABS(MAX(BQ137:BQ189))),IF(MIN(BQ137:BQ189)&lt;&gt;0,INDEX($A137:$A189,MATCH(MIN(BQ137:BQ189),BQ137:BQ189,0)),""),"")</f>
        <v>#NUM!</v>
      </c>
      <c r="BS191" s="1" t="e">
        <f ca="1">IF(AND(BS136&lt;0,ABS(MIN(BS137:BS189))&gt;ABS(MAX(BS137:BS189))),IF(MIN(BS137:BS189)&lt;&gt;0,INDEX($A137:$A189,MATCH(MIN(BS137:BS189),BS137:BS189,0)),""),"")</f>
        <v>#NUM!</v>
      </c>
      <c r="BU191" s="1" t="e">
        <f ca="1">IF(AND(BU136&lt;0,ABS(MIN(BU137:BU189))&gt;ABS(MAX(BU137:BU189))),IF(MIN(BU137:BU189)&lt;&gt;0,INDEX($A137:$A189,MATCH(MIN(BU137:BU189),BU137:BU189,0)),""),"")</f>
        <v>#NUM!</v>
      </c>
      <c r="BW191" s="64" t="e">
        <f ca="1">INDEX(BX191:CB191,MATCH(MIN(BX136:CB136),BX136:CB136,0))</f>
        <v>#NUM!</v>
      </c>
      <c r="BX191" s="1" t="e">
        <f ca="1">IF(AND(BX136&lt;0,ABS(MIN(BX137:BX189))&gt;ABS(MAX(BX137:BX189))),IF(MIN(BX137:BX189)&lt;&gt;0,INDEX($A137:$A189,MATCH(MIN(BX137:BX189),BX137:BX189,0)),""),"")</f>
        <v>#NUM!</v>
      </c>
      <c r="BY191" s="1" t="e">
        <f ca="1">INDEX($A$137:$A$189,MATCH("Cruce -",BY137:BY189,)-1)</f>
        <v>#N/A</v>
      </c>
      <c r="BZ191" s="1" t="e">
        <f ca="1">IF(AND(BZ136&lt;0,ABS(MIN(BZ137:BZ189))&gt;ABS(MAX(BZ137:BZ189))),IF(MIN(BZ137:BZ189)&lt;&gt;0,INDEX($A137:$A189,MATCH(MIN(BZ137:BZ189),BZ137:BZ189,0)),""),"")</f>
        <v>#NUM!</v>
      </c>
      <c r="CB191" s="1" t="e">
        <f ca="1">IF(AND(CB136&lt;0,ABS(MIN(CB137:CB189))&gt;ABS(MAX(CB137:CB189))),IF(MIN(CB137:CB189)&lt;&gt;0,INDEX($A137:$A189,MATCH(MIN(CB137:CB189),CB137:CB189,0)),""),"")</f>
        <v>#NUM!</v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e">
        <f ca="1">IF(AND(CW136&lt;0,ABS(MIN(CW137:CW189))&gt;ABS(MAX(CW137:CW189))),IF(MIN(CW137:CW189)&lt;&gt;0,INDEX($A137:$A189,MATCH(MIN(CW137:CW189),CW137:CW189,0)),""),"")</f>
        <v>#NUM!</v>
      </c>
      <c r="CY191" s="1" t="e">
        <f ca="1">IF(AND(CY136&lt;0,ABS(MIN(CY137:CY189))&gt;ABS(MAX(CY137:CY189))),IF(MIN(CY137:CY189)&lt;&gt;0,INDEX($A137:$A189,MATCH(MIN(CY137:CY189),CY137:CY189,0)),""),"")</f>
        <v>#NUM!</v>
      </c>
      <c r="DH191" s="1">
        <f t="shared" ref="DH191:DM191" si="661">IF(AND(DH136&lt;0,ABS(MIN(DH137:DH189))&gt;ABS(MAX(DH137:DH189))),IF(MIN(DH137:DH189)&lt;&gt;0,INDEX($A137:$A189,MATCH(MIN(DH137:DH189),DH137:DH189,0)),""),"")</f>
        <v>20425</v>
      </c>
      <c r="DI191" s="1" t="str">
        <f t="shared" si="661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661"/>
        <v/>
      </c>
      <c r="DM191" s="1">
        <f t="shared" si="661"/>
        <v>20100</v>
      </c>
      <c r="DN191" s="64" t="str">
        <f ca="1">BI134&amp;","&amp;BI190</f>
        <v>20200,19800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e">
        <f ca="1">IF(AND(DR136&lt;0,ABS(MIN(DR137:DR189))&gt;ABS(MAX(DR137:DR189))),IF(MIN(DR137:DR189)&lt;&gt;0,INDEX($A137:$A189,MATCH(MIN(DR137:DR189),DR137:DR189,0)),""),"")</f>
        <v>#NUM!</v>
      </c>
      <c r="EU191" s="68">
        <v>563.24</v>
      </c>
      <c r="EV191" s="68" t="s">
        <v>1547</v>
      </c>
      <c r="EW191" s="68">
        <v>485.88</v>
      </c>
      <c r="EX191" s="68" t="s">
        <v>1548</v>
      </c>
      <c r="EY191" s="68">
        <v>5646.5</v>
      </c>
      <c r="EZ191" s="68" t="s">
        <v>1549</v>
      </c>
      <c r="FA191" s="68">
        <v>19959.25</v>
      </c>
      <c r="FB191" s="68" t="s">
        <v>1550</v>
      </c>
      <c r="FC191" s="68" t="s">
        <v>1551</v>
      </c>
      <c r="FD191" s="68" t="s">
        <v>1552</v>
      </c>
      <c r="FE191" s="68" t="s">
        <v>1553</v>
      </c>
      <c r="FF191" s="68" t="s">
        <v>1554</v>
      </c>
    </row>
    <row r="192" spans="1:162" x14ac:dyDescent="0.2">
      <c r="ET192" s="64">
        <v>250410</v>
      </c>
      <c r="EU192" s="68">
        <v>563.4</v>
      </c>
      <c r="EV192" s="68" t="s">
        <v>1555</v>
      </c>
      <c r="EW192" s="68">
        <v>485.95</v>
      </c>
      <c r="EX192" s="68" t="s">
        <v>1556</v>
      </c>
      <c r="EY192" s="68">
        <v>5648.25</v>
      </c>
      <c r="EZ192" s="68" t="s">
        <v>1557</v>
      </c>
      <c r="FA192" s="68">
        <v>19963.75</v>
      </c>
      <c r="FB192" s="68" t="s">
        <v>1558</v>
      </c>
      <c r="FC192" s="68" t="s">
        <v>1559</v>
      </c>
      <c r="FD192" s="68" t="s">
        <v>1560</v>
      </c>
      <c r="FE192" s="68" t="s">
        <v>1561</v>
      </c>
      <c r="FF192" s="68" t="s">
        <v>1562</v>
      </c>
    </row>
    <row r="193" spans="151:162" x14ac:dyDescent="0.2">
      <c r="EU193" s="67">
        <v>563.45000000000005</v>
      </c>
      <c r="EV193" s="67" t="s">
        <v>1563</v>
      </c>
      <c r="EW193" s="67">
        <v>486.01</v>
      </c>
      <c r="EX193" s="67" t="s">
        <v>1564</v>
      </c>
      <c r="EY193" s="67">
        <v>5648.25</v>
      </c>
      <c r="EZ193" s="67" t="s">
        <v>1565</v>
      </c>
      <c r="FA193" s="67">
        <v>19965</v>
      </c>
      <c r="FB193" s="67" t="s">
        <v>1566</v>
      </c>
      <c r="FC193" s="67" t="s">
        <v>1567</v>
      </c>
      <c r="FD193" s="67" t="s">
        <v>1568</v>
      </c>
      <c r="FE193" s="68" t="s">
        <v>1569</v>
      </c>
      <c r="FF193" s="68" t="s">
        <v>1570</v>
      </c>
    </row>
    <row r="194" spans="151:162" x14ac:dyDescent="0.2">
      <c r="EU194" s="67">
        <v>563.37</v>
      </c>
      <c r="EV194" s="67" t="s">
        <v>1571</v>
      </c>
      <c r="EW194" s="67">
        <v>485.9</v>
      </c>
      <c r="EX194" s="67" t="s">
        <v>1572</v>
      </c>
      <c r="EY194" s="67">
        <v>5647.25</v>
      </c>
      <c r="EZ194" s="67" t="s">
        <v>1573</v>
      </c>
      <c r="FA194" s="67">
        <v>19961</v>
      </c>
      <c r="FB194" s="67" t="s">
        <v>1574</v>
      </c>
      <c r="FC194" s="67" t="s">
        <v>1575</v>
      </c>
      <c r="FD194" s="67" t="s">
        <v>1576</v>
      </c>
      <c r="FE194" s="68" t="s">
        <v>1577</v>
      </c>
      <c r="FF194" s="68" t="s">
        <v>1578</v>
      </c>
    </row>
    <row r="195" spans="151:162" x14ac:dyDescent="0.2">
      <c r="EU195" s="67">
        <v>563.34</v>
      </c>
      <c r="EV195" s="67" t="s">
        <v>1579</v>
      </c>
      <c r="EW195" s="67">
        <v>485.9</v>
      </c>
      <c r="EX195" s="67" t="s">
        <v>1580</v>
      </c>
      <c r="EY195" s="67">
        <v>5647</v>
      </c>
      <c r="EZ195" s="67" t="s">
        <v>1581</v>
      </c>
      <c r="FA195" s="67">
        <v>19960</v>
      </c>
      <c r="FB195" s="67" t="s">
        <v>1582</v>
      </c>
      <c r="FC195" s="67" t="s">
        <v>1583</v>
      </c>
      <c r="FD195" s="67" t="s">
        <v>1584</v>
      </c>
      <c r="FE195" s="68" t="s">
        <v>1585</v>
      </c>
      <c r="FF195" s="68" t="s">
        <v>1586</v>
      </c>
    </row>
    <row r="196" spans="151:162" x14ac:dyDescent="0.2">
      <c r="EU196" s="67">
        <v>563.16999999999996</v>
      </c>
      <c r="EV196" s="67" t="s">
        <v>1587</v>
      </c>
      <c r="EW196" s="67">
        <v>485.7</v>
      </c>
      <c r="EX196" s="67" t="s">
        <v>1588</v>
      </c>
      <c r="EY196" s="67">
        <v>5645.25</v>
      </c>
      <c r="EZ196" s="67" t="s">
        <v>1589</v>
      </c>
      <c r="FA196" s="67">
        <v>19952.75</v>
      </c>
      <c r="FB196" s="67" t="s">
        <v>1590</v>
      </c>
      <c r="FC196" s="67" t="s">
        <v>1591</v>
      </c>
      <c r="FD196" s="67" t="s">
        <v>1592</v>
      </c>
      <c r="FE196" s="68" t="s">
        <v>1593</v>
      </c>
      <c r="FF196" s="68" t="s">
        <v>1594</v>
      </c>
    </row>
    <row r="197" spans="151:162" x14ac:dyDescent="0.2">
      <c r="EU197" s="67">
        <v>563.26</v>
      </c>
      <c r="EV197" s="67" t="s">
        <v>1595</v>
      </c>
      <c r="EW197" s="67">
        <v>485.86</v>
      </c>
      <c r="EX197" s="67" t="s">
        <v>1596</v>
      </c>
      <c r="EY197" s="67">
        <v>5646.25</v>
      </c>
      <c r="EZ197" s="67" t="s">
        <v>1597</v>
      </c>
      <c r="FA197" s="67">
        <v>19958.25</v>
      </c>
      <c r="FB197" s="67" t="s">
        <v>1598</v>
      </c>
      <c r="FC197" s="67" t="s">
        <v>1599</v>
      </c>
      <c r="FD197" s="67" t="s">
        <v>1600</v>
      </c>
      <c r="FE197" s="68" t="s">
        <v>1601</v>
      </c>
      <c r="FF197" s="68" t="s">
        <v>1602</v>
      </c>
    </row>
    <row r="198" spans="151:162" x14ac:dyDescent="0.2">
      <c r="EU198" s="67">
        <v>563.22</v>
      </c>
      <c r="EV198" s="67" t="s">
        <v>1603</v>
      </c>
      <c r="EW198" s="67">
        <v>485.8</v>
      </c>
      <c r="EX198" s="67" t="s">
        <v>1604</v>
      </c>
      <c r="EY198" s="67">
        <v>5646</v>
      </c>
      <c r="EZ198" s="67" t="s">
        <v>1605</v>
      </c>
      <c r="FA198" s="67">
        <v>19955.75</v>
      </c>
      <c r="FB198" s="67" t="s">
        <v>1606</v>
      </c>
      <c r="FC198" s="67" t="s">
        <v>1607</v>
      </c>
      <c r="FD198" s="67" t="s">
        <v>1608</v>
      </c>
      <c r="FE198" s="68" t="s">
        <v>1609</v>
      </c>
      <c r="FF198" s="68" t="s">
        <v>1610</v>
      </c>
    </row>
    <row r="199" spans="151:162" x14ac:dyDescent="0.2">
      <c r="EU199" s="67">
        <v>563.24</v>
      </c>
      <c r="EV199" s="67" t="s">
        <v>1611</v>
      </c>
      <c r="EW199" s="67">
        <v>485.87</v>
      </c>
      <c r="EX199" s="67" t="s">
        <v>1612</v>
      </c>
      <c r="EY199" s="67">
        <v>5646.5</v>
      </c>
      <c r="EZ199" s="67" t="s">
        <v>1613</v>
      </c>
      <c r="FA199" s="67">
        <v>19959.75</v>
      </c>
      <c r="FB199" s="67" t="s">
        <v>1614</v>
      </c>
      <c r="FC199" s="67" t="s">
        <v>1615</v>
      </c>
      <c r="FD199" s="67" t="s">
        <v>1616</v>
      </c>
      <c r="FE199" s="68" t="s">
        <v>1617</v>
      </c>
      <c r="FF199" s="68" t="s">
        <v>1618</v>
      </c>
    </row>
    <row r="200" spans="151:162" x14ac:dyDescent="0.2">
      <c r="EU200" s="67">
        <v>563.24</v>
      </c>
      <c r="EV200" s="67" t="s">
        <v>1619</v>
      </c>
      <c r="EW200" s="67">
        <v>485.86</v>
      </c>
      <c r="EX200" s="67" t="s">
        <v>1620</v>
      </c>
      <c r="EY200" s="67">
        <v>5646.5</v>
      </c>
      <c r="EZ200" s="67" t="s">
        <v>1621</v>
      </c>
      <c r="FA200" s="67">
        <v>19958.5</v>
      </c>
      <c r="FB200" s="67" t="s">
        <v>1622</v>
      </c>
      <c r="FC200" s="67" t="s">
        <v>1623</v>
      </c>
      <c r="FD200" s="67" t="s">
        <v>1624</v>
      </c>
      <c r="FE200" s="68" t="s">
        <v>1625</v>
      </c>
      <c r="FF200" s="68" t="s">
        <v>1626</v>
      </c>
    </row>
    <row r="201" spans="151:162" x14ac:dyDescent="0.2">
      <c r="EU201" s="67">
        <v>563.28</v>
      </c>
      <c r="EV201" s="67" t="s">
        <v>1627</v>
      </c>
      <c r="EW201" s="67">
        <v>485.87</v>
      </c>
      <c r="EX201" s="67" t="s">
        <v>1628</v>
      </c>
      <c r="EY201" s="67">
        <v>5646.5</v>
      </c>
      <c r="EZ201" s="67" t="s">
        <v>1629</v>
      </c>
      <c r="FA201" s="67">
        <v>19960.25</v>
      </c>
      <c r="FB201" s="67" t="s">
        <v>1630</v>
      </c>
      <c r="FC201" s="67" t="s">
        <v>1631</v>
      </c>
      <c r="FD201" s="67" t="s">
        <v>1632</v>
      </c>
      <c r="FE201" s="68" t="s">
        <v>1633</v>
      </c>
      <c r="FF201" s="68" t="s">
        <v>1634</v>
      </c>
    </row>
    <row r="202" spans="151:162" x14ac:dyDescent="0.2">
      <c r="EU202" s="67">
        <v>563.29</v>
      </c>
      <c r="EV202" s="67" t="s">
        <v>1635</v>
      </c>
      <c r="EW202" s="67">
        <v>485.91</v>
      </c>
      <c r="EX202" s="67" t="s">
        <v>1636</v>
      </c>
      <c r="EY202" s="67">
        <v>5646.75</v>
      </c>
      <c r="EZ202" s="67" t="s">
        <v>1637</v>
      </c>
      <c r="FA202" s="67">
        <v>19961</v>
      </c>
      <c r="FB202" s="67" t="s">
        <v>1638</v>
      </c>
      <c r="FC202" s="67" t="s">
        <v>1639</v>
      </c>
      <c r="FD202" s="67" t="s">
        <v>1640</v>
      </c>
      <c r="FE202" s="68" t="s">
        <v>1641</v>
      </c>
      <c r="FF202" s="68" t="s">
        <v>1642</v>
      </c>
    </row>
    <row r="203" spans="151:162" x14ac:dyDescent="0.2">
      <c r="EU203" s="67">
        <v>563.30999999999995</v>
      </c>
      <c r="EV203" s="67" t="s">
        <v>1643</v>
      </c>
      <c r="EW203" s="67">
        <v>485.9</v>
      </c>
      <c r="EX203" s="67" t="s">
        <v>1644</v>
      </c>
      <c r="EY203" s="67">
        <v>5646.5</v>
      </c>
      <c r="EZ203" s="67" t="s">
        <v>1645</v>
      </c>
      <c r="FA203" s="67">
        <v>19961.5</v>
      </c>
      <c r="FB203" s="67" t="s">
        <v>1646</v>
      </c>
      <c r="FC203" s="67" t="s">
        <v>1647</v>
      </c>
      <c r="FD203" s="67" t="s">
        <v>1648</v>
      </c>
      <c r="FE203" s="68" t="s">
        <v>1649</v>
      </c>
      <c r="FF203" s="68" t="s">
        <v>1650</v>
      </c>
    </row>
    <row r="204" spans="151:162" x14ac:dyDescent="0.2">
      <c r="EU204" s="67">
        <v>563.25</v>
      </c>
      <c r="EV204" s="67" t="s">
        <v>1651</v>
      </c>
      <c r="EW204" s="67">
        <v>485.88</v>
      </c>
      <c r="EX204" s="67" t="s">
        <v>1652</v>
      </c>
      <c r="EY204" s="67">
        <v>5646.25</v>
      </c>
      <c r="EZ204" s="67" t="s">
        <v>1653</v>
      </c>
      <c r="FA204" s="67">
        <v>19960</v>
      </c>
      <c r="FB204" s="67" t="s">
        <v>1654</v>
      </c>
      <c r="FC204" s="67" t="s">
        <v>1655</v>
      </c>
      <c r="FD204" s="67" t="s">
        <v>1656</v>
      </c>
      <c r="FE204" s="68" t="s">
        <v>1657</v>
      </c>
      <c r="FF204" s="68" t="s">
        <v>1658</v>
      </c>
    </row>
    <row r="205" spans="151:162" x14ac:dyDescent="0.2">
      <c r="EU205" s="67">
        <v>563.23</v>
      </c>
      <c r="EV205" s="67" t="s">
        <v>1659</v>
      </c>
      <c r="EW205" s="67">
        <v>485.87</v>
      </c>
      <c r="EX205" s="67" t="s">
        <v>1660</v>
      </c>
      <c r="EY205" s="67">
        <v>5646</v>
      </c>
      <c r="EZ205" s="67" t="s">
        <v>1661</v>
      </c>
      <c r="FA205" s="67">
        <v>19960</v>
      </c>
      <c r="FB205" s="67" t="s">
        <v>1662</v>
      </c>
      <c r="FC205" s="67" t="s">
        <v>1663</v>
      </c>
      <c r="FD205" s="67" t="s">
        <v>1664</v>
      </c>
      <c r="FE205" s="68" t="s">
        <v>1665</v>
      </c>
      <c r="FF205" s="68" t="s">
        <v>1666</v>
      </c>
    </row>
    <row r="206" spans="151:162" x14ac:dyDescent="0.2">
      <c r="EU206" s="67">
        <v>563.24</v>
      </c>
      <c r="EV206" s="67" t="s">
        <v>1667</v>
      </c>
      <c r="EW206" s="67">
        <v>485.9</v>
      </c>
      <c r="EX206" s="67" t="s">
        <v>1668</v>
      </c>
      <c r="EY206" s="67">
        <v>5646.25</v>
      </c>
      <c r="EZ206" s="67" t="s">
        <v>1669</v>
      </c>
      <c r="FA206" s="67">
        <v>19961</v>
      </c>
      <c r="FB206" s="67" t="s">
        <v>1670</v>
      </c>
      <c r="FC206" s="67" t="s">
        <v>1671</v>
      </c>
      <c r="FD206" s="67" t="s">
        <v>1672</v>
      </c>
      <c r="FE206" s="68" t="s">
        <v>1673</v>
      </c>
      <c r="FF206" s="68" t="s">
        <v>1674</v>
      </c>
    </row>
    <row r="207" spans="151:162" x14ac:dyDescent="0.2">
      <c r="EU207" s="67">
        <v>563.21</v>
      </c>
      <c r="EV207" s="67" t="s">
        <v>1675</v>
      </c>
      <c r="EW207" s="67">
        <v>485.87</v>
      </c>
      <c r="EX207" s="67" t="s">
        <v>1676</v>
      </c>
      <c r="EY207" s="67">
        <v>5645.75</v>
      </c>
      <c r="EZ207" s="67" t="s">
        <v>1677</v>
      </c>
      <c r="FA207" s="67">
        <v>19959.25</v>
      </c>
      <c r="FB207" s="67" t="s">
        <v>1678</v>
      </c>
      <c r="FC207" s="67" t="s">
        <v>1679</v>
      </c>
      <c r="FD207" s="67" t="s">
        <v>1680</v>
      </c>
      <c r="FE207" s="68" t="s">
        <v>1681</v>
      </c>
      <c r="FF207" s="68" t="s">
        <v>1682</v>
      </c>
    </row>
    <row r="208" spans="151:162" x14ac:dyDescent="0.2">
      <c r="EU208" s="67">
        <v>563.28</v>
      </c>
      <c r="EV208" s="67" t="s">
        <v>1683</v>
      </c>
      <c r="EW208" s="67">
        <v>485.94</v>
      </c>
      <c r="EX208" s="67" t="s">
        <v>1684</v>
      </c>
      <c r="EY208" s="67">
        <v>5646.5</v>
      </c>
      <c r="EZ208" s="67" t="s">
        <v>1685</v>
      </c>
      <c r="FA208" s="67">
        <v>19961.75</v>
      </c>
      <c r="FB208" s="67" t="s">
        <v>1686</v>
      </c>
      <c r="FC208" s="67" t="s">
        <v>1687</v>
      </c>
      <c r="FD208" s="67" t="s">
        <v>1688</v>
      </c>
      <c r="FE208" s="68" t="s">
        <v>1689</v>
      </c>
      <c r="FF208" s="68" t="s">
        <v>1690</v>
      </c>
    </row>
    <row r="209" spans="151:162" x14ac:dyDescent="0.2">
      <c r="EU209" s="67">
        <v>563.24</v>
      </c>
      <c r="EV209" s="67" t="s">
        <v>1691</v>
      </c>
      <c r="EW209" s="67">
        <v>485.82</v>
      </c>
      <c r="EX209" s="67" t="s">
        <v>1692</v>
      </c>
      <c r="EY209" s="67">
        <v>5645.75</v>
      </c>
      <c r="EZ209" s="67" t="s">
        <v>1693</v>
      </c>
      <c r="FA209" s="67">
        <v>19957.25</v>
      </c>
      <c r="FB209" s="67" t="s">
        <v>1694</v>
      </c>
      <c r="FC209" s="67" t="s">
        <v>1695</v>
      </c>
      <c r="FD209" s="67" t="s">
        <v>1696</v>
      </c>
      <c r="FE209" s="68" t="s">
        <v>1697</v>
      </c>
      <c r="FF209" s="68" t="s">
        <v>1698</v>
      </c>
    </row>
    <row r="210" spans="151:162" x14ac:dyDescent="0.2">
      <c r="EU210" s="67">
        <v>563.23</v>
      </c>
      <c r="EV210" s="67" t="s">
        <v>1699</v>
      </c>
      <c r="EW210" s="67">
        <v>485.85</v>
      </c>
      <c r="EX210" s="67" t="s">
        <v>1700</v>
      </c>
      <c r="EY210" s="67">
        <v>5646.25</v>
      </c>
      <c r="EZ210" s="67" t="s">
        <v>1701</v>
      </c>
      <c r="FA210" s="67">
        <v>19960.75</v>
      </c>
      <c r="FB210" s="67" t="s">
        <v>1702</v>
      </c>
      <c r="FC210" s="67" t="s">
        <v>1703</v>
      </c>
      <c r="FD210" s="67" t="s">
        <v>1704</v>
      </c>
      <c r="FE210" s="68" t="s">
        <v>1705</v>
      </c>
      <c r="FF210" s="68" t="s">
        <v>1706</v>
      </c>
    </row>
    <row r="211" spans="151:162" x14ac:dyDescent="0.2">
      <c r="EU211" s="67">
        <v>563.34</v>
      </c>
      <c r="EV211" s="67" t="s">
        <v>1707</v>
      </c>
      <c r="EW211" s="67">
        <v>486.02</v>
      </c>
      <c r="EX211" s="67" t="s">
        <v>1708</v>
      </c>
      <c r="EY211" s="67">
        <v>5647</v>
      </c>
      <c r="EZ211" s="67" t="s">
        <v>1709</v>
      </c>
      <c r="FA211" s="67">
        <v>19966</v>
      </c>
      <c r="FB211" s="67" t="s">
        <v>1710</v>
      </c>
      <c r="FC211" s="67" t="s">
        <v>1711</v>
      </c>
      <c r="FD211" s="67" t="s">
        <v>1712</v>
      </c>
      <c r="FE211" s="68" t="s">
        <v>1713</v>
      </c>
      <c r="FF211" s="68" t="s">
        <v>1714</v>
      </c>
    </row>
    <row r="212" spans="151:162" x14ac:dyDescent="0.2">
      <c r="EU212" s="67">
        <v>563.29</v>
      </c>
      <c r="EV212" s="67" t="s">
        <v>1715</v>
      </c>
      <c r="EW212" s="67">
        <v>485.99</v>
      </c>
      <c r="EX212" s="67" t="s">
        <v>1716</v>
      </c>
      <c r="EY212" s="67">
        <v>5646.75</v>
      </c>
      <c r="EZ212" s="67" t="s">
        <v>1717</v>
      </c>
      <c r="FA212" s="67">
        <v>19964.5</v>
      </c>
      <c r="FB212" s="67" t="s">
        <v>1718</v>
      </c>
      <c r="FC212" s="67" t="s">
        <v>1719</v>
      </c>
      <c r="FD212" s="67" t="s">
        <v>1720</v>
      </c>
      <c r="FE212" s="68" t="s">
        <v>1721</v>
      </c>
      <c r="FF212" s="68" t="s">
        <v>1722</v>
      </c>
    </row>
    <row r="213" spans="151:162" x14ac:dyDescent="0.2">
      <c r="EU213" s="67">
        <v>563.27</v>
      </c>
      <c r="EV213" s="67" t="s">
        <v>1723</v>
      </c>
      <c r="EW213" s="67">
        <v>485.93</v>
      </c>
      <c r="EX213" s="67" t="s">
        <v>1724</v>
      </c>
      <c r="EY213" s="67">
        <v>5646.5</v>
      </c>
      <c r="EZ213" s="67" t="s">
        <v>1725</v>
      </c>
      <c r="FA213" s="67">
        <v>19961.75</v>
      </c>
      <c r="FB213" s="67" t="s">
        <v>1726</v>
      </c>
      <c r="FC213" s="67" t="s">
        <v>1727</v>
      </c>
      <c r="FD213" s="67" t="s">
        <v>1728</v>
      </c>
      <c r="FE213" s="68" t="s">
        <v>1729</v>
      </c>
      <c r="FF213" s="68" t="s">
        <v>1730</v>
      </c>
    </row>
    <row r="214" spans="151:162" x14ac:dyDescent="0.2">
      <c r="EU214" s="67">
        <v>563.34</v>
      </c>
      <c r="EV214" s="67" t="s">
        <v>1731</v>
      </c>
      <c r="EW214" s="67">
        <v>486.02</v>
      </c>
      <c r="EX214" s="67" t="s">
        <v>1732</v>
      </c>
      <c r="EY214" s="67">
        <v>5647</v>
      </c>
      <c r="EZ214" s="67" t="s">
        <v>1733</v>
      </c>
      <c r="FA214" s="67">
        <v>19966</v>
      </c>
      <c r="FB214" s="67" t="s">
        <v>1734</v>
      </c>
      <c r="FC214" s="67" t="s">
        <v>1735</v>
      </c>
      <c r="FD214" s="67" t="s">
        <v>1736</v>
      </c>
      <c r="FE214" s="68" t="s">
        <v>1737</v>
      </c>
      <c r="FF214" s="68" t="s">
        <v>1738</v>
      </c>
    </row>
    <row r="215" spans="151:162" x14ac:dyDescent="0.2">
      <c r="EU215" s="67">
        <v>563.45000000000005</v>
      </c>
      <c r="EV215" s="67" t="s">
        <v>1739</v>
      </c>
      <c r="EW215" s="67">
        <v>486</v>
      </c>
      <c r="EX215" s="67" t="s">
        <v>1740</v>
      </c>
      <c r="EY215" s="67">
        <v>5646.75</v>
      </c>
      <c r="EZ215" s="67" t="s">
        <v>1741</v>
      </c>
      <c r="FA215" s="67">
        <v>19965</v>
      </c>
      <c r="FB215" s="67" t="s">
        <v>1742</v>
      </c>
      <c r="FC215" s="67" t="s">
        <v>1743</v>
      </c>
      <c r="FD215" s="67" t="s">
        <v>1744</v>
      </c>
      <c r="FE215" s="68" t="s">
        <v>1745</v>
      </c>
      <c r="FF215" s="68" t="s">
        <v>1746</v>
      </c>
    </row>
    <row r="216" spans="151:162" x14ac:dyDescent="0.2">
      <c r="EU216" s="67">
        <v>563.39</v>
      </c>
      <c r="EV216" s="67" t="s">
        <v>1747</v>
      </c>
      <c r="EW216" s="67">
        <v>486.04</v>
      </c>
      <c r="EX216" s="67" t="s">
        <v>1748</v>
      </c>
      <c r="EY216" s="67">
        <v>5647.5</v>
      </c>
      <c r="EZ216" s="67" t="s">
        <v>1749</v>
      </c>
      <c r="FA216" s="67">
        <v>19966.75</v>
      </c>
      <c r="FB216" s="67" t="s">
        <v>1750</v>
      </c>
      <c r="FC216" s="67" t="s">
        <v>1751</v>
      </c>
      <c r="FD216" s="67" t="s">
        <v>1752</v>
      </c>
      <c r="FE216" s="68" t="s">
        <v>1753</v>
      </c>
      <c r="FF216" s="68" t="s">
        <v>1754</v>
      </c>
    </row>
    <row r="217" spans="151:162" x14ac:dyDescent="0.2">
      <c r="EU217" s="67">
        <v>563.27</v>
      </c>
      <c r="EV217" s="67" t="s">
        <v>1755</v>
      </c>
      <c r="EW217" s="67">
        <v>485.92</v>
      </c>
      <c r="EX217" s="67" t="s">
        <v>1756</v>
      </c>
      <c r="EY217" s="67">
        <v>5646.5</v>
      </c>
      <c r="EZ217" s="67" t="s">
        <v>1757</v>
      </c>
      <c r="FA217" s="67">
        <v>19961.75</v>
      </c>
      <c r="FB217" s="67" t="s">
        <v>1758</v>
      </c>
      <c r="FC217" s="67" t="s">
        <v>1759</v>
      </c>
      <c r="FD217" s="67" t="s">
        <v>1760</v>
      </c>
      <c r="FE217" s="68" t="s">
        <v>1761</v>
      </c>
      <c r="FF217" s="68" t="s">
        <v>1762</v>
      </c>
    </row>
    <row r="218" spans="151:162" x14ac:dyDescent="0.2">
      <c r="EU218" s="67">
        <v>563.16</v>
      </c>
      <c r="EV218" s="67" t="s">
        <v>1763</v>
      </c>
      <c r="EW218" s="67">
        <v>485.78</v>
      </c>
      <c r="EX218" s="67" t="s">
        <v>1764</v>
      </c>
      <c r="EY218" s="67">
        <v>5645.25</v>
      </c>
      <c r="EZ218" s="67" t="s">
        <v>1765</v>
      </c>
      <c r="FA218" s="67">
        <v>19955.5</v>
      </c>
      <c r="FB218" s="67" t="s">
        <v>1766</v>
      </c>
      <c r="FC218" s="67" t="s">
        <v>1767</v>
      </c>
      <c r="FD218" s="67" t="s">
        <v>1768</v>
      </c>
      <c r="FE218" s="68" t="s">
        <v>1769</v>
      </c>
      <c r="FF218" s="68" t="s">
        <v>1770</v>
      </c>
    </row>
    <row r="219" spans="151:162" x14ac:dyDescent="0.2">
      <c r="EU219" s="67">
        <v>563.13</v>
      </c>
      <c r="EV219" s="67" t="s">
        <v>1771</v>
      </c>
      <c r="EW219" s="67">
        <v>485.77</v>
      </c>
      <c r="EX219" s="67" t="s">
        <v>1772</v>
      </c>
      <c r="EY219" s="67">
        <v>5645</v>
      </c>
      <c r="EZ219" s="67" t="s">
        <v>1773</v>
      </c>
      <c r="FA219" s="67">
        <v>19954.5</v>
      </c>
      <c r="FB219" s="67" t="s">
        <v>1774</v>
      </c>
      <c r="FC219" s="67" t="s">
        <v>1775</v>
      </c>
      <c r="FD219" s="67" t="s">
        <v>1776</v>
      </c>
      <c r="FE219" s="68" t="s">
        <v>1777</v>
      </c>
      <c r="FF219" s="68" t="s">
        <v>1778</v>
      </c>
    </row>
    <row r="220" spans="151:162" x14ac:dyDescent="0.2">
      <c r="EU220" s="67">
        <v>563.21</v>
      </c>
      <c r="EV220" s="67" t="s">
        <v>1779</v>
      </c>
      <c r="EW220" s="67">
        <v>485.86</v>
      </c>
      <c r="EX220" s="67" t="s">
        <v>1780</v>
      </c>
      <c r="EY220" s="67">
        <v>5645.75</v>
      </c>
      <c r="EZ220" s="67" t="s">
        <v>1781</v>
      </c>
      <c r="FA220" s="67">
        <v>19959.25</v>
      </c>
      <c r="FB220" s="67" t="s">
        <v>1782</v>
      </c>
      <c r="FC220" s="67" t="s">
        <v>1783</v>
      </c>
      <c r="FD220" s="67" t="s">
        <v>1784</v>
      </c>
      <c r="FE220" s="68" t="s">
        <v>1785</v>
      </c>
      <c r="FF220" s="68" t="s">
        <v>1786</v>
      </c>
    </row>
    <row r="221" spans="151:162" x14ac:dyDescent="0.2">
      <c r="EU221" s="67">
        <v>563.23</v>
      </c>
      <c r="EV221" s="67" t="s">
        <v>1787</v>
      </c>
      <c r="EW221" s="67">
        <v>485.8</v>
      </c>
      <c r="EX221" s="67" t="s">
        <v>1788</v>
      </c>
      <c r="EY221" s="67">
        <v>5645.5</v>
      </c>
      <c r="EZ221" s="67" t="s">
        <v>1789</v>
      </c>
      <c r="FA221" s="67">
        <v>19955.75</v>
      </c>
      <c r="FB221" s="67" t="s">
        <v>1790</v>
      </c>
      <c r="FC221" s="67" t="s">
        <v>1791</v>
      </c>
      <c r="FD221" s="67" t="s">
        <v>1792</v>
      </c>
      <c r="FE221" s="68" t="s">
        <v>1793</v>
      </c>
      <c r="FF221" s="68" t="s">
        <v>1794</v>
      </c>
    </row>
    <row r="222" spans="151:162" x14ac:dyDescent="0.2">
      <c r="EU222" s="67">
        <v>563.20000000000005</v>
      </c>
      <c r="EV222" s="67" t="s">
        <v>1795</v>
      </c>
      <c r="EW222" s="67">
        <v>485.82</v>
      </c>
      <c r="EX222" s="67" t="s">
        <v>1796</v>
      </c>
      <c r="EY222" s="67">
        <v>5645.75</v>
      </c>
      <c r="EZ222" s="67" t="s">
        <v>1797</v>
      </c>
      <c r="FA222" s="67">
        <v>19957.75</v>
      </c>
      <c r="FB222" s="67" t="s">
        <v>1798</v>
      </c>
      <c r="FC222" s="67" t="s">
        <v>1799</v>
      </c>
      <c r="FD222" s="67" t="s">
        <v>1800</v>
      </c>
      <c r="FE222" s="68" t="s">
        <v>1801</v>
      </c>
      <c r="FF222" s="68" t="s">
        <v>1802</v>
      </c>
    </row>
    <row r="223" spans="151:162" x14ac:dyDescent="0.2">
      <c r="EU223" s="67">
        <v>563.34</v>
      </c>
      <c r="EV223" s="67" t="s">
        <v>1803</v>
      </c>
      <c r="EW223" s="67">
        <v>486.01</v>
      </c>
      <c r="EX223" s="67" t="s">
        <v>1804</v>
      </c>
      <c r="EY223" s="67">
        <v>5647</v>
      </c>
      <c r="EZ223" s="67" t="s">
        <v>1805</v>
      </c>
      <c r="FA223" s="67">
        <v>19963.5</v>
      </c>
      <c r="FB223" s="67" t="s">
        <v>1806</v>
      </c>
      <c r="FC223" s="67" t="s">
        <v>1807</v>
      </c>
      <c r="FD223" s="67" t="s">
        <v>1808</v>
      </c>
      <c r="FE223" s="68" t="s">
        <v>1809</v>
      </c>
      <c r="FF223" s="68" t="s">
        <v>1810</v>
      </c>
    </row>
    <row r="224" spans="151:162" x14ac:dyDescent="0.2">
      <c r="EU224" s="67">
        <v>563.24</v>
      </c>
      <c r="EV224" s="67" t="s">
        <v>1811</v>
      </c>
      <c r="EW224" s="67">
        <v>485.87</v>
      </c>
      <c r="EX224" s="67" t="s">
        <v>1812</v>
      </c>
      <c r="EY224" s="67">
        <v>5646</v>
      </c>
      <c r="EZ224" s="67" t="s">
        <v>1813</v>
      </c>
      <c r="FA224" s="67">
        <v>19958.75</v>
      </c>
      <c r="FB224" s="67" t="s">
        <v>1814</v>
      </c>
      <c r="FC224" s="67" t="s">
        <v>1815</v>
      </c>
      <c r="FD224" s="67" t="s">
        <v>1816</v>
      </c>
      <c r="FE224" s="68" t="s">
        <v>1817</v>
      </c>
      <c r="FF224" s="68" t="s">
        <v>1818</v>
      </c>
    </row>
    <row r="225" spans="151:162" x14ac:dyDescent="0.2">
      <c r="EU225" s="67">
        <v>563.14</v>
      </c>
      <c r="EV225" s="67" t="s">
        <v>1819</v>
      </c>
      <c r="EW225" s="67">
        <v>485.79</v>
      </c>
      <c r="EX225" s="67" t="s">
        <v>1820</v>
      </c>
      <c r="EY225" s="67">
        <v>5645</v>
      </c>
      <c r="EZ225" s="67" t="s">
        <v>1821</v>
      </c>
      <c r="FA225" s="67">
        <v>19955.75</v>
      </c>
      <c r="FB225" s="67" t="s">
        <v>1822</v>
      </c>
      <c r="FC225" s="67" t="s">
        <v>1823</v>
      </c>
      <c r="FD225" s="67" t="s">
        <v>1824</v>
      </c>
      <c r="FE225" s="68" t="s">
        <v>1825</v>
      </c>
      <c r="FF225" s="68" t="s">
        <v>1826</v>
      </c>
    </row>
    <row r="226" spans="151:162" x14ac:dyDescent="0.2">
      <c r="EU226" s="67">
        <v>563.11</v>
      </c>
      <c r="EV226" s="67" t="s">
        <v>1827</v>
      </c>
      <c r="EW226" s="67">
        <v>485.73</v>
      </c>
      <c r="EX226" s="67" t="s">
        <v>1828</v>
      </c>
      <c r="EY226" s="67">
        <v>5644.75</v>
      </c>
      <c r="EZ226" s="67" t="s">
        <v>1829</v>
      </c>
      <c r="FA226" s="67">
        <v>19953.25</v>
      </c>
      <c r="FB226" s="67" t="s">
        <v>1830</v>
      </c>
      <c r="FC226" s="67" t="s">
        <v>1831</v>
      </c>
      <c r="FD226" s="67" t="s">
        <v>1832</v>
      </c>
      <c r="FE226" s="68" t="s">
        <v>1833</v>
      </c>
      <c r="FF226" s="68" t="s">
        <v>1834</v>
      </c>
    </row>
    <row r="227" spans="151:162" x14ac:dyDescent="0.2">
      <c r="EU227" s="67">
        <v>563.16999999999996</v>
      </c>
      <c r="EV227" s="67" t="s">
        <v>1835</v>
      </c>
      <c r="EW227" s="67">
        <v>485.82</v>
      </c>
      <c r="EX227" s="67" t="s">
        <v>1836</v>
      </c>
      <c r="EY227" s="67">
        <v>5645.5</v>
      </c>
      <c r="EZ227" s="67" t="s">
        <v>1837</v>
      </c>
      <c r="FA227" s="67">
        <v>19956.5</v>
      </c>
      <c r="FB227" s="67" t="s">
        <v>1838</v>
      </c>
      <c r="FC227" s="67" t="s">
        <v>1839</v>
      </c>
      <c r="FD227" s="67" t="s">
        <v>1840</v>
      </c>
      <c r="FE227" s="68" t="s">
        <v>1841</v>
      </c>
      <c r="FF227" s="68" t="s">
        <v>1842</v>
      </c>
    </row>
    <row r="228" spans="151:162" x14ac:dyDescent="0.2">
      <c r="EU228" s="67">
        <v>563.12</v>
      </c>
      <c r="EV228" s="67" t="s">
        <v>1843</v>
      </c>
      <c r="EW228" s="67">
        <v>485.77</v>
      </c>
      <c r="EX228" s="67" t="s">
        <v>1844</v>
      </c>
      <c r="EY228" s="67">
        <v>5645</v>
      </c>
      <c r="EZ228" s="67" t="s">
        <v>1845</v>
      </c>
      <c r="FA228" s="67">
        <v>19954.5</v>
      </c>
      <c r="FB228" s="67" t="s">
        <v>1846</v>
      </c>
      <c r="FC228" s="67" t="s">
        <v>1847</v>
      </c>
      <c r="FD228" s="67" t="s">
        <v>1848</v>
      </c>
      <c r="FE228" s="68" t="s">
        <v>1849</v>
      </c>
      <c r="FF228" s="68" t="s">
        <v>1850</v>
      </c>
    </row>
    <row r="229" spans="151:162" x14ac:dyDescent="0.2">
      <c r="EU229" s="67">
        <v>563.12</v>
      </c>
      <c r="EV229" s="67" t="s">
        <v>1851</v>
      </c>
      <c r="EW229" s="67">
        <v>485.74</v>
      </c>
      <c r="EX229" s="67" t="s">
        <v>1852</v>
      </c>
      <c r="EY229" s="67">
        <v>5644.5</v>
      </c>
      <c r="EZ229" s="67" t="s">
        <v>1853</v>
      </c>
      <c r="FA229" s="67">
        <v>19953.75</v>
      </c>
      <c r="FB229" s="67" t="s">
        <v>1854</v>
      </c>
      <c r="FC229" s="67" t="s">
        <v>1855</v>
      </c>
      <c r="FD229" s="67" t="s">
        <v>1856</v>
      </c>
      <c r="FE229" s="68" t="s">
        <v>1857</v>
      </c>
      <c r="FF229" s="68" t="s">
        <v>1858</v>
      </c>
    </row>
    <row r="230" spans="151:162" x14ac:dyDescent="0.2">
      <c r="EU230" s="67">
        <v>562.97</v>
      </c>
      <c r="EV230" s="67" t="s">
        <v>1859</v>
      </c>
      <c r="EW230" s="67">
        <v>485.64</v>
      </c>
      <c r="EX230" s="67" t="s">
        <v>1860</v>
      </c>
      <c r="EY230" s="67">
        <v>5643.25</v>
      </c>
      <c r="EZ230" s="67" t="s">
        <v>1861</v>
      </c>
      <c r="FA230" s="67">
        <v>19948.5</v>
      </c>
      <c r="FB230" s="67" t="s">
        <v>1862</v>
      </c>
      <c r="FC230" s="67" t="s">
        <v>1863</v>
      </c>
      <c r="FD230" s="67" t="s">
        <v>1864</v>
      </c>
      <c r="FE230" s="68" t="s">
        <v>1865</v>
      </c>
      <c r="FF230" s="68" t="s">
        <v>1866</v>
      </c>
    </row>
    <row r="231" spans="151:162" x14ac:dyDescent="0.2">
      <c r="EU231" s="67">
        <v>563.01</v>
      </c>
      <c r="EV231" s="67" t="s">
        <v>1867</v>
      </c>
      <c r="EW231" s="67">
        <v>485.69</v>
      </c>
      <c r="EX231" s="67" t="s">
        <v>1868</v>
      </c>
      <c r="EY231" s="67">
        <v>5643.75</v>
      </c>
      <c r="EZ231" s="67" t="s">
        <v>1869</v>
      </c>
      <c r="FA231" s="67">
        <v>19952.25</v>
      </c>
      <c r="FB231" s="67" t="s">
        <v>1870</v>
      </c>
      <c r="FC231" s="67" t="s">
        <v>1871</v>
      </c>
      <c r="FD231" s="67" t="s">
        <v>1872</v>
      </c>
      <c r="FE231" s="68" t="s">
        <v>1873</v>
      </c>
      <c r="FF231" s="68" t="s">
        <v>1874</v>
      </c>
    </row>
    <row r="232" spans="151:162" x14ac:dyDescent="0.2">
      <c r="EU232" s="67">
        <v>563.11</v>
      </c>
      <c r="EV232" s="67" t="s">
        <v>1875</v>
      </c>
      <c r="EW232" s="67">
        <v>485.81</v>
      </c>
      <c r="EX232" s="67" t="s">
        <v>1876</v>
      </c>
      <c r="EY232" s="67">
        <v>5645</v>
      </c>
      <c r="EZ232" s="67" t="s">
        <v>1877</v>
      </c>
      <c r="FA232" s="67">
        <v>19956.75</v>
      </c>
      <c r="FB232" s="67" t="s">
        <v>1878</v>
      </c>
      <c r="FC232" s="67" t="s">
        <v>1879</v>
      </c>
      <c r="FD232" s="67" t="s">
        <v>1880</v>
      </c>
      <c r="FE232" s="68" t="s">
        <v>1881</v>
      </c>
      <c r="FF232" s="68" t="s">
        <v>1882</v>
      </c>
    </row>
    <row r="233" spans="151:162" x14ac:dyDescent="0.2">
      <c r="EU233" s="67">
        <v>563.19000000000005</v>
      </c>
      <c r="EV233" s="67" t="s">
        <v>1883</v>
      </c>
      <c r="EW233" s="67">
        <v>485.89</v>
      </c>
      <c r="EX233" s="67" t="s">
        <v>1884</v>
      </c>
      <c r="EY233" s="67">
        <v>5645.5</v>
      </c>
      <c r="EZ233" s="67" t="s">
        <v>1885</v>
      </c>
      <c r="FA233" s="67">
        <v>19959.5</v>
      </c>
      <c r="FB233" s="67" t="s">
        <v>1886</v>
      </c>
      <c r="FC233" s="67" t="s">
        <v>1887</v>
      </c>
      <c r="FD233" s="67" t="s">
        <v>1888</v>
      </c>
      <c r="FE233" s="68" t="s">
        <v>1889</v>
      </c>
      <c r="FF233" s="68" t="s">
        <v>1890</v>
      </c>
    </row>
    <row r="234" spans="151:162" x14ac:dyDescent="0.2">
      <c r="EU234" s="67">
        <v>563.16</v>
      </c>
      <c r="EV234" s="67" t="s">
        <v>1891</v>
      </c>
      <c r="EW234" s="67">
        <v>485.88</v>
      </c>
      <c r="EX234" s="67" t="s">
        <v>1892</v>
      </c>
      <c r="EY234" s="67">
        <v>5645.25</v>
      </c>
      <c r="EZ234" s="67" t="s">
        <v>1893</v>
      </c>
      <c r="FA234" s="67">
        <v>19960</v>
      </c>
      <c r="FB234" s="67" t="s">
        <v>1894</v>
      </c>
      <c r="FC234" s="67" t="s">
        <v>1895</v>
      </c>
      <c r="FD234" s="67" t="s">
        <v>1896</v>
      </c>
      <c r="FE234" s="68" t="s">
        <v>1897</v>
      </c>
      <c r="FF234" s="68" t="s">
        <v>1898</v>
      </c>
    </row>
    <row r="235" spans="151:162" x14ac:dyDescent="0.2">
      <c r="EU235" s="67">
        <v>563.16</v>
      </c>
      <c r="EV235" s="67" t="s">
        <v>1899</v>
      </c>
      <c r="EW235" s="67">
        <v>485.88</v>
      </c>
      <c r="EX235" s="67" t="s">
        <v>1900</v>
      </c>
      <c r="EY235" s="67">
        <v>5645.25</v>
      </c>
      <c r="EZ235" s="67" t="s">
        <v>1901</v>
      </c>
      <c r="FA235" s="67">
        <v>19958.75</v>
      </c>
      <c r="FB235" s="67" t="s">
        <v>1902</v>
      </c>
      <c r="FC235" s="67" t="s">
        <v>1903</v>
      </c>
      <c r="FD235" s="67" t="s">
        <v>1904</v>
      </c>
      <c r="FE235" s="68" t="s">
        <v>1905</v>
      </c>
      <c r="FF235" s="68" t="s">
        <v>1906</v>
      </c>
    </row>
    <row r="236" spans="151:162" x14ac:dyDescent="0.2">
      <c r="EU236" s="67">
        <v>563.11</v>
      </c>
      <c r="EV236" s="67" t="s">
        <v>1907</v>
      </c>
      <c r="EW236" s="67">
        <v>485.79</v>
      </c>
      <c r="EX236" s="67" t="s">
        <v>1908</v>
      </c>
      <c r="EY236" s="67">
        <v>5644.75</v>
      </c>
      <c r="EZ236" s="67" t="s">
        <v>1909</v>
      </c>
      <c r="FA236" s="67">
        <v>19955.5</v>
      </c>
      <c r="FB236" s="67" t="s">
        <v>1910</v>
      </c>
      <c r="FC236" s="67" t="s">
        <v>1911</v>
      </c>
      <c r="FD236" s="67" t="s">
        <v>1912</v>
      </c>
      <c r="FE236" s="68" t="s">
        <v>1913</v>
      </c>
      <c r="FF236" s="68" t="s">
        <v>1914</v>
      </c>
    </row>
    <row r="237" spans="151:162" x14ac:dyDescent="0.2">
      <c r="EU237" s="67">
        <v>563.15</v>
      </c>
      <c r="EV237" s="67" t="s">
        <v>1915</v>
      </c>
      <c r="EW237" s="67">
        <v>485.84</v>
      </c>
      <c r="EX237" s="67" t="s">
        <v>1916</v>
      </c>
      <c r="EY237" s="67">
        <v>5645.25</v>
      </c>
      <c r="EZ237" s="67" t="s">
        <v>1917</v>
      </c>
      <c r="FA237" s="67">
        <v>19958.5</v>
      </c>
      <c r="FB237" s="67" t="s">
        <v>1918</v>
      </c>
      <c r="FC237" s="67" t="s">
        <v>1919</v>
      </c>
      <c r="FD237" s="67" t="s">
        <v>1920</v>
      </c>
      <c r="FE237" s="68" t="s">
        <v>1921</v>
      </c>
      <c r="FF237" s="68" t="s">
        <v>1922</v>
      </c>
    </row>
    <row r="238" spans="151:162" x14ac:dyDescent="0.2">
      <c r="EU238" s="67">
        <v>563.27</v>
      </c>
      <c r="EV238" s="67" t="s">
        <v>1923</v>
      </c>
      <c r="EW238" s="67">
        <v>486</v>
      </c>
      <c r="EX238" s="67" t="s">
        <v>1924</v>
      </c>
      <c r="EY238" s="67">
        <v>5646.5</v>
      </c>
      <c r="EZ238" s="67" t="s">
        <v>1925</v>
      </c>
      <c r="FA238" s="67">
        <v>19966</v>
      </c>
      <c r="FB238" s="67" t="s">
        <v>1926</v>
      </c>
      <c r="FC238" s="67" t="s">
        <v>1927</v>
      </c>
      <c r="FD238" s="67" t="s">
        <v>1928</v>
      </c>
      <c r="FE238" s="68" t="s">
        <v>1929</v>
      </c>
      <c r="FF238" s="68" t="s">
        <v>1930</v>
      </c>
    </row>
    <row r="239" spans="151:162" x14ac:dyDescent="0.2">
      <c r="EU239" s="67">
        <v>563.24</v>
      </c>
      <c r="EV239" s="67" t="s">
        <v>1931</v>
      </c>
      <c r="EW239" s="67">
        <v>485.92</v>
      </c>
      <c r="EX239" s="67" t="s">
        <v>1932</v>
      </c>
      <c r="EY239" s="67">
        <v>5646</v>
      </c>
      <c r="EZ239" s="67" t="s">
        <v>1933</v>
      </c>
      <c r="FA239" s="67">
        <v>19960.75</v>
      </c>
      <c r="FB239" s="67" t="s">
        <v>1934</v>
      </c>
      <c r="FC239" s="67" t="s">
        <v>1935</v>
      </c>
      <c r="FD239" s="67" t="s">
        <v>1936</v>
      </c>
      <c r="FE239" s="68" t="s">
        <v>1937</v>
      </c>
      <c r="FF239" s="68" t="s">
        <v>1938</v>
      </c>
    </row>
    <row r="240" spans="151:162" x14ac:dyDescent="0.2">
      <c r="EU240" s="67">
        <v>563.59</v>
      </c>
      <c r="EV240" s="67" t="s">
        <v>1939</v>
      </c>
      <c r="EW240" s="67">
        <v>486.38</v>
      </c>
      <c r="EX240" s="67" t="s">
        <v>1940</v>
      </c>
      <c r="EY240" s="67">
        <v>5648.75</v>
      </c>
      <c r="EZ240" s="67" t="s">
        <v>1941</v>
      </c>
      <c r="FA240" s="67">
        <v>19978.5</v>
      </c>
      <c r="FB240" s="67" t="s">
        <v>1942</v>
      </c>
      <c r="FC240" s="67" t="s">
        <v>1943</v>
      </c>
      <c r="FD240" s="67" t="s">
        <v>1944</v>
      </c>
      <c r="FE240" s="68" t="s">
        <v>1945</v>
      </c>
      <c r="FF240" s="68" t="s">
        <v>1946</v>
      </c>
    </row>
    <row r="241" spans="151:162" x14ac:dyDescent="0.2">
      <c r="EU241" s="67">
        <v>563.59</v>
      </c>
      <c r="EV241" s="67" t="s">
        <v>1947</v>
      </c>
      <c r="EW241" s="67">
        <v>486.33</v>
      </c>
      <c r="EX241" s="67" t="s">
        <v>1948</v>
      </c>
      <c r="EY241" s="67">
        <v>5649.75</v>
      </c>
      <c r="EZ241" s="67" t="s">
        <v>1949</v>
      </c>
      <c r="FA241" s="67">
        <v>19978</v>
      </c>
      <c r="FB241" s="67" t="s">
        <v>1950</v>
      </c>
      <c r="FC241" s="67" t="s">
        <v>1951</v>
      </c>
      <c r="FD241" s="67" t="s">
        <v>1952</v>
      </c>
      <c r="FE241" s="68" t="s">
        <v>1953</v>
      </c>
      <c r="FF241" s="68" t="s">
        <v>1954</v>
      </c>
    </row>
    <row r="242" spans="151:162" x14ac:dyDescent="0.2">
      <c r="EU242" s="67">
        <v>563.67999999999995</v>
      </c>
      <c r="EV242" s="67" t="s">
        <v>1955</v>
      </c>
      <c r="EW242" s="67">
        <v>486.38</v>
      </c>
      <c r="EX242" s="67" t="s">
        <v>1956</v>
      </c>
      <c r="EY242" s="67">
        <v>5650.5</v>
      </c>
      <c r="EZ242" s="67" t="s">
        <v>1957</v>
      </c>
      <c r="FA242" s="67">
        <v>19980.5</v>
      </c>
      <c r="FB242" s="67" t="s">
        <v>1958</v>
      </c>
      <c r="FC242" s="67" t="s">
        <v>1959</v>
      </c>
      <c r="FD242" s="67" t="s">
        <v>1960</v>
      </c>
      <c r="FE242" s="68" t="s">
        <v>1961</v>
      </c>
      <c r="FF242" s="68" t="s">
        <v>1962</v>
      </c>
    </row>
    <row r="243" spans="151:162" x14ac:dyDescent="0.2">
      <c r="EU243" s="67">
        <v>563.71</v>
      </c>
      <c r="EV243" s="67" t="s">
        <v>1963</v>
      </c>
      <c r="EW243" s="67">
        <v>486.43</v>
      </c>
      <c r="EX243" s="67" t="s">
        <v>1964</v>
      </c>
      <c r="EY243" s="67">
        <v>5651</v>
      </c>
      <c r="EZ243" s="67" t="s">
        <v>1965</v>
      </c>
      <c r="FA243" s="67">
        <v>19981.5</v>
      </c>
      <c r="FB243" s="67" t="s">
        <v>1966</v>
      </c>
      <c r="FC243" s="67" t="s">
        <v>1967</v>
      </c>
      <c r="FD243" s="67" t="s">
        <v>1968</v>
      </c>
      <c r="FE243" s="68" t="s">
        <v>1969</v>
      </c>
      <c r="FF243" s="68" t="s">
        <v>1970</v>
      </c>
    </row>
    <row r="244" spans="151:162" x14ac:dyDescent="0.2">
      <c r="EU244" s="67">
        <v>563.71</v>
      </c>
      <c r="EV244" s="67" t="s">
        <v>1971</v>
      </c>
      <c r="EW244" s="67">
        <v>486.33</v>
      </c>
      <c r="EX244" s="67" t="s">
        <v>1972</v>
      </c>
      <c r="EY244" s="67">
        <v>5650.25</v>
      </c>
      <c r="EZ244" s="67" t="s">
        <v>1973</v>
      </c>
      <c r="FA244" s="67">
        <v>19979</v>
      </c>
      <c r="FB244" s="67" t="s">
        <v>1974</v>
      </c>
      <c r="FC244" s="67" t="s">
        <v>1975</v>
      </c>
      <c r="FD244" s="67" t="s">
        <v>1976</v>
      </c>
      <c r="FE244" s="68" t="s">
        <v>1977</v>
      </c>
      <c r="FF244" s="68" t="s">
        <v>1978</v>
      </c>
    </row>
    <row r="245" spans="151:162" x14ac:dyDescent="0.2">
      <c r="EU245" s="67">
        <v>563.69000000000005</v>
      </c>
      <c r="EV245" s="67" t="s">
        <v>1979</v>
      </c>
      <c r="EW245" s="67">
        <v>486.27</v>
      </c>
      <c r="EX245" s="67" t="s">
        <v>1980</v>
      </c>
      <c r="EY245" s="67">
        <v>5650.75</v>
      </c>
      <c r="EZ245" s="67" t="s">
        <v>1981</v>
      </c>
      <c r="FA245" s="67">
        <v>19976.5</v>
      </c>
      <c r="FB245" s="67" t="s">
        <v>1982</v>
      </c>
      <c r="FC245" s="67" t="s">
        <v>1983</v>
      </c>
      <c r="FD245" s="67" t="s">
        <v>1984</v>
      </c>
      <c r="FE245" s="68" t="s">
        <v>1985</v>
      </c>
      <c r="FF245" s="68" t="s">
        <v>1986</v>
      </c>
    </row>
    <row r="246" spans="151:162" x14ac:dyDescent="0.2">
      <c r="EU246" s="67">
        <v>563.48</v>
      </c>
      <c r="EV246" s="67" t="s">
        <v>1987</v>
      </c>
      <c r="EW246" s="67">
        <v>486.03</v>
      </c>
      <c r="EX246" s="67" t="s">
        <v>1988</v>
      </c>
      <c r="EY246" s="67">
        <v>5648.25</v>
      </c>
      <c r="EZ246" s="67" t="s">
        <v>1989</v>
      </c>
      <c r="FA246" s="67">
        <v>19965.75</v>
      </c>
      <c r="FB246" s="67" t="s">
        <v>1990</v>
      </c>
      <c r="FC246" s="67" t="s">
        <v>1991</v>
      </c>
      <c r="FD246" s="67" t="s">
        <v>1992</v>
      </c>
      <c r="FE246" s="68" t="s">
        <v>1993</v>
      </c>
      <c r="FF246" s="68" t="s">
        <v>1994</v>
      </c>
    </row>
    <row r="247" spans="151:162" x14ac:dyDescent="0.2">
      <c r="EU247" s="67">
        <v>563.61</v>
      </c>
      <c r="EV247" s="67" t="s">
        <v>1995</v>
      </c>
      <c r="EW247" s="67">
        <v>486.23</v>
      </c>
      <c r="EX247" s="67" t="s">
        <v>1996</v>
      </c>
      <c r="EY247" s="67">
        <v>5650</v>
      </c>
      <c r="EZ247" s="67" t="s">
        <v>1997</v>
      </c>
      <c r="FA247" s="67">
        <v>19974.25</v>
      </c>
      <c r="FB247" s="67" t="s">
        <v>1998</v>
      </c>
      <c r="FC247" s="67" t="s">
        <v>1999</v>
      </c>
      <c r="FD247" s="67" t="s">
        <v>2000</v>
      </c>
      <c r="FE247" s="68" t="s">
        <v>2001</v>
      </c>
      <c r="FF247" s="68" t="s">
        <v>2002</v>
      </c>
    </row>
    <row r="248" spans="151:162" x14ac:dyDescent="0.2">
      <c r="EU248" s="67">
        <v>563.59</v>
      </c>
      <c r="EV248" s="67" t="s">
        <v>2003</v>
      </c>
      <c r="EW248" s="67">
        <v>486.15</v>
      </c>
      <c r="EX248" s="67" t="s">
        <v>2004</v>
      </c>
      <c r="EY248" s="67">
        <v>5649.5</v>
      </c>
      <c r="EZ248" s="67" t="s">
        <v>2005</v>
      </c>
      <c r="FA248" s="67">
        <v>19974.5</v>
      </c>
      <c r="FB248" s="67" t="s">
        <v>2006</v>
      </c>
      <c r="FC248" s="67" t="s">
        <v>2007</v>
      </c>
      <c r="FD248" s="67" t="s">
        <v>2008</v>
      </c>
      <c r="FE248" s="68" t="s">
        <v>2009</v>
      </c>
      <c r="FF248" s="68" t="s">
        <v>2010</v>
      </c>
    </row>
    <row r="249" spans="151:162" x14ac:dyDescent="0.2">
      <c r="EU249" s="67">
        <v>563.51</v>
      </c>
      <c r="EV249" s="67" t="s">
        <v>2011</v>
      </c>
      <c r="EW249" s="67">
        <v>486.15</v>
      </c>
      <c r="EX249" s="67" t="s">
        <v>2012</v>
      </c>
      <c r="EY249" s="67">
        <v>5648.75</v>
      </c>
      <c r="EZ249" s="67" t="s">
        <v>2013</v>
      </c>
      <c r="FA249" s="67">
        <v>19970.75</v>
      </c>
      <c r="FB249" s="67" t="s">
        <v>2014</v>
      </c>
      <c r="FC249" s="67" t="s">
        <v>2015</v>
      </c>
      <c r="FD249" s="67" t="s">
        <v>2016</v>
      </c>
      <c r="FE249" s="68" t="s">
        <v>2017</v>
      </c>
      <c r="FF249" s="68" t="s">
        <v>2018</v>
      </c>
    </row>
    <row r="250" spans="151:162" x14ac:dyDescent="0.2">
      <c r="EU250" s="67">
        <v>563.54</v>
      </c>
      <c r="EV250" s="67" t="s">
        <v>2019</v>
      </c>
      <c r="EW250" s="67">
        <v>486.24</v>
      </c>
      <c r="EX250" s="67" t="s">
        <v>2020</v>
      </c>
      <c r="EY250" s="67">
        <v>5649</v>
      </c>
      <c r="EZ250" s="67" t="s">
        <v>2021</v>
      </c>
      <c r="FA250" s="67">
        <v>19974.5</v>
      </c>
      <c r="FB250" s="67" t="s">
        <v>2022</v>
      </c>
      <c r="FC250" s="67" t="s">
        <v>2023</v>
      </c>
      <c r="FD250" s="67" t="s">
        <v>2024</v>
      </c>
      <c r="FE250" s="68" t="s">
        <v>2025</v>
      </c>
      <c r="FF250" s="68" t="s">
        <v>2026</v>
      </c>
    </row>
    <row r="251" spans="151:162" x14ac:dyDescent="0.2">
      <c r="EU251" s="67">
        <v>563.45000000000005</v>
      </c>
      <c r="EV251" s="67" t="s">
        <v>2027</v>
      </c>
      <c r="EW251" s="67">
        <v>486.13</v>
      </c>
      <c r="EX251" s="67" t="s">
        <v>2028</v>
      </c>
      <c r="EY251" s="67">
        <v>5648.25</v>
      </c>
      <c r="EZ251" s="67" t="s">
        <v>2029</v>
      </c>
      <c r="FA251" s="67">
        <v>19970.25</v>
      </c>
      <c r="FB251" s="67" t="s">
        <v>2030</v>
      </c>
      <c r="FC251" s="67" t="s">
        <v>2031</v>
      </c>
      <c r="FD251" s="67" t="s">
        <v>2032</v>
      </c>
      <c r="FE251" s="68" t="s">
        <v>2033</v>
      </c>
      <c r="FF251" s="68" t="s">
        <v>2034</v>
      </c>
    </row>
    <row r="252" spans="151:162" x14ac:dyDescent="0.2">
      <c r="EU252" s="67">
        <v>563.46</v>
      </c>
      <c r="EV252" s="67" t="s">
        <v>2035</v>
      </c>
      <c r="EW252" s="67">
        <v>486.15</v>
      </c>
      <c r="EX252" s="67" t="s">
        <v>2036</v>
      </c>
      <c r="EY252" s="67">
        <v>5648.25</v>
      </c>
      <c r="EZ252" s="67" t="s">
        <v>2037</v>
      </c>
      <c r="FA252" s="67">
        <v>19970</v>
      </c>
      <c r="FB252" s="67" t="s">
        <v>2038</v>
      </c>
      <c r="FC252" s="67" t="s">
        <v>2039</v>
      </c>
      <c r="FD252" s="67" t="s">
        <v>2040</v>
      </c>
      <c r="FE252" s="68" t="s">
        <v>2041</v>
      </c>
      <c r="FF252" s="68" t="s">
        <v>2042</v>
      </c>
    </row>
    <row r="253" spans="151:162" x14ac:dyDescent="0.2">
      <c r="EU253" s="67">
        <v>563.5</v>
      </c>
      <c r="EV253" s="67" t="s">
        <v>2043</v>
      </c>
      <c r="EW253" s="67">
        <v>486.16</v>
      </c>
      <c r="EX253" s="67" t="s">
        <v>2044</v>
      </c>
      <c r="EY253" s="67">
        <v>5649</v>
      </c>
      <c r="EZ253" s="67" t="s">
        <v>2045</v>
      </c>
      <c r="FA253" s="67">
        <v>19972.5</v>
      </c>
      <c r="FB253" s="67" t="s">
        <v>2046</v>
      </c>
      <c r="FC253" s="67" t="s">
        <v>2047</v>
      </c>
      <c r="FD253" s="67" t="s">
        <v>2048</v>
      </c>
      <c r="FE253" s="68" t="s">
        <v>2049</v>
      </c>
      <c r="FF253" s="68" t="s">
        <v>2050</v>
      </c>
    </row>
    <row r="254" spans="151:162" x14ac:dyDescent="0.2">
      <c r="EU254" s="67">
        <v>563.59</v>
      </c>
      <c r="EV254" s="67" t="s">
        <v>2051</v>
      </c>
      <c r="EW254" s="67">
        <v>486.29</v>
      </c>
      <c r="EX254" s="67" t="s">
        <v>2052</v>
      </c>
      <c r="EY254" s="67">
        <v>5649.5</v>
      </c>
      <c r="EZ254" s="67" t="s">
        <v>2053</v>
      </c>
      <c r="FA254" s="67">
        <v>19976</v>
      </c>
      <c r="FB254" s="67" t="s">
        <v>2054</v>
      </c>
      <c r="FC254" s="67" t="s">
        <v>2055</v>
      </c>
      <c r="FD254" s="67" t="s">
        <v>2056</v>
      </c>
      <c r="FE254" s="68" t="s">
        <v>2057</v>
      </c>
      <c r="FF254" s="68" t="s">
        <v>2058</v>
      </c>
    </row>
    <row r="255" spans="151:162" x14ac:dyDescent="0.2">
      <c r="EU255" s="67">
        <v>563.66</v>
      </c>
      <c r="EV255" s="67" t="s">
        <v>2059</v>
      </c>
      <c r="EW255" s="67">
        <v>486.38</v>
      </c>
      <c r="EX255" s="67" t="s">
        <v>2060</v>
      </c>
      <c r="EY255" s="67">
        <v>5650.25</v>
      </c>
      <c r="EZ255" s="67" t="s">
        <v>2061</v>
      </c>
      <c r="FA255" s="67">
        <v>19980.25</v>
      </c>
      <c r="FB255" s="67" t="s">
        <v>2062</v>
      </c>
      <c r="FC255" s="67" t="s">
        <v>2063</v>
      </c>
      <c r="FD255" s="67" t="s">
        <v>2064</v>
      </c>
      <c r="FE255" s="68" t="s">
        <v>2065</v>
      </c>
      <c r="FF255" s="68" t="s">
        <v>2066</v>
      </c>
    </row>
    <row r="256" spans="151:162" x14ac:dyDescent="0.2">
      <c r="EU256" s="67">
        <v>563.69000000000005</v>
      </c>
      <c r="EV256" s="67" t="s">
        <v>2067</v>
      </c>
      <c r="EW256" s="67">
        <v>486.34</v>
      </c>
      <c r="EX256" s="67" t="s">
        <v>2068</v>
      </c>
      <c r="EY256" s="67">
        <v>5650.75</v>
      </c>
      <c r="EZ256" s="67" t="s">
        <v>2069</v>
      </c>
      <c r="FA256" s="67">
        <v>19978.25</v>
      </c>
      <c r="FB256" s="67" t="s">
        <v>2070</v>
      </c>
      <c r="FC256" s="67" t="s">
        <v>2071</v>
      </c>
      <c r="FD256" s="67" t="s">
        <v>2072</v>
      </c>
      <c r="FE256" s="68" t="s">
        <v>2073</v>
      </c>
      <c r="FF256" s="68" t="s">
        <v>2074</v>
      </c>
    </row>
    <row r="257" spans="151:162" x14ac:dyDescent="0.2">
      <c r="EU257" s="67">
        <v>563.53</v>
      </c>
      <c r="EV257" s="67" t="s">
        <v>2075</v>
      </c>
      <c r="EW257" s="67">
        <v>486.18</v>
      </c>
      <c r="EX257" s="67" t="s">
        <v>2076</v>
      </c>
      <c r="EY257" s="67">
        <v>5649</v>
      </c>
      <c r="EZ257" s="67" t="s">
        <v>2077</v>
      </c>
      <c r="FA257" s="67">
        <v>19972.5</v>
      </c>
      <c r="FB257" s="67" t="s">
        <v>2078</v>
      </c>
      <c r="FC257" s="67" t="s">
        <v>2079</v>
      </c>
      <c r="FD257" s="67" t="s">
        <v>2080</v>
      </c>
      <c r="FE257" s="68" t="s">
        <v>2081</v>
      </c>
      <c r="FF257" s="68" t="s">
        <v>2082</v>
      </c>
    </row>
    <row r="258" spans="151:162" x14ac:dyDescent="0.2">
      <c r="EU258" s="67">
        <v>563.54999999999995</v>
      </c>
      <c r="EV258" s="67" t="s">
        <v>2083</v>
      </c>
      <c r="EW258" s="67">
        <v>486.22</v>
      </c>
      <c r="EX258" s="67" t="s">
        <v>2084</v>
      </c>
      <c r="EY258" s="67">
        <v>5649.25</v>
      </c>
      <c r="EZ258" s="67" t="s">
        <v>2085</v>
      </c>
      <c r="FA258" s="67">
        <v>19974.25</v>
      </c>
      <c r="FB258" s="67" t="s">
        <v>2086</v>
      </c>
      <c r="FC258" s="67" t="s">
        <v>2087</v>
      </c>
      <c r="FD258" s="67" t="s">
        <v>2088</v>
      </c>
      <c r="FE258" s="68" t="s">
        <v>2089</v>
      </c>
      <c r="FF258" s="68" t="s">
        <v>2090</v>
      </c>
    </row>
    <row r="259" spans="151:162" x14ac:dyDescent="0.2">
      <c r="EU259" s="67">
        <v>563.61</v>
      </c>
      <c r="EV259" s="67" t="s">
        <v>2091</v>
      </c>
      <c r="EW259" s="67">
        <v>486.28</v>
      </c>
      <c r="EX259" s="67" t="s">
        <v>2092</v>
      </c>
      <c r="EY259" s="67">
        <v>5649.75</v>
      </c>
      <c r="EZ259" s="67" t="s">
        <v>2093</v>
      </c>
      <c r="FA259" s="67">
        <v>19976.5</v>
      </c>
      <c r="FB259" s="67" t="s">
        <v>2094</v>
      </c>
      <c r="FC259" s="67" t="s">
        <v>2095</v>
      </c>
      <c r="FD259" s="67" t="s">
        <v>2096</v>
      </c>
      <c r="FE259" s="68" t="s">
        <v>2097</v>
      </c>
      <c r="FF259" s="68" t="s">
        <v>2098</v>
      </c>
    </row>
    <row r="260" spans="151:162" x14ac:dyDescent="0.2">
      <c r="EU260" s="67">
        <v>563.57000000000005</v>
      </c>
      <c r="EV260" s="67" t="s">
        <v>2099</v>
      </c>
      <c r="EW260" s="67">
        <v>486.23</v>
      </c>
      <c r="EX260" s="67" t="s">
        <v>2100</v>
      </c>
      <c r="EY260" s="67">
        <v>5649.5</v>
      </c>
      <c r="EZ260" s="67" t="s">
        <v>2101</v>
      </c>
      <c r="FA260" s="67">
        <v>19973.75</v>
      </c>
      <c r="FB260" s="67" t="s">
        <v>2102</v>
      </c>
      <c r="FC260" s="67" t="s">
        <v>2103</v>
      </c>
      <c r="FD260" s="67" t="s">
        <v>2104</v>
      </c>
      <c r="FE260" s="68" t="s">
        <v>2105</v>
      </c>
      <c r="FF260" s="68" t="s">
        <v>2106</v>
      </c>
    </row>
    <row r="261" spans="151:162" x14ac:dyDescent="0.2">
      <c r="EU261" s="67">
        <v>563.55999999999995</v>
      </c>
      <c r="EV261" s="67" t="s">
        <v>2107</v>
      </c>
      <c r="EW261" s="67">
        <v>486.19</v>
      </c>
      <c r="EX261" s="67" t="s">
        <v>2108</v>
      </c>
      <c r="EY261" s="67">
        <v>5649.25</v>
      </c>
      <c r="EZ261" s="67" t="s">
        <v>2109</v>
      </c>
      <c r="FA261" s="67">
        <v>19972.25</v>
      </c>
      <c r="FB261" s="67" t="s">
        <v>2110</v>
      </c>
      <c r="FC261" s="67" t="s">
        <v>2111</v>
      </c>
      <c r="FD261" s="67" t="s">
        <v>2112</v>
      </c>
      <c r="FE261" s="68" t="s">
        <v>2113</v>
      </c>
      <c r="FF261" s="68" t="s">
        <v>2114</v>
      </c>
    </row>
    <row r="262" spans="151:162" x14ac:dyDescent="0.2">
      <c r="EU262" s="67">
        <v>563.6</v>
      </c>
      <c r="EV262" s="67" t="s">
        <v>2115</v>
      </c>
      <c r="EW262" s="67">
        <v>486.19</v>
      </c>
      <c r="EX262" s="67" t="s">
        <v>2116</v>
      </c>
      <c r="EY262" s="67">
        <v>5649.75</v>
      </c>
      <c r="EZ262" s="67" t="s">
        <v>2117</v>
      </c>
      <c r="FA262" s="67">
        <v>19972.5</v>
      </c>
      <c r="FB262" s="67" t="s">
        <v>2118</v>
      </c>
      <c r="FC262" s="67" t="s">
        <v>2119</v>
      </c>
      <c r="FD262" s="67" t="s">
        <v>2120</v>
      </c>
      <c r="FE262" s="68" t="s">
        <v>2121</v>
      </c>
      <c r="FF262" s="68" t="s">
        <v>2122</v>
      </c>
    </row>
    <row r="263" spans="151:162" x14ac:dyDescent="0.2">
      <c r="EU263" s="67">
        <v>563.61</v>
      </c>
      <c r="EV263" s="67" t="s">
        <v>2123</v>
      </c>
      <c r="EW263" s="67">
        <v>486.23</v>
      </c>
      <c r="EX263" s="67" t="s">
        <v>2124</v>
      </c>
      <c r="EY263" s="67">
        <v>5650.25</v>
      </c>
      <c r="EZ263" s="67" t="s">
        <v>2125</v>
      </c>
      <c r="FA263" s="67">
        <v>19974.25</v>
      </c>
      <c r="FB263" s="67" t="s">
        <v>2126</v>
      </c>
      <c r="FC263" s="67" t="s">
        <v>2127</v>
      </c>
      <c r="FD263" s="67" t="s">
        <v>2128</v>
      </c>
      <c r="FE263" s="68" t="s">
        <v>2129</v>
      </c>
      <c r="FF263" s="68" t="s">
        <v>2130</v>
      </c>
    </row>
    <row r="264" spans="151:162" x14ac:dyDescent="0.2">
      <c r="EU264" s="67">
        <v>563.61</v>
      </c>
      <c r="EV264" s="67" t="s">
        <v>2131</v>
      </c>
      <c r="EW264" s="67">
        <v>486.24</v>
      </c>
      <c r="EX264" s="67" t="s">
        <v>2132</v>
      </c>
      <c r="EY264" s="67">
        <v>5650.25</v>
      </c>
      <c r="EZ264" s="67" t="s">
        <v>2133</v>
      </c>
      <c r="FA264" s="67">
        <v>19974</v>
      </c>
      <c r="FB264" s="67" t="s">
        <v>2134</v>
      </c>
      <c r="FC264" s="67" t="s">
        <v>2135</v>
      </c>
      <c r="FD264" s="67" t="s">
        <v>2136</v>
      </c>
      <c r="FE264" s="68" t="s">
        <v>2137</v>
      </c>
      <c r="FF264" s="68" t="s">
        <v>2138</v>
      </c>
    </row>
    <row r="265" spans="151:162" x14ac:dyDescent="0.2">
      <c r="EU265" s="67">
        <v>563.61</v>
      </c>
      <c r="EV265" s="67" t="s">
        <v>2139</v>
      </c>
      <c r="EW265" s="67">
        <v>486.2</v>
      </c>
      <c r="EX265" s="67" t="s">
        <v>2140</v>
      </c>
      <c r="EY265" s="67">
        <v>5650</v>
      </c>
      <c r="EZ265" s="67" t="s">
        <v>2141</v>
      </c>
      <c r="FA265" s="67">
        <v>19973.5</v>
      </c>
      <c r="FB265" s="67" t="s">
        <v>2142</v>
      </c>
      <c r="FC265" s="67" t="s">
        <v>2143</v>
      </c>
      <c r="FD265" s="67" t="s">
        <v>2144</v>
      </c>
      <c r="FE265" s="68" t="s">
        <v>2145</v>
      </c>
      <c r="FF265" s="68" t="s">
        <v>2146</v>
      </c>
    </row>
    <row r="266" spans="151:162" x14ac:dyDescent="0.2">
      <c r="EU266" s="67">
        <v>563.71</v>
      </c>
      <c r="EV266" s="67" t="s">
        <v>2147</v>
      </c>
      <c r="EW266" s="67">
        <v>486.27</v>
      </c>
      <c r="EX266" s="67" t="s">
        <v>2148</v>
      </c>
      <c r="EY266" s="67">
        <v>5651</v>
      </c>
      <c r="EZ266" s="67" t="s">
        <v>2149</v>
      </c>
      <c r="FA266" s="67">
        <v>19976.5</v>
      </c>
      <c r="FB266" s="67" t="s">
        <v>2150</v>
      </c>
      <c r="FC266" s="67" t="s">
        <v>2151</v>
      </c>
      <c r="FD266" s="67" t="s">
        <v>2152</v>
      </c>
      <c r="FE266" s="68" t="s">
        <v>2153</v>
      </c>
      <c r="FF266" s="68" t="s">
        <v>2154</v>
      </c>
    </row>
    <row r="267" spans="151:162" x14ac:dyDescent="0.2">
      <c r="EU267" s="67">
        <v>563.69000000000005</v>
      </c>
      <c r="EV267" s="67" t="s">
        <v>2155</v>
      </c>
      <c r="EW267" s="67">
        <v>486.28</v>
      </c>
      <c r="EX267" s="67" t="s">
        <v>2156</v>
      </c>
      <c r="EY267" s="67">
        <v>5650.75</v>
      </c>
      <c r="EZ267" s="67" t="s">
        <v>2157</v>
      </c>
      <c r="FA267" s="67">
        <v>19976.75</v>
      </c>
      <c r="FB267" s="67" t="s">
        <v>2158</v>
      </c>
      <c r="FC267" s="67" t="s">
        <v>2159</v>
      </c>
      <c r="FD267" s="67" t="s">
        <v>2160</v>
      </c>
      <c r="FE267" s="68" t="s">
        <v>2161</v>
      </c>
      <c r="FF267" s="68" t="s">
        <v>2162</v>
      </c>
    </row>
    <row r="268" spans="151:162" x14ac:dyDescent="0.2">
      <c r="EU268" s="67">
        <v>563.69000000000005</v>
      </c>
      <c r="EV268" s="67" t="s">
        <v>2163</v>
      </c>
      <c r="EW268" s="67">
        <v>486.3</v>
      </c>
      <c r="EX268" s="67" t="s">
        <v>2164</v>
      </c>
      <c r="EY268" s="67">
        <v>5650.75</v>
      </c>
      <c r="EZ268" s="67" t="s">
        <v>2165</v>
      </c>
      <c r="FA268" s="67">
        <v>19977</v>
      </c>
      <c r="FB268" s="67" t="s">
        <v>2166</v>
      </c>
      <c r="FC268" s="67" t="s">
        <v>2167</v>
      </c>
      <c r="FD268" s="67" t="s">
        <v>2168</v>
      </c>
      <c r="FE268" s="68" t="s">
        <v>2169</v>
      </c>
      <c r="FF268" s="68" t="s">
        <v>2170</v>
      </c>
    </row>
    <row r="269" spans="151:162" x14ac:dyDescent="0.2">
      <c r="EU269" s="67">
        <v>563.69000000000005</v>
      </c>
      <c r="EV269" s="67" t="s">
        <v>2171</v>
      </c>
      <c r="EW269" s="67">
        <v>486.25</v>
      </c>
      <c r="EX269" s="67" t="s">
        <v>2172</v>
      </c>
      <c r="EY269" s="67">
        <v>5650.75</v>
      </c>
      <c r="EZ269" s="67" t="s">
        <v>2173</v>
      </c>
      <c r="FA269" s="67">
        <v>19975</v>
      </c>
      <c r="FB269" s="67" t="s">
        <v>2174</v>
      </c>
      <c r="FC269" s="67" t="s">
        <v>2175</v>
      </c>
      <c r="FD269" s="67" t="s">
        <v>2176</v>
      </c>
      <c r="FE269" s="68" t="s">
        <v>2177</v>
      </c>
      <c r="FF269" s="68" t="s">
        <v>2178</v>
      </c>
    </row>
    <row r="270" spans="151:162" x14ac:dyDescent="0.2">
      <c r="EU270" s="67">
        <v>563.76</v>
      </c>
      <c r="EV270" s="67" t="s">
        <v>2179</v>
      </c>
      <c r="EW270" s="67">
        <v>486.36</v>
      </c>
      <c r="EX270" s="67" t="s">
        <v>2180</v>
      </c>
      <c r="EY270" s="67">
        <v>5651.75</v>
      </c>
      <c r="EZ270" s="67" t="s">
        <v>2181</v>
      </c>
      <c r="FA270" s="67">
        <v>19979.5</v>
      </c>
      <c r="FB270" s="67" t="s">
        <v>2182</v>
      </c>
      <c r="FC270" s="67" t="s">
        <v>2183</v>
      </c>
      <c r="FD270" s="67" t="s">
        <v>2184</v>
      </c>
      <c r="FE270" s="68" t="s">
        <v>2185</v>
      </c>
      <c r="FF270" s="68" t="s">
        <v>2186</v>
      </c>
    </row>
    <row r="271" spans="151:162" x14ac:dyDescent="0.2">
      <c r="EU271" s="67">
        <v>563.71</v>
      </c>
      <c r="EV271" s="67" t="s">
        <v>2187</v>
      </c>
      <c r="EW271" s="67">
        <v>486.3</v>
      </c>
      <c r="EX271" s="67" t="s">
        <v>2188</v>
      </c>
      <c r="EY271" s="67">
        <v>5651</v>
      </c>
      <c r="EZ271" s="67" t="s">
        <v>2189</v>
      </c>
      <c r="FA271" s="67">
        <v>19976.5</v>
      </c>
      <c r="FB271" s="67" t="s">
        <v>2190</v>
      </c>
      <c r="FC271" s="67" t="s">
        <v>2191</v>
      </c>
      <c r="FD271" s="67" t="s">
        <v>2192</v>
      </c>
      <c r="FE271" s="68" t="s">
        <v>2193</v>
      </c>
      <c r="FF271" s="68" t="s">
        <v>2194</v>
      </c>
    </row>
    <row r="272" spans="151:162" x14ac:dyDescent="0.2">
      <c r="EU272" s="67">
        <v>563.86</v>
      </c>
      <c r="EV272" s="67" t="s">
        <v>2195</v>
      </c>
      <c r="EW272" s="67">
        <v>486.4</v>
      </c>
      <c r="EX272" s="67" t="s">
        <v>2196</v>
      </c>
      <c r="EY272" s="67">
        <v>5652.25</v>
      </c>
      <c r="EZ272" s="67" t="s">
        <v>2197</v>
      </c>
      <c r="FA272" s="67">
        <v>19982.5</v>
      </c>
      <c r="FB272" s="67" t="s">
        <v>2198</v>
      </c>
      <c r="FC272" s="67" t="s">
        <v>2199</v>
      </c>
      <c r="FD272" s="67" t="s">
        <v>2200</v>
      </c>
      <c r="FE272" s="68" t="s">
        <v>2201</v>
      </c>
      <c r="FF272" s="68" t="s">
        <v>2202</v>
      </c>
    </row>
    <row r="273" spans="151:162" x14ac:dyDescent="0.2">
      <c r="EU273" s="67">
        <v>563.87</v>
      </c>
      <c r="EV273" s="67" t="s">
        <v>2203</v>
      </c>
      <c r="EW273" s="67">
        <v>486.44</v>
      </c>
      <c r="EX273" s="67" t="s">
        <v>2204</v>
      </c>
      <c r="EY273" s="67">
        <v>5652.75</v>
      </c>
      <c r="EZ273" s="67" t="s">
        <v>2205</v>
      </c>
      <c r="FA273" s="67">
        <v>19983.5</v>
      </c>
      <c r="FB273" s="67" t="s">
        <v>2206</v>
      </c>
      <c r="FC273" s="67" t="s">
        <v>2207</v>
      </c>
      <c r="FD273" s="67" t="s">
        <v>2208</v>
      </c>
      <c r="FE273" s="68" t="s">
        <v>2209</v>
      </c>
      <c r="FF273" s="68" t="s">
        <v>2210</v>
      </c>
    </row>
    <row r="274" spans="151:162" x14ac:dyDescent="0.2">
      <c r="EU274" s="67">
        <v>563.88</v>
      </c>
      <c r="EV274" s="67" t="s">
        <v>2211</v>
      </c>
      <c r="EW274" s="67">
        <v>486.47</v>
      </c>
      <c r="EX274" s="67" t="s">
        <v>2212</v>
      </c>
      <c r="EY274" s="67">
        <v>5652.75</v>
      </c>
      <c r="EZ274" s="67" t="s">
        <v>2213</v>
      </c>
      <c r="FA274" s="67">
        <v>19984</v>
      </c>
      <c r="FB274" s="67" t="s">
        <v>2214</v>
      </c>
      <c r="FC274" s="67" t="s">
        <v>2215</v>
      </c>
      <c r="FD274" s="67" t="s">
        <v>2216</v>
      </c>
      <c r="FE274" s="68" t="s">
        <v>2217</v>
      </c>
      <c r="FF274" s="68" t="s">
        <v>2218</v>
      </c>
    </row>
    <row r="275" spans="151:162" x14ac:dyDescent="0.2">
      <c r="EU275" s="67">
        <v>563.88</v>
      </c>
      <c r="EV275" s="67" t="s">
        <v>2219</v>
      </c>
      <c r="EW275" s="67">
        <v>486.6</v>
      </c>
      <c r="EX275" s="67" t="s">
        <v>2220</v>
      </c>
      <c r="EY275" s="67">
        <v>5653.25</v>
      </c>
      <c r="EZ275" s="67" t="s">
        <v>2221</v>
      </c>
      <c r="FA275" s="67">
        <v>19989.5</v>
      </c>
      <c r="FB275" s="67" t="s">
        <v>2222</v>
      </c>
      <c r="FC275" s="67" t="s">
        <v>2223</v>
      </c>
      <c r="FD275" s="67" t="s">
        <v>2224</v>
      </c>
      <c r="FE275" s="68" t="s">
        <v>2225</v>
      </c>
      <c r="FF275" s="68" t="s">
        <v>2226</v>
      </c>
    </row>
    <row r="276" spans="151:162" x14ac:dyDescent="0.2">
      <c r="EU276" s="67">
        <v>563.88</v>
      </c>
      <c r="EV276" s="67" t="s">
        <v>2227</v>
      </c>
      <c r="EW276" s="67">
        <v>486.56</v>
      </c>
      <c r="EX276" s="67" t="s">
        <v>2228</v>
      </c>
      <c r="EY276" s="67">
        <v>5653</v>
      </c>
      <c r="EZ276" s="67" t="s">
        <v>2229</v>
      </c>
      <c r="FA276" s="67">
        <v>19987.75</v>
      </c>
      <c r="FB276" s="67" t="s">
        <v>2230</v>
      </c>
      <c r="FC276" s="67" t="s">
        <v>2231</v>
      </c>
      <c r="FD276" s="67" t="s">
        <v>2232</v>
      </c>
      <c r="FE276" s="68" t="s">
        <v>2233</v>
      </c>
      <c r="FF276" s="68" t="s">
        <v>2234</v>
      </c>
    </row>
    <row r="277" spans="151:162" x14ac:dyDescent="0.2">
      <c r="EU277" s="67">
        <v>563.88</v>
      </c>
      <c r="EV277" s="67" t="s">
        <v>2235</v>
      </c>
      <c r="EW277" s="67">
        <v>486.57</v>
      </c>
      <c r="EX277" s="67" t="s">
        <v>2236</v>
      </c>
      <c r="EY277" s="67">
        <v>5653.75</v>
      </c>
      <c r="EZ277" s="67" t="s">
        <v>2237</v>
      </c>
      <c r="FA277" s="67">
        <v>19988.5</v>
      </c>
      <c r="FB277" s="67" t="s">
        <v>2238</v>
      </c>
      <c r="FC277" s="67" t="s">
        <v>2239</v>
      </c>
      <c r="FD277" s="67" t="s">
        <v>2240</v>
      </c>
      <c r="FE277" s="68" t="s">
        <v>2241</v>
      </c>
      <c r="FF277" s="68" t="s">
        <v>2242</v>
      </c>
    </row>
    <row r="278" spans="151:162" x14ac:dyDescent="0.2">
      <c r="EU278" s="67">
        <v>563.88</v>
      </c>
      <c r="EV278" s="67" t="s">
        <v>2243</v>
      </c>
      <c r="EW278" s="67">
        <v>486.54</v>
      </c>
      <c r="EX278" s="67" t="s">
        <v>2244</v>
      </c>
      <c r="EY278" s="67">
        <v>5653.75</v>
      </c>
      <c r="EZ278" s="67" t="s">
        <v>2245</v>
      </c>
      <c r="FA278" s="67">
        <v>19987.5</v>
      </c>
      <c r="FB278" s="67" t="s">
        <v>2246</v>
      </c>
      <c r="FC278" s="67" t="s">
        <v>2247</v>
      </c>
      <c r="FD278" s="67" t="s">
        <v>2248</v>
      </c>
      <c r="FE278" s="68" t="s">
        <v>2249</v>
      </c>
      <c r="FF278" s="68" t="s">
        <v>2250</v>
      </c>
    </row>
    <row r="279" spans="151:162" x14ac:dyDescent="0.2">
      <c r="EU279" s="67">
        <v>564.12</v>
      </c>
      <c r="EV279" s="67" t="s">
        <v>2251</v>
      </c>
      <c r="EW279" s="67">
        <v>486.73</v>
      </c>
      <c r="EX279" s="67" t="s">
        <v>2252</v>
      </c>
      <c r="EY279" s="67">
        <v>5655</v>
      </c>
      <c r="EZ279" s="67" t="s">
        <v>2253</v>
      </c>
      <c r="FA279" s="67">
        <v>19995.25</v>
      </c>
      <c r="FB279" s="67" t="s">
        <v>2254</v>
      </c>
      <c r="FC279" s="67" t="s">
        <v>2255</v>
      </c>
      <c r="FD279" s="67" t="s">
        <v>2256</v>
      </c>
      <c r="FE279" s="68" t="s">
        <v>2257</v>
      </c>
      <c r="FF279" s="68" t="s">
        <v>2258</v>
      </c>
    </row>
    <row r="280" spans="151:162" x14ac:dyDescent="0.2">
      <c r="EU280" s="67">
        <v>564.12</v>
      </c>
      <c r="EV280" s="67" t="s">
        <v>2259</v>
      </c>
      <c r="EW280" s="67">
        <v>486.72</v>
      </c>
      <c r="EX280" s="67" t="s">
        <v>2260</v>
      </c>
      <c r="EY280" s="67">
        <v>5655</v>
      </c>
      <c r="EZ280" s="67" t="s">
        <v>2261</v>
      </c>
      <c r="FA280" s="67">
        <v>19994.5</v>
      </c>
      <c r="FB280" s="67" t="s">
        <v>2262</v>
      </c>
      <c r="FC280" s="67" t="s">
        <v>2263</v>
      </c>
      <c r="FD280" s="67" t="s">
        <v>2264</v>
      </c>
      <c r="FE280" s="68" t="s">
        <v>2265</v>
      </c>
      <c r="FF280" s="68" t="s">
        <v>2266</v>
      </c>
    </row>
    <row r="281" spans="151:162" x14ac:dyDescent="0.2">
      <c r="EU281" s="67">
        <v>564.13</v>
      </c>
      <c r="EV281" s="67" t="s">
        <v>2267</v>
      </c>
      <c r="EW281" s="67">
        <v>486.68</v>
      </c>
      <c r="EX281" s="67" t="s">
        <v>2268</v>
      </c>
      <c r="EY281" s="67">
        <v>5655.25</v>
      </c>
      <c r="EZ281" s="67" t="s">
        <v>2269</v>
      </c>
      <c r="FA281" s="67">
        <v>19993.5</v>
      </c>
      <c r="FB281" s="67" t="s">
        <v>2270</v>
      </c>
      <c r="FC281" s="67" t="s">
        <v>2271</v>
      </c>
      <c r="FD281" s="67" t="s">
        <v>2272</v>
      </c>
      <c r="FE281" s="68" t="s">
        <v>2273</v>
      </c>
      <c r="FF281" s="68" t="s">
        <v>2274</v>
      </c>
    </row>
    <row r="282" spans="151:162" x14ac:dyDescent="0.2">
      <c r="EU282" s="67">
        <v>564.19000000000005</v>
      </c>
      <c r="EV282" s="67" t="s">
        <v>2275</v>
      </c>
      <c r="EW282" s="67">
        <v>486.79</v>
      </c>
      <c r="EX282" s="67" t="s">
        <v>2276</v>
      </c>
      <c r="EY282" s="67">
        <v>5655.75</v>
      </c>
      <c r="EZ282" s="67" t="s">
        <v>2277</v>
      </c>
      <c r="FA282" s="67">
        <v>19996.75</v>
      </c>
      <c r="FB282" s="67" t="s">
        <v>2278</v>
      </c>
      <c r="FC282" s="67" t="s">
        <v>2279</v>
      </c>
      <c r="FD282" s="67" t="s">
        <v>2280</v>
      </c>
      <c r="FE282" s="68" t="s">
        <v>2281</v>
      </c>
      <c r="FF282" s="68" t="s">
        <v>2282</v>
      </c>
    </row>
    <row r="283" spans="151:162" x14ac:dyDescent="0.2">
      <c r="EU283" s="67">
        <v>564.04</v>
      </c>
      <c r="EV283" s="67" t="s">
        <v>2283</v>
      </c>
      <c r="EW283" s="67">
        <v>486.58</v>
      </c>
      <c r="EX283" s="67" t="s">
        <v>2284</v>
      </c>
      <c r="EY283" s="67">
        <v>5654</v>
      </c>
      <c r="EZ283" s="67" t="s">
        <v>2285</v>
      </c>
      <c r="FA283" s="67">
        <v>19988.75</v>
      </c>
      <c r="FB283" s="67" t="s">
        <v>2286</v>
      </c>
      <c r="FC283" s="67" t="s">
        <v>2287</v>
      </c>
      <c r="FD283" s="67" t="s">
        <v>2288</v>
      </c>
      <c r="FE283" s="68" t="s">
        <v>2289</v>
      </c>
      <c r="FF283" s="68" t="s">
        <v>2290</v>
      </c>
    </row>
    <row r="284" spans="151:162" x14ac:dyDescent="0.2">
      <c r="EU284" s="67">
        <v>564.08000000000004</v>
      </c>
      <c r="EV284" s="67" t="s">
        <v>2291</v>
      </c>
      <c r="EW284" s="67">
        <v>486.67</v>
      </c>
      <c r="EX284" s="67" t="s">
        <v>2292</v>
      </c>
      <c r="EY284" s="67">
        <v>5654.5</v>
      </c>
      <c r="EZ284" s="67" t="s">
        <v>2293</v>
      </c>
      <c r="FA284" s="67">
        <v>19992.25</v>
      </c>
      <c r="FB284" s="67" t="s">
        <v>2294</v>
      </c>
      <c r="FC284" s="67" t="s">
        <v>2295</v>
      </c>
      <c r="FD284" s="67" t="s">
        <v>2296</v>
      </c>
      <c r="FE284" s="68" t="s">
        <v>2297</v>
      </c>
      <c r="FF284" s="68" t="s">
        <v>2298</v>
      </c>
    </row>
    <row r="285" spans="151:162" x14ac:dyDescent="0.2">
      <c r="EU285" s="67">
        <v>563.86</v>
      </c>
      <c r="EV285" s="67" t="s">
        <v>2299</v>
      </c>
      <c r="EW285" s="67">
        <v>486.43</v>
      </c>
      <c r="EX285" s="67" t="s">
        <v>2300</v>
      </c>
      <c r="EY285" s="67">
        <v>5652.5</v>
      </c>
      <c r="EZ285" s="67" t="s">
        <v>2301</v>
      </c>
      <c r="FA285" s="67">
        <v>19982</v>
      </c>
      <c r="FB285" s="67" t="s">
        <v>2302</v>
      </c>
      <c r="FC285" s="67" t="s">
        <v>2303</v>
      </c>
      <c r="FD285" s="67" t="s">
        <v>2304</v>
      </c>
      <c r="FE285" s="68" t="s">
        <v>2305</v>
      </c>
      <c r="FF285" s="68" t="s">
        <v>2306</v>
      </c>
    </row>
    <row r="286" spans="151:162" x14ac:dyDescent="0.2">
      <c r="EU286" s="67">
        <v>563.84</v>
      </c>
      <c r="EV286" s="67" t="s">
        <v>2307</v>
      </c>
      <c r="EW286" s="67">
        <v>486.4</v>
      </c>
      <c r="EX286" s="67" t="s">
        <v>2308</v>
      </c>
      <c r="EY286" s="67">
        <v>5652.25</v>
      </c>
      <c r="EZ286" s="67" t="s">
        <v>2309</v>
      </c>
      <c r="FA286" s="67">
        <v>19981.25</v>
      </c>
      <c r="FB286" s="67" t="s">
        <v>2310</v>
      </c>
      <c r="FC286" s="67" t="s">
        <v>2311</v>
      </c>
      <c r="FD286" s="67" t="s">
        <v>2312</v>
      </c>
      <c r="FE286" s="68" t="s">
        <v>2313</v>
      </c>
      <c r="FF286" s="68" t="s">
        <v>2314</v>
      </c>
    </row>
    <row r="287" spans="151:162" x14ac:dyDescent="0.2">
      <c r="EU287" s="67">
        <v>563.77</v>
      </c>
      <c r="EV287" s="67" t="s">
        <v>2315</v>
      </c>
      <c r="EW287" s="67">
        <v>486.32</v>
      </c>
      <c r="EX287" s="67" t="s">
        <v>2316</v>
      </c>
      <c r="EY287" s="67">
        <v>5651.75</v>
      </c>
      <c r="EZ287" s="67" t="s">
        <v>2317</v>
      </c>
      <c r="FA287" s="67">
        <v>19978.5</v>
      </c>
      <c r="FB287" s="67" t="s">
        <v>2318</v>
      </c>
      <c r="FC287" s="67" t="s">
        <v>2319</v>
      </c>
      <c r="FD287" s="67" t="s">
        <v>2320</v>
      </c>
      <c r="FE287" s="68" t="s">
        <v>2321</v>
      </c>
      <c r="FF287" s="68" t="s">
        <v>2322</v>
      </c>
    </row>
    <row r="288" spans="151:162" x14ac:dyDescent="0.2">
      <c r="EU288" s="67">
        <v>563.67999999999995</v>
      </c>
      <c r="EV288" s="67" t="s">
        <v>2323</v>
      </c>
      <c r="EW288" s="67">
        <v>486.24</v>
      </c>
      <c r="EX288" s="67" t="s">
        <v>2324</v>
      </c>
      <c r="EY288" s="67">
        <v>5650.75</v>
      </c>
      <c r="EZ288" s="67" t="s">
        <v>2325</v>
      </c>
      <c r="FA288" s="67">
        <v>19975.25</v>
      </c>
      <c r="FB288" s="67" t="s">
        <v>2326</v>
      </c>
      <c r="FC288" s="67" t="s">
        <v>2327</v>
      </c>
      <c r="FD288" s="67" t="s">
        <v>2328</v>
      </c>
      <c r="FE288" s="68" t="s">
        <v>2329</v>
      </c>
      <c r="FF288" s="68" t="s">
        <v>2330</v>
      </c>
    </row>
    <row r="289" spans="151:162" x14ac:dyDescent="0.2">
      <c r="EU289" s="67">
        <v>563.66999999999996</v>
      </c>
      <c r="EV289" s="67" t="s">
        <v>2331</v>
      </c>
      <c r="EW289" s="67">
        <v>486.23</v>
      </c>
      <c r="EX289" s="67" t="s">
        <v>2332</v>
      </c>
      <c r="EY289" s="67">
        <v>5650.5</v>
      </c>
      <c r="EZ289" s="67" t="s">
        <v>2333</v>
      </c>
      <c r="FA289" s="67">
        <v>19974</v>
      </c>
      <c r="FB289" s="67" t="s">
        <v>2334</v>
      </c>
      <c r="FC289" s="67" t="s">
        <v>2335</v>
      </c>
      <c r="FD289" s="67" t="s">
        <v>2336</v>
      </c>
      <c r="FE289" s="68" t="s">
        <v>2337</v>
      </c>
      <c r="FF289" s="68" t="s">
        <v>2338</v>
      </c>
    </row>
    <row r="290" spans="151:162" x14ac:dyDescent="0.2">
      <c r="EU290" s="67">
        <v>563.66999999999996</v>
      </c>
      <c r="EV290" s="67" t="s">
        <v>2339</v>
      </c>
      <c r="EW290" s="67">
        <v>486.12</v>
      </c>
      <c r="EX290" s="67" t="s">
        <v>2340</v>
      </c>
      <c r="EY290" s="67">
        <v>5650.25</v>
      </c>
      <c r="EZ290" s="67" t="s">
        <v>2341</v>
      </c>
      <c r="FA290" s="67">
        <v>19969.75</v>
      </c>
      <c r="FB290" s="67" t="s">
        <v>2342</v>
      </c>
      <c r="FC290" s="67" t="s">
        <v>2343</v>
      </c>
      <c r="FD290" s="67" t="s">
        <v>2344</v>
      </c>
      <c r="FE290" s="68" t="s">
        <v>2345</v>
      </c>
      <c r="FF290" s="68" t="s">
        <v>2346</v>
      </c>
    </row>
    <row r="291" spans="151:162" x14ac:dyDescent="0.2">
      <c r="EU291" s="67">
        <v>563.6</v>
      </c>
      <c r="EV291" s="67" t="s">
        <v>2347</v>
      </c>
      <c r="EW291" s="67">
        <v>486.17</v>
      </c>
      <c r="EX291" s="67" t="s">
        <v>2348</v>
      </c>
      <c r="EY291" s="67">
        <v>5649.75</v>
      </c>
      <c r="EZ291" s="67" t="s">
        <v>2349</v>
      </c>
      <c r="FA291" s="67">
        <v>19971</v>
      </c>
      <c r="FB291" s="67" t="s">
        <v>2350</v>
      </c>
      <c r="FC291" s="67" t="s">
        <v>2351</v>
      </c>
      <c r="FD291" s="67" t="s">
        <v>2352</v>
      </c>
      <c r="FE291" s="68" t="s">
        <v>2353</v>
      </c>
      <c r="FF291" s="68" t="s">
        <v>2354</v>
      </c>
    </row>
    <row r="292" spans="151:162" x14ac:dyDescent="0.2">
      <c r="EU292" s="67">
        <v>563.66</v>
      </c>
      <c r="EV292" s="67" t="s">
        <v>2355</v>
      </c>
      <c r="EW292" s="67">
        <v>486.23</v>
      </c>
      <c r="EX292" s="67" t="s">
        <v>2356</v>
      </c>
      <c r="EY292" s="67">
        <v>5650.25</v>
      </c>
      <c r="EZ292" s="67" t="s">
        <v>2357</v>
      </c>
      <c r="FA292" s="67">
        <v>19974.25</v>
      </c>
      <c r="FB292" s="67" t="s">
        <v>2358</v>
      </c>
      <c r="FC292" s="67" t="s">
        <v>2359</v>
      </c>
      <c r="FD292" s="67" t="s">
        <v>2360</v>
      </c>
      <c r="FE292" s="68" t="s">
        <v>2361</v>
      </c>
      <c r="FF292" s="68" t="s">
        <v>2362</v>
      </c>
    </row>
    <row r="293" spans="151:162" x14ac:dyDescent="0.2">
      <c r="EU293" s="67">
        <v>563.57000000000005</v>
      </c>
      <c r="EV293" s="67" t="s">
        <v>2363</v>
      </c>
      <c r="EW293" s="67">
        <v>486.14</v>
      </c>
      <c r="EX293" s="67" t="s">
        <v>2364</v>
      </c>
      <c r="EY293" s="67">
        <v>5649.5</v>
      </c>
      <c r="EZ293" s="67" t="s">
        <v>2365</v>
      </c>
      <c r="FA293" s="67">
        <v>19970.75</v>
      </c>
      <c r="FB293" s="67" t="s">
        <v>2366</v>
      </c>
      <c r="FC293" s="67" t="s">
        <v>2367</v>
      </c>
      <c r="FD293" s="67" t="s">
        <v>2368</v>
      </c>
      <c r="FE293" s="68" t="s">
        <v>2369</v>
      </c>
      <c r="FF293" s="68" t="s">
        <v>2370</v>
      </c>
    </row>
    <row r="294" spans="151:162" x14ac:dyDescent="0.2">
      <c r="EU294" s="67">
        <v>563.57000000000005</v>
      </c>
      <c r="EV294" s="67" t="s">
        <v>2371</v>
      </c>
      <c r="EW294" s="67">
        <v>486.12</v>
      </c>
      <c r="EX294" s="67" t="s">
        <v>2372</v>
      </c>
      <c r="EY294" s="67">
        <v>5649.25</v>
      </c>
      <c r="EZ294" s="67" t="s">
        <v>2373</v>
      </c>
      <c r="FA294" s="67">
        <v>19969.75</v>
      </c>
      <c r="FB294" s="67" t="s">
        <v>2374</v>
      </c>
      <c r="FC294" s="67" t="s">
        <v>2375</v>
      </c>
      <c r="FD294" s="67" t="s">
        <v>2376</v>
      </c>
      <c r="FE294" s="68" t="s">
        <v>2377</v>
      </c>
      <c r="FF294" s="68" t="s">
        <v>2378</v>
      </c>
    </row>
    <row r="295" spans="151:162" x14ac:dyDescent="0.2">
      <c r="EU295" s="67">
        <v>563.55999999999995</v>
      </c>
      <c r="EV295" s="67" t="s">
        <v>2379</v>
      </c>
      <c r="EW295" s="67">
        <v>486.13</v>
      </c>
      <c r="EX295" s="67" t="s">
        <v>2380</v>
      </c>
      <c r="EY295" s="67">
        <v>5649.25</v>
      </c>
      <c r="EZ295" s="67" t="s">
        <v>2381</v>
      </c>
      <c r="FA295" s="67">
        <v>19970.25</v>
      </c>
      <c r="FB295" s="67" t="s">
        <v>2382</v>
      </c>
      <c r="FC295" s="67" t="s">
        <v>2383</v>
      </c>
      <c r="FD295" s="67" t="s">
        <v>2384</v>
      </c>
      <c r="FE295" s="68" t="s">
        <v>2385</v>
      </c>
      <c r="FF295" s="68" t="s">
        <v>2386</v>
      </c>
    </row>
    <row r="296" spans="151:162" x14ac:dyDescent="0.2">
      <c r="EU296" s="67">
        <v>563.46</v>
      </c>
      <c r="EV296" s="67" t="s">
        <v>2387</v>
      </c>
      <c r="EW296" s="67">
        <v>486.06</v>
      </c>
      <c r="EX296" s="67" t="s">
        <v>2388</v>
      </c>
      <c r="EY296" s="67">
        <v>5648.25</v>
      </c>
      <c r="EZ296" s="67" t="s">
        <v>2389</v>
      </c>
      <c r="FA296" s="67">
        <v>19966.25</v>
      </c>
      <c r="FB296" s="67" t="s">
        <v>2390</v>
      </c>
      <c r="FC296" s="67" t="s">
        <v>2391</v>
      </c>
      <c r="FD296" s="67" t="s">
        <v>2392</v>
      </c>
      <c r="FE296" s="68" t="s">
        <v>2393</v>
      </c>
      <c r="FF296" s="68" t="s">
        <v>2394</v>
      </c>
    </row>
    <row r="297" spans="151:162" x14ac:dyDescent="0.2">
      <c r="EU297" s="67">
        <v>563.48</v>
      </c>
      <c r="EV297" s="67" t="s">
        <v>2395</v>
      </c>
      <c r="EW297" s="67">
        <v>486.06</v>
      </c>
      <c r="EX297" s="67" t="s">
        <v>2396</v>
      </c>
      <c r="EY297" s="67">
        <v>5648.5</v>
      </c>
      <c r="EZ297" s="67" t="s">
        <v>2397</v>
      </c>
      <c r="FA297" s="67">
        <v>19966.75</v>
      </c>
      <c r="FB297" s="67" t="s">
        <v>2398</v>
      </c>
      <c r="FC297" s="67" t="s">
        <v>2399</v>
      </c>
      <c r="FD297" s="67" t="s">
        <v>2400</v>
      </c>
      <c r="FE297" s="68" t="s">
        <v>2401</v>
      </c>
      <c r="FF297" s="68" t="s">
        <v>2402</v>
      </c>
    </row>
    <row r="298" spans="151:162" x14ac:dyDescent="0.2">
      <c r="EU298" s="67">
        <v>563.46</v>
      </c>
      <c r="EV298" s="67" t="s">
        <v>2403</v>
      </c>
      <c r="EW298" s="67">
        <v>486.05</v>
      </c>
      <c r="EX298" s="67" t="s">
        <v>2404</v>
      </c>
      <c r="EY298" s="67">
        <v>5648.5</v>
      </c>
      <c r="EZ298" s="67" t="s">
        <v>2405</v>
      </c>
      <c r="FA298" s="67">
        <v>19966.75</v>
      </c>
      <c r="FB298" s="67" t="s">
        <v>2406</v>
      </c>
      <c r="FC298" s="67" t="s">
        <v>2407</v>
      </c>
      <c r="FD298" s="67" t="s">
        <v>2408</v>
      </c>
      <c r="FE298" s="68" t="s">
        <v>2409</v>
      </c>
      <c r="FF298" s="68" t="s">
        <v>2410</v>
      </c>
    </row>
    <row r="299" spans="151:162" x14ac:dyDescent="0.2">
      <c r="EU299" s="67">
        <v>563.46</v>
      </c>
      <c r="EV299" s="67" t="s">
        <v>2411</v>
      </c>
      <c r="EW299" s="67">
        <v>485.94</v>
      </c>
      <c r="EX299" s="67" t="s">
        <v>2412</v>
      </c>
      <c r="EY299" s="67">
        <v>5648.25</v>
      </c>
      <c r="EZ299" s="67" t="s">
        <v>2413</v>
      </c>
      <c r="FA299" s="67">
        <v>19961.75</v>
      </c>
      <c r="FB299" s="67" t="s">
        <v>2414</v>
      </c>
      <c r="FC299" s="67" t="s">
        <v>2415</v>
      </c>
      <c r="FD299" s="67" t="s">
        <v>2416</v>
      </c>
      <c r="FE299" s="68" t="s">
        <v>2417</v>
      </c>
      <c r="FF299" s="68" t="s">
        <v>2418</v>
      </c>
    </row>
    <row r="300" spans="151:162" x14ac:dyDescent="0.2">
      <c r="EU300" s="67">
        <v>563.38</v>
      </c>
      <c r="EV300" s="67" t="s">
        <v>2419</v>
      </c>
      <c r="EW300" s="67">
        <v>485.85</v>
      </c>
      <c r="EX300" s="67" t="s">
        <v>2420</v>
      </c>
      <c r="EY300" s="67">
        <v>5647.75</v>
      </c>
      <c r="EZ300" s="67" t="s">
        <v>2421</v>
      </c>
      <c r="FA300" s="67">
        <v>19958.75</v>
      </c>
      <c r="FB300" s="67" t="s">
        <v>2422</v>
      </c>
      <c r="FC300" s="67" t="s">
        <v>2423</v>
      </c>
      <c r="FD300" s="67" t="s">
        <v>2424</v>
      </c>
      <c r="FE300" s="68" t="s">
        <v>2425</v>
      </c>
      <c r="FF300" s="68" t="s">
        <v>2426</v>
      </c>
    </row>
    <row r="301" spans="151:162" x14ac:dyDescent="0.2">
      <c r="EU301" s="67">
        <v>563.41</v>
      </c>
      <c r="EV301" s="67" t="s">
        <v>2427</v>
      </c>
      <c r="EW301" s="67">
        <v>485.96</v>
      </c>
      <c r="EX301" s="67" t="s">
        <v>2428</v>
      </c>
      <c r="EY301" s="67">
        <v>5648.25</v>
      </c>
      <c r="EZ301" s="67" t="s">
        <v>2429</v>
      </c>
      <c r="FA301" s="67">
        <v>19962.5</v>
      </c>
      <c r="FB301" s="67" t="s">
        <v>2430</v>
      </c>
      <c r="FC301" s="67" t="s">
        <v>2431</v>
      </c>
      <c r="FD301" s="67" t="s">
        <v>2432</v>
      </c>
      <c r="FE301" s="68" t="s">
        <v>2433</v>
      </c>
      <c r="FF301" s="68" t="s">
        <v>2434</v>
      </c>
    </row>
    <row r="302" spans="151:162" x14ac:dyDescent="0.2">
      <c r="EU302" s="67">
        <v>563.29</v>
      </c>
      <c r="EV302" s="67" t="s">
        <v>2435</v>
      </c>
      <c r="EW302" s="67">
        <v>485.78</v>
      </c>
      <c r="EX302" s="67" t="s">
        <v>2436</v>
      </c>
      <c r="EY302" s="67">
        <v>5646.75</v>
      </c>
      <c r="EZ302" s="67" t="s">
        <v>2437</v>
      </c>
      <c r="FA302" s="67">
        <v>19955.5</v>
      </c>
      <c r="FB302" s="67" t="s">
        <v>2438</v>
      </c>
      <c r="FC302" s="67" t="s">
        <v>2439</v>
      </c>
      <c r="FD302" s="67" t="s">
        <v>2440</v>
      </c>
      <c r="FE302" s="68" t="s">
        <v>2441</v>
      </c>
      <c r="FF302" s="68" t="s">
        <v>2442</v>
      </c>
    </row>
    <row r="303" spans="151:162" x14ac:dyDescent="0.2">
      <c r="EU303" s="67">
        <v>563.29</v>
      </c>
      <c r="EV303" s="67" t="s">
        <v>2443</v>
      </c>
      <c r="EW303" s="67">
        <v>485.79</v>
      </c>
      <c r="EX303" s="67" t="s">
        <v>2444</v>
      </c>
      <c r="EY303" s="67">
        <v>5646.75</v>
      </c>
      <c r="EZ303" s="67" t="s">
        <v>2445</v>
      </c>
      <c r="FA303" s="67">
        <v>19956</v>
      </c>
      <c r="FB303" s="67" t="s">
        <v>2446</v>
      </c>
      <c r="FC303" s="67" t="s">
        <v>2447</v>
      </c>
      <c r="FD303" s="67" t="s">
        <v>2448</v>
      </c>
      <c r="FE303" s="68" t="s">
        <v>2449</v>
      </c>
      <c r="FF303" s="68" t="s">
        <v>2450</v>
      </c>
    </row>
    <row r="304" spans="151:162" x14ac:dyDescent="0.2">
      <c r="EU304" s="67">
        <v>563.30999999999995</v>
      </c>
      <c r="EV304" s="67" t="s">
        <v>2451</v>
      </c>
      <c r="EW304" s="67">
        <v>485.91</v>
      </c>
      <c r="EX304" s="67" t="s">
        <v>2452</v>
      </c>
      <c r="EY304" s="67">
        <v>5647.25</v>
      </c>
      <c r="EZ304" s="67" t="s">
        <v>2453</v>
      </c>
      <c r="FA304" s="67">
        <v>19960.75</v>
      </c>
      <c r="FB304" s="67" t="s">
        <v>2454</v>
      </c>
      <c r="FC304" s="67" t="s">
        <v>2455</v>
      </c>
      <c r="FD304" s="67" t="s">
        <v>2456</v>
      </c>
      <c r="FE304" s="68" t="s">
        <v>2457</v>
      </c>
      <c r="FF304" s="68" t="s">
        <v>2458</v>
      </c>
    </row>
    <row r="305" spans="151:162" x14ac:dyDescent="0.2">
      <c r="EU305" s="67">
        <v>563.30999999999995</v>
      </c>
      <c r="EV305" s="67" t="s">
        <v>2459</v>
      </c>
      <c r="EW305" s="67">
        <v>485.92</v>
      </c>
      <c r="EX305" s="67" t="s">
        <v>2460</v>
      </c>
      <c r="EY305" s="67">
        <v>5646.75</v>
      </c>
      <c r="EZ305" s="67" t="s">
        <v>2461</v>
      </c>
      <c r="FA305" s="67">
        <v>19961.25</v>
      </c>
      <c r="FB305" s="67" t="s">
        <v>2462</v>
      </c>
      <c r="FC305" s="67" t="s">
        <v>2463</v>
      </c>
      <c r="FD305" s="67" t="s">
        <v>2464</v>
      </c>
      <c r="FE305" s="68" t="s">
        <v>2465</v>
      </c>
      <c r="FF305" s="68" t="s">
        <v>2466</v>
      </c>
    </row>
    <row r="306" spans="151:162" x14ac:dyDescent="0.2">
      <c r="EU306" s="67">
        <v>563.32000000000005</v>
      </c>
      <c r="EV306" s="67" t="s">
        <v>2467</v>
      </c>
      <c r="EW306" s="67">
        <v>485.92</v>
      </c>
      <c r="EX306" s="67" t="s">
        <v>2468</v>
      </c>
      <c r="EY306" s="67">
        <v>5647</v>
      </c>
      <c r="EZ306" s="67" t="s">
        <v>2469</v>
      </c>
      <c r="FA306" s="67">
        <v>19961.75</v>
      </c>
      <c r="FB306" s="67" t="s">
        <v>2470</v>
      </c>
      <c r="FC306" s="67" t="s">
        <v>2471</v>
      </c>
      <c r="FD306" s="67" t="s">
        <v>2472</v>
      </c>
      <c r="FE306" s="68" t="s">
        <v>2473</v>
      </c>
      <c r="FF306" s="68" t="s">
        <v>2474</v>
      </c>
    </row>
    <row r="307" spans="151:162" x14ac:dyDescent="0.2">
      <c r="EU307" s="67">
        <v>563.27</v>
      </c>
      <c r="EV307" s="67" t="s">
        <v>2475</v>
      </c>
      <c r="EW307" s="67">
        <v>485.8</v>
      </c>
      <c r="EX307" s="67" t="s">
        <v>2476</v>
      </c>
      <c r="EY307" s="67">
        <v>5646.5</v>
      </c>
      <c r="EZ307" s="67" t="s">
        <v>2477</v>
      </c>
      <c r="FA307" s="67">
        <v>19957.75</v>
      </c>
      <c r="FB307" s="67" t="s">
        <v>2478</v>
      </c>
      <c r="FC307" s="67" t="s">
        <v>2479</v>
      </c>
      <c r="FD307" s="67" t="s">
        <v>2480</v>
      </c>
      <c r="FE307" s="68" t="s">
        <v>2481</v>
      </c>
      <c r="FF307" s="68" t="s">
        <v>2482</v>
      </c>
    </row>
    <row r="308" spans="151:162" x14ac:dyDescent="0.2">
      <c r="EU308" s="67">
        <v>563.27</v>
      </c>
      <c r="EV308" s="67" t="s">
        <v>2483</v>
      </c>
      <c r="EW308" s="67">
        <v>485.8</v>
      </c>
      <c r="EX308" s="67" t="s">
        <v>2484</v>
      </c>
      <c r="EY308" s="67">
        <v>5646.5</v>
      </c>
      <c r="EZ308" s="67" t="s">
        <v>2485</v>
      </c>
      <c r="FA308" s="67">
        <v>19959.5</v>
      </c>
      <c r="FB308" s="67" t="s">
        <v>2486</v>
      </c>
      <c r="FC308" s="67" t="s">
        <v>2487</v>
      </c>
      <c r="FD308" s="67" t="s">
        <v>2488</v>
      </c>
      <c r="FE308" s="68" t="s">
        <v>2489</v>
      </c>
      <c r="FF308" s="68" t="s">
        <v>2490</v>
      </c>
    </row>
    <row r="309" spans="151:162" x14ac:dyDescent="0.2">
      <c r="EU309" s="67">
        <v>563.30999999999995</v>
      </c>
      <c r="EV309" s="67" t="s">
        <v>2491</v>
      </c>
      <c r="EW309" s="67">
        <v>485.92</v>
      </c>
      <c r="EX309" s="67" t="s">
        <v>2492</v>
      </c>
      <c r="EY309" s="67">
        <v>5647</v>
      </c>
      <c r="EZ309" s="67" t="s">
        <v>2493</v>
      </c>
      <c r="FA309" s="67">
        <v>19961.75</v>
      </c>
      <c r="FB309" s="67" t="s">
        <v>2494</v>
      </c>
      <c r="FC309" s="67" t="s">
        <v>2495</v>
      </c>
      <c r="FD309" s="67" t="s">
        <v>2496</v>
      </c>
      <c r="FE309" s="68" t="s">
        <v>2497</v>
      </c>
      <c r="FF309" s="68" t="s">
        <v>2498</v>
      </c>
    </row>
    <row r="310" spans="151:162" x14ac:dyDescent="0.2">
      <c r="EU310" s="67">
        <v>563.41</v>
      </c>
      <c r="EV310" s="67" t="s">
        <v>2499</v>
      </c>
      <c r="EW310" s="67">
        <v>486.01</v>
      </c>
      <c r="EX310" s="67" t="s">
        <v>2500</v>
      </c>
      <c r="EY310" s="67">
        <v>5648</v>
      </c>
      <c r="EZ310" s="67" t="s">
        <v>2501</v>
      </c>
      <c r="FA310" s="67">
        <v>19965.75</v>
      </c>
      <c r="FB310" s="67" t="s">
        <v>2502</v>
      </c>
      <c r="FC310" s="67" t="s">
        <v>2503</v>
      </c>
      <c r="FD310" s="67" t="s">
        <v>2504</v>
      </c>
      <c r="FE310" s="68" t="s">
        <v>2505</v>
      </c>
      <c r="FF310" s="68" t="s">
        <v>2506</v>
      </c>
    </row>
    <row r="311" spans="151:162" x14ac:dyDescent="0.2">
      <c r="EU311" s="67">
        <v>563.38</v>
      </c>
      <c r="EV311" s="67" t="s">
        <v>2507</v>
      </c>
      <c r="EW311" s="67">
        <v>485.99</v>
      </c>
      <c r="EX311" s="67" t="s">
        <v>2508</v>
      </c>
      <c r="EY311" s="67">
        <v>5647.75</v>
      </c>
      <c r="EZ311" s="67" t="s">
        <v>2509</v>
      </c>
      <c r="FA311" s="67">
        <v>19963.75</v>
      </c>
      <c r="FB311" s="67" t="s">
        <v>2510</v>
      </c>
      <c r="FC311" s="67" t="s">
        <v>2511</v>
      </c>
      <c r="FD311" s="67" t="s">
        <v>2512</v>
      </c>
      <c r="FE311" s="68" t="s">
        <v>2513</v>
      </c>
      <c r="FF311" s="68" t="s">
        <v>2514</v>
      </c>
    </row>
    <row r="312" spans="151:162" x14ac:dyDescent="0.2">
      <c r="EU312" s="67">
        <v>563.36</v>
      </c>
      <c r="EV312" s="67" t="s">
        <v>2515</v>
      </c>
      <c r="EW312" s="67">
        <v>485.95</v>
      </c>
      <c r="EX312" s="67" t="s">
        <v>2516</v>
      </c>
      <c r="EY312" s="67">
        <v>5647.5</v>
      </c>
      <c r="EZ312" s="67" t="s">
        <v>2517</v>
      </c>
      <c r="FA312" s="67">
        <v>19962.5</v>
      </c>
      <c r="FB312" s="67" t="s">
        <v>2518</v>
      </c>
      <c r="FC312" s="67" t="s">
        <v>2519</v>
      </c>
      <c r="FD312" s="67" t="s">
        <v>2520</v>
      </c>
      <c r="FE312" s="68" t="s">
        <v>2521</v>
      </c>
      <c r="FF312" s="68" t="s">
        <v>2522</v>
      </c>
    </row>
    <row r="313" spans="151:162" x14ac:dyDescent="0.2">
      <c r="EU313" s="67">
        <v>563.41999999999996</v>
      </c>
      <c r="EV313" s="67" t="s">
        <v>2523</v>
      </c>
      <c r="EW313" s="67">
        <v>485.95</v>
      </c>
      <c r="EX313" s="67" t="s">
        <v>2524</v>
      </c>
      <c r="EY313" s="67">
        <v>5648</v>
      </c>
      <c r="EZ313" s="67" t="s">
        <v>2525</v>
      </c>
      <c r="FA313" s="67">
        <v>19962.5</v>
      </c>
      <c r="FB313" s="67" t="s">
        <v>2526</v>
      </c>
      <c r="FC313" s="67" t="s">
        <v>2527</v>
      </c>
      <c r="FD313" s="67" t="s">
        <v>2528</v>
      </c>
      <c r="FE313" s="68" t="s">
        <v>2529</v>
      </c>
      <c r="FF313" s="68" t="s">
        <v>2530</v>
      </c>
    </row>
    <row r="314" spans="151:162" x14ac:dyDescent="0.2">
      <c r="EU314" s="67">
        <v>563.4</v>
      </c>
      <c r="EV314" s="67" t="s">
        <v>2531</v>
      </c>
      <c r="EW314" s="67">
        <v>485.92</v>
      </c>
      <c r="EX314" s="67" t="s">
        <v>2532</v>
      </c>
      <c r="EY314" s="67">
        <v>5648</v>
      </c>
      <c r="EZ314" s="67" t="s">
        <v>2533</v>
      </c>
      <c r="FA314" s="67">
        <v>19961.75</v>
      </c>
      <c r="FB314" s="67" t="s">
        <v>2534</v>
      </c>
      <c r="FC314" s="67" t="s">
        <v>2535</v>
      </c>
      <c r="FD314" s="67" t="s">
        <v>2536</v>
      </c>
      <c r="FE314" s="68" t="s">
        <v>2537</v>
      </c>
      <c r="FF314" s="68" t="s">
        <v>2538</v>
      </c>
    </row>
    <row r="315" spans="151:162" x14ac:dyDescent="0.2">
      <c r="EU315" s="67">
        <v>563.29</v>
      </c>
      <c r="EV315" s="67" t="s">
        <v>2539</v>
      </c>
      <c r="EW315" s="67">
        <v>485.76</v>
      </c>
      <c r="EX315" s="67" t="s">
        <v>2540</v>
      </c>
      <c r="EY315" s="67">
        <v>5646.5</v>
      </c>
      <c r="EZ315" s="67" t="s">
        <v>2541</v>
      </c>
      <c r="FA315" s="67">
        <v>19954.75</v>
      </c>
      <c r="FB315" s="67" t="s">
        <v>2542</v>
      </c>
      <c r="FC315" s="67" t="s">
        <v>2543</v>
      </c>
      <c r="FD315" s="67" t="s">
        <v>2544</v>
      </c>
      <c r="FE315" s="68" t="s">
        <v>2545</v>
      </c>
      <c r="FF315" s="68" t="s">
        <v>2546</v>
      </c>
    </row>
    <row r="316" spans="151:162" x14ac:dyDescent="0.2">
      <c r="EU316" s="67">
        <v>562.94000000000005</v>
      </c>
      <c r="EV316" s="67" t="s">
        <v>2547</v>
      </c>
      <c r="EW316" s="67">
        <v>485.46</v>
      </c>
      <c r="EX316" s="67" t="s">
        <v>2548</v>
      </c>
      <c r="EY316" s="67">
        <v>5643</v>
      </c>
      <c r="EZ316" s="67" t="s">
        <v>2549</v>
      </c>
      <c r="FA316" s="67">
        <v>19942.25</v>
      </c>
      <c r="FB316" s="67" t="s">
        <v>2550</v>
      </c>
      <c r="FC316" s="67" t="s">
        <v>2551</v>
      </c>
      <c r="FD316" s="67" t="s">
        <v>2552</v>
      </c>
      <c r="FE316" s="68" t="s">
        <v>2553</v>
      </c>
      <c r="FF316" s="68" t="s">
        <v>2554</v>
      </c>
    </row>
    <row r="317" spans="151:162" x14ac:dyDescent="0.2">
      <c r="EU317" s="67">
        <v>562.92999999999995</v>
      </c>
      <c r="EV317" s="67" t="s">
        <v>2555</v>
      </c>
      <c r="EW317" s="67">
        <v>485.46</v>
      </c>
      <c r="EX317" s="67" t="s">
        <v>2556</v>
      </c>
      <c r="EY317" s="67">
        <v>5643</v>
      </c>
      <c r="EZ317" s="67" t="s">
        <v>2557</v>
      </c>
      <c r="FA317" s="67">
        <v>19942</v>
      </c>
      <c r="FB317" s="67" t="s">
        <v>2558</v>
      </c>
      <c r="FC317" s="67" t="s">
        <v>2559</v>
      </c>
      <c r="FD317" s="67" t="s">
        <v>2560</v>
      </c>
      <c r="FE317" s="68" t="s">
        <v>2561</v>
      </c>
      <c r="FF317" s="68" t="s">
        <v>2562</v>
      </c>
    </row>
    <row r="318" spans="151:162" x14ac:dyDescent="0.2">
      <c r="EU318" s="67">
        <v>562.91</v>
      </c>
      <c r="EV318" s="67" t="s">
        <v>2563</v>
      </c>
      <c r="EW318" s="67">
        <v>485.48</v>
      </c>
      <c r="EX318" s="67" t="s">
        <v>2564</v>
      </c>
      <c r="EY318" s="67">
        <v>5642.75</v>
      </c>
      <c r="EZ318" s="67" t="s">
        <v>2565</v>
      </c>
      <c r="FA318" s="67">
        <v>19943</v>
      </c>
      <c r="FB318" s="67" t="s">
        <v>2566</v>
      </c>
      <c r="FC318" s="67" t="s">
        <v>2567</v>
      </c>
      <c r="FD318" s="67" t="s">
        <v>2568</v>
      </c>
      <c r="FE318" s="68" t="s">
        <v>2569</v>
      </c>
      <c r="FF318" s="68" t="s">
        <v>2570</v>
      </c>
    </row>
    <row r="319" spans="151:162" x14ac:dyDescent="0.2">
      <c r="EU319" s="67">
        <v>562.92999999999995</v>
      </c>
      <c r="EV319" s="67" t="s">
        <v>2571</v>
      </c>
      <c r="EW319" s="67">
        <v>485.51</v>
      </c>
      <c r="EX319" s="67" t="s">
        <v>2572</v>
      </c>
      <c r="EY319" s="67">
        <v>5643</v>
      </c>
      <c r="EZ319" s="67" t="s">
        <v>2573</v>
      </c>
      <c r="FA319" s="67">
        <v>19944.75</v>
      </c>
      <c r="FB319" s="67" t="s">
        <v>2574</v>
      </c>
      <c r="FC319" s="67" t="s">
        <v>2575</v>
      </c>
      <c r="FD319" s="67" t="s">
        <v>2576</v>
      </c>
      <c r="FE319" s="68" t="s">
        <v>2577</v>
      </c>
      <c r="FF319" s="68" t="s">
        <v>2578</v>
      </c>
    </row>
    <row r="320" spans="151:162" x14ac:dyDescent="0.2">
      <c r="EU320" s="67">
        <v>563.13</v>
      </c>
      <c r="EV320" s="67" t="s">
        <v>2579</v>
      </c>
      <c r="EW320" s="67">
        <v>485.75</v>
      </c>
      <c r="EX320" s="67" t="s">
        <v>2580</v>
      </c>
      <c r="EY320" s="67">
        <v>5645.25</v>
      </c>
      <c r="EZ320" s="67" t="s">
        <v>2581</v>
      </c>
      <c r="FA320" s="67">
        <v>19954.25</v>
      </c>
      <c r="FB320" s="67" t="s">
        <v>2582</v>
      </c>
      <c r="FC320" s="67" t="s">
        <v>2583</v>
      </c>
      <c r="FD320" s="67" t="s">
        <v>2584</v>
      </c>
      <c r="FE320" s="68" t="s">
        <v>2585</v>
      </c>
      <c r="FF320" s="68" t="s">
        <v>2586</v>
      </c>
    </row>
    <row r="321" spans="151:162" x14ac:dyDescent="0.2">
      <c r="EU321" s="67">
        <v>563.26</v>
      </c>
      <c r="EV321" s="67" t="s">
        <v>2587</v>
      </c>
      <c r="EW321" s="67">
        <v>485.87</v>
      </c>
      <c r="EX321" s="67" t="s">
        <v>2588</v>
      </c>
      <c r="EY321" s="67">
        <v>5646.25</v>
      </c>
      <c r="EZ321" s="67" t="s">
        <v>2589</v>
      </c>
      <c r="FA321" s="67">
        <v>19959.5</v>
      </c>
      <c r="FB321" s="67" t="s">
        <v>2590</v>
      </c>
      <c r="FC321" s="67" t="s">
        <v>2591</v>
      </c>
      <c r="FD321" s="67" t="s">
        <v>2592</v>
      </c>
      <c r="FE321" s="68" t="s">
        <v>2593</v>
      </c>
      <c r="FF321" s="68" t="s">
        <v>2594</v>
      </c>
    </row>
    <row r="322" spans="151:162" x14ac:dyDescent="0.2">
      <c r="EU322" s="67">
        <v>563.23</v>
      </c>
      <c r="EV322" s="67" t="s">
        <v>2595</v>
      </c>
      <c r="EW322" s="67">
        <v>485.81</v>
      </c>
      <c r="EX322" s="67" t="s">
        <v>2596</v>
      </c>
      <c r="EY322" s="67">
        <v>5646</v>
      </c>
      <c r="EZ322" s="67" t="s">
        <v>2597</v>
      </c>
      <c r="FA322" s="67">
        <v>19956.25</v>
      </c>
      <c r="FB322" s="67" t="s">
        <v>2598</v>
      </c>
      <c r="FC322" s="67" t="s">
        <v>2599</v>
      </c>
      <c r="FD322" s="67" t="s">
        <v>2600</v>
      </c>
      <c r="FE322" s="68" t="s">
        <v>2601</v>
      </c>
      <c r="FF322" s="68" t="s">
        <v>2602</v>
      </c>
    </row>
    <row r="323" spans="151:162" x14ac:dyDescent="0.2">
      <c r="EU323" s="67">
        <v>563.41999999999996</v>
      </c>
      <c r="EV323" s="67" t="s">
        <v>2603</v>
      </c>
      <c r="EW323" s="67">
        <v>485.91</v>
      </c>
      <c r="EX323" s="67" t="s">
        <v>2604</v>
      </c>
      <c r="EY323" s="67">
        <v>5648</v>
      </c>
      <c r="EZ323" s="67" t="s">
        <v>2605</v>
      </c>
      <c r="FA323" s="67">
        <v>19962</v>
      </c>
      <c r="FB323" s="67" t="s">
        <v>2606</v>
      </c>
      <c r="FC323" s="67" t="s">
        <v>2607</v>
      </c>
      <c r="FD323" s="67" t="s">
        <v>2608</v>
      </c>
      <c r="FE323" s="68" t="s">
        <v>2609</v>
      </c>
      <c r="FF323" s="68" t="s">
        <v>2610</v>
      </c>
    </row>
    <row r="324" spans="151:162" x14ac:dyDescent="0.2">
      <c r="EU324" s="67">
        <v>563.39</v>
      </c>
      <c r="EV324" s="67" t="s">
        <v>2611</v>
      </c>
      <c r="EW324" s="67">
        <v>485.91</v>
      </c>
      <c r="EX324" s="67" t="s">
        <v>2612</v>
      </c>
      <c r="EY324" s="67">
        <v>5647.75</v>
      </c>
      <c r="EZ324" s="67" t="s">
        <v>2613</v>
      </c>
      <c r="FA324" s="67">
        <v>19961</v>
      </c>
      <c r="FB324" s="67" t="s">
        <v>2614</v>
      </c>
      <c r="FC324" s="67" t="s">
        <v>2615</v>
      </c>
      <c r="FD324" s="67" t="s">
        <v>2616</v>
      </c>
      <c r="FE324" s="68" t="s">
        <v>2617</v>
      </c>
      <c r="FF324" s="68" t="s">
        <v>2618</v>
      </c>
    </row>
    <row r="325" spans="151:162" x14ac:dyDescent="0.2">
      <c r="EU325" s="67">
        <v>563.44000000000005</v>
      </c>
      <c r="EV325" s="67" t="s">
        <v>2619</v>
      </c>
      <c r="EW325" s="67">
        <v>485.93</v>
      </c>
      <c r="EX325" s="67" t="s">
        <v>2620</v>
      </c>
      <c r="EY325" s="67">
        <v>5648</v>
      </c>
      <c r="EZ325" s="67" t="s">
        <v>2621</v>
      </c>
      <c r="FA325" s="67">
        <v>19962</v>
      </c>
      <c r="FB325" s="67" t="s">
        <v>2622</v>
      </c>
      <c r="FC325" s="67" t="s">
        <v>2623</v>
      </c>
      <c r="FD325" s="67" t="s">
        <v>2624</v>
      </c>
      <c r="FE325" s="68" t="s">
        <v>2625</v>
      </c>
      <c r="FF325" s="68" t="s">
        <v>2626</v>
      </c>
    </row>
    <row r="326" spans="151:162" x14ac:dyDescent="0.2">
      <c r="EU326" s="67">
        <v>563.17999999999995</v>
      </c>
      <c r="EV326" s="67" t="s">
        <v>2627</v>
      </c>
      <c r="EW326" s="67">
        <v>485.72</v>
      </c>
      <c r="EX326" s="67" t="s">
        <v>2628</v>
      </c>
      <c r="EY326" s="67">
        <v>5645.5</v>
      </c>
      <c r="EZ326" s="67" t="s">
        <v>2629</v>
      </c>
      <c r="FA326" s="67">
        <v>19952.75</v>
      </c>
      <c r="FB326" s="67" t="s">
        <v>2630</v>
      </c>
      <c r="FC326" s="67" t="s">
        <v>2631</v>
      </c>
      <c r="FD326" s="67" t="s">
        <v>2632</v>
      </c>
      <c r="FE326" s="68" t="s">
        <v>2633</v>
      </c>
      <c r="FF326" s="68" t="s">
        <v>2634</v>
      </c>
    </row>
    <row r="327" spans="151:162" x14ac:dyDescent="0.2">
      <c r="EU327" s="67">
        <v>563.22</v>
      </c>
      <c r="EV327" s="67" t="s">
        <v>2635</v>
      </c>
      <c r="EW327" s="67">
        <v>485.79</v>
      </c>
      <c r="EX327" s="67" t="s">
        <v>2636</v>
      </c>
      <c r="EY327" s="67">
        <v>5646</v>
      </c>
      <c r="EZ327" s="67" t="s">
        <v>2637</v>
      </c>
      <c r="FA327" s="67">
        <v>19956.25</v>
      </c>
      <c r="FB327" s="67" t="s">
        <v>2638</v>
      </c>
      <c r="FC327" s="67" t="s">
        <v>2639</v>
      </c>
      <c r="FD327" s="67" t="s">
        <v>2640</v>
      </c>
      <c r="FE327" s="68" t="s">
        <v>2641</v>
      </c>
      <c r="FF327" s="68" t="s">
        <v>2642</v>
      </c>
    </row>
    <row r="328" spans="151:162" x14ac:dyDescent="0.2">
      <c r="EU328" s="67">
        <v>563.26</v>
      </c>
      <c r="EV328" s="67" t="s">
        <v>2643</v>
      </c>
      <c r="EW328" s="67">
        <v>485.86</v>
      </c>
      <c r="EX328" s="67" t="s">
        <v>2644</v>
      </c>
      <c r="EY328" s="67">
        <v>5646.5</v>
      </c>
      <c r="EZ328" s="67" t="s">
        <v>2645</v>
      </c>
      <c r="FA328" s="67">
        <v>19958.25</v>
      </c>
      <c r="FB328" s="67" t="s">
        <v>2646</v>
      </c>
      <c r="FC328" s="67" t="s">
        <v>2647</v>
      </c>
      <c r="FD328" s="67" t="s">
        <v>2648</v>
      </c>
      <c r="FE328" s="68" t="s">
        <v>2649</v>
      </c>
      <c r="FF328" s="68" t="s">
        <v>2650</v>
      </c>
    </row>
    <row r="329" spans="151:162" x14ac:dyDescent="0.2">
      <c r="EU329" s="67">
        <v>563.14</v>
      </c>
      <c r="EV329" s="67" t="s">
        <v>2651</v>
      </c>
      <c r="EW329" s="67">
        <v>485.73</v>
      </c>
      <c r="EX329" s="67" t="s">
        <v>2652</v>
      </c>
      <c r="EY329" s="67">
        <v>5645</v>
      </c>
      <c r="EZ329" s="67" t="s">
        <v>2653</v>
      </c>
      <c r="FA329" s="67">
        <v>19953.75</v>
      </c>
      <c r="FB329" s="67" t="s">
        <v>2654</v>
      </c>
      <c r="FC329" s="67" t="s">
        <v>2655</v>
      </c>
      <c r="FD329" s="67" t="s">
        <v>2656</v>
      </c>
      <c r="FE329" s="68" t="s">
        <v>2657</v>
      </c>
      <c r="FF329" s="68" t="s">
        <v>2658</v>
      </c>
    </row>
    <row r="330" spans="151:162" x14ac:dyDescent="0.2">
      <c r="EU330" s="67">
        <v>563.25</v>
      </c>
      <c r="EV330" s="67" t="s">
        <v>2659</v>
      </c>
      <c r="EW330" s="67">
        <v>485.85</v>
      </c>
      <c r="EX330" s="67" t="s">
        <v>2660</v>
      </c>
      <c r="EY330" s="67">
        <v>5646.5</v>
      </c>
      <c r="EZ330" s="67" t="s">
        <v>2661</v>
      </c>
      <c r="FA330" s="67">
        <v>19959</v>
      </c>
      <c r="FB330" s="67" t="s">
        <v>2662</v>
      </c>
      <c r="FC330" s="67" t="s">
        <v>2663</v>
      </c>
      <c r="FD330" s="67" t="s">
        <v>2664</v>
      </c>
      <c r="FE330" s="68" t="s">
        <v>2665</v>
      </c>
      <c r="FF330" s="68" t="s">
        <v>2666</v>
      </c>
    </row>
    <row r="331" spans="151:162" x14ac:dyDescent="0.2">
      <c r="EU331" s="67">
        <v>563.32000000000005</v>
      </c>
      <c r="EV331" s="67" t="s">
        <v>2667</v>
      </c>
      <c r="EW331" s="67">
        <v>485.9</v>
      </c>
      <c r="EX331" s="67" t="s">
        <v>2668</v>
      </c>
      <c r="EY331" s="67">
        <v>5647.25</v>
      </c>
      <c r="EZ331" s="67" t="s">
        <v>2669</v>
      </c>
      <c r="FA331" s="67">
        <v>19961</v>
      </c>
      <c r="FB331" s="67" t="s">
        <v>2670</v>
      </c>
      <c r="FC331" s="67" t="s">
        <v>2671</v>
      </c>
      <c r="FD331" s="67" t="s">
        <v>2672</v>
      </c>
      <c r="FE331" s="68" t="s">
        <v>2673</v>
      </c>
      <c r="FF331" s="68" t="s">
        <v>2674</v>
      </c>
    </row>
    <row r="332" spans="151:162" x14ac:dyDescent="0.2">
      <c r="EU332" s="67">
        <v>563.34</v>
      </c>
      <c r="EV332" s="67" t="s">
        <v>2675</v>
      </c>
      <c r="EW332" s="67">
        <v>485.89</v>
      </c>
      <c r="EX332" s="67" t="s">
        <v>2676</v>
      </c>
      <c r="EY332" s="67">
        <v>5647</v>
      </c>
      <c r="EZ332" s="67" t="s">
        <v>2677</v>
      </c>
      <c r="FA332" s="67">
        <v>19961</v>
      </c>
      <c r="FB332" s="67" t="s">
        <v>2678</v>
      </c>
      <c r="FC332" s="67" t="s">
        <v>2679</v>
      </c>
      <c r="FD332" s="67" t="s">
        <v>2680</v>
      </c>
      <c r="FE332" s="68" t="s">
        <v>2681</v>
      </c>
      <c r="FF332" s="68" t="s">
        <v>2682</v>
      </c>
    </row>
    <row r="333" spans="151:162" x14ac:dyDescent="0.2">
      <c r="EU333" s="67">
        <v>563.47</v>
      </c>
      <c r="EV333" s="67" t="s">
        <v>2683</v>
      </c>
      <c r="EW333" s="67">
        <v>485.95</v>
      </c>
      <c r="EX333" s="67" t="s">
        <v>2684</v>
      </c>
      <c r="EY333" s="67">
        <v>5648.5</v>
      </c>
      <c r="EZ333" s="67" t="s">
        <v>2685</v>
      </c>
      <c r="FA333" s="67">
        <v>19966.25</v>
      </c>
      <c r="FB333" s="67" t="s">
        <v>2686</v>
      </c>
      <c r="FC333" s="67" t="s">
        <v>2687</v>
      </c>
      <c r="FD333" s="67" t="s">
        <v>2688</v>
      </c>
      <c r="FE333" s="68" t="s">
        <v>2689</v>
      </c>
      <c r="FF333" s="68" t="s">
        <v>2690</v>
      </c>
    </row>
    <row r="334" spans="151:162" x14ac:dyDescent="0.2">
      <c r="EU334" s="67">
        <v>563.41999999999996</v>
      </c>
      <c r="EV334" s="67" t="s">
        <v>2691</v>
      </c>
      <c r="EW334" s="67">
        <v>485.98</v>
      </c>
      <c r="EX334" s="67" t="s">
        <v>2692</v>
      </c>
      <c r="EY334" s="67">
        <v>5648</v>
      </c>
      <c r="EZ334" s="67" t="s">
        <v>2693</v>
      </c>
      <c r="FA334" s="67">
        <v>19965</v>
      </c>
      <c r="FB334" s="67" t="s">
        <v>2694</v>
      </c>
      <c r="FC334" s="67" t="s">
        <v>2695</v>
      </c>
      <c r="FD334" s="67" t="s">
        <v>2696</v>
      </c>
      <c r="FE334" s="68" t="s">
        <v>2697</v>
      </c>
      <c r="FF334" s="68" t="s">
        <v>2698</v>
      </c>
    </row>
    <row r="335" spans="151:162" x14ac:dyDescent="0.2">
      <c r="EU335" s="67">
        <v>563.33000000000004</v>
      </c>
      <c r="EV335" s="67" t="s">
        <v>2699</v>
      </c>
      <c r="EW335" s="67">
        <v>485.93</v>
      </c>
      <c r="EX335" s="67" t="s">
        <v>2700</v>
      </c>
      <c r="EY335" s="67">
        <v>5647</v>
      </c>
      <c r="EZ335" s="67" t="s">
        <v>2701</v>
      </c>
      <c r="FA335" s="67">
        <v>19961.75</v>
      </c>
      <c r="FB335" s="67" t="s">
        <v>2702</v>
      </c>
      <c r="FC335" s="67" t="s">
        <v>2703</v>
      </c>
      <c r="FD335" s="67" t="s">
        <v>2704</v>
      </c>
      <c r="FE335" s="68" t="s">
        <v>2705</v>
      </c>
      <c r="FF335" s="68" t="s">
        <v>2706</v>
      </c>
    </row>
    <row r="336" spans="151:162" x14ac:dyDescent="0.2">
      <c r="EU336" s="67">
        <v>563.32000000000005</v>
      </c>
      <c r="EV336" s="67" t="s">
        <v>2707</v>
      </c>
      <c r="EW336" s="67">
        <v>485.92</v>
      </c>
      <c r="EX336" s="67" t="s">
        <v>2708</v>
      </c>
      <c r="EY336" s="67">
        <v>5647</v>
      </c>
      <c r="EZ336" s="67" t="s">
        <v>2709</v>
      </c>
      <c r="FA336" s="67">
        <v>19961.25</v>
      </c>
      <c r="FB336" s="67" t="s">
        <v>2710</v>
      </c>
      <c r="FC336" s="67" t="s">
        <v>2711</v>
      </c>
      <c r="FD336" s="67" t="s">
        <v>2712</v>
      </c>
      <c r="FE336" s="68" t="s">
        <v>2713</v>
      </c>
      <c r="FF336" s="68" t="s">
        <v>2714</v>
      </c>
    </row>
    <row r="337" spans="151:162" x14ac:dyDescent="0.2">
      <c r="EU337" s="67">
        <v>563.04999999999995</v>
      </c>
      <c r="EV337" s="67" t="s">
        <v>2715</v>
      </c>
      <c r="EW337" s="67">
        <v>485.57</v>
      </c>
      <c r="EX337" s="67" t="s">
        <v>2716</v>
      </c>
      <c r="EY337" s="67">
        <v>5644</v>
      </c>
      <c r="EZ337" s="67" t="s">
        <v>2717</v>
      </c>
      <c r="FA337" s="67">
        <v>19947</v>
      </c>
      <c r="FB337" s="67" t="s">
        <v>2718</v>
      </c>
      <c r="FC337" s="67" t="s">
        <v>2719</v>
      </c>
      <c r="FD337" s="67" t="s">
        <v>2720</v>
      </c>
      <c r="FE337" s="68" t="s">
        <v>2721</v>
      </c>
      <c r="FF337" s="68" t="s">
        <v>2722</v>
      </c>
    </row>
    <row r="338" spans="151:162" x14ac:dyDescent="0.2">
      <c r="EU338" s="67">
        <v>563.20000000000005</v>
      </c>
      <c r="EV338" s="67" t="s">
        <v>2723</v>
      </c>
      <c r="EW338" s="67">
        <v>485.75</v>
      </c>
      <c r="EX338" s="67" t="s">
        <v>2724</v>
      </c>
      <c r="EY338" s="67">
        <v>5645.5</v>
      </c>
      <c r="EZ338" s="67" t="s">
        <v>2725</v>
      </c>
      <c r="FA338" s="67">
        <v>19955</v>
      </c>
      <c r="FB338" s="67" t="s">
        <v>2726</v>
      </c>
      <c r="FC338" s="67" t="s">
        <v>2727</v>
      </c>
      <c r="FD338" s="67" t="s">
        <v>2728</v>
      </c>
      <c r="FE338" s="68" t="s">
        <v>2729</v>
      </c>
      <c r="FF338" s="68" t="s">
        <v>2730</v>
      </c>
    </row>
    <row r="339" spans="151:162" x14ac:dyDescent="0.2">
      <c r="EU339" s="67">
        <v>563.16999999999996</v>
      </c>
      <c r="EV339" s="67" t="s">
        <v>2731</v>
      </c>
      <c r="EW339" s="67">
        <v>485.74</v>
      </c>
      <c r="EX339" s="67" t="s">
        <v>2732</v>
      </c>
      <c r="EY339" s="67">
        <v>5645.5</v>
      </c>
      <c r="EZ339" s="67" t="s">
        <v>2733</v>
      </c>
      <c r="FA339" s="67">
        <v>19954</v>
      </c>
      <c r="FB339" s="67" t="s">
        <v>2734</v>
      </c>
      <c r="FC339" s="67" t="s">
        <v>2735</v>
      </c>
      <c r="FD339" s="67" t="s">
        <v>2736</v>
      </c>
      <c r="FE339" s="68" t="s">
        <v>2737</v>
      </c>
      <c r="FF339" s="68" t="s">
        <v>2738</v>
      </c>
    </row>
    <row r="340" spans="151:162" x14ac:dyDescent="0.2">
      <c r="EU340" s="67">
        <v>563.26</v>
      </c>
      <c r="EV340" s="67" t="s">
        <v>2739</v>
      </c>
      <c r="EW340" s="67">
        <v>485.87</v>
      </c>
      <c r="EX340" s="67" t="s">
        <v>2740</v>
      </c>
      <c r="EY340" s="67">
        <v>5646.5</v>
      </c>
      <c r="EZ340" s="67" t="s">
        <v>2741</v>
      </c>
      <c r="FA340" s="67">
        <v>19959.75</v>
      </c>
      <c r="FB340" s="67" t="s">
        <v>2742</v>
      </c>
      <c r="FC340" s="67" t="s">
        <v>2743</v>
      </c>
      <c r="FD340" s="67" t="s">
        <v>2744</v>
      </c>
      <c r="FE340" s="68" t="s">
        <v>2745</v>
      </c>
      <c r="FF340" s="68" t="s">
        <v>2746</v>
      </c>
    </row>
    <row r="341" spans="151:162" x14ac:dyDescent="0.2">
      <c r="EU341" s="67">
        <v>563.29</v>
      </c>
      <c r="EV341" s="67" t="s">
        <v>2747</v>
      </c>
      <c r="EW341" s="67">
        <v>485.87</v>
      </c>
      <c r="EX341" s="67" t="s">
        <v>2748</v>
      </c>
      <c r="EY341" s="67">
        <v>5646.75</v>
      </c>
      <c r="EZ341" s="67" t="s">
        <v>2749</v>
      </c>
      <c r="FA341" s="67">
        <v>19959.25</v>
      </c>
      <c r="FB341" s="67" t="s">
        <v>2750</v>
      </c>
      <c r="FC341" s="67" t="s">
        <v>2751</v>
      </c>
      <c r="FD341" s="67" t="s">
        <v>2752</v>
      </c>
      <c r="FE341" s="68" t="s">
        <v>2753</v>
      </c>
      <c r="FF341" s="68" t="s">
        <v>2754</v>
      </c>
    </row>
    <row r="342" spans="151:162" x14ac:dyDescent="0.2">
      <c r="EU342" s="67">
        <v>563.28</v>
      </c>
      <c r="EV342" s="67" t="s">
        <v>2755</v>
      </c>
      <c r="EW342" s="67">
        <v>485.83</v>
      </c>
      <c r="EX342" s="67" t="s">
        <v>2756</v>
      </c>
      <c r="EY342" s="67">
        <v>5646.75</v>
      </c>
      <c r="EZ342" s="67" t="s">
        <v>2757</v>
      </c>
      <c r="FA342" s="67">
        <v>19958</v>
      </c>
      <c r="FB342" s="67" t="s">
        <v>2758</v>
      </c>
      <c r="FC342" s="67" t="s">
        <v>2759</v>
      </c>
      <c r="FD342" s="67" t="s">
        <v>2760</v>
      </c>
      <c r="FE342" s="68" t="s">
        <v>2761</v>
      </c>
      <c r="FF342" s="68" t="s">
        <v>2762</v>
      </c>
    </row>
    <row r="343" spans="151:162" x14ac:dyDescent="0.2">
      <c r="EU343" s="67">
        <v>563.36</v>
      </c>
      <c r="EV343" s="67" t="s">
        <v>2763</v>
      </c>
      <c r="EW343" s="67">
        <v>485.92</v>
      </c>
      <c r="EX343" s="67" t="s">
        <v>2764</v>
      </c>
      <c r="EY343" s="67">
        <v>5647.5</v>
      </c>
      <c r="EZ343" s="67" t="s">
        <v>2765</v>
      </c>
      <c r="FA343" s="67">
        <v>19961</v>
      </c>
      <c r="FB343" s="67" t="s">
        <v>2766</v>
      </c>
      <c r="FC343" s="67" t="s">
        <v>2767</v>
      </c>
      <c r="FD343" s="67" t="s">
        <v>2768</v>
      </c>
      <c r="FE343" s="68" t="s">
        <v>2769</v>
      </c>
      <c r="FF343" s="68" t="s">
        <v>2770</v>
      </c>
    </row>
    <row r="344" spans="151:162" x14ac:dyDescent="0.2">
      <c r="EU344" s="67">
        <v>563.24</v>
      </c>
      <c r="EV344" s="67" t="s">
        <v>2771</v>
      </c>
      <c r="EW344" s="67">
        <v>485.74</v>
      </c>
      <c r="EX344" s="67" t="s">
        <v>2772</v>
      </c>
      <c r="EY344" s="67">
        <v>5646.25</v>
      </c>
      <c r="EZ344" s="67" t="s">
        <v>2773</v>
      </c>
      <c r="FA344" s="67">
        <v>19953.5</v>
      </c>
      <c r="FB344" s="67" t="s">
        <v>2774</v>
      </c>
      <c r="FC344" s="67" t="s">
        <v>2775</v>
      </c>
      <c r="FD344" s="67" t="s">
        <v>2776</v>
      </c>
      <c r="FE344" s="68" t="s">
        <v>2777</v>
      </c>
      <c r="FF344" s="68" t="s">
        <v>2778</v>
      </c>
    </row>
    <row r="345" spans="151:162" x14ac:dyDescent="0.2">
      <c r="EU345" s="67">
        <v>563.30999999999995</v>
      </c>
      <c r="EV345" s="67" t="s">
        <v>2779</v>
      </c>
      <c r="EW345" s="67">
        <v>485.87</v>
      </c>
      <c r="EX345" s="67" t="s">
        <v>2780</v>
      </c>
      <c r="EY345" s="67">
        <v>5646.5</v>
      </c>
      <c r="EZ345" s="67" t="s">
        <v>2781</v>
      </c>
      <c r="FA345" s="67">
        <v>19953.75</v>
      </c>
      <c r="FB345" s="67" t="s">
        <v>2782</v>
      </c>
      <c r="FC345" s="67" t="s">
        <v>2783</v>
      </c>
      <c r="FD345" s="67" t="s">
        <v>2784</v>
      </c>
      <c r="FE345" s="68" t="s">
        <v>2785</v>
      </c>
      <c r="FF345" s="68" t="s">
        <v>2786</v>
      </c>
    </row>
    <row r="346" spans="151:162" x14ac:dyDescent="0.2">
      <c r="EU346" s="67">
        <v>563.34</v>
      </c>
      <c r="EV346" s="67" t="s">
        <v>2787</v>
      </c>
      <c r="EW346" s="67">
        <v>485.97</v>
      </c>
      <c r="EX346" s="67" t="s">
        <v>2788</v>
      </c>
      <c r="EY346" s="67">
        <v>5647.5</v>
      </c>
      <c r="EZ346" s="67" t="s">
        <v>2789</v>
      </c>
      <c r="FA346" s="67">
        <v>19963.5</v>
      </c>
      <c r="FB346" s="67" t="s">
        <v>2790</v>
      </c>
      <c r="FC346" s="67" t="s">
        <v>2791</v>
      </c>
      <c r="FD346" s="67" t="s">
        <v>2792</v>
      </c>
      <c r="FE346" s="68" t="s">
        <v>2793</v>
      </c>
      <c r="FF346" s="68" t="s">
        <v>2794</v>
      </c>
    </row>
    <row r="347" spans="151:162" x14ac:dyDescent="0.2">
      <c r="EU347" s="67">
        <v>563.20000000000005</v>
      </c>
      <c r="EV347" s="67" t="s">
        <v>2795</v>
      </c>
      <c r="EW347" s="67">
        <v>485.77</v>
      </c>
      <c r="EX347" s="67" t="s">
        <v>2796</v>
      </c>
      <c r="EY347" s="67">
        <v>5645.75</v>
      </c>
      <c r="EZ347" s="67" t="s">
        <v>2797</v>
      </c>
      <c r="FA347" s="67">
        <v>19955</v>
      </c>
      <c r="FB347" s="67" t="s">
        <v>2798</v>
      </c>
      <c r="FC347" s="67" t="s">
        <v>2799</v>
      </c>
      <c r="FD347" s="67" t="s">
        <v>2800</v>
      </c>
      <c r="FE347" s="68" t="s">
        <v>2801</v>
      </c>
      <c r="FF347" s="68" t="s">
        <v>2802</v>
      </c>
    </row>
    <row r="348" spans="151:162" x14ac:dyDescent="0.2">
      <c r="EU348" s="67">
        <v>563.27</v>
      </c>
      <c r="EV348" s="67" t="s">
        <v>2803</v>
      </c>
      <c r="EW348" s="67">
        <v>485.81</v>
      </c>
      <c r="EX348" s="67" t="s">
        <v>2804</v>
      </c>
      <c r="EY348" s="67">
        <v>5646.5</v>
      </c>
      <c r="EZ348" s="67" t="s">
        <v>2805</v>
      </c>
      <c r="FA348" s="67">
        <v>19956.5</v>
      </c>
      <c r="FB348" s="67" t="s">
        <v>2806</v>
      </c>
      <c r="FC348" s="67" t="s">
        <v>2807</v>
      </c>
      <c r="FD348" s="67" t="s">
        <v>2808</v>
      </c>
      <c r="FE348" s="68" t="s">
        <v>2809</v>
      </c>
      <c r="FF348" s="68" t="s">
        <v>2810</v>
      </c>
    </row>
    <row r="349" spans="151:162" x14ac:dyDescent="0.2">
      <c r="EU349" s="67">
        <v>563.39</v>
      </c>
      <c r="EV349" s="67" t="s">
        <v>2811</v>
      </c>
      <c r="EW349" s="67">
        <v>485.89</v>
      </c>
      <c r="EX349" s="67" t="s">
        <v>2812</v>
      </c>
      <c r="EY349" s="67">
        <v>5647.75</v>
      </c>
      <c r="EZ349" s="67" t="s">
        <v>2813</v>
      </c>
      <c r="FA349" s="67">
        <v>19960.75</v>
      </c>
      <c r="FB349" s="67" t="s">
        <v>2814</v>
      </c>
      <c r="FC349" s="67" t="s">
        <v>2815</v>
      </c>
      <c r="FD349" s="67" t="s">
        <v>2816</v>
      </c>
      <c r="FE349" s="68" t="s">
        <v>2817</v>
      </c>
      <c r="FF349" s="68" t="s">
        <v>2818</v>
      </c>
    </row>
    <row r="350" spans="151:162" x14ac:dyDescent="0.2">
      <c r="EU350" s="67">
        <v>563.24</v>
      </c>
      <c r="EV350" s="67" t="s">
        <v>2819</v>
      </c>
      <c r="EW350" s="67">
        <v>485.72</v>
      </c>
      <c r="EX350" s="67" t="s">
        <v>2820</v>
      </c>
      <c r="EY350" s="67">
        <v>5646.25</v>
      </c>
      <c r="EZ350" s="67" t="s">
        <v>2821</v>
      </c>
      <c r="FA350" s="67">
        <v>19952.75</v>
      </c>
      <c r="FB350" s="67" t="s">
        <v>2822</v>
      </c>
      <c r="FC350" s="67" t="s">
        <v>2823</v>
      </c>
      <c r="FD350" s="67" t="s">
        <v>2824</v>
      </c>
      <c r="FE350" s="68" t="s">
        <v>2825</v>
      </c>
      <c r="FF350" s="68" t="s">
        <v>2826</v>
      </c>
    </row>
    <row r="351" spans="151:162" x14ac:dyDescent="0.2">
      <c r="EU351" s="67">
        <v>563.12</v>
      </c>
      <c r="EV351" s="67" t="s">
        <v>2827</v>
      </c>
      <c r="EW351" s="67">
        <v>485.55</v>
      </c>
      <c r="EX351" s="67" t="s">
        <v>2828</v>
      </c>
      <c r="EY351" s="67">
        <v>5645</v>
      </c>
      <c r="EZ351" s="67" t="s">
        <v>2829</v>
      </c>
      <c r="FA351" s="67">
        <v>19945.75</v>
      </c>
      <c r="FB351" s="67" t="s">
        <v>2830</v>
      </c>
      <c r="FC351" s="67" t="s">
        <v>2831</v>
      </c>
      <c r="FD351" s="67" t="s">
        <v>2832</v>
      </c>
      <c r="FE351" s="68" t="s">
        <v>2833</v>
      </c>
      <c r="FF351" s="68" t="s">
        <v>2834</v>
      </c>
    </row>
    <row r="352" spans="151:162" x14ac:dyDescent="0.2">
      <c r="EU352" s="67">
        <v>563.37</v>
      </c>
      <c r="EV352" s="67" t="s">
        <v>2835</v>
      </c>
      <c r="EW352" s="67">
        <v>485.87</v>
      </c>
      <c r="EX352" s="67" t="s">
        <v>2836</v>
      </c>
      <c r="EY352" s="67">
        <v>5647.5</v>
      </c>
      <c r="EZ352" s="67" t="s">
        <v>2837</v>
      </c>
      <c r="FA352" s="67">
        <v>19959.25</v>
      </c>
      <c r="FB352" s="67" t="s">
        <v>2838</v>
      </c>
      <c r="FC352" s="67" t="s">
        <v>2839</v>
      </c>
      <c r="FD352" s="67" t="s">
        <v>2840</v>
      </c>
      <c r="FE352" s="68" t="s">
        <v>2841</v>
      </c>
      <c r="FF352" s="68" t="s">
        <v>2842</v>
      </c>
    </row>
    <row r="353" spans="151:162" x14ac:dyDescent="0.2">
      <c r="EU353" s="67">
        <v>563.37</v>
      </c>
      <c r="EV353" s="67" t="s">
        <v>2843</v>
      </c>
      <c r="EW353" s="67">
        <v>485.91</v>
      </c>
      <c r="EX353" s="67" t="s">
        <v>2844</v>
      </c>
      <c r="EY353" s="67">
        <v>5647.5</v>
      </c>
      <c r="EZ353" s="67" t="s">
        <v>2845</v>
      </c>
      <c r="FA353" s="67">
        <v>19961</v>
      </c>
      <c r="FB353" s="67" t="s">
        <v>2846</v>
      </c>
      <c r="FC353" s="67" t="s">
        <v>2847</v>
      </c>
      <c r="FD353" s="67" t="s">
        <v>2848</v>
      </c>
      <c r="FE353" s="68" t="s">
        <v>2849</v>
      </c>
      <c r="FF353" s="68" t="s">
        <v>2850</v>
      </c>
    </row>
    <row r="354" spans="151:162" x14ac:dyDescent="0.2">
      <c r="EU354" s="67">
        <v>563.37</v>
      </c>
      <c r="EV354" s="67" t="s">
        <v>2851</v>
      </c>
      <c r="EW354" s="67">
        <v>485.86</v>
      </c>
      <c r="EX354" s="67" t="s">
        <v>2852</v>
      </c>
      <c r="EY354" s="67">
        <v>5647.5</v>
      </c>
      <c r="EZ354" s="67" t="s">
        <v>2853</v>
      </c>
      <c r="FA354" s="67">
        <v>19959.75</v>
      </c>
      <c r="FB354" s="67" t="s">
        <v>2854</v>
      </c>
      <c r="FC354" s="67" t="s">
        <v>2855</v>
      </c>
      <c r="FD354" s="67" t="s">
        <v>2856</v>
      </c>
      <c r="FE354" s="68" t="s">
        <v>2857</v>
      </c>
      <c r="FF354" s="68" t="s">
        <v>2858</v>
      </c>
    </row>
    <row r="355" spans="151:162" x14ac:dyDescent="0.2">
      <c r="EU355" s="67">
        <v>563.37</v>
      </c>
      <c r="EV355" s="67" t="s">
        <v>2859</v>
      </c>
      <c r="EW355" s="67">
        <v>485.88</v>
      </c>
      <c r="EX355" s="67" t="s">
        <v>2860</v>
      </c>
      <c r="EY355" s="67">
        <v>5647.5</v>
      </c>
      <c r="EZ355" s="67" t="s">
        <v>2861</v>
      </c>
      <c r="FA355" s="67">
        <v>19960.25</v>
      </c>
      <c r="FB355" s="67" t="s">
        <v>2862</v>
      </c>
      <c r="FC355" s="67" t="s">
        <v>2863</v>
      </c>
      <c r="FD355" s="67" t="s">
        <v>2864</v>
      </c>
      <c r="FE355" s="68" t="s">
        <v>2865</v>
      </c>
      <c r="FF355" s="68" t="s">
        <v>2866</v>
      </c>
    </row>
    <row r="356" spans="151:162" x14ac:dyDescent="0.2">
      <c r="EU356" s="67">
        <v>563.35</v>
      </c>
      <c r="EV356" s="67" t="s">
        <v>2867</v>
      </c>
      <c r="EW356" s="67">
        <v>485.86</v>
      </c>
      <c r="EX356" s="67" t="s">
        <v>2868</v>
      </c>
      <c r="EY356" s="67">
        <v>5647.5</v>
      </c>
      <c r="EZ356" s="67" t="s">
        <v>2869</v>
      </c>
      <c r="FA356" s="67">
        <v>19959.5</v>
      </c>
      <c r="FB356" s="67" t="s">
        <v>2870</v>
      </c>
      <c r="FC356" s="67" t="s">
        <v>2871</v>
      </c>
      <c r="FD356" s="67" t="s">
        <v>2872</v>
      </c>
      <c r="FE356" s="68" t="s">
        <v>2873</v>
      </c>
      <c r="FF356" s="68" t="s">
        <v>2874</v>
      </c>
    </row>
    <row r="357" spans="151:162" x14ac:dyDescent="0.2">
      <c r="EU357" s="67">
        <v>563.30999999999995</v>
      </c>
      <c r="EV357" s="67" t="s">
        <v>2875</v>
      </c>
      <c r="EW357" s="67">
        <v>485.81</v>
      </c>
      <c r="EX357" s="67" t="s">
        <v>2876</v>
      </c>
      <c r="EY357" s="67">
        <v>5646.75</v>
      </c>
      <c r="EZ357" s="67" t="s">
        <v>2877</v>
      </c>
      <c r="FA357" s="67">
        <v>19956.25</v>
      </c>
      <c r="FB357" s="67" t="s">
        <v>2878</v>
      </c>
      <c r="FC357" s="67" t="s">
        <v>2879</v>
      </c>
      <c r="FD357" s="67" t="s">
        <v>2880</v>
      </c>
      <c r="FE357" s="68" t="s">
        <v>2881</v>
      </c>
      <c r="FF357" s="68" t="s">
        <v>2882</v>
      </c>
    </row>
    <row r="358" spans="151:162" x14ac:dyDescent="0.2">
      <c r="EU358" s="67">
        <v>563.39</v>
      </c>
      <c r="EV358" s="67" t="s">
        <v>2883</v>
      </c>
      <c r="EW358" s="67">
        <v>485.92</v>
      </c>
      <c r="EX358" s="67" t="s">
        <v>2884</v>
      </c>
      <c r="EY358" s="67">
        <v>5647.75</v>
      </c>
      <c r="EZ358" s="67" t="s">
        <v>2885</v>
      </c>
      <c r="FA358" s="67">
        <v>19961.5</v>
      </c>
      <c r="FB358" s="67" t="s">
        <v>2886</v>
      </c>
      <c r="FC358" s="67" t="s">
        <v>2887</v>
      </c>
      <c r="FD358" s="67" t="s">
        <v>2888</v>
      </c>
      <c r="FE358" s="68" t="s">
        <v>2889</v>
      </c>
      <c r="FF358" s="68" t="s">
        <v>2890</v>
      </c>
    </row>
    <row r="359" spans="151:162" x14ac:dyDescent="0.2">
      <c r="EU359" s="67">
        <v>563.29999999999995</v>
      </c>
      <c r="EV359" s="67" t="s">
        <v>2891</v>
      </c>
      <c r="EW359" s="67">
        <v>485.83</v>
      </c>
      <c r="EX359" s="67" t="s">
        <v>2892</v>
      </c>
      <c r="EY359" s="67">
        <v>5646.5</v>
      </c>
      <c r="EZ359" s="67" t="s">
        <v>2893</v>
      </c>
      <c r="FA359" s="67">
        <v>19957</v>
      </c>
      <c r="FB359" s="67" t="s">
        <v>2894</v>
      </c>
      <c r="FC359" s="67" t="s">
        <v>2895</v>
      </c>
      <c r="FD359" s="67" t="s">
        <v>2896</v>
      </c>
      <c r="FE359" s="68" t="s">
        <v>2897</v>
      </c>
      <c r="FF359" s="68" t="s">
        <v>2898</v>
      </c>
    </row>
    <row r="360" spans="151:162" x14ac:dyDescent="0.2">
      <c r="EU360" s="67">
        <v>563.29</v>
      </c>
      <c r="EV360" s="67" t="s">
        <v>2899</v>
      </c>
      <c r="EW360" s="67">
        <v>485.8</v>
      </c>
      <c r="EX360" s="67" t="s">
        <v>2900</v>
      </c>
      <c r="EY360" s="67">
        <v>5647.25</v>
      </c>
      <c r="EZ360" s="67" t="s">
        <v>2901</v>
      </c>
      <c r="FA360" s="67">
        <v>19957.75</v>
      </c>
      <c r="FB360" s="67" t="s">
        <v>2902</v>
      </c>
      <c r="FC360" s="67" t="s">
        <v>2903</v>
      </c>
      <c r="FD360" s="67" t="s">
        <v>2904</v>
      </c>
      <c r="FE360" s="68" t="s">
        <v>2905</v>
      </c>
      <c r="FF360" s="68" t="s">
        <v>2906</v>
      </c>
    </row>
    <row r="361" spans="151:162" x14ac:dyDescent="0.2">
      <c r="EU361" s="67">
        <v>563.41999999999996</v>
      </c>
      <c r="EV361" s="67" t="s">
        <v>2907</v>
      </c>
      <c r="EW361" s="67">
        <v>486.02</v>
      </c>
      <c r="EX361" s="67" t="s">
        <v>2908</v>
      </c>
      <c r="EY361" s="67">
        <v>5648.5</v>
      </c>
      <c r="EZ361" s="67" t="s">
        <v>2909</v>
      </c>
      <c r="FA361" s="67">
        <v>19967</v>
      </c>
      <c r="FB361" s="67" t="s">
        <v>2910</v>
      </c>
      <c r="FC361" s="67" t="s">
        <v>2911</v>
      </c>
      <c r="FD361" s="67" t="s">
        <v>2912</v>
      </c>
      <c r="FE361" s="68" t="s">
        <v>2913</v>
      </c>
      <c r="FF361" s="68" t="s">
        <v>2914</v>
      </c>
    </row>
    <row r="362" spans="151:162" x14ac:dyDescent="0.2">
      <c r="EU362" s="67">
        <v>563.54</v>
      </c>
      <c r="EV362" s="67" t="s">
        <v>2915</v>
      </c>
      <c r="EW362" s="67">
        <v>486.13</v>
      </c>
      <c r="EX362" s="67" t="s">
        <v>2916</v>
      </c>
      <c r="EY362" s="67">
        <v>5649.75</v>
      </c>
      <c r="EZ362" s="67" t="s">
        <v>2917</v>
      </c>
      <c r="FA362" s="67">
        <v>19971</v>
      </c>
      <c r="FB362" s="67" t="s">
        <v>2918</v>
      </c>
      <c r="FC362" s="67" t="s">
        <v>2919</v>
      </c>
      <c r="FD362" s="67" t="s">
        <v>2920</v>
      </c>
      <c r="FE362" s="68" t="s">
        <v>2921</v>
      </c>
      <c r="FF362" s="68" t="s">
        <v>2922</v>
      </c>
    </row>
    <row r="363" spans="151:162" x14ac:dyDescent="0.2">
      <c r="EU363" s="67">
        <v>563.58000000000004</v>
      </c>
      <c r="EV363" s="67" t="s">
        <v>2923</v>
      </c>
      <c r="EW363" s="67">
        <v>486.17</v>
      </c>
      <c r="EX363" s="67" t="s">
        <v>2924</v>
      </c>
      <c r="EY363" s="67">
        <v>5650</v>
      </c>
      <c r="EZ363" s="67" t="s">
        <v>2925</v>
      </c>
      <c r="FA363" s="67">
        <v>19972</v>
      </c>
      <c r="FB363" s="67" t="s">
        <v>2926</v>
      </c>
      <c r="FC363" s="67" t="s">
        <v>2927</v>
      </c>
      <c r="FD363" s="67" t="s">
        <v>2928</v>
      </c>
      <c r="FE363" s="68" t="s">
        <v>2929</v>
      </c>
      <c r="FF363" s="68" t="s">
        <v>2930</v>
      </c>
    </row>
    <row r="364" spans="151:162" x14ac:dyDescent="0.2">
      <c r="EU364" s="67">
        <v>563.63</v>
      </c>
      <c r="EV364" s="67" t="s">
        <v>2931</v>
      </c>
      <c r="EW364" s="67">
        <v>486.18</v>
      </c>
      <c r="EX364" s="67" t="s">
        <v>2932</v>
      </c>
      <c r="EY364" s="67">
        <v>5650.5</v>
      </c>
      <c r="EZ364" s="67" t="s">
        <v>2933</v>
      </c>
      <c r="FA364" s="67">
        <v>19973.75</v>
      </c>
      <c r="FB364" s="67" t="s">
        <v>2934</v>
      </c>
      <c r="FC364" s="67" t="s">
        <v>2935</v>
      </c>
      <c r="FD364" s="67" t="s">
        <v>2936</v>
      </c>
      <c r="FE364" s="68" t="s">
        <v>2937</v>
      </c>
      <c r="FF364" s="68" t="s">
        <v>2938</v>
      </c>
    </row>
    <row r="365" spans="151:162" x14ac:dyDescent="0.2">
      <c r="EU365" s="67">
        <v>563.55999999999995</v>
      </c>
      <c r="EV365" s="67" t="s">
        <v>2939</v>
      </c>
      <c r="EW365" s="67">
        <v>486.11</v>
      </c>
      <c r="EX365" s="67" t="s">
        <v>2940</v>
      </c>
      <c r="EY365" s="67">
        <v>5649.75</v>
      </c>
      <c r="EZ365" s="67" t="s">
        <v>2941</v>
      </c>
      <c r="FA365" s="67">
        <v>19969.75</v>
      </c>
      <c r="FB365" s="67" t="s">
        <v>2942</v>
      </c>
      <c r="FC365" s="67" t="s">
        <v>2943</v>
      </c>
      <c r="FD365" s="67" t="s">
        <v>2944</v>
      </c>
      <c r="FE365" s="68" t="s">
        <v>2945</v>
      </c>
      <c r="FF365" s="68" t="s">
        <v>2946</v>
      </c>
    </row>
    <row r="366" spans="151:162" x14ac:dyDescent="0.2">
      <c r="EU366" s="67">
        <v>563.47</v>
      </c>
      <c r="EV366" s="67" t="s">
        <v>2947</v>
      </c>
      <c r="EW366" s="67">
        <v>485.92</v>
      </c>
      <c r="EX366" s="67" t="s">
        <v>2948</v>
      </c>
      <c r="EY366" s="67">
        <v>5648.75</v>
      </c>
      <c r="EZ366" s="67" t="s">
        <v>2949</v>
      </c>
      <c r="FA366" s="67">
        <v>19962.25</v>
      </c>
      <c r="FB366" s="67" t="s">
        <v>2950</v>
      </c>
      <c r="FC366" s="67" t="s">
        <v>2951</v>
      </c>
      <c r="FD366" s="67" t="s">
        <v>2952</v>
      </c>
      <c r="FE366" s="68" t="s">
        <v>2953</v>
      </c>
      <c r="FF366" s="68" t="s">
        <v>2954</v>
      </c>
    </row>
    <row r="367" spans="151:162" x14ac:dyDescent="0.2">
      <c r="EU367" s="67">
        <v>563.39</v>
      </c>
      <c r="EV367" s="67" t="s">
        <v>2955</v>
      </c>
      <c r="EW367" s="67">
        <v>485.85</v>
      </c>
      <c r="EX367" s="67" t="s">
        <v>2956</v>
      </c>
      <c r="EY367" s="67">
        <v>5648</v>
      </c>
      <c r="EZ367" s="67" t="s">
        <v>2957</v>
      </c>
      <c r="FA367" s="67">
        <v>19959</v>
      </c>
      <c r="FB367" s="67" t="s">
        <v>2958</v>
      </c>
      <c r="FC367" s="67" t="s">
        <v>2959</v>
      </c>
      <c r="FD367" s="67" t="s">
        <v>2960</v>
      </c>
      <c r="FE367" s="68" t="s">
        <v>2961</v>
      </c>
      <c r="FF367" s="68" t="s">
        <v>2962</v>
      </c>
    </row>
    <row r="368" spans="151:162" x14ac:dyDescent="0.2">
      <c r="EU368" s="67">
        <v>563.37</v>
      </c>
      <c r="EV368" s="67" t="s">
        <v>2963</v>
      </c>
      <c r="EW368" s="67">
        <v>485.82</v>
      </c>
      <c r="EX368" s="67" t="s">
        <v>2964</v>
      </c>
      <c r="EY368" s="67">
        <v>5648</v>
      </c>
      <c r="EZ368" s="67" t="s">
        <v>2965</v>
      </c>
      <c r="FA368" s="67">
        <v>19957.75</v>
      </c>
      <c r="FB368" s="67" t="s">
        <v>2966</v>
      </c>
      <c r="FC368" s="67" t="s">
        <v>2967</v>
      </c>
      <c r="FD368" s="67" t="s">
        <v>2968</v>
      </c>
      <c r="FE368" s="68" t="s">
        <v>2969</v>
      </c>
      <c r="FF368" s="68" t="s">
        <v>2970</v>
      </c>
    </row>
    <row r="369" spans="151:162" x14ac:dyDescent="0.2">
      <c r="EU369" s="67">
        <v>563.4</v>
      </c>
      <c r="EV369" s="67" t="s">
        <v>2971</v>
      </c>
      <c r="EW369" s="67">
        <v>485.87</v>
      </c>
      <c r="EX369" s="67" t="s">
        <v>2972</v>
      </c>
      <c r="EY369" s="67">
        <v>5648.25</v>
      </c>
      <c r="EZ369" s="67" t="s">
        <v>2973</v>
      </c>
      <c r="FA369" s="67">
        <v>19960.25</v>
      </c>
      <c r="FB369" s="67" t="s">
        <v>2974</v>
      </c>
      <c r="FC369" s="67" t="s">
        <v>2975</v>
      </c>
      <c r="FD369" s="67" t="s">
        <v>2976</v>
      </c>
      <c r="FE369" s="68" t="s">
        <v>2977</v>
      </c>
      <c r="FF369" s="68" t="s">
        <v>2978</v>
      </c>
    </row>
    <row r="370" spans="151:162" x14ac:dyDescent="0.2">
      <c r="EU370" s="67">
        <v>563.53</v>
      </c>
      <c r="EV370" s="67" t="s">
        <v>2979</v>
      </c>
      <c r="EW370" s="67">
        <v>485.98</v>
      </c>
      <c r="EX370" s="67" t="s">
        <v>2980</v>
      </c>
      <c r="EY370" s="67">
        <v>5649.25</v>
      </c>
      <c r="EZ370" s="67" t="s">
        <v>2981</v>
      </c>
      <c r="FA370" s="67">
        <v>19964.75</v>
      </c>
      <c r="FB370" s="67" t="s">
        <v>2982</v>
      </c>
      <c r="FC370" s="67" t="s">
        <v>2983</v>
      </c>
      <c r="FD370" s="67" t="s">
        <v>2984</v>
      </c>
      <c r="FE370" s="68" t="s">
        <v>2985</v>
      </c>
      <c r="FF370" s="68" t="s">
        <v>2986</v>
      </c>
    </row>
    <row r="371" spans="151:162" x14ac:dyDescent="0.2">
      <c r="EU371" s="67">
        <v>563.53</v>
      </c>
      <c r="EV371" s="67" t="s">
        <v>2987</v>
      </c>
      <c r="EW371" s="67">
        <v>485.98</v>
      </c>
      <c r="EX371" s="67" t="s">
        <v>2988</v>
      </c>
      <c r="EY371" s="67">
        <v>5649.5</v>
      </c>
      <c r="EZ371" s="67" t="s">
        <v>2989</v>
      </c>
      <c r="FA371" s="67">
        <v>19964.75</v>
      </c>
      <c r="FB371" s="67" t="s">
        <v>2990</v>
      </c>
      <c r="FC371" s="67" t="s">
        <v>2991</v>
      </c>
      <c r="FD371" s="67" t="s">
        <v>2992</v>
      </c>
      <c r="FE371" s="68" t="s">
        <v>2993</v>
      </c>
      <c r="FF371" s="68" t="s">
        <v>2994</v>
      </c>
    </row>
    <row r="372" spans="151:162" x14ac:dyDescent="0.2">
      <c r="EU372" s="67">
        <v>563.54</v>
      </c>
      <c r="EV372" s="67" t="s">
        <v>2995</v>
      </c>
      <c r="EW372" s="67">
        <v>485.97</v>
      </c>
      <c r="EX372" s="67" t="s">
        <v>2996</v>
      </c>
      <c r="EY372" s="67">
        <v>5649.75</v>
      </c>
      <c r="EZ372" s="67" t="s">
        <v>2997</v>
      </c>
      <c r="FA372" s="67">
        <v>19964.75</v>
      </c>
      <c r="FB372" s="67" t="s">
        <v>2998</v>
      </c>
      <c r="FC372" s="67" t="s">
        <v>2999</v>
      </c>
      <c r="FD372" s="67" t="s">
        <v>3000</v>
      </c>
      <c r="FE372" s="68" t="s">
        <v>3001</v>
      </c>
      <c r="FF372" s="68" t="s">
        <v>3002</v>
      </c>
    </row>
    <row r="373" spans="151:162" x14ac:dyDescent="0.2">
      <c r="EU373" s="67">
        <v>563.49</v>
      </c>
      <c r="EV373" s="67" t="s">
        <v>3003</v>
      </c>
      <c r="EW373" s="67">
        <v>485.94</v>
      </c>
      <c r="EX373" s="67" t="s">
        <v>3004</v>
      </c>
      <c r="EY373" s="67">
        <v>5649.25</v>
      </c>
      <c r="EZ373" s="67" t="s">
        <v>3005</v>
      </c>
      <c r="FA373" s="67">
        <v>19962.75</v>
      </c>
      <c r="FB373" s="67" t="s">
        <v>3006</v>
      </c>
      <c r="FC373" s="67" t="s">
        <v>3007</v>
      </c>
      <c r="FD373" s="67" t="s">
        <v>3008</v>
      </c>
      <c r="FE373" s="68" t="s">
        <v>3009</v>
      </c>
      <c r="FF373" s="68" t="s">
        <v>3010</v>
      </c>
    </row>
    <row r="374" spans="151:162" x14ac:dyDescent="0.2">
      <c r="EU374" s="67">
        <v>563.52</v>
      </c>
      <c r="EV374" s="67" t="s">
        <v>3011</v>
      </c>
      <c r="EW374" s="67">
        <v>486.01</v>
      </c>
      <c r="EX374" s="67" t="s">
        <v>3012</v>
      </c>
      <c r="EY374" s="67">
        <v>5649.25</v>
      </c>
      <c r="EZ374" s="67" t="s">
        <v>3013</v>
      </c>
      <c r="FA374" s="67">
        <v>19965.75</v>
      </c>
      <c r="FB374" s="67" t="s">
        <v>3014</v>
      </c>
      <c r="FC374" s="67" t="s">
        <v>3015</v>
      </c>
      <c r="FD374" s="67" t="s">
        <v>3016</v>
      </c>
      <c r="FE374" s="68" t="s">
        <v>3017</v>
      </c>
      <c r="FF374" s="68" t="s">
        <v>3018</v>
      </c>
    </row>
    <row r="375" spans="151:162" x14ac:dyDescent="0.2">
      <c r="EU375" s="67">
        <v>563.38</v>
      </c>
      <c r="EV375" s="67" t="s">
        <v>3019</v>
      </c>
      <c r="EW375" s="67">
        <v>485.78</v>
      </c>
      <c r="EX375" s="67" t="s">
        <v>3020</v>
      </c>
      <c r="EY375" s="67">
        <v>5648</v>
      </c>
      <c r="EZ375" s="67" t="s">
        <v>3021</v>
      </c>
      <c r="FA375" s="67">
        <v>19957</v>
      </c>
      <c r="FB375" s="67" t="s">
        <v>3022</v>
      </c>
      <c r="FC375" s="67" t="s">
        <v>3023</v>
      </c>
      <c r="FD375" s="67" t="s">
        <v>3024</v>
      </c>
      <c r="FE375" s="68" t="s">
        <v>3025</v>
      </c>
      <c r="FF375" s="68" t="s">
        <v>3026</v>
      </c>
    </row>
    <row r="376" spans="151:162" x14ac:dyDescent="0.2">
      <c r="EU376" s="67">
        <v>563.55999999999995</v>
      </c>
      <c r="EV376" s="67" t="s">
        <v>3027</v>
      </c>
      <c r="EW376" s="67">
        <v>486.01</v>
      </c>
      <c r="EX376" s="67" t="s">
        <v>3028</v>
      </c>
      <c r="EY376" s="67">
        <v>5649.75</v>
      </c>
      <c r="EZ376" s="67" t="s">
        <v>3029</v>
      </c>
      <c r="FA376" s="67">
        <v>19965.5</v>
      </c>
      <c r="FB376" s="67" t="s">
        <v>3030</v>
      </c>
      <c r="FC376" s="67" t="s">
        <v>3031</v>
      </c>
      <c r="FD376" s="67" t="s">
        <v>3032</v>
      </c>
      <c r="FE376" s="68" t="s">
        <v>3033</v>
      </c>
      <c r="FF376" s="68" t="s">
        <v>3034</v>
      </c>
    </row>
    <row r="377" spans="151:162" x14ac:dyDescent="0.2">
      <c r="EU377" s="67">
        <v>563.49</v>
      </c>
      <c r="EV377" s="67" t="s">
        <v>3035</v>
      </c>
      <c r="EW377" s="67">
        <v>485.92</v>
      </c>
      <c r="EX377" s="67" t="s">
        <v>3036</v>
      </c>
      <c r="EY377" s="67">
        <v>5649</v>
      </c>
      <c r="EZ377" s="67" t="s">
        <v>3037</v>
      </c>
      <c r="FA377" s="67">
        <v>19961.5</v>
      </c>
      <c r="FB377" s="67" t="s">
        <v>3038</v>
      </c>
      <c r="FC377" s="67" t="s">
        <v>3039</v>
      </c>
      <c r="FD377" s="67" t="s">
        <v>3040</v>
      </c>
      <c r="FE377" s="68" t="s">
        <v>3041</v>
      </c>
      <c r="FF377" s="68" t="s">
        <v>3042</v>
      </c>
    </row>
    <row r="378" spans="151:162" x14ac:dyDescent="0.2">
      <c r="EU378" s="67">
        <v>563.54999999999995</v>
      </c>
      <c r="EV378" s="67" t="s">
        <v>3043</v>
      </c>
      <c r="EW378" s="67">
        <v>486.02</v>
      </c>
      <c r="EX378" s="67" t="s">
        <v>3044</v>
      </c>
      <c r="EY378" s="67">
        <v>5650</v>
      </c>
      <c r="EZ378" s="67" t="s">
        <v>3045</v>
      </c>
      <c r="FA378" s="67">
        <v>19965.75</v>
      </c>
      <c r="FB378" s="67" t="s">
        <v>3046</v>
      </c>
      <c r="FC378" s="67" t="s">
        <v>3047</v>
      </c>
      <c r="FD378" s="67" t="s">
        <v>3048</v>
      </c>
      <c r="FE378" s="68" t="s">
        <v>3049</v>
      </c>
      <c r="FF378" s="68" t="s">
        <v>3050</v>
      </c>
    </row>
    <row r="379" spans="151:162" x14ac:dyDescent="0.2">
      <c r="EU379" s="67">
        <v>563.53</v>
      </c>
      <c r="EV379" s="67" t="s">
        <v>3051</v>
      </c>
      <c r="EW379" s="67">
        <v>485.99</v>
      </c>
      <c r="EX379" s="67" t="s">
        <v>3052</v>
      </c>
      <c r="EY379" s="67">
        <v>5649.5</v>
      </c>
      <c r="EZ379" s="67" t="s">
        <v>3053</v>
      </c>
      <c r="FA379" s="67">
        <v>19965</v>
      </c>
      <c r="FB379" s="67" t="s">
        <v>3054</v>
      </c>
      <c r="FC379" s="67" t="s">
        <v>3055</v>
      </c>
      <c r="FD379" s="67" t="s">
        <v>3056</v>
      </c>
      <c r="FE379" s="68" t="s">
        <v>3057</v>
      </c>
      <c r="FF379" s="68" t="s">
        <v>3058</v>
      </c>
    </row>
    <row r="380" spans="151:162" x14ac:dyDescent="0.2">
      <c r="EU380" s="67">
        <v>563.67999999999995</v>
      </c>
      <c r="EV380" s="67" t="s">
        <v>3059</v>
      </c>
      <c r="EW380" s="67">
        <v>486.14</v>
      </c>
      <c r="EX380" s="67" t="s">
        <v>3060</v>
      </c>
      <c r="EY380" s="67">
        <v>5651</v>
      </c>
      <c r="EZ380" s="67" t="s">
        <v>3061</v>
      </c>
      <c r="FA380" s="67">
        <v>19970.5</v>
      </c>
      <c r="FB380" s="67" t="s">
        <v>3062</v>
      </c>
      <c r="FC380" s="67" t="s">
        <v>3063</v>
      </c>
      <c r="FD380" s="67" t="s">
        <v>3064</v>
      </c>
      <c r="FE380" s="68" t="s">
        <v>3065</v>
      </c>
      <c r="FF380" s="68" t="s">
        <v>3066</v>
      </c>
    </row>
    <row r="381" spans="151:162" x14ac:dyDescent="0.2">
      <c r="EU381" s="67">
        <v>563.46</v>
      </c>
      <c r="EV381" s="67" t="s">
        <v>3067</v>
      </c>
      <c r="EW381" s="67">
        <v>485.88</v>
      </c>
      <c r="EX381" s="67" t="s">
        <v>3068</v>
      </c>
      <c r="EY381" s="67">
        <v>5648.75</v>
      </c>
      <c r="EZ381" s="67" t="s">
        <v>3069</v>
      </c>
      <c r="FA381" s="67">
        <v>19960.5</v>
      </c>
      <c r="FB381" s="67" t="s">
        <v>3070</v>
      </c>
      <c r="FC381" s="67" t="s">
        <v>3071</v>
      </c>
      <c r="FD381" s="67" t="s">
        <v>3072</v>
      </c>
      <c r="FE381" s="68" t="s">
        <v>3073</v>
      </c>
      <c r="FF381" s="68" t="s">
        <v>3074</v>
      </c>
    </row>
    <row r="382" spans="151:162" x14ac:dyDescent="0.2">
      <c r="EU382" s="67">
        <v>563.62</v>
      </c>
      <c r="EV382" s="67" t="s">
        <v>3075</v>
      </c>
      <c r="EW382" s="67">
        <v>486.07</v>
      </c>
      <c r="EX382" s="67" t="s">
        <v>3076</v>
      </c>
      <c r="EY382" s="67">
        <v>5650.5</v>
      </c>
      <c r="EZ382" s="67" t="s">
        <v>3077</v>
      </c>
      <c r="FA382" s="67">
        <v>19968.25</v>
      </c>
      <c r="FB382" s="67" t="s">
        <v>3078</v>
      </c>
      <c r="FC382" s="67" t="s">
        <v>3079</v>
      </c>
      <c r="FD382" s="67" t="s">
        <v>3080</v>
      </c>
      <c r="FE382" s="68" t="s">
        <v>3081</v>
      </c>
      <c r="FF382" s="68" t="s">
        <v>3082</v>
      </c>
    </row>
    <row r="383" spans="151:162" x14ac:dyDescent="0.2">
      <c r="EU383" s="67">
        <v>563.63</v>
      </c>
      <c r="EV383" s="67" t="s">
        <v>3083</v>
      </c>
      <c r="EW383" s="67">
        <v>486.07</v>
      </c>
      <c r="EX383" s="67" t="s">
        <v>3084</v>
      </c>
      <c r="EY383" s="67">
        <v>5650.5</v>
      </c>
      <c r="EZ383" s="67" t="s">
        <v>3085</v>
      </c>
      <c r="FA383" s="67">
        <v>19968.25</v>
      </c>
      <c r="FB383" s="67" t="s">
        <v>3086</v>
      </c>
      <c r="FC383" s="67" t="s">
        <v>3087</v>
      </c>
      <c r="FD383" s="67" t="s">
        <v>3088</v>
      </c>
      <c r="FE383" s="68" t="s">
        <v>3089</v>
      </c>
      <c r="FF383" s="68" t="s">
        <v>3090</v>
      </c>
    </row>
    <row r="384" spans="151:162" x14ac:dyDescent="0.2">
      <c r="EU384" s="67">
        <v>563.61</v>
      </c>
      <c r="EV384" s="67" t="s">
        <v>3091</v>
      </c>
      <c r="EW384" s="67">
        <v>486.05</v>
      </c>
      <c r="EX384" s="67" t="s">
        <v>3092</v>
      </c>
      <c r="EY384" s="67">
        <v>5650.25</v>
      </c>
      <c r="EZ384" s="67" t="s">
        <v>3093</v>
      </c>
      <c r="FA384" s="67">
        <v>19967</v>
      </c>
      <c r="FB384" s="67" t="s">
        <v>3094</v>
      </c>
      <c r="FC384" s="67" t="s">
        <v>3095</v>
      </c>
      <c r="FD384" s="67" t="s">
        <v>3096</v>
      </c>
      <c r="FE384" s="68" t="s">
        <v>3097</v>
      </c>
      <c r="FF384" s="68" t="s">
        <v>3098</v>
      </c>
    </row>
    <row r="385" spans="151:162" x14ac:dyDescent="0.2">
      <c r="EU385" s="67">
        <v>563.45000000000005</v>
      </c>
      <c r="EV385" s="67" t="s">
        <v>3099</v>
      </c>
      <c r="EW385" s="67">
        <v>485.81</v>
      </c>
      <c r="EX385" s="67" t="s">
        <v>3100</v>
      </c>
      <c r="EY385" s="67">
        <v>5648.75</v>
      </c>
      <c r="EZ385" s="67" t="s">
        <v>3101</v>
      </c>
      <c r="FA385" s="67">
        <v>19957.75</v>
      </c>
      <c r="FB385" s="67" t="s">
        <v>3102</v>
      </c>
      <c r="FC385" s="67" t="s">
        <v>3103</v>
      </c>
      <c r="FD385" s="67" t="s">
        <v>3104</v>
      </c>
      <c r="FE385" s="68" t="s">
        <v>3105</v>
      </c>
      <c r="FF385" s="68" t="s">
        <v>3106</v>
      </c>
    </row>
    <row r="386" spans="151:162" x14ac:dyDescent="0.2">
      <c r="EU386" s="67">
        <v>563.48</v>
      </c>
      <c r="EV386" s="67" t="s">
        <v>3107</v>
      </c>
      <c r="EW386" s="67">
        <v>485.94</v>
      </c>
      <c r="EX386" s="67" t="s">
        <v>3108</v>
      </c>
      <c r="EY386" s="67">
        <v>5649</v>
      </c>
      <c r="EZ386" s="67" t="s">
        <v>3109</v>
      </c>
      <c r="FA386" s="67">
        <v>19962.5</v>
      </c>
      <c r="FB386" s="67" t="s">
        <v>3110</v>
      </c>
      <c r="FC386" s="67" t="s">
        <v>3111</v>
      </c>
      <c r="FD386" s="67" t="s">
        <v>3112</v>
      </c>
      <c r="FE386" s="68" t="s">
        <v>3113</v>
      </c>
      <c r="FF386" s="68" t="s">
        <v>3114</v>
      </c>
    </row>
    <row r="387" spans="151:162" x14ac:dyDescent="0.2">
      <c r="EU387" s="67">
        <v>563.54</v>
      </c>
      <c r="EV387" s="67" t="s">
        <v>3115</v>
      </c>
      <c r="EW387" s="67">
        <v>485.93</v>
      </c>
      <c r="EX387" s="67" t="s">
        <v>3116</v>
      </c>
      <c r="EY387" s="67">
        <v>5649.75</v>
      </c>
      <c r="EZ387" s="67" t="s">
        <v>3117</v>
      </c>
      <c r="FA387" s="67">
        <v>19962.5</v>
      </c>
      <c r="FB387" s="67" t="s">
        <v>3118</v>
      </c>
      <c r="FC387" s="67" t="s">
        <v>3119</v>
      </c>
      <c r="FD387" s="67" t="s">
        <v>3120</v>
      </c>
      <c r="FE387" s="68" t="s">
        <v>3121</v>
      </c>
      <c r="FF387" s="68" t="s">
        <v>3122</v>
      </c>
    </row>
    <row r="388" spans="151:162" x14ac:dyDescent="0.2">
      <c r="EU388" s="67">
        <v>563.54999999999995</v>
      </c>
      <c r="EV388" s="67" t="s">
        <v>3123</v>
      </c>
      <c r="EW388" s="67">
        <v>485.92</v>
      </c>
      <c r="EX388" s="67" t="s">
        <v>3124</v>
      </c>
      <c r="EY388" s="67">
        <v>5649.75</v>
      </c>
      <c r="EZ388" s="67" t="s">
        <v>3125</v>
      </c>
      <c r="FA388" s="67">
        <v>19962.5</v>
      </c>
      <c r="FB388" s="67" t="s">
        <v>3126</v>
      </c>
      <c r="FC388" s="67" t="s">
        <v>3127</v>
      </c>
      <c r="FD388" s="67" t="s">
        <v>3128</v>
      </c>
      <c r="FE388" s="68" t="s">
        <v>3129</v>
      </c>
      <c r="FF388" s="68" t="s">
        <v>3130</v>
      </c>
    </row>
    <row r="389" spans="151:162" x14ac:dyDescent="0.2">
      <c r="EU389" s="67">
        <v>563.44000000000005</v>
      </c>
      <c r="EV389" s="67" t="s">
        <v>3131</v>
      </c>
      <c r="EW389" s="67">
        <v>485.8</v>
      </c>
      <c r="EX389" s="67" t="s">
        <v>3132</v>
      </c>
      <c r="EY389" s="67">
        <v>5648.75</v>
      </c>
      <c r="EZ389" s="67" t="s">
        <v>3133</v>
      </c>
      <c r="FA389" s="67">
        <v>19957</v>
      </c>
      <c r="FB389" s="67" t="s">
        <v>3134</v>
      </c>
      <c r="FC389" s="67" t="s">
        <v>3135</v>
      </c>
      <c r="FD389" s="67" t="s">
        <v>3136</v>
      </c>
      <c r="FE389" s="68" t="s">
        <v>3137</v>
      </c>
      <c r="FF389" s="68" t="s">
        <v>3138</v>
      </c>
    </row>
    <row r="390" spans="151:162" x14ac:dyDescent="0.2">
      <c r="EU390" s="67">
        <v>563.22</v>
      </c>
      <c r="EV390" s="67" t="s">
        <v>3139</v>
      </c>
      <c r="EW390" s="67">
        <v>485.46</v>
      </c>
      <c r="EX390" s="67" t="s">
        <v>3140</v>
      </c>
      <c r="EY390" s="67">
        <v>5646.5</v>
      </c>
      <c r="EZ390" s="67" t="s">
        <v>3141</v>
      </c>
      <c r="FA390" s="67">
        <v>19942.75</v>
      </c>
      <c r="FB390" s="67" t="s">
        <v>3142</v>
      </c>
      <c r="FC390" s="67" t="s">
        <v>3143</v>
      </c>
      <c r="FD390" s="67" t="s">
        <v>3144</v>
      </c>
      <c r="FE390" s="68" t="s">
        <v>3145</v>
      </c>
      <c r="FF390" s="68" t="s">
        <v>3146</v>
      </c>
    </row>
    <row r="391" spans="151:162" x14ac:dyDescent="0.2">
      <c r="EU391" s="67">
        <v>563.12</v>
      </c>
      <c r="EV391" s="67" t="s">
        <v>3147</v>
      </c>
      <c r="EW391" s="67">
        <v>485.34</v>
      </c>
      <c r="EX391" s="67" t="s">
        <v>3148</v>
      </c>
      <c r="EY391" s="67">
        <v>5645.5</v>
      </c>
      <c r="EZ391" s="67" t="s">
        <v>3149</v>
      </c>
      <c r="FA391" s="67">
        <v>19938.5</v>
      </c>
      <c r="FB391" s="67" t="s">
        <v>3150</v>
      </c>
      <c r="FC391" s="67" t="s">
        <v>3151</v>
      </c>
      <c r="FD391" s="67" t="s">
        <v>3152</v>
      </c>
      <c r="FE391" s="68" t="s">
        <v>3153</v>
      </c>
      <c r="FF391" s="68" t="s">
        <v>3154</v>
      </c>
    </row>
    <row r="392" spans="151:162" x14ac:dyDescent="0.2">
      <c r="EU392" s="67">
        <v>562.83000000000004</v>
      </c>
      <c r="EV392" s="67" t="s">
        <v>3155</v>
      </c>
      <c r="EW392" s="67">
        <v>485.03</v>
      </c>
      <c r="EX392" s="67" t="s">
        <v>3156</v>
      </c>
      <c r="EY392" s="67">
        <v>5642.5</v>
      </c>
      <c r="EZ392" s="67" t="s">
        <v>3157</v>
      </c>
      <c r="FA392" s="67">
        <v>19925.25</v>
      </c>
      <c r="FB392" s="67" t="s">
        <v>3158</v>
      </c>
      <c r="FC392" s="67" t="s">
        <v>3159</v>
      </c>
      <c r="FD392" s="67" t="s">
        <v>3160</v>
      </c>
      <c r="FE392" s="68" t="s">
        <v>3161</v>
      </c>
      <c r="FF392" s="68" t="s">
        <v>3162</v>
      </c>
    </row>
    <row r="393" spans="151:162" x14ac:dyDescent="0.2">
      <c r="EU393" s="67">
        <v>563.11</v>
      </c>
      <c r="EV393" s="67" t="s">
        <v>3163</v>
      </c>
      <c r="EW393" s="67">
        <v>485.37</v>
      </c>
      <c r="EX393" s="67" t="s">
        <v>3164</v>
      </c>
      <c r="EY393" s="67">
        <v>5645.25</v>
      </c>
      <c r="EZ393" s="67" t="s">
        <v>3165</v>
      </c>
      <c r="FA393" s="67">
        <v>19938.75</v>
      </c>
      <c r="FB393" s="67" t="s">
        <v>3166</v>
      </c>
      <c r="FC393" s="67" t="s">
        <v>3167</v>
      </c>
      <c r="FD393" s="67" t="s">
        <v>3168</v>
      </c>
      <c r="FE393" s="68" t="s">
        <v>3169</v>
      </c>
      <c r="FF393" s="68" t="s">
        <v>3170</v>
      </c>
    </row>
    <row r="394" spans="151:162" x14ac:dyDescent="0.2">
      <c r="EU394" s="67">
        <v>563.08000000000004</v>
      </c>
      <c r="EV394" s="67" t="s">
        <v>3171</v>
      </c>
      <c r="EW394" s="67">
        <v>485.38</v>
      </c>
      <c r="EX394" s="67" t="s">
        <v>3172</v>
      </c>
      <c r="EY394" s="67">
        <v>5645</v>
      </c>
      <c r="EZ394" s="67" t="s">
        <v>3173</v>
      </c>
      <c r="FA394" s="67">
        <v>19939.25</v>
      </c>
      <c r="FB394" s="67" t="s">
        <v>3174</v>
      </c>
      <c r="FC394" s="67" t="s">
        <v>3175</v>
      </c>
      <c r="FD394" s="67" t="s">
        <v>3176</v>
      </c>
      <c r="FE394" s="68" t="s">
        <v>3177</v>
      </c>
      <c r="FF394" s="68" t="s">
        <v>3178</v>
      </c>
    </row>
    <row r="395" spans="151:162" x14ac:dyDescent="0.2">
      <c r="EU395" s="67">
        <v>562.91999999999996</v>
      </c>
      <c r="EV395" s="67" t="s">
        <v>3179</v>
      </c>
      <c r="EW395" s="67">
        <v>485.18</v>
      </c>
      <c r="EX395" s="67" t="s">
        <v>3180</v>
      </c>
      <c r="EY395" s="67">
        <v>5643.5</v>
      </c>
      <c r="EZ395" s="67" t="s">
        <v>3181</v>
      </c>
      <c r="FA395" s="67">
        <v>19932.75</v>
      </c>
      <c r="FB395" s="67" t="s">
        <v>3182</v>
      </c>
      <c r="FC395" s="67" t="s">
        <v>3183</v>
      </c>
      <c r="FD395" s="67" t="s">
        <v>3184</v>
      </c>
      <c r="FE395" s="68" t="s">
        <v>3185</v>
      </c>
      <c r="FF395" s="68" t="s">
        <v>3186</v>
      </c>
    </row>
    <row r="396" spans="151:162" x14ac:dyDescent="0.2">
      <c r="EU396" s="67">
        <v>562.91999999999996</v>
      </c>
      <c r="EV396" s="67" t="s">
        <v>3187</v>
      </c>
      <c r="EW396" s="67">
        <v>485.21</v>
      </c>
      <c r="EX396" s="67" t="s">
        <v>3188</v>
      </c>
      <c r="EY396" s="67">
        <v>5643.25</v>
      </c>
      <c r="EZ396" s="67" t="s">
        <v>3189</v>
      </c>
      <c r="FA396" s="67">
        <v>19933.25</v>
      </c>
      <c r="FB396" s="67" t="s">
        <v>3190</v>
      </c>
      <c r="FC396" s="67" t="s">
        <v>3191</v>
      </c>
      <c r="FD396" s="67" t="s">
        <v>3192</v>
      </c>
      <c r="FE396" s="68" t="s">
        <v>3193</v>
      </c>
      <c r="FF396" s="68" t="s">
        <v>3194</v>
      </c>
    </row>
    <row r="397" spans="151:162" x14ac:dyDescent="0.2">
      <c r="EU397" s="67">
        <v>562.97</v>
      </c>
      <c r="EV397" s="67" t="s">
        <v>3195</v>
      </c>
      <c r="EW397" s="67">
        <v>485.24</v>
      </c>
      <c r="EX397" s="67" t="s">
        <v>3196</v>
      </c>
      <c r="EY397" s="67">
        <v>5644</v>
      </c>
      <c r="EZ397" s="67" t="s">
        <v>3197</v>
      </c>
      <c r="FA397" s="67">
        <v>19934.25</v>
      </c>
      <c r="FB397" s="67" t="s">
        <v>3198</v>
      </c>
      <c r="FC397" s="67" t="s">
        <v>3199</v>
      </c>
      <c r="FD397" s="67" t="s">
        <v>3200</v>
      </c>
      <c r="FE397" s="68" t="s">
        <v>3201</v>
      </c>
      <c r="FF397" s="68" t="s">
        <v>3202</v>
      </c>
    </row>
    <row r="398" spans="151:162" x14ac:dyDescent="0.2">
      <c r="EU398" s="67">
        <v>562.71</v>
      </c>
      <c r="EV398" s="67" t="s">
        <v>3203</v>
      </c>
      <c r="EW398" s="67">
        <v>485.01</v>
      </c>
      <c r="EX398" s="67" t="s">
        <v>3204</v>
      </c>
      <c r="EY398" s="67">
        <v>5641.25</v>
      </c>
      <c r="EZ398" s="67" t="s">
        <v>3205</v>
      </c>
      <c r="FA398" s="67">
        <v>19924.75</v>
      </c>
      <c r="FB398" s="67" t="s">
        <v>3206</v>
      </c>
      <c r="FC398" s="67" t="s">
        <v>3207</v>
      </c>
      <c r="FD398" s="67" t="s">
        <v>3208</v>
      </c>
      <c r="FE398" s="68" t="s">
        <v>3209</v>
      </c>
      <c r="FF398" s="68" t="s">
        <v>3210</v>
      </c>
    </row>
    <row r="399" spans="151:162" x14ac:dyDescent="0.2">
      <c r="EU399" s="67">
        <v>562.79</v>
      </c>
      <c r="EV399" s="67" t="s">
        <v>3211</v>
      </c>
      <c r="EW399" s="67">
        <v>485.07</v>
      </c>
      <c r="EX399" s="67" t="s">
        <v>3212</v>
      </c>
      <c r="EY399" s="67">
        <v>5642.25</v>
      </c>
      <c r="EZ399" s="67" t="s">
        <v>3213</v>
      </c>
      <c r="FA399" s="67">
        <v>19927.25</v>
      </c>
      <c r="FB399" s="67" t="s">
        <v>3214</v>
      </c>
      <c r="FC399" s="67" t="s">
        <v>3215</v>
      </c>
      <c r="FD399" s="67" t="s">
        <v>3216</v>
      </c>
      <c r="FE399" s="68" t="s">
        <v>3217</v>
      </c>
      <c r="FF399" s="68" t="s">
        <v>3218</v>
      </c>
    </row>
    <row r="400" spans="151:162" x14ac:dyDescent="0.2">
      <c r="EU400" s="67">
        <v>562.67999999999995</v>
      </c>
      <c r="EV400" s="67" t="s">
        <v>3219</v>
      </c>
      <c r="EW400" s="67">
        <v>484.92</v>
      </c>
      <c r="EX400" s="67" t="s">
        <v>3220</v>
      </c>
      <c r="EY400" s="67">
        <v>5641</v>
      </c>
      <c r="EZ400" s="67" t="s">
        <v>3221</v>
      </c>
      <c r="FA400" s="67">
        <v>19921</v>
      </c>
      <c r="FB400" s="67" t="s">
        <v>3222</v>
      </c>
      <c r="FC400" s="67" t="s">
        <v>3223</v>
      </c>
      <c r="FD400" s="67" t="s">
        <v>3224</v>
      </c>
      <c r="FE400" s="68" t="s">
        <v>3225</v>
      </c>
      <c r="FF400" s="68" t="s">
        <v>3226</v>
      </c>
    </row>
    <row r="401" spans="151:162" x14ac:dyDescent="0.2">
      <c r="EU401" s="67">
        <v>562.55999999999995</v>
      </c>
      <c r="EV401" s="67" t="s">
        <v>3227</v>
      </c>
      <c r="EW401" s="67">
        <v>484.8</v>
      </c>
      <c r="EX401" s="67" t="s">
        <v>3228</v>
      </c>
      <c r="EY401" s="67">
        <v>5639.75</v>
      </c>
      <c r="EZ401" s="67" t="s">
        <v>3229</v>
      </c>
      <c r="FA401" s="67">
        <v>19915.25</v>
      </c>
      <c r="FB401" s="67" t="s">
        <v>3230</v>
      </c>
      <c r="FC401" s="67" t="s">
        <v>3231</v>
      </c>
      <c r="FD401" s="67" t="s">
        <v>3232</v>
      </c>
      <c r="FE401" s="68" t="s">
        <v>3233</v>
      </c>
      <c r="FF401" s="68" t="s">
        <v>3234</v>
      </c>
    </row>
    <row r="402" spans="151:162" x14ac:dyDescent="0.2">
      <c r="EU402" s="67">
        <v>562.64</v>
      </c>
      <c r="EV402" s="67" t="s">
        <v>3235</v>
      </c>
      <c r="EW402" s="67">
        <v>484.9</v>
      </c>
      <c r="EX402" s="67" t="s">
        <v>3236</v>
      </c>
      <c r="EY402" s="67">
        <v>5640.5</v>
      </c>
      <c r="EZ402" s="67" t="s">
        <v>3237</v>
      </c>
      <c r="FA402" s="67">
        <v>19919.5</v>
      </c>
      <c r="FB402" s="67" t="s">
        <v>3238</v>
      </c>
      <c r="FC402" s="67" t="s">
        <v>3239</v>
      </c>
      <c r="FD402" s="67" t="s">
        <v>3240</v>
      </c>
      <c r="FE402" s="68" t="s">
        <v>3241</v>
      </c>
      <c r="FF402" s="68" t="s">
        <v>3242</v>
      </c>
    </row>
    <row r="403" spans="151:162" x14ac:dyDescent="0.2">
      <c r="EU403" s="67">
        <v>562.66</v>
      </c>
      <c r="EV403" s="67" t="s">
        <v>3243</v>
      </c>
      <c r="EW403" s="67">
        <v>484.92</v>
      </c>
      <c r="EX403" s="67" t="s">
        <v>3244</v>
      </c>
      <c r="EY403" s="67">
        <v>5640.75</v>
      </c>
      <c r="EZ403" s="67" t="s">
        <v>3245</v>
      </c>
      <c r="FA403" s="67">
        <v>19921.25</v>
      </c>
      <c r="FB403" s="67" t="s">
        <v>3246</v>
      </c>
      <c r="FC403" s="67" t="s">
        <v>3247</v>
      </c>
      <c r="FD403" s="67" t="s">
        <v>3248</v>
      </c>
      <c r="FE403" s="68" t="s">
        <v>3249</v>
      </c>
      <c r="FF403" s="68" t="s">
        <v>3250</v>
      </c>
    </row>
    <row r="404" spans="151:162" x14ac:dyDescent="0.2">
      <c r="EU404" s="67">
        <v>562.75</v>
      </c>
      <c r="EV404" s="67" t="s">
        <v>3251</v>
      </c>
      <c r="EW404" s="67">
        <v>485.01</v>
      </c>
      <c r="EX404" s="67" t="s">
        <v>3252</v>
      </c>
      <c r="EY404" s="67">
        <v>5641.5</v>
      </c>
      <c r="EZ404" s="67" t="s">
        <v>3253</v>
      </c>
      <c r="FA404" s="67">
        <v>19924</v>
      </c>
      <c r="FB404" s="67" t="s">
        <v>3254</v>
      </c>
      <c r="FC404" s="67" t="s">
        <v>3255</v>
      </c>
      <c r="FD404" s="67" t="s">
        <v>3256</v>
      </c>
      <c r="FE404" s="68" t="s">
        <v>3257</v>
      </c>
      <c r="FF404" s="68" t="s">
        <v>3258</v>
      </c>
    </row>
    <row r="405" spans="151:162" x14ac:dyDescent="0.2">
      <c r="EU405" s="67">
        <v>562.66999999999996</v>
      </c>
      <c r="EV405" s="67" t="s">
        <v>3259</v>
      </c>
      <c r="EW405" s="67">
        <v>484.92</v>
      </c>
      <c r="EX405" s="67" t="s">
        <v>3260</v>
      </c>
      <c r="EY405" s="67">
        <v>5640.75</v>
      </c>
      <c r="EZ405" s="67" t="s">
        <v>3261</v>
      </c>
      <c r="FA405" s="67">
        <v>19920.25</v>
      </c>
      <c r="FB405" s="67" t="s">
        <v>3262</v>
      </c>
      <c r="FC405" s="67" t="s">
        <v>3263</v>
      </c>
      <c r="FD405" s="67" t="s">
        <v>3264</v>
      </c>
      <c r="FE405" s="68" t="s">
        <v>3265</v>
      </c>
      <c r="FF405" s="68" t="s">
        <v>3266</v>
      </c>
    </row>
    <row r="406" spans="151:162" x14ac:dyDescent="0.2">
      <c r="EU406" s="67">
        <v>562.66</v>
      </c>
      <c r="EV406" s="67" t="s">
        <v>3267</v>
      </c>
      <c r="EW406" s="67">
        <v>484.82</v>
      </c>
      <c r="EX406" s="67" t="s">
        <v>3268</v>
      </c>
      <c r="EY406" s="67">
        <v>5640.5</v>
      </c>
      <c r="EZ406" s="67" t="s">
        <v>3269</v>
      </c>
      <c r="FA406" s="67">
        <v>19916.5</v>
      </c>
      <c r="FB406" s="67" t="s">
        <v>3270</v>
      </c>
      <c r="FC406" s="67" t="s">
        <v>3271</v>
      </c>
      <c r="FD406" s="67" t="s">
        <v>3272</v>
      </c>
      <c r="FE406" s="68" t="s">
        <v>3273</v>
      </c>
      <c r="FF406" s="68" t="s">
        <v>3274</v>
      </c>
    </row>
    <row r="407" spans="151:162" x14ac:dyDescent="0.2">
      <c r="EU407" s="67">
        <v>562.63</v>
      </c>
      <c r="EV407" s="67" t="s">
        <v>3275</v>
      </c>
      <c r="EW407" s="67">
        <v>484.79</v>
      </c>
      <c r="EX407" s="67" t="s">
        <v>3276</v>
      </c>
      <c r="EY407" s="67">
        <v>5640.25</v>
      </c>
      <c r="EZ407" s="67" t="s">
        <v>3277</v>
      </c>
      <c r="FA407" s="67">
        <v>19915.75</v>
      </c>
      <c r="FB407" s="67" t="s">
        <v>3278</v>
      </c>
      <c r="FC407" s="67" t="s">
        <v>3279</v>
      </c>
      <c r="FD407" s="67" t="s">
        <v>3280</v>
      </c>
      <c r="FE407" s="68" t="s">
        <v>3281</v>
      </c>
      <c r="FF407" s="68" t="s">
        <v>3282</v>
      </c>
    </row>
    <row r="408" spans="151:162" x14ac:dyDescent="0.2">
      <c r="EU408" s="67">
        <v>562.55999999999995</v>
      </c>
      <c r="EV408" s="67" t="s">
        <v>3283</v>
      </c>
      <c r="EW408" s="67">
        <v>484.79</v>
      </c>
      <c r="EX408" s="67" t="s">
        <v>3284</v>
      </c>
      <c r="EY408" s="67">
        <v>5639.75</v>
      </c>
      <c r="EZ408" s="67" t="s">
        <v>3285</v>
      </c>
      <c r="FA408" s="67">
        <v>19915.75</v>
      </c>
      <c r="FB408" s="67" t="s">
        <v>3286</v>
      </c>
      <c r="FC408" s="67" t="s">
        <v>3287</v>
      </c>
      <c r="FD408" s="67" t="s">
        <v>3288</v>
      </c>
      <c r="FE408" s="68" t="s">
        <v>3289</v>
      </c>
      <c r="FF408" s="68" t="s">
        <v>3290</v>
      </c>
    </row>
    <row r="409" spans="151:162" x14ac:dyDescent="0.2">
      <c r="EU409" s="67">
        <v>562.51</v>
      </c>
      <c r="EV409" s="67" t="s">
        <v>3291</v>
      </c>
      <c r="EW409" s="67">
        <v>484.74</v>
      </c>
      <c r="EX409" s="67" t="s">
        <v>3292</v>
      </c>
      <c r="EY409" s="67">
        <v>5639</v>
      </c>
      <c r="EZ409" s="67" t="s">
        <v>3293</v>
      </c>
      <c r="FA409" s="67">
        <v>19913.75</v>
      </c>
      <c r="FB409" s="67" t="s">
        <v>3294</v>
      </c>
      <c r="FC409" s="67" t="s">
        <v>3295</v>
      </c>
      <c r="FD409" s="67" t="s">
        <v>3296</v>
      </c>
      <c r="FE409" s="68" t="s">
        <v>3297</v>
      </c>
      <c r="FF409" s="68" t="s">
        <v>3298</v>
      </c>
    </row>
    <row r="410" spans="151:162" x14ac:dyDescent="0.2">
      <c r="EU410" s="67">
        <v>562.42999999999995</v>
      </c>
      <c r="EV410" s="67" t="s">
        <v>3299</v>
      </c>
      <c r="EW410" s="67">
        <v>484.63</v>
      </c>
      <c r="EX410" s="67" t="s">
        <v>3300</v>
      </c>
      <c r="EY410" s="67">
        <v>5638.5</v>
      </c>
      <c r="EZ410" s="67" t="s">
        <v>3301</v>
      </c>
      <c r="FA410" s="67">
        <v>19909.25</v>
      </c>
      <c r="FB410" s="67" t="s">
        <v>3302</v>
      </c>
      <c r="FC410" s="67" t="s">
        <v>3303</v>
      </c>
      <c r="FD410" s="67" t="s">
        <v>3304</v>
      </c>
      <c r="FE410" s="68" t="s">
        <v>3305</v>
      </c>
      <c r="FF410" s="68" t="s">
        <v>3306</v>
      </c>
    </row>
    <row r="411" spans="151:162" x14ac:dyDescent="0.2">
      <c r="EU411" s="67">
        <v>562.29</v>
      </c>
      <c r="EV411" s="67" t="s">
        <v>3307</v>
      </c>
      <c r="EW411" s="67">
        <v>484.51</v>
      </c>
      <c r="EX411" s="67" t="s">
        <v>3308</v>
      </c>
      <c r="EY411" s="67">
        <v>5637</v>
      </c>
      <c r="EZ411" s="67" t="s">
        <v>3309</v>
      </c>
      <c r="FA411" s="67">
        <v>19904.25</v>
      </c>
      <c r="FB411" s="67" t="s">
        <v>3310</v>
      </c>
      <c r="FC411" s="67" t="s">
        <v>3311</v>
      </c>
      <c r="FD411" s="67" t="s">
        <v>3312</v>
      </c>
      <c r="FE411" s="68" t="s">
        <v>3313</v>
      </c>
      <c r="FF411" s="68" t="s">
        <v>3314</v>
      </c>
    </row>
    <row r="412" spans="151:162" x14ac:dyDescent="0.2">
      <c r="EU412" s="67">
        <v>562.27</v>
      </c>
      <c r="EV412" s="67" t="s">
        <v>3315</v>
      </c>
      <c r="EW412" s="67">
        <v>484.49</v>
      </c>
      <c r="EX412" s="67" t="s">
        <v>3316</v>
      </c>
      <c r="EY412" s="67">
        <v>5636.75</v>
      </c>
      <c r="EZ412" s="67" t="s">
        <v>3317</v>
      </c>
      <c r="FA412" s="67">
        <v>19904</v>
      </c>
      <c r="FB412" s="67" t="s">
        <v>3318</v>
      </c>
      <c r="FC412" s="67" t="s">
        <v>3319</v>
      </c>
      <c r="FD412" s="67" t="s">
        <v>3320</v>
      </c>
      <c r="FE412" s="68" t="s">
        <v>3321</v>
      </c>
      <c r="FF412" s="68" t="s">
        <v>3322</v>
      </c>
    </row>
    <row r="413" spans="151:162" x14ac:dyDescent="0.2">
      <c r="EU413" s="67">
        <v>562.03</v>
      </c>
      <c r="EV413" s="67" t="s">
        <v>3323</v>
      </c>
      <c r="EW413" s="67">
        <v>484.26</v>
      </c>
      <c r="EX413" s="67" t="s">
        <v>3324</v>
      </c>
      <c r="EY413" s="67">
        <v>5634.5</v>
      </c>
      <c r="EZ413" s="67" t="s">
        <v>3325</v>
      </c>
      <c r="FA413" s="67">
        <v>19894.75</v>
      </c>
      <c r="FB413" s="67" t="s">
        <v>3326</v>
      </c>
      <c r="FC413" s="67" t="s">
        <v>3327</v>
      </c>
      <c r="FD413" s="67" t="s">
        <v>3328</v>
      </c>
      <c r="FE413" s="68" t="s">
        <v>3329</v>
      </c>
      <c r="FF413" s="68" t="s">
        <v>3330</v>
      </c>
    </row>
    <row r="414" spans="151:162" x14ac:dyDescent="0.2">
      <c r="EU414" s="67">
        <v>561.85</v>
      </c>
      <c r="EV414" s="67" t="s">
        <v>3331</v>
      </c>
      <c r="EW414" s="67">
        <v>484</v>
      </c>
      <c r="EX414" s="67" t="s">
        <v>3332</v>
      </c>
      <c r="EY414" s="67">
        <v>5632.5</v>
      </c>
      <c r="EZ414" s="67" t="s">
        <v>3333</v>
      </c>
      <c r="FA414" s="67">
        <v>19882.75</v>
      </c>
      <c r="FB414" s="67" t="s">
        <v>3334</v>
      </c>
      <c r="FC414" s="67" t="s">
        <v>3335</v>
      </c>
      <c r="FD414" s="67" t="s">
        <v>3336</v>
      </c>
      <c r="FE414" s="68" t="s">
        <v>3337</v>
      </c>
      <c r="FF414" s="68" t="s">
        <v>3338</v>
      </c>
    </row>
    <row r="415" spans="151:162" x14ac:dyDescent="0.2">
      <c r="EU415" s="67">
        <v>561.79</v>
      </c>
      <c r="EV415" s="67" t="s">
        <v>3339</v>
      </c>
      <c r="EW415" s="67">
        <v>484</v>
      </c>
      <c r="EX415" s="67" t="s">
        <v>3340</v>
      </c>
      <c r="EY415" s="67">
        <v>5632</v>
      </c>
      <c r="EZ415" s="67" t="s">
        <v>3341</v>
      </c>
      <c r="FA415" s="67">
        <v>19883</v>
      </c>
      <c r="FB415" s="67" t="s">
        <v>3342</v>
      </c>
      <c r="FC415" s="67" t="s">
        <v>3343</v>
      </c>
      <c r="FD415" s="67" t="s">
        <v>3344</v>
      </c>
      <c r="FE415" s="68" t="s">
        <v>3345</v>
      </c>
      <c r="FF415" s="68" t="s">
        <v>3346</v>
      </c>
    </row>
    <row r="416" spans="151:162" x14ac:dyDescent="0.2">
      <c r="EU416" s="67">
        <v>562.14</v>
      </c>
      <c r="EV416" s="67" t="s">
        <v>3347</v>
      </c>
      <c r="EW416" s="67">
        <v>484.36</v>
      </c>
      <c r="EX416" s="67" t="s">
        <v>3348</v>
      </c>
      <c r="EY416" s="67">
        <v>5635.75</v>
      </c>
      <c r="EZ416" s="67" t="s">
        <v>3349</v>
      </c>
      <c r="FA416" s="67">
        <v>19897.5</v>
      </c>
      <c r="FB416" s="67" t="s">
        <v>3350</v>
      </c>
      <c r="FC416" s="67" t="s">
        <v>3351</v>
      </c>
      <c r="FD416" s="67" t="s">
        <v>3352</v>
      </c>
      <c r="FE416" s="68" t="s">
        <v>3353</v>
      </c>
      <c r="FF416" s="68" t="s">
        <v>3354</v>
      </c>
    </row>
    <row r="417" spans="151:162" x14ac:dyDescent="0.2">
      <c r="EU417" s="67">
        <v>562.12</v>
      </c>
      <c r="EV417" s="67" t="s">
        <v>3355</v>
      </c>
      <c r="EW417" s="67">
        <v>484.26</v>
      </c>
      <c r="EX417" s="67" t="s">
        <v>3356</v>
      </c>
      <c r="EY417" s="67">
        <v>5635.5</v>
      </c>
      <c r="EZ417" s="67" t="s">
        <v>3357</v>
      </c>
      <c r="FA417" s="67">
        <v>19893.25</v>
      </c>
      <c r="FB417" s="67" t="s">
        <v>3358</v>
      </c>
      <c r="FC417" s="67" t="s">
        <v>3359</v>
      </c>
      <c r="FD417" s="67" t="s">
        <v>3360</v>
      </c>
      <c r="FE417" s="68" t="s">
        <v>3361</v>
      </c>
      <c r="FF417" s="68" t="s">
        <v>3362</v>
      </c>
    </row>
    <row r="418" spans="151:162" x14ac:dyDescent="0.2">
      <c r="EU418" s="67">
        <v>562.25</v>
      </c>
      <c r="EV418" s="67" t="s">
        <v>3363</v>
      </c>
      <c r="EW418" s="67">
        <v>484.46</v>
      </c>
      <c r="EX418" s="67" t="s">
        <v>3364</v>
      </c>
      <c r="EY418" s="67">
        <v>5636.5</v>
      </c>
      <c r="EZ418" s="67" t="s">
        <v>3365</v>
      </c>
      <c r="FA418" s="67">
        <v>19902.25</v>
      </c>
      <c r="FB418" s="67" t="s">
        <v>3366</v>
      </c>
      <c r="FC418" s="67" t="s">
        <v>3367</v>
      </c>
      <c r="FD418" s="67" t="s">
        <v>3368</v>
      </c>
      <c r="FE418" s="68" t="s">
        <v>3369</v>
      </c>
      <c r="FF418" s="68" t="s">
        <v>3370</v>
      </c>
    </row>
    <row r="419" spans="151:162" x14ac:dyDescent="0.2">
      <c r="EU419" s="67">
        <v>562.15</v>
      </c>
      <c r="EV419" s="67" t="s">
        <v>3371</v>
      </c>
      <c r="EW419" s="67">
        <v>484.4</v>
      </c>
      <c r="EX419" s="67" t="s">
        <v>3372</v>
      </c>
      <c r="EY419" s="67">
        <v>5635.5</v>
      </c>
      <c r="EZ419" s="67" t="s">
        <v>3373</v>
      </c>
      <c r="FA419" s="67">
        <v>19899</v>
      </c>
      <c r="FB419" s="67" t="s">
        <v>3374</v>
      </c>
      <c r="FC419" s="67" t="s">
        <v>3375</v>
      </c>
      <c r="FD419" s="67" t="s">
        <v>3376</v>
      </c>
      <c r="FE419" s="68" t="s">
        <v>3377</v>
      </c>
      <c r="FF419" s="68" t="s">
        <v>3378</v>
      </c>
    </row>
    <row r="420" spans="151:162" x14ac:dyDescent="0.2">
      <c r="EU420" s="67">
        <v>562.16</v>
      </c>
      <c r="EV420" s="67" t="s">
        <v>3379</v>
      </c>
      <c r="EW420" s="67">
        <v>484.46</v>
      </c>
      <c r="EX420" s="67" t="s">
        <v>3380</v>
      </c>
      <c r="EY420" s="67">
        <v>5635.75</v>
      </c>
      <c r="EZ420" s="67" t="s">
        <v>3381</v>
      </c>
      <c r="FA420" s="67">
        <v>19901.75</v>
      </c>
      <c r="FB420" s="67" t="s">
        <v>3382</v>
      </c>
      <c r="FC420" s="67" t="s">
        <v>3383</v>
      </c>
      <c r="FD420" s="67" t="s">
        <v>3384</v>
      </c>
      <c r="FE420" s="68" t="s">
        <v>3385</v>
      </c>
      <c r="FF420" s="68" t="s">
        <v>3386</v>
      </c>
    </row>
    <row r="421" spans="151:162" x14ac:dyDescent="0.2">
      <c r="EU421" s="67">
        <v>562.14</v>
      </c>
      <c r="EV421" s="67" t="s">
        <v>3387</v>
      </c>
      <c r="EW421" s="67">
        <v>484.41</v>
      </c>
      <c r="EX421" s="67" t="s">
        <v>3388</v>
      </c>
      <c r="EY421" s="67">
        <v>5635.25</v>
      </c>
      <c r="EZ421" s="67" t="s">
        <v>3389</v>
      </c>
      <c r="FA421" s="67">
        <v>19899</v>
      </c>
      <c r="FB421" s="67" t="s">
        <v>3390</v>
      </c>
      <c r="FC421" s="67" t="s">
        <v>3391</v>
      </c>
      <c r="FD421" s="67" t="s">
        <v>3392</v>
      </c>
      <c r="FE421" s="68" t="s">
        <v>3393</v>
      </c>
      <c r="FF421" s="68" t="s">
        <v>3394</v>
      </c>
    </row>
    <row r="422" spans="151:162" x14ac:dyDescent="0.2">
      <c r="EU422" s="67">
        <v>562.1</v>
      </c>
      <c r="EV422" s="67" t="s">
        <v>3395</v>
      </c>
      <c r="EW422" s="67">
        <v>484.38</v>
      </c>
      <c r="EX422" s="67" t="s">
        <v>3396</v>
      </c>
      <c r="EY422" s="67">
        <v>5635.25</v>
      </c>
      <c r="EZ422" s="67" t="s">
        <v>3397</v>
      </c>
      <c r="FA422" s="67">
        <v>19899</v>
      </c>
      <c r="FB422" s="67" t="s">
        <v>3398</v>
      </c>
      <c r="FC422" s="67" t="s">
        <v>3399</v>
      </c>
      <c r="FD422" s="67" t="s">
        <v>3400</v>
      </c>
      <c r="FE422" s="68" t="s">
        <v>3401</v>
      </c>
      <c r="FF422" s="68" t="s">
        <v>3402</v>
      </c>
    </row>
    <row r="423" spans="151:162" x14ac:dyDescent="0.2">
      <c r="EU423" s="67">
        <v>562.28</v>
      </c>
      <c r="EV423" s="67" t="s">
        <v>3403</v>
      </c>
      <c r="EW423" s="67">
        <v>484.55</v>
      </c>
      <c r="EX423" s="67" t="s">
        <v>3404</v>
      </c>
      <c r="EY423" s="67">
        <v>5637</v>
      </c>
      <c r="EZ423" s="67" t="s">
        <v>3405</v>
      </c>
      <c r="FA423" s="67">
        <v>19905.25</v>
      </c>
      <c r="FB423" s="67" t="s">
        <v>3406</v>
      </c>
      <c r="FC423" s="67" t="s">
        <v>3407</v>
      </c>
      <c r="FD423" s="67" t="s">
        <v>3408</v>
      </c>
      <c r="FE423" s="68" t="s">
        <v>3409</v>
      </c>
      <c r="FF423" s="68" t="s">
        <v>3410</v>
      </c>
    </row>
    <row r="424" spans="151:162" x14ac:dyDescent="0.2">
      <c r="EU424" s="67">
        <v>562.32000000000005</v>
      </c>
      <c r="EV424" s="67" t="s">
        <v>3411</v>
      </c>
      <c r="EW424" s="67">
        <v>484.59</v>
      </c>
      <c r="EX424" s="67" t="s">
        <v>3412</v>
      </c>
      <c r="EY424" s="67">
        <v>5637.25</v>
      </c>
      <c r="EZ424" s="67" t="s">
        <v>3413</v>
      </c>
      <c r="FA424" s="67">
        <v>19907</v>
      </c>
      <c r="FB424" s="67" t="s">
        <v>3414</v>
      </c>
      <c r="FC424" s="67" t="s">
        <v>3415</v>
      </c>
      <c r="FD424" s="67" t="s">
        <v>3416</v>
      </c>
      <c r="FE424" s="68" t="s">
        <v>3417</v>
      </c>
      <c r="FF424" s="68" t="s">
        <v>3418</v>
      </c>
    </row>
    <row r="425" spans="151:162" x14ac:dyDescent="0.2">
      <c r="EU425" s="67">
        <v>562.25</v>
      </c>
      <c r="EV425" s="67" t="s">
        <v>3419</v>
      </c>
      <c r="EW425" s="67">
        <v>484.5</v>
      </c>
      <c r="EX425" s="67" t="s">
        <v>3420</v>
      </c>
      <c r="EY425" s="67">
        <v>5636.5</v>
      </c>
      <c r="EZ425" s="67" t="s">
        <v>3421</v>
      </c>
      <c r="FA425" s="67">
        <v>19903.5</v>
      </c>
      <c r="FB425" s="67" t="s">
        <v>3422</v>
      </c>
      <c r="FC425" s="67" t="s">
        <v>3423</v>
      </c>
      <c r="FD425" s="67" t="s">
        <v>3424</v>
      </c>
      <c r="FE425" s="68" t="s">
        <v>3425</v>
      </c>
      <c r="FF425" s="68" t="s">
        <v>3426</v>
      </c>
    </row>
    <row r="426" spans="151:162" x14ac:dyDescent="0.2">
      <c r="EU426" s="67">
        <v>562.09</v>
      </c>
      <c r="EV426" s="67" t="s">
        <v>3427</v>
      </c>
      <c r="EW426" s="67">
        <v>484.32</v>
      </c>
      <c r="EX426" s="67" t="s">
        <v>3428</v>
      </c>
      <c r="EY426" s="67">
        <v>5634.75</v>
      </c>
      <c r="EZ426" s="67" t="s">
        <v>3429</v>
      </c>
      <c r="FA426" s="67">
        <v>19896</v>
      </c>
      <c r="FB426" s="67" t="s">
        <v>3430</v>
      </c>
      <c r="FC426" s="67" t="s">
        <v>3431</v>
      </c>
      <c r="FD426" s="67" t="s">
        <v>3432</v>
      </c>
      <c r="FE426" s="68" t="s">
        <v>3433</v>
      </c>
      <c r="FF426" s="68" t="s">
        <v>3434</v>
      </c>
    </row>
    <row r="427" spans="151:162" x14ac:dyDescent="0.2">
      <c r="EU427" s="67">
        <v>562.01</v>
      </c>
      <c r="EV427" s="67" t="s">
        <v>3435</v>
      </c>
      <c r="EW427" s="67">
        <v>484.25</v>
      </c>
      <c r="EX427" s="67" t="s">
        <v>3436</v>
      </c>
      <c r="EY427" s="67">
        <v>5634</v>
      </c>
      <c r="EZ427" s="67" t="s">
        <v>3437</v>
      </c>
      <c r="FA427" s="67">
        <v>19893</v>
      </c>
      <c r="FB427" s="67" t="s">
        <v>3438</v>
      </c>
      <c r="FC427" s="67" t="s">
        <v>3439</v>
      </c>
      <c r="FD427" s="67" t="s">
        <v>3440</v>
      </c>
      <c r="FE427" s="68" t="s">
        <v>3441</v>
      </c>
      <c r="FF427" s="68" t="s">
        <v>3442</v>
      </c>
    </row>
    <row r="428" spans="151:162" x14ac:dyDescent="0.2">
      <c r="EU428" s="67">
        <v>561.97</v>
      </c>
      <c r="EV428" s="67" t="s">
        <v>3443</v>
      </c>
      <c r="EW428" s="67">
        <v>484.21</v>
      </c>
      <c r="EX428" s="67" t="s">
        <v>3444</v>
      </c>
      <c r="EY428" s="67">
        <v>5633.75</v>
      </c>
      <c r="EZ428" s="67" t="s">
        <v>3445</v>
      </c>
      <c r="FA428" s="67">
        <v>19891.25</v>
      </c>
      <c r="FB428" s="67" t="s">
        <v>3446</v>
      </c>
      <c r="FC428" s="67" t="s">
        <v>3447</v>
      </c>
      <c r="FD428" s="67" t="s">
        <v>3448</v>
      </c>
      <c r="FE428" s="68" t="s">
        <v>3449</v>
      </c>
      <c r="FF428" s="68" t="s">
        <v>3450</v>
      </c>
    </row>
    <row r="429" spans="151:162" x14ac:dyDescent="0.2">
      <c r="EU429" s="67">
        <v>561.87</v>
      </c>
      <c r="EV429" s="67" t="s">
        <v>3451</v>
      </c>
      <c r="EW429" s="67">
        <v>484.08</v>
      </c>
      <c r="EX429" s="67" t="s">
        <v>3452</v>
      </c>
      <c r="EY429" s="67">
        <v>5632.75</v>
      </c>
      <c r="EZ429" s="67" t="s">
        <v>3453</v>
      </c>
      <c r="FA429" s="67">
        <v>19886.5</v>
      </c>
      <c r="FB429" s="67" t="s">
        <v>3454</v>
      </c>
      <c r="FC429" s="67" t="s">
        <v>3455</v>
      </c>
      <c r="FD429" s="67" t="s">
        <v>3456</v>
      </c>
      <c r="FE429" s="68" t="s">
        <v>3457</v>
      </c>
      <c r="FF429" s="68" t="s">
        <v>3458</v>
      </c>
    </row>
    <row r="430" spans="151:162" x14ac:dyDescent="0.2">
      <c r="EU430" s="67">
        <v>561.79</v>
      </c>
      <c r="EV430" s="67" t="s">
        <v>3459</v>
      </c>
      <c r="EW430" s="67">
        <v>484.06</v>
      </c>
      <c r="EX430" s="67" t="s">
        <v>3460</v>
      </c>
      <c r="EY430" s="67">
        <v>5631.75</v>
      </c>
      <c r="EZ430" s="67" t="s">
        <v>3461</v>
      </c>
      <c r="FA430" s="67">
        <v>19884.25</v>
      </c>
      <c r="FB430" s="67" t="s">
        <v>3462</v>
      </c>
      <c r="FC430" s="67" t="s">
        <v>3463</v>
      </c>
      <c r="FD430" s="67" t="s">
        <v>3464</v>
      </c>
      <c r="FE430" s="68" t="s">
        <v>3465</v>
      </c>
      <c r="FF430" s="68" t="s">
        <v>3466</v>
      </c>
    </row>
    <row r="431" spans="151:162" x14ac:dyDescent="0.2">
      <c r="EU431" s="67">
        <v>561.88</v>
      </c>
      <c r="EV431" s="67" t="s">
        <v>3467</v>
      </c>
      <c r="EW431" s="67">
        <v>484.12</v>
      </c>
      <c r="EX431" s="67" t="s">
        <v>3468</v>
      </c>
      <c r="EY431" s="67">
        <v>5632.75</v>
      </c>
      <c r="EZ431" s="67" t="s">
        <v>3469</v>
      </c>
      <c r="FA431" s="67">
        <v>19887.75</v>
      </c>
      <c r="FB431" s="67" t="s">
        <v>3470</v>
      </c>
      <c r="FC431" s="67" t="s">
        <v>3471</v>
      </c>
      <c r="FD431" s="67" t="s">
        <v>3472</v>
      </c>
      <c r="FE431" s="68" t="s">
        <v>3473</v>
      </c>
      <c r="FF431" s="68" t="s">
        <v>3474</v>
      </c>
    </row>
    <row r="432" spans="151:162" x14ac:dyDescent="0.2">
      <c r="EU432" s="67">
        <v>562.07000000000005</v>
      </c>
      <c r="EV432" s="67" t="s">
        <v>3475</v>
      </c>
      <c r="EW432" s="67">
        <v>484.3</v>
      </c>
      <c r="EX432" s="67" t="s">
        <v>3476</v>
      </c>
      <c r="EY432" s="67">
        <v>5634.5</v>
      </c>
      <c r="EZ432" s="67" t="s">
        <v>3477</v>
      </c>
      <c r="FA432" s="67">
        <v>19895</v>
      </c>
      <c r="FB432" s="67" t="s">
        <v>3478</v>
      </c>
      <c r="FC432" s="67" t="s">
        <v>3479</v>
      </c>
      <c r="FD432" s="67" t="s">
        <v>3480</v>
      </c>
      <c r="FE432" s="68" t="s">
        <v>3481</v>
      </c>
      <c r="FF432" s="68" t="s">
        <v>3482</v>
      </c>
    </row>
    <row r="433" spans="151:162" x14ac:dyDescent="0.2">
      <c r="EU433" s="67">
        <v>561.85</v>
      </c>
      <c r="EV433" s="67" t="s">
        <v>3483</v>
      </c>
      <c r="EW433" s="67">
        <v>484.06</v>
      </c>
      <c r="EX433" s="67" t="s">
        <v>3484</v>
      </c>
      <c r="EY433" s="67">
        <v>5632.25</v>
      </c>
      <c r="EZ433" s="67" t="s">
        <v>3485</v>
      </c>
      <c r="FA433" s="67">
        <v>19884.75</v>
      </c>
      <c r="FB433" s="67" t="s">
        <v>3486</v>
      </c>
      <c r="FC433" s="67" t="s">
        <v>3487</v>
      </c>
      <c r="FD433" s="67" t="s">
        <v>3488</v>
      </c>
      <c r="FE433" s="68" t="s">
        <v>3489</v>
      </c>
      <c r="FF433" s="68" t="s">
        <v>3490</v>
      </c>
    </row>
    <row r="434" spans="151:162" x14ac:dyDescent="0.2">
      <c r="EU434" s="67">
        <v>561.92999999999995</v>
      </c>
      <c r="EV434" s="67" t="s">
        <v>3491</v>
      </c>
      <c r="EW434" s="67">
        <v>484.14</v>
      </c>
      <c r="EX434" s="67" t="s">
        <v>3492</v>
      </c>
      <c r="EY434" s="67">
        <v>5633.25</v>
      </c>
      <c r="EZ434" s="67" t="s">
        <v>3493</v>
      </c>
      <c r="FA434" s="67">
        <v>19887.5</v>
      </c>
      <c r="FB434" s="67" t="s">
        <v>3494</v>
      </c>
      <c r="FC434" s="67" t="s">
        <v>3495</v>
      </c>
      <c r="FD434" s="67" t="s">
        <v>3496</v>
      </c>
      <c r="FE434" s="68" t="s">
        <v>3497</v>
      </c>
      <c r="FF434" s="68" t="s">
        <v>3498</v>
      </c>
    </row>
    <row r="435" spans="151:162" x14ac:dyDescent="0.2">
      <c r="EU435" s="67">
        <v>561.89</v>
      </c>
      <c r="EV435" s="67" t="s">
        <v>3499</v>
      </c>
      <c r="EW435" s="67">
        <v>484.08</v>
      </c>
      <c r="EX435" s="67" t="s">
        <v>3500</v>
      </c>
      <c r="EY435" s="67">
        <v>5632.75</v>
      </c>
      <c r="EZ435" s="67" t="s">
        <v>3501</v>
      </c>
      <c r="FA435" s="67">
        <v>19886</v>
      </c>
      <c r="FB435" s="67" t="s">
        <v>3502</v>
      </c>
      <c r="FC435" s="67" t="s">
        <v>3503</v>
      </c>
      <c r="FD435" s="67" t="s">
        <v>3504</v>
      </c>
      <c r="FE435" s="68" t="s">
        <v>3505</v>
      </c>
      <c r="FF435" s="68" t="s">
        <v>3506</v>
      </c>
    </row>
    <row r="436" spans="151:162" x14ac:dyDescent="0.2">
      <c r="EU436" s="67">
        <v>562.04</v>
      </c>
      <c r="EV436" s="67" t="s">
        <v>3507</v>
      </c>
      <c r="EW436" s="67">
        <v>484.27</v>
      </c>
      <c r="EX436" s="67" t="s">
        <v>3508</v>
      </c>
      <c r="EY436" s="67">
        <v>5634.25</v>
      </c>
      <c r="EZ436" s="67" t="s">
        <v>3509</v>
      </c>
      <c r="FA436" s="67">
        <v>19893</v>
      </c>
      <c r="FB436" s="67" t="s">
        <v>3510</v>
      </c>
      <c r="FC436" s="67" t="s">
        <v>3511</v>
      </c>
      <c r="FD436" s="67" t="s">
        <v>3512</v>
      </c>
      <c r="FE436" s="68" t="s">
        <v>3513</v>
      </c>
      <c r="FF436" s="68" t="s">
        <v>3514</v>
      </c>
    </row>
    <row r="437" spans="151:162" x14ac:dyDescent="0.2">
      <c r="EU437" s="67">
        <v>562.16</v>
      </c>
      <c r="EV437" s="67" t="s">
        <v>3515</v>
      </c>
      <c r="EW437" s="67">
        <v>484.4</v>
      </c>
      <c r="EX437" s="67" t="s">
        <v>3516</v>
      </c>
      <c r="EY437" s="67">
        <v>5635.5</v>
      </c>
      <c r="EZ437" s="67" t="s">
        <v>3517</v>
      </c>
      <c r="FA437" s="67">
        <v>19898.25</v>
      </c>
      <c r="FB437" s="67" t="s">
        <v>3518</v>
      </c>
      <c r="FC437" s="67" t="s">
        <v>3519</v>
      </c>
      <c r="FD437" s="67" t="s">
        <v>3520</v>
      </c>
      <c r="FE437" s="68" t="s">
        <v>3521</v>
      </c>
      <c r="FF437" s="68" t="s">
        <v>3522</v>
      </c>
    </row>
    <row r="438" spans="151:162" x14ac:dyDescent="0.2">
      <c r="EU438" s="67">
        <v>562.20000000000005</v>
      </c>
      <c r="EV438" s="67" t="s">
        <v>3523</v>
      </c>
      <c r="EW438" s="67">
        <v>484.46</v>
      </c>
      <c r="EX438" s="67" t="s">
        <v>3524</v>
      </c>
      <c r="EY438" s="67">
        <v>5636</v>
      </c>
      <c r="EZ438" s="67" t="s">
        <v>3525</v>
      </c>
      <c r="FA438" s="67">
        <v>19901.5</v>
      </c>
      <c r="FB438" s="67" t="s">
        <v>3526</v>
      </c>
      <c r="FC438" s="67" t="s">
        <v>3527</v>
      </c>
      <c r="FD438" s="67" t="s">
        <v>3528</v>
      </c>
      <c r="FE438" s="68" t="s">
        <v>3529</v>
      </c>
      <c r="FF438" s="68" t="s">
        <v>3530</v>
      </c>
    </row>
    <row r="439" spans="151:162" x14ac:dyDescent="0.2">
      <c r="EU439" s="67">
        <v>562.22</v>
      </c>
      <c r="EV439" s="67" t="s">
        <v>3531</v>
      </c>
      <c r="EW439" s="67">
        <v>484.36</v>
      </c>
      <c r="EX439" s="67" t="s">
        <v>3532</v>
      </c>
      <c r="EY439" s="67">
        <v>5636.25</v>
      </c>
      <c r="EZ439" s="67" t="s">
        <v>3533</v>
      </c>
      <c r="FA439" s="67">
        <v>19897.25</v>
      </c>
      <c r="FB439" s="67" t="s">
        <v>3534</v>
      </c>
      <c r="FC439" s="67" t="s">
        <v>3535</v>
      </c>
      <c r="FD439" s="67" t="s">
        <v>3536</v>
      </c>
      <c r="FE439" s="68" t="s">
        <v>3537</v>
      </c>
      <c r="FF439" s="68" t="s">
        <v>3538</v>
      </c>
    </row>
    <row r="440" spans="151:162" x14ac:dyDescent="0.2">
      <c r="EU440" s="67">
        <v>562.28</v>
      </c>
      <c r="EV440" s="67" t="s">
        <v>3539</v>
      </c>
      <c r="EW440" s="67">
        <v>484.43</v>
      </c>
      <c r="EX440" s="67" t="s">
        <v>3540</v>
      </c>
      <c r="EY440" s="67">
        <v>5636.75</v>
      </c>
      <c r="EZ440" s="67" t="s">
        <v>3541</v>
      </c>
      <c r="FA440" s="67">
        <v>19900</v>
      </c>
      <c r="FB440" s="67" t="s">
        <v>3542</v>
      </c>
      <c r="FC440" s="67" t="s">
        <v>3543</v>
      </c>
      <c r="FD440" s="67" t="s">
        <v>3544</v>
      </c>
      <c r="FE440" s="68" t="s">
        <v>3545</v>
      </c>
      <c r="FF440" s="68" t="s">
        <v>3546</v>
      </c>
    </row>
    <row r="441" spans="151:162" x14ac:dyDescent="0.2">
      <c r="EU441" s="67">
        <v>562.44000000000005</v>
      </c>
      <c r="EV441" s="67" t="s">
        <v>3547</v>
      </c>
      <c r="EW441" s="67">
        <v>484.66</v>
      </c>
      <c r="EX441" s="67" t="s">
        <v>3548</v>
      </c>
      <c r="EY441" s="67">
        <v>5638.5</v>
      </c>
      <c r="EZ441" s="67" t="s">
        <v>3549</v>
      </c>
      <c r="FA441" s="67">
        <v>19909.75</v>
      </c>
      <c r="FB441" s="67" t="s">
        <v>3550</v>
      </c>
      <c r="FC441" s="67" t="s">
        <v>3551</v>
      </c>
      <c r="FD441" s="67" t="s">
        <v>3552</v>
      </c>
      <c r="FE441" s="68" t="s">
        <v>3553</v>
      </c>
      <c r="FF441" s="68" t="s">
        <v>3554</v>
      </c>
    </row>
    <row r="442" spans="151:162" x14ac:dyDescent="0.2">
      <c r="EU442" s="67">
        <v>562.55999999999995</v>
      </c>
      <c r="EV442" s="67" t="s">
        <v>3555</v>
      </c>
      <c r="EW442" s="67">
        <v>484.77</v>
      </c>
      <c r="EX442" s="67" t="s">
        <v>3556</v>
      </c>
      <c r="EY442" s="67">
        <v>5639.5</v>
      </c>
      <c r="EZ442" s="67" t="s">
        <v>3557</v>
      </c>
      <c r="FA442" s="67">
        <v>19914.25</v>
      </c>
      <c r="FB442" s="67" t="s">
        <v>3558</v>
      </c>
      <c r="FC442" s="67" t="s">
        <v>3559</v>
      </c>
      <c r="FD442" s="67" t="s">
        <v>3560</v>
      </c>
      <c r="FE442" s="68" t="s">
        <v>3561</v>
      </c>
      <c r="FF442" s="68" t="s">
        <v>3562</v>
      </c>
    </row>
    <row r="443" spans="151:162" x14ac:dyDescent="0.2">
      <c r="EU443" s="67">
        <v>562.67999999999995</v>
      </c>
      <c r="EV443" s="67" t="s">
        <v>3563</v>
      </c>
      <c r="EW443" s="67">
        <v>484.82</v>
      </c>
      <c r="EX443" s="67" t="s">
        <v>3564</v>
      </c>
      <c r="EY443" s="67">
        <v>5641</v>
      </c>
      <c r="EZ443" s="67" t="s">
        <v>3565</v>
      </c>
      <c r="FA443" s="67">
        <v>19916.75</v>
      </c>
      <c r="FB443" s="67" t="s">
        <v>3566</v>
      </c>
      <c r="FC443" s="67" t="s">
        <v>3567</v>
      </c>
      <c r="FD443" s="67" t="s">
        <v>3568</v>
      </c>
      <c r="FE443" s="68" t="s">
        <v>3569</v>
      </c>
      <c r="FF443" s="68" t="s">
        <v>3570</v>
      </c>
    </row>
    <row r="444" spans="151:162" x14ac:dyDescent="0.2">
      <c r="EU444" s="67">
        <v>562.78</v>
      </c>
      <c r="EV444" s="67" t="s">
        <v>3571</v>
      </c>
      <c r="EW444" s="67">
        <v>484.89</v>
      </c>
      <c r="EX444" s="67" t="s">
        <v>3572</v>
      </c>
      <c r="EY444" s="67">
        <v>5641.75</v>
      </c>
      <c r="EZ444" s="67" t="s">
        <v>3573</v>
      </c>
      <c r="FA444" s="67">
        <v>19919.5</v>
      </c>
      <c r="FB444" s="67" t="s">
        <v>3574</v>
      </c>
      <c r="FC444" s="67" t="s">
        <v>3575</v>
      </c>
      <c r="FD444" s="67" t="s">
        <v>3576</v>
      </c>
      <c r="FE444" s="68" t="s">
        <v>3577</v>
      </c>
      <c r="FF444" s="68" t="s">
        <v>3578</v>
      </c>
    </row>
    <row r="445" spans="151:162" x14ac:dyDescent="0.2">
      <c r="EU445" s="67">
        <v>562.67999999999995</v>
      </c>
      <c r="EV445" s="67" t="s">
        <v>3579</v>
      </c>
      <c r="EW445" s="67">
        <v>484.79</v>
      </c>
      <c r="EX445" s="67" t="s">
        <v>3580</v>
      </c>
      <c r="EY445" s="67">
        <v>5640.75</v>
      </c>
      <c r="EZ445" s="67" t="s">
        <v>3581</v>
      </c>
      <c r="FA445" s="67">
        <v>19915.75</v>
      </c>
      <c r="FB445" s="67" t="s">
        <v>3582</v>
      </c>
      <c r="FC445" s="67" t="s">
        <v>3583</v>
      </c>
      <c r="FD445" s="67" t="s">
        <v>3584</v>
      </c>
      <c r="FE445" s="68" t="s">
        <v>3585</v>
      </c>
      <c r="FF445" s="68" t="s">
        <v>3586</v>
      </c>
    </row>
    <row r="446" spans="151:162" x14ac:dyDescent="0.2">
      <c r="EU446" s="67">
        <v>562.64</v>
      </c>
      <c r="EV446" s="67" t="s">
        <v>3587</v>
      </c>
      <c r="EW446" s="67">
        <v>484.75</v>
      </c>
      <c r="EX446" s="67" t="s">
        <v>3588</v>
      </c>
      <c r="EY446" s="67">
        <v>5640.5</v>
      </c>
      <c r="EZ446" s="67" t="s">
        <v>3589</v>
      </c>
      <c r="FA446" s="67">
        <v>19913.5</v>
      </c>
      <c r="FB446" s="67" t="s">
        <v>3590</v>
      </c>
      <c r="FC446" s="67" t="s">
        <v>3591</v>
      </c>
      <c r="FD446" s="67" t="s">
        <v>3592</v>
      </c>
      <c r="FE446" s="68" t="s">
        <v>3593</v>
      </c>
      <c r="FF446" s="68" t="s">
        <v>3594</v>
      </c>
    </row>
    <row r="447" spans="151:162" x14ac:dyDescent="0.2">
      <c r="EU447" s="67">
        <v>562.65</v>
      </c>
      <c r="EV447" s="67" t="s">
        <v>3595</v>
      </c>
      <c r="EW447" s="67">
        <v>484.75</v>
      </c>
      <c r="EX447" s="67" t="s">
        <v>3596</v>
      </c>
      <c r="EY447" s="67">
        <v>5640.5</v>
      </c>
      <c r="EZ447" s="67" t="s">
        <v>3597</v>
      </c>
      <c r="FA447" s="67">
        <v>19913.75</v>
      </c>
      <c r="FB447" s="67" t="s">
        <v>3598</v>
      </c>
      <c r="FC447" s="67" t="s">
        <v>3599</v>
      </c>
      <c r="FD447" s="67" t="s">
        <v>3600</v>
      </c>
      <c r="FE447" s="68" t="s">
        <v>3601</v>
      </c>
      <c r="FF447" s="68" t="s">
        <v>3602</v>
      </c>
    </row>
    <row r="448" spans="151:162" x14ac:dyDescent="0.2">
      <c r="EU448" s="67">
        <v>562.55999999999995</v>
      </c>
      <c r="EV448" s="67" t="s">
        <v>3603</v>
      </c>
      <c r="EW448" s="67">
        <v>484.67</v>
      </c>
      <c r="EX448" s="67" t="s">
        <v>3604</v>
      </c>
      <c r="EY448" s="67">
        <v>5639.75</v>
      </c>
      <c r="EZ448" s="67" t="s">
        <v>3605</v>
      </c>
      <c r="FA448" s="67">
        <v>19910.5</v>
      </c>
      <c r="FB448" s="67" t="s">
        <v>3606</v>
      </c>
      <c r="FC448" s="67" t="s">
        <v>3607</v>
      </c>
      <c r="FD448" s="67" t="s">
        <v>3608</v>
      </c>
      <c r="FE448" s="68" t="s">
        <v>3609</v>
      </c>
      <c r="FF448" s="68" t="s">
        <v>3610</v>
      </c>
    </row>
    <row r="449" spans="151:162" x14ac:dyDescent="0.2">
      <c r="EU449" s="67">
        <v>562.71</v>
      </c>
      <c r="EV449" s="67" t="s">
        <v>3611</v>
      </c>
      <c r="EW449" s="67">
        <v>484.8</v>
      </c>
      <c r="EX449" s="67" t="s">
        <v>3612</v>
      </c>
      <c r="EY449" s="67">
        <v>5641.25</v>
      </c>
      <c r="EZ449" s="67" t="s">
        <v>3613</v>
      </c>
      <c r="FA449" s="67">
        <v>19915.5</v>
      </c>
      <c r="FB449" s="67" t="s">
        <v>3614</v>
      </c>
      <c r="FC449" s="67" t="s">
        <v>3615</v>
      </c>
      <c r="FD449" s="67" t="s">
        <v>3616</v>
      </c>
      <c r="FE449" s="68" t="s">
        <v>3617</v>
      </c>
      <c r="FF449" s="68" t="s">
        <v>3618</v>
      </c>
    </row>
    <row r="450" spans="151:162" x14ac:dyDescent="0.2">
      <c r="EU450" s="67">
        <v>562.73</v>
      </c>
      <c r="EV450" s="67" t="s">
        <v>3619</v>
      </c>
      <c r="EW450" s="67">
        <v>484.81</v>
      </c>
      <c r="EX450" s="67" t="s">
        <v>3620</v>
      </c>
      <c r="EY450" s="67">
        <v>5641.25</v>
      </c>
      <c r="EZ450" s="67" t="s">
        <v>3621</v>
      </c>
      <c r="FA450" s="67">
        <v>19915.25</v>
      </c>
      <c r="FB450" s="67" t="s">
        <v>3622</v>
      </c>
      <c r="FC450" s="67" t="s">
        <v>3623</v>
      </c>
      <c r="FD450" s="67" t="s">
        <v>3624</v>
      </c>
      <c r="FE450" s="68" t="s">
        <v>3625</v>
      </c>
      <c r="FF450" s="68" t="s">
        <v>3626</v>
      </c>
    </row>
    <row r="451" spans="151:162" x14ac:dyDescent="0.2">
      <c r="EU451" s="67">
        <v>562.76</v>
      </c>
      <c r="EV451" s="67" t="s">
        <v>3627</v>
      </c>
      <c r="EW451" s="67">
        <v>484.84</v>
      </c>
      <c r="EX451" s="67" t="s">
        <v>3628</v>
      </c>
      <c r="EY451" s="67">
        <v>5641.75</v>
      </c>
      <c r="EZ451" s="67" t="s">
        <v>3629</v>
      </c>
      <c r="FA451" s="67">
        <v>19917.25</v>
      </c>
      <c r="FB451" s="67" t="s">
        <v>3630</v>
      </c>
      <c r="FC451" s="67" t="s">
        <v>3631</v>
      </c>
      <c r="FD451" s="67" t="s">
        <v>3632</v>
      </c>
      <c r="FE451" s="68" t="s">
        <v>3633</v>
      </c>
      <c r="FF451" s="68" t="s">
        <v>3634</v>
      </c>
    </row>
    <row r="452" spans="151:162" x14ac:dyDescent="0.2">
      <c r="EU452" s="67">
        <v>562.98</v>
      </c>
      <c r="EV452" s="67" t="s">
        <v>3635</v>
      </c>
      <c r="EW452" s="67">
        <v>485.01</v>
      </c>
      <c r="EX452" s="67" t="s">
        <v>3636</v>
      </c>
      <c r="EY452" s="67">
        <v>5643.75</v>
      </c>
      <c r="EZ452" s="67" t="s">
        <v>3637</v>
      </c>
      <c r="FA452" s="67">
        <v>19924.75</v>
      </c>
      <c r="FB452" s="67" t="s">
        <v>3638</v>
      </c>
      <c r="FC452" s="67" t="s">
        <v>3639</v>
      </c>
      <c r="FD452" s="67" t="s">
        <v>3640</v>
      </c>
      <c r="FE452" s="68" t="s">
        <v>3641</v>
      </c>
      <c r="FF452" s="68" t="s">
        <v>3642</v>
      </c>
    </row>
    <row r="453" spans="151:162" x14ac:dyDescent="0.2">
      <c r="EU453" s="67">
        <v>562.86</v>
      </c>
      <c r="EV453" s="67" t="s">
        <v>3643</v>
      </c>
      <c r="EW453" s="67">
        <v>484.88</v>
      </c>
      <c r="EX453" s="67" t="s">
        <v>3644</v>
      </c>
      <c r="EY453" s="67">
        <v>5642.75</v>
      </c>
      <c r="EZ453" s="67" t="s">
        <v>3645</v>
      </c>
      <c r="FA453" s="67">
        <v>19918.5</v>
      </c>
      <c r="FB453" s="67" t="s">
        <v>3646</v>
      </c>
      <c r="FC453" s="67" t="s">
        <v>3647</v>
      </c>
      <c r="FD453" s="67" t="s">
        <v>3648</v>
      </c>
      <c r="FE453" s="68" t="s">
        <v>3649</v>
      </c>
      <c r="FF453" s="68" t="s">
        <v>3650</v>
      </c>
    </row>
    <row r="454" spans="151:162" x14ac:dyDescent="0.2">
      <c r="EU454" s="67">
        <v>562.75</v>
      </c>
      <c r="EV454" s="67" t="s">
        <v>3651</v>
      </c>
      <c r="EW454" s="67">
        <v>484.78</v>
      </c>
      <c r="EX454" s="67" t="s">
        <v>3652</v>
      </c>
      <c r="EY454" s="67">
        <v>5641.5</v>
      </c>
      <c r="EZ454" s="67" t="s">
        <v>3653</v>
      </c>
      <c r="FA454" s="67">
        <v>19914.5</v>
      </c>
      <c r="FB454" s="67" t="s">
        <v>3654</v>
      </c>
      <c r="FC454" s="67" t="s">
        <v>3655</v>
      </c>
      <c r="FD454" s="67" t="s">
        <v>3656</v>
      </c>
      <c r="FE454" s="68" t="s">
        <v>3657</v>
      </c>
      <c r="FF454" s="68" t="s">
        <v>3658</v>
      </c>
    </row>
    <row r="455" spans="151:162" x14ac:dyDescent="0.2">
      <c r="EU455" s="67">
        <v>562.73</v>
      </c>
      <c r="EV455" s="67" t="s">
        <v>3659</v>
      </c>
      <c r="EW455" s="67">
        <v>484.74</v>
      </c>
      <c r="EX455" s="67" t="s">
        <v>3660</v>
      </c>
      <c r="EY455" s="67">
        <v>5641.25</v>
      </c>
      <c r="EZ455" s="67" t="s">
        <v>3661</v>
      </c>
      <c r="FA455" s="67">
        <v>19913.25</v>
      </c>
      <c r="FB455" s="67" t="s">
        <v>3662</v>
      </c>
      <c r="FC455" s="67" t="s">
        <v>3663</v>
      </c>
      <c r="FD455" s="67" t="s">
        <v>3664</v>
      </c>
      <c r="FE455" s="68" t="s">
        <v>3665</v>
      </c>
      <c r="FF455" s="68" t="s">
        <v>3666</v>
      </c>
    </row>
    <row r="456" spans="151:162" x14ac:dyDescent="0.2">
      <c r="EU456" s="67">
        <v>562.73</v>
      </c>
      <c r="EV456" s="67" t="s">
        <v>3667</v>
      </c>
      <c r="EW456" s="67">
        <v>484.7</v>
      </c>
      <c r="EX456" s="67" t="s">
        <v>3668</v>
      </c>
      <c r="EY456" s="67">
        <v>5641.25</v>
      </c>
      <c r="EZ456" s="67" t="s">
        <v>3669</v>
      </c>
      <c r="FA456" s="67">
        <v>19911.75</v>
      </c>
      <c r="FB456" s="67" t="s">
        <v>3670</v>
      </c>
      <c r="FC456" s="67" t="s">
        <v>3671</v>
      </c>
      <c r="FD456" s="67" t="s">
        <v>3672</v>
      </c>
      <c r="FE456" s="68" t="s">
        <v>3673</v>
      </c>
      <c r="FF456" s="68" t="s">
        <v>3674</v>
      </c>
    </row>
    <row r="457" spans="151:162" x14ac:dyDescent="0.2">
      <c r="EU457" s="67">
        <v>562.6</v>
      </c>
      <c r="EV457" s="67" t="s">
        <v>3675</v>
      </c>
      <c r="EW457" s="67">
        <v>484.58</v>
      </c>
      <c r="EX457" s="67" t="s">
        <v>3676</v>
      </c>
      <c r="EY457" s="67">
        <v>5640</v>
      </c>
      <c r="EZ457" s="67" t="s">
        <v>3677</v>
      </c>
      <c r="FA457" s="67">
        <v>19906.75</v>
      </c>
      <c r="FB457" s="67" t="s">
        <v>3678</v>
      </c>
      <c r="FC457" s="67" t="s">
        <v>3679</v>
      </c>
      <c r="FD457" s="67" t="s">
        <v>3680</v>
      </c>
      <c r="FE457" s="68" t="s">
        <v>3681</v>
      </c>
      <c r="FF457" s="68" t="s">
        <v>3682</v>
      </c>
    </row>
    <row r="458" spans="151:162" x14ac:dyDescent="0.2">
      <c r="EU458" s="67">
        <v>562.52</v>
      </c>
      <c r="EV458" s="67" t="s">
        <v>3683</v>
      </c>
      <c r="EW458" s="67">
        <v>484.51</v>
      </c>
      <c r="EX458" s="67" t="s">
        <v>3684</v>
      </c>
      <c r="EY458" s="67">
        <v>5639.25</v>
      </c>
      <c r="EZ458" s="67" t="s">
        <v>3685</v>
      </c>
      <c r="FA458" s="67">
        <v>19904</v>
      </c>
      <c r="FB458" s="67" t="s">
        <v>3686</v>
      </c>
      <c r="FC458" s="67" t="s">
        <v>3687</v>
      </c>
      <c r="FD458" s="67" t="s">
        <v>3688</v>
      </c>
      <c r="FE458" s="68" t="s">
        <v>3689</v>
      </c>
      <c r="FF458" s="68" t="s">
        <v>3690</v>
      </c>
    </row>
    <row r="459" spans="151:162" x14ac:dyDescent="0.2">
      <c r="EU459" s="67">
        <v>562.66999999999996</v>
      </c>
      <c r="EV459" s="67" t="s">
        <v>3691</v>
      </c>
      <c r="EW459" s="67">
        <v>484.67</v>
      </c>
      <c r="EX459" s="67" t="s">
        <v>3692</v>
      </c>
      <c r="EY459" s="67">
        <v>5640.75</v>
      </c>
      <c r="EZ459" s="67" t="s">
        <v>3693</v>
      </c>
      <c r="FA459" s="67">
        <v>19910.25</v>
      </c>
      <c r="FB459" s="67" t="s">
        <v>3694</v>
      </c>
      <c r="FC459" s="67" t="s">
        <v>3695</v>
      </c>
      <c r="FD459" s="67" t="s">
        <v>3696</v>
      </c>
      <c r="FE459" s="68" t="s">
        <v>3697</v>
      </c>
      <c r="FF459" s="68" t="s">
        <v>3698</v>
      </c>
    </row>
    <row r="460" spans="151:162" x14ac:dyDescent="0.2">
      <c r="EU460" s="67">
        <v>562.66999999999996</v>
      </c>
      <c r="EV460" s="67" t="s">
        <v>3699</v>
      </c>
      <c r="EW460" s="67">
        <v>484.7</v>
      </c>
      <c r="EX460" s="67" t="s">
        <v>3700</v>
      </c>
      <c r="EY460" s="67">
        <v>5640.75</v>
      </c>
      <c r="EZ460" s="67" t="s">
        <v>3701</v>
      </c>
      <c r="FA460" s="67">
        <v>19911.25</v>
      </c>
      <c r="FB460" s="67" t="s">
        <v>3702</v>
      </c>
      <c r="FC460" s="67" t="s">
        <v>3703</v>
      </c>
      <c r="FD460" s="67" t="s">
        <v>3704</v>
      </c>
      <c r="FE460" s="68" t="s">
        <v>3705</v>
      </c>
      <c r="FF460" s="68" t="s">
        <v>3706</v>
      </c>
    </row>
    <row r="461" spans="151:162" x14ac:dyDescent="0.2">
      <c r="EU461" s="67">
        <v>562.48</v>
      </c>
      <c r="EV461" s="67" t="s">
        <v>3707</v>
      </c>
      <c r="EW461" s="67">
        <v>484.55</v>
      </c>
      <c r="EX461" s="67" t="s">
        <v>3708</v>
      </c>
      <c r="EY461" s="67">
        <v>5639</v>
      </c>
      <c r="EZ461" s="67" t="s">
        <v>3709</v>
      </c>
      <c r="FA461" s="67">
        <v>19906</v>
      </c>
      <c r="FB461" s="67" t="s">
        <v>3710</v>
      </c>
      <c r="FC461" s="67" t="s">
        <v>3711</v>
      </c>
      <c r="FD461" s="67" t="s">
        <v>3712</v>
      </c>
      <c r="FE461" s="68" t="s">
        <v>3713</v>
      </c>
      <c r="FF461" s="68" t="s">
        <v>3714</v>
      </c>
    </row>
    <row r="462" spans="151:162" x14ac:dyDescent="0.2">
      <c r="EU462" s="67">
        <v>562.58000000000004</v>
      </c>
      <c r="EV462" s="67" t="s">
        <v>3715</v>
      </c>
      <c r="EW462" s="67">
        <v>484.68</v>
      </c>
      <c r="EX462" s="67" t="s">
        <v>3716</v>
      </c>
      <c r="EY462" s="67">
        <v>5639.75</v>
      </c>
      <c r="EZ462" s="67" t="s">
        <v>3717</v>
      </c>
      <c r="FA462" s="67">
        <v>19911</v>
      </c>
      <c r="FB462" s="67" t="s">
        <v>3718</v>
      </c>
      <c r="FC462" s="67" t="s">
        <v>3719</v>
      </c>
      <c r="FD462" s="67" t="s">
        <v>3720</v>
      </c>
      <c r="FE462" s="68" t="s">
        <v>3721</v>
      </c>
      <c r="FF462" s="68" t="s">
        <v>3722</v>
      </c>
    </row>
    <row r="463" spans="151:162" x14ac:dyDescent="0.2">
      <c r="EU463" s="67">
        <v>562.58000000000004</v>
      </c>
      <c r="EV463" s="67" t="s">
        <v>3723</v>
      </c>
      <c r="EW463" s="67">
        <v>484.69</v>
      </c>
      <c r="EX463" s="67" t="s">
        <v>3724</v>
      </c>
      <c r="EY463" s="67">
        <v>5639.75</v>
      </c>
      <c r="EZ463" s="67" t="s">
        <v>3725</v>
      </c>
      <c r="FA463" s="67">
        <v>19911.5</v>
      </c>
      <c r="FB463" s="67" t="s">
        <v>3726</v>
      </c>
      <c r="FC463" s="67" t="s">
        <v>3727</v>
      </c>
      <c r="FD463" s="67" t="s">
        <v>3728</v>
      </c>
      <c r="FE463" s="68" t="s">
        <v>3729</v>
      </c>
      <c r="FF463" s="68" t="s">
        <v>3730</v>
      </c>
    </row>
    <row r="464" spans="151:162" x14ac:dyDescent="0.2">
      <c r="EU464" s="67">
        <v>562.5</v>
      </c>
      <c r="EV464" s="67" t="s">
        <v>3731</v>
      </c>
      <c r="EW464" s="67">
        <v>484.67</v>
      </c>
      <c r="EX464" s="67" t="s">
        <v>3732</v>
      </c>
      <c r="EY464" s="67">
        <v>5639</v>
      </c>
      <c r="EZ464" s="67" t="s">
        <v>3733</v>
      </c>
      <c r="FA464" s="67">
        <v>19909.5</v>
      </c>
      <c r="FB464" s="67" t="s">
        <v>3734</v>
      </c>
      <c r="FC464" s="67" t="s">
        <v>3735</v>
      </c>
      <c r="FD464" s="67" t="s">
        <v>3736</v>
      </c>
      <c r="FE464" s="68" t="s">
        <v>3737</v>
      </c>
      <c r="FF464" s="68" t="s">
        <v>3738</v>
      </c>
    </row>
    <row r="465" spans="151:162" x14ac:dyDescent="0.2">
      <c r="EU465" s="67">
        <v>562.65</v>
      </c>
      <c r="EV465" s="67" t="s">
        <v>3739</v>
      </c>
      <c r="EW465" s="67">
        <v>484.79</v>
      </c>
      <c r="EX465" s="67" t="s">
        <v>3740</v>
      </c>
      <c r="EY465" s="67">
        <v>5640.5</v>
      </c>
      <c r="EZ465" s="67" t="s">
        <v>3741</v>
      </c>
      <c r="FA465" s="67">
        <v>19914.75</v>
      </c>
      <c r="FB465" s="67" t="s">
        <v>3742</v>
      </c>
      <c r="FC465" s="67" t="s">
        <v>3743</v>
      </c>
      <c r="FD465" s="67" t="s">
        <v>3744</v>
      </c>
      <c r="FE465" s="68" t="s">
        <v>3745</v>
      </c>
      <c r="FF465" s="68" t="s">
        <v>3746</v>
      </c>
    </row>
    <row r="466" spans="151:162" x14ac:dyDescent="0.2">
      <c r="EU466" s="67">
        <v>562.70000000000005</v>
      </c>
      <c r="EV466" s="67" t="s">
        <v>3747</v>
      </c>
      <c r="EW466" s="67">
        <v>484.82</v>
      </c>
      <c r="EX466" s="67" t="s">
        <v>3748</v>
      </c>
      <c r="EY466" s="67">
        <v>5641</v>
      </c>
      <c r="EZ466" s="67" t="s">
        <v>3749</v>
      </c>
      <c r="FA466" s="67">
        <v>19916.5</v>
      </c>
      <c r="FB466" s="67" t="s">
        <v>3750</v>
      </c>
      <c r="FC466" s="67" t="s">
        <v>3751</v>
      </c>
      <c r="FD466" s="67" t="s">
        <v>3752</v>
      </c>
      <c r="FE466" s="68" t="s">
        <v>3753</v>
      </c>
      <c r="FF466" s="68" t="s">
        <v>3754</v>
      </c>
    </row>
    <row r="467" spans="151:162" x14ac:dyDescent="0.2">
      <c r="EU467" s="67">
        <v>562.62</v>
      </c>
      <c r="EV467" s="67" t="s">
        <v>3755</v>
      </c>
      <c r="EW467" s="67">
        <v>484.69</v>
      </c>
      <c r="EX467" s="67" t="s">
        <v>3756</v>
      </c>
      <c r="EY467" s="67">
        <v>5640.25</v>
      </c>
      <c r="EZ467" s="67" t="s">
        <v>3757</v>
      </c>
      <c r="FA467" s="67">
        <v>19910.75</v>
      </c>
      <c r="FB467" s="67" t="s">
        <v>3758</v>
      </c>
      <c r="FC467" s="67" t="s">
        <v>3759</v>
      </c>
      <c r="FD467" s="67" t="s">
        <v>3760</v>
      </c>
      <c r="FE467" s="68" t="s">
        <v>3761</v>
      </c>
      <c r="FF467" s="68" t="s">
        <v>3762</v>
      </c>
    </row>
    <row r="468" spans="151:162" x14ac:dyDescent="0.2">
      <c r="EU468" s="67">
        <v>562.69000000000005</v>
      </c>
      <c r="EV468" s="67" t="s">
        <v>3763</v>
      </c>
      <c r="EW468" s="67">
        <v>484.72</v>
      </c>
      <c r="EX468" s="67" t="s">
        <v>3764</v>
      </c>
      <c r="EY468" s="67">
        <v>5640.75</v>
      </c>
      <c r="EZ468" s="67" t="s">
        <v>3765</v>
      </c>
      <c r="FA468" s="67">
        <v>19911.75</v>
      </c>
      <c r="FB468" s="67" t="s">
        <v>3766</v>
      </c>
      <c r="FC468" s="67" t="s">
        <v>3767</v>
      </c>
      <c r="FD468" s="67" t="s">
        <v>3768</v>
      </c>
      <c r="FE468" s="68" t="s">
        <v>3769</v>
      </c>
      <c r="FF468" s="68" t="s">
        <v>3770</v>
      </c>
    </row>
    <row r="469" spans="151:162" x14ac:dyDescent="0.2">
      <c r="EU469" s="67">
        <v>562.79999999999995</v>
      </c>
      <c r="EV469" s="67" t="s">
        <v>3771</v>
      </c>
      <c r="EW469" s="67">
        <v>484.91</v>
      </c>
      <c r="EX469" s="67" t="s">
        <v>3772</v>
      </c>
      <c r="EY469" s="67">
        <v>5642.75</v>
      </c>
      <c r="EZ469" s="67" t="s">
        <v>3773</v>
      </c>
      <c r="FA469" s="67">
        <v>19920.75</v>
      </c>
      <c r="FB469" s="67" t="s">
        <v>3774</v>
      </c>
      <c r="FC469" s="67" t="s">
        <v>3775</v>
      </c>
      <c r="FD469" s="67" t="s">
        <v>3776</v>
      </c>
      <c r="FE469" s="68" t="s">
        <v>3777</v>
      </c>
      <c r="FF469" s="68" t="s">
        <v>3778</v>
      </c>
    </row>
    <row r="470" spans="151:162" x14ac:dyDescent="0.2">
      <c r="EU470" s="67">
        <v>562.88</v>
      </c>
      <c r="EV470" s="67" t="s">
        <v>3779</v>
      </c>
      <c r="EW470" s="67">
        <v>484.95</v>
      </c>
      <c r="EX470" s="67" t="s">
        <v>3780</v>
      </c>
      <c r="EY470" s="67">
        <v>5643</v>
      </c>
      <c r="EZ470" s="67" t="s">
        <v>3781</v>
      </c>
      <c r="FA470" s="67">
        <v>19921.5</v>
      </c>
      <c r="FB470" s="67" t="s">
        <v>3782</v>
      </c>
      <c r="FC470" s="67" t="s">
        <v>3783</v>
      </c>
      <c r="FD470" s="67" t="s">
        <v>3784</v>
      </c>
      <c r="FE470" s="68" t="s">
        <v>3785</v>
      </c>
      <c r="FF470" s="68" t="s">
        <v>3786</v>
      </c>
    </row>
    <row r="471" spans="151:162" x14ac:dyDescent="0.2">
      <c r="EU471" s="67">
        <v>562.88</v>
      </c>
      <c r="EV471" s="67" t="s">
        <v>3787</v>
      </c>
      <c r="EW471" s="67">
        <v>484.97</v>
      </c>
      <c r="EX471" s="67" t="s">
        <v>3788</v>
      </c>
      <c r="EY471" s="67">
        <v>5643.25</v>
      </c>
      <c r="EZ471" s="67" t="s">
        <v>3789</v>
      </c>
      <c r="FA471" s="67">
        <v>19922.75</v>
      </c>
      <c r="FB471" s="67" t="s">
        <v>3790</v>
      </c>
      <c r="FC471" s="67" t="s">
        <v>3791</v>
      </c>
      <c r="FD471" s="67" t="s">
        <v>3792</v>
      </c>
      <c r="FE471" s="68" t="s">
        <v>3793</v>
      </c>
      <c r="FF471" s="68" t="s">
        <v>3794</v>
      </c>
    </row>
    <row r="472" spans="151:162" x14ac:dyDescent="0.2">
      <c r="EU472" s="67">
        <v>562.77</v>
      </c>
      <c r="EV472" s="67" t="s">
        <v>3795</v>
      </c>
      <c r="EW472" s="67">
        <v>484.85</v>
      </c>
      <c r="EX472" s="67" t="s">
        <v>3796</v>
      </c>
      <c r="EY472" s="67">
        <v>5642</v>
      </c>
      <c r="EZ472" s="67" t="s">
        <v>3797</v>
      </c>
      <c r="FA472" s="67">
        <v>19917.25</v>
      </c>
      <c r="FB472" s="67" t="s">
        <v>3798</v>
      </c>
      <c r="FC472" s="67" t="s">
        <v>3799</v>
      </c>
      <c r="FD472" s="67" t="s">
        <v>3800</v>
      </c>
      <c r="FE472" s="68" t="s">
        <v>3801</v>
      </c>
      <c r="FF472" s="68" t="s">
        <v>3802</v>
      </c>
    </row>
    <row r="473" spans="151:162" x14ac:dyDescent="0.2">
      <c r="EU473" s="67">
        <v>562.85</v>
      </c>
      <c r="EV473" s="67" t="s">
        <v>3803</v>
      </c>
      <c r="EW473" s="67">
        <v>484.96</v>
      </c>
      <c r="EX473" s="67" t="s">
        <v>3804</v>
      </c>
      <c r="EY473" s="67">
        <v>5642.75</v>
      </c>
      <c r="EZ473" s="67" t="s">
        <v>3805</v>
      </c>
      <c r="FA473" s="67">
        <v>19922</v>
      </c>
      <c r="FB473" s="67" t="s">
        <v>3806</v>
      </c>
      <c r="FC473" s="67" t="s">
        <v>3807</v>
      </c>
      <c r="FD473" s="67" t="s">
        <v>3808</v>
      </c>
      <c r="FE473" s="68" t="s">
        <v>3809</v>
      </c>
      <c r="FF473" s="68" t="s">
        <v>3810</v>
      </c>
    </row>
    <row r="474" spans="151:162" x14ac:dyDescent="0.2">
      <c r="EU474" s="67">
        <v>562.82000000000005</v>
      </c>
      <c r="EV474" s="67" t="s">
        <v>3811</v>
      </c>
      <c r="EW474" s="67">
        <v>484.9</v>
      </c>
      <c r="EX474" s="67" t="s">
        <v>3812</v>
      </c>
      <c r="EY474" s="67">
        <v>5642.5</v>
      </c>
      <c r="EZ474" s="67" t="s">
        <v>3813</v>
      </c>
      <c r="FA474" s="67">
        <v>19920</v>
      </c>
      <c r="FB474" s="67" t="s">
        <v>3814</v>
      </c>
      <c r="FC474" s="67" t="s">
        <v>3815</v>
      </c>
      <c r="FD474" s="67" t="s">
        <v>3816</v>
      </c>
      <c r="FE474" s="68" t="s">
        <v>3817</v>
      </c>
      <c r="FF474" s="68" t="s">
        <v>3818</v>
      </c>
    </row>
    <row r="475" spans="151:162" x14ac:dyDescent="0.2">
      <c r="EU475" s="67">
        <v>562.67999999999995</v>
      </c>
      <c r="EV475" s="67" t="s">
        <v>3819</v>
      </c>
      <c r="EW475" s="67">
        <v>484.71</v>
      </c>
      <c r="EX475" s="67" t="s">
        <v>3820</v>
      </c>
      <c r="EY475" s="67">
        <v>5640.75</v>
      </c>
      <c r="EZ475" s="67" t="s">
        <v>3821</v>
      </c>
      <c r="FA475" s="67">
        <v>19911.75</v>
      </c>
      <c r="FB475" s="67" t="s">
        <v>3822</v>
      </c>
      <c r="FC475" s="67" t="s">
        <v>3823</v>
      </c>
      <c r="FD475" s="67" t="s">
        <v>3824</v>
      </c>
      <c r="FE475" s="68" t="s">
        <v>3825</v>
      </c>
      <c r="FF475" s="68" t="s">
        <v>3826</v>
      </c>
    </row>
    <row r="476" spans="151:162" x14ac:dyDescent="0.2">
      <c r="EU476" s="67">
        <v>562.71</v>
      </c>
      <c r="EV476" s="67" t="s">
        <v>3827</v>
      </c>
      <c r="EW476" s="67">
        <v>484.77</v>
      </c>
      <c r="EX476" s="67" t="s">
        <v>3828</v>
      </c>
      <c r="EY476" s="67">
        <v>5641.25</v>
      </c>
      <c r="EZ476" s="67" t="s">
        <v>3829</v>
      </c>
      <c r="FA476" s="67">
        <v>19913.75</v>
      </c>
      <c r="FB476" s="67" t="s">
        <v>3830</v>
      </c>
      <c r="FC476" s="67" t="s">
        <v>3831</v>
      </c>
      <c r="FD476" s="67" t="s">
        <v>3832</v>
      </c>
      <c r="FE476" s="68" t="s">
        <v>3833</v>
      </c>
      <c r="FF476" s="68" t="s">
        <v>3834</v>
      </c>
    </row>
    <row r="477" spans="151:162" x14ac:dyDescent="0.2">
      <c r="EU477" s="67">
        <v>562.70000000000005</v>
      </c>
      <c r="EV477" s="67" t="s">
        <v>3835</v>
      </c>
      <c r="EW477" s="67">
        <v>484.79</v>
      </c>
      <c r="EX477" s="67" t="s">
        <v>3836</v>
      </c>
      <c r="EY477" s="67">
        <v>5641</v>
      </c>
      <c r="EZ477" s="67" t="s">
        <v>3837</v>
      </c>
      <c r="FA477" s="67">
        <v>19914.75</v>
      </c>
      <c r="FB477" s="67" t="s">
        <v>3838</v>
      </c>
      <c r="FC477" s="67" t="s">
        <v>3839</v>
      </c>
      <c r="FD477" s="67" t="s">
        <v>3840</v>
      </c>
      <c r="FE477" s="68" t="s">
        <v>3841</v>
      </c>
      <c r="FF477" s="68" t="s">
        <v>3842</v>
      </c>
    </row>
    <row r="478" spans="151:162" x14ac:dyDescent="0.2">
      <c r="EU478" s="67">
        <v>562.66</v>
      </c>
      <c r="EV478" s="67" t="s">
        <v>3843</v>
      </c>
      <c r="EW478" s="67">
        <v>484.72</v>
      </c>
      <c r="EX478" s="67" t="s">
        <v>3844</v>
      </c>
      <c r="EY478" s="67">
        <v>5640.75</v>
      </c>
      <c r="EZ478" s="67" t="s">
        <v>3845</v>
      </c>
      <c r="FA478" s="67">
        <v>19912</v>
      </c>
      <c r="FB478" s="67" t="s">
        <v>3846</v>
      </c>
      <c r="FC478" s="67" t="s">
        <v>3847</v>
      </c>
      <c r="FD478" s="67" t="s">
        <v>3848</v>
      </c>
      <c r="FE478" s="68" t="s">
        <v>3849</v>
      </c>
      <c r="FF478" s="68" t="s">
        <v>3850</v>
      </c>
    </row>
    <row r="479" spans="151:162" x14ac:dyDescent="0.2">
      <c r="EU479" s="67">
        <v>562.63</v>
      </c>
      <c r="EV479" s="67" t="s">
        <v>3851</v>
      </c>
      <c r="EW479" s="67">
        <v>484.7</v>
      </c>
      <c r="EX479" s="67" t="s">
        <v>3852</v>
      </c>
      <c r="EY479" s="67">
        <v>5640.25</v>
      </c>
      <c r="EZ479" s="67" t="s">
        <v>3853</v>
      </c>
      <c r="FA479" s="67">
        <v>19911.5</v>
      </c>
      <c r="FB479" s="67" t="s">
        <v>3854</v>
      </c>
      <c r="FC479" s="67" t="s">
        <v>3855</v>
      </c>
      <c r="FD479" s="67" t="s">
        <v>3856</v>
      </c>
      <c r="FE479" s="68" t="s">
        <v>3857</v>
      </c>
      <c r="FF479" s="68" t="s">
        <v>3858</v>
      </c>
    </row>
    <row r="480" spans="151:162" x14ac:dyDescent="0.2">
      <c r="EU480" s="67">
        <v>562.63</v>
      </c>
      <c r="EV480" s="67" t="s">
        <v>3859</v>
      </c>
      <c r="EW480" s="67">
        <v>484.7</v>
      </c>
      <c r="EX480" s="67" t="s">
        <v>3860</v>
      </c>
      <c r="EY480" s="67">
        <v>5640.25</v>
      </c>
      <c r="EZ480" s="67" t="s">
        <v>3861</v>
      </c>
      <c r="FA480" s="67">
        <v>19911.25</v>
      </c>
      <c r="FB480" s="67" t="s">
        <v>3862</v>
      </c>
      <c r="FC480" s="67" t="s">
        <v>3863</v>
      </c>
      <c r="FD480" s="67" t="s">
        <v>3864</v>
      </c>
      <c r="FE480" s="68" t="s">
        <v>3865</v>
      </c>
      <c r="FF480" s="68" t="s">
        <v>3866</v>
      </c>
    </row>
    <row r="481" spans="151:162" x14ac:dyDescent="0.2">
      <c r="EU481" s="67">
        <v>562.61</v>
      </c>
      <c r="EV481" s="67" t="s">
        <v>3867</v>
      </c>
      <c r="EW481" s="67">
        <v>484.65</v>
      </c>
      <c r="EX481" s="67" t="s">
        <v>3868</v>
      </c>
      <c r="EY481" s="67">
        <v>5640.25</v>
      </c>
      <c r="EZ481" s="67" t="s">
        <v>3869</v>
      </c>
      <c r="FA481" s="67">
        <v>19908.75</v>
      </c>
      <c r="FB481" s="67" t="s">
        <v>3870</v>
      </c>
      <c r="FC481" s="67" t="s">
        <v>3871</v>
      </c>
      <c r="FD481" s="67" t="s">
        <v>3872</v>
      </c>
      <c r="FE481" s="68" t="s">
        <v>3873</v>
      </c>
      <c r="FF481" s="68" t="s">
        <v>3874</v>
      </c>
    </row>
    <row r="482" spans="151:162" x14ac:dyDescent="0.2">
      <c r="EU482" s="67">
        <v>562.67999999999995</v>
      </c>
      <c r="EV482" s="67" t="s">
        <v>3875</v>
      </c>
      <c r="EW482" s="67">
        <v>484.73</v>
      </c>
      <c r="EX482" s="67" t="s">
        <v>3876</v>
      </c>
      <c r="EY482" s="67">
        <v>5640.75</v>
      </c>
      <c r="EZ482" s="67" t="s">
        <v>3877</v>
      </c>
      <c r="FA482" s="67">
        <v>19912.5</v>
      </c>
      <c r="FB482" s="67" t="s">
        <v>3878</v>
      </c>
      <c r="FC482" s="67" t="s">
        <v>3879</v>
      </c>
      <c r="FD482" s="67" t="s">
        <v>3880</v>
      </c>
      <c r="FE482" s="68" t="s">
        <v>3881</v>
      </c>
      <c r="FF482" s="68" t="s">
        <v>3882</v>
      </c>
    </row>
    <row r="483" spans="151:162" x14ac:dyDescent="0.2">
      <c r="EU483" s="67">
        <v>562.71</v>
      </c>
      <c r="EV483" s="67" t="s">
        <v>3883</v>
      </c>
      <c r="EW483" s="67">
        <v>484.78</v>
      </c>
      <c r="EX483" s="67" t="s">
        <v>3884</v>
      </c>
      <c r="EY483" s="67">
        <v>5641.25</v>
      </c>
      <c r="EZ483" s="67" t="s">
        <v>3885</v>
      </c>
      <c r="FA483" s="67">
        <v>19914.75</v>
      </c>
      <c r="FB483" s="67" t="s">
        <v>3886</v>
      </c>
      <c r="FC483" s="67" t="s">
        <v>3887</v>
      </c>
      <c r="FD483" s="67" t="s">
        <v>3888</v>
      </c>
      <c r="FE483" s="68" t="s">
        <v>3889</v>
      </c>
      <c r="FF483" s="68" t="s">
        <v>3890</v>
      </c>
    </row>
    <row r="484" spans="151:162" x14ac:dyDescent="0.2">
      <c r="EU484" s="67">
        <v>562.6</v>
      </c>
      <c r="EV484" s="67" t="s">
        <v>3891</v>
      </c>
      <c r="EW484" s="67">
        <v>484.58</v>
      </c>
      <c r="EX484" s="67" t="s">
        <v>3892</v>
      </c>
      <c r="EY484" s="67">
        <v>5640</v>
      </c>
      <c r="EZ484" s="67" t="s">
        <v>3893</v>
      </c>
      <c r="FA484" s="67">
        <v>19906</v>
      </c>
      <c r="FB484" s="67" t="s">
        <v>3894</v>
      </c>
      <c r="FC484" s="67" t="s">
        <v>3895</v>
      </c>
      <c r="FD484" s="67" t="s">
        <v>3896</v>
      </c>
      <c r="FE484" s="68" t="s">
        <v>3897</v>
      </c>
      <c r="FF484" s="68" t="s">
        <v>3898</v>
      </c>
    </row>
    <row r="485" spans="151:162" x14ac:dyDescent="0.2">
      <c r="EU485" s="67">
        <v>562.53</v>
      </c>
      <c r="EV485" s="67" t="s">
        <v>3899</v>
      </c>
      <c r="EW485" s="67">
        <v>484.48</v>
      </c>
      <c r="EX485" s="67" t="s">
        <v>3900</v>
      </c>
      <c r="EY485" s="67">
        <v>5639.5</v>
      </c>
      <c r="EZ485" s="67" t="s">
        <v>3901</v>
      </c>
      <c r="FA485" s="67">
        <v>19902</v>
      </c>
      <c r="FB485" s="67" t="s">
        <v>3902</v>
      </c>
      <c r="FC485" s="67" t="s">
        <v>3903</v>
      </c>
      <c r="FD485" s="67" t="s">
        <v>3904</v>
      </c>
      <c r="FE485" s="68" t="s">
        <v>3905</v>
      </c>
      <c r="FF485" s="68" t="s">
        <v>3906</v>
      </c>
    </row>
    <row r="486" spans="151:162" x14ac:dyDescent="0.2">
      <c r="EU486" s="67">
        <v>562.55999999999995</v>
      </c>
      <c r="EV486" s="67" t="s">
        <v>3907</v>
      </c>
      <c r="EW486" s="67">
        <v>484.52</v>
      </c>
      <c r="EX486" s="67" t="s">
        <v>3908</v>
      </c>
      <c r="EY486" s="67">
        <v>5639.75</v>
      </c>
      <c r="EZ486" s="67" t="s">
        <v>3909</v>
      </c>
      <c r="FA486" s="67">
        <v>19903.75</v>
      </c>
      <c r="FB486" s="67" t="s">
        <v>3910</v>
      </c>
      <c r="FC486" s="67" t="s">
        <v>3911</v>
      </c>
      <c r="FD486" s="67" t="s">
        <v>3912</v>
      </c>
      <c r="FE486" s="68" t="s">
        <v>3913</v>
      </c>
      <c r="FF486" s="68" t="s">
        <v>3914</v>
      </c>
    </row>
    <row r="487" spans="151:162" x14ac:dyDescent="0.2">
      <c r="EU487" s="67">
        <v>562.62</v>
      </c>
      <c r="EV487" s="67" t="s">
        <v>3915</v>
      </c>
      <c r="EW487" s="67">
        <v>484.59</v>
      </c>
      <c r="EX487" s="67" t="s">
        <v>3916</v>
      </c>
      <c r="EY487" s="67">
        <v>5640.25</v>
      </c>
      <c r="EZ487" s="67" t="s">
        <v>3917</v>
      </c>
      <c r="FA487" s="67">
        <v>19906.75</v>
      </c>
      <c r="FB487" s="67" t="s">
        <v>3918</v>
      </c>
      <c r="FC487" s="67" t="s">
        <v>3919</v>
      </c>
      <c r="FD487" s="67" t="s">
        <v>3920</v>
      </c>
      <c r="FE487" s="68" t="s">
        <v>3921</v>
      </c>
      <c r="FF487" s="68" t="s">
        <v>3922</v>
      </c>
    </row>
    <row r="488" spans="151:162" x14ac:dyDescent="0.2">
      <c r="EU488" s="67">
        <v>562.65</v>
      </c>
      <c r="EV488" s="67" t="s">
        <v>3923</v>
      </c>
      <c r="EW488" s="67">
        <v>484.62</v>
      </c>
      <c r="EX488" s="67" t="s">
        <v>3924</v>
      </c>
      <c r="EY488" s="67">
        <v>5640.75</v>
      </c>
      <c r="EZ488" s="67" t="s">
        <v>3925</v>
      </c>
      <c r="FA488" s="67">
        <v>19908</v>
      </c>
      <c r="FB488" s="67" t="s">
        <v>3926</v>
      </c>
      <c r="FC488" s="67" t="s">
        <v>3927</v>
      </c>
      <c r="FD488" s="67" t="s">
        <v>3928</v>
      </c>
      <c r="FE488" s="68" t="s">
        <v>3929</v>
      </c>
      <c r="FF488" s="68" t="s">
        <v>3930</v>
      </c>
    </row>
    <row r="489" spans="151:162" x14ac:dyDescent="0.2">
      <c r="EU489" s="67">
        <v>562.72</v>
      </c>
      <c r="EV489" s="67" t="s">
        <v>3931</v>
      </c>
      <c r="EW489" s="67">
        <v>484.69</v>
      </c>
      <c r="EX489" s="67" t="s">
        <v>3932</v>
      </c>
      <c r="EY489" s="67">
        <v>5641.25</v>
      </c>
      <c r="EZ489" s="67" t="s">
        <v>3933</v>
      </c>
      <c r="FA489" s="67">
        <v>19911.25</v>
      </c>
      <c r="FB489" s="67" t="s">
        <v>3934</v>
      </c>
      <c r="FC489" s="67" t="s">
        <v>3935</v>
      </c>
      <c r="FD489" s="67" t="s">
        <v>3936</v>
      </c>
      <c r="FE489" s="68" t="s">
        <v>3937</v>
      </c>
      <c r="FF489" s="68" t="s">
        <v>3938</v>
      </c>
    </row>
    <row r="490" spans="151:162" x14ac:dyDescent="0.2">
      <c r="EU490" s="67">
        <v>562.65</v>
      </c>
      <c r="EV490" s="67" t="s">
        <v>3939</v>
      </c>
      <c r="EW490" s="67">
        <v>484.64</v>
      </c>
      <c r="EX490" s="67" t="s">
        <v>3940</v>
      </c>
      <c r="EY490" s="67">
        <v>5640.5</v>
      </c>
      <c r="EZ490" s="67" t="s">
        <v>3941</v>
      </c>
      <c r="FA490" s="67">
        <v>19908.75</v>
      </c>
      <c r="FB490" s="67" t="s">
        <v>3942</v>
      </c>
      <c r="FC490" s="67" t="s">
        <v>3943</v>
      </c>
      <c r="FD490" s="67" t="s">
        <v>3944</v>
      </c>
      <c r="FE490" s="68" t="s">
        <v>3945</v>
      </c>
      <c r="FF490" s="68" t="s">
        <v>3946</v>
      </c>
    </row>
    <row r="491" spans="151:162" x14ac:dyDescent="0.2">
      <c r="EU491" s="67">
        <v>562.89</v>
      </c>
      <c r="EV491" s="67" t="s">
        <v>3947</v>
      </c>
      <c r="EW491" s="67">
        <v>484.87</v>
      </c>
      <c r="EX491" s="67" t="s">
        <v>3948</v>
      </c>
      <c r="EY491" s="67">
        <v>5643</v>
      </c>
      <c r="EZ491" s="67" t="s">
        <v>3949</v>
      </c>
      <c r="FA491" s="67">
        <v>19918</v>
      </c>
      <c r="FB491" s="67" t="s">
        <v>3950</v>
      </c>
      <c r="FC491" s="67" t="s">
        <v>3951</v>
      </c>
      <c r="FD491" s="67" t="s">
        <v>3952</v>
      </c>
      <c r="FE491" s="68" t="s">
        <v>3953</v>
      </c>
      <c r="FF491" s="68" t="s">
        <v>3954</v>
      </c>
    </row>
    <row r="492" spans="151:162" x14ac:dyDescent="0.2">
      <c r="EU492" s="67">
        <v>562.73</v>
      </c>
      <c r="EV492" s="67" t="s">
        <v>3955</v>
      </c>
      <c r="EW492" s="67">
        <v>484.68</v>
      </c>
      <c r="EX492" s="67" t="s">
        <v>3956</v>
      </c>
      <c r="EY492" s="67">
        <v>5641.5</v>
      </c>
      <c r="EZ492" s="67" t="s">
        <v>3957</v>
      </c>
      <c r="FA492" s="67">
        <v>19910.5</v>
      </c>
      <c r="FB492" s="67" t="s">
        <v>3958</v>
      </c>
      <c r="FC492" s="67" t="s">
        <v>3959</v>
      </c>
      <c r="FD492" s="67" t="s">
        <v>3960</v>
      </c>
      <c r="FE492" s="68" t="s">
        <v>3961</v>
      </c>
      <c r="FF492" s="68" t="s">
        <v>3962</v>
      </c>
    </row>
    <row r="493" spans="151:162" x14ac:dyDescent="0.2">
      <c r="EU493" s="67">
        <v>562.69000000000005</v>
      </c>
      <c r="EV493" s="67" t="s">
        <v>3963</v>
      </c>
      <c r="EW493" s="67">
        <v>484.66</v>
      </c>
      <c r="EX493" s="67" t="s">
        <v>3964</v>
      </c>
      <c r="EY493" s="67">
        <v>5641</v>
      </c>
      <c r="EZ493" s="67" t="s">
        <v>3965</v>
      </c>
      <c r="FA493" s="67">
        <v>19909.25</v>
      </c>
      <c r="FB493" s="67" t="s">
        <v>3966</v>
      </c>
      <c r="FC493" s="67" t="s">
        <v>3967</v>
      </c>
      <c r="FD493" s="67" t="s">
        <v>3968</v>
      </c>
      <c r="FE493" s="68" t="s">
        <v>3969</v>
      </c>
      <c r="FF493" s="68" t="s">
        <v>3970</v>
      </c>
    </row>
    <row r="494" spans="151:162" x14ac:dyDescent="0.2">
      <c r="EU494" s="67">
        <v>562.65</v>
      </c>
      <c r="EV494" s="67" t="s">
        <v>3971</v>
      </c>
      <c r="EW494" s="67">
        <v>484.6</v>
      </c>
      <c r="EX494" s="67" t="s">
        <v>3972</v>
      </c>
      <c r="EY494" s="67">
        <v>5640.75</v>
      </c>
      <c r="EZ494" s="67" t="s">
        <v>3973</v>
      </c>
      <c r="FA494" s="67">
        <v>19906.75</v>
      </c>
      <c r="FB494" s="67" t="s">
        <v>3974</v>
      </c>
      <c r="FC494" s="67" t="s">
        <v>3975</v>
      </c>
      <c r="FD494" s="67" t="s">
        <v>3976</v>
      </c>
      <c r="FE494" s="68" t="s">
        <v>3977</v>
      </c>
      <c r="FF494" s="68" t="s">
        <v>3978</v>
      </c>
    </row>
    <row r="495" spans="151:162" x14ac:dyDescent="0.2">
      <c r="EU495" s="67">
        <v>562.83000000000004</v>
      </c>
      <c r="EV495" s="67" t="s">
        <v>3979</v>
      </c>
      <c r="EW495" s="67">
        <v>484.77</v>
      </c>
      <c r="EX495" s="67" t="s">
        <v>3980</v>
      </c>
      <c r="EY495" s="67">
        <v>5642</v>
      </c>
      <c r="EZ495" s="67" t="s">
        <v>3981</v>
      </c>
      <c r="FA495" s="67">
        <v>19913.25</v>
      </c>
      <c r="FB495" s="67" t="s">
        <v>3982</v>
      </c>
      <c r="FC495" s="67" t="s">
        <v>3983</v>
      </c>
      <c r="FD495" s="67" t="s">
        <v>3984</v>
      </c>
      <c r="FE495" s="68" t="s">
        <v>3985</v>
      </c>
      <c r="FF495" s="68" t="s">
        <v>3986</v>
      </c>
    </row>
    <row r="496" spans="151:162" x14ac:dyDescent="0.2">
      <c r="EU496" s="67">
        <v>562.77</v>
      </c>
      <c r="EV496" s="67" t="s">
        <v>3987</v>
      </c>
      <c r="EW496" s="67">
        <v>484.73</v>
      </c>
      <c r="EX496" s="67" t="s">
        <v>3988</v>
      </c>
      <c r="EY496" s="67">
        <v>5641.75</v>
      </c>
      <c r="EZ496" s="67" t="s">
        <v>3989</v>
      </c>
      <c r="FA496" s="67">
        <v>19912</v>
      </c>
      <c r="FB496" s="67" t="s">
        <v>3990</v>
      </c>
      <c r="FC496" s="67" t="s">
        <v>3991</v>
      </c>
      <c r="FD496" s="67" t="s">
        <v>3992</v>
      </c>
      <c r="FE496" s="68" t="s">
        <v>3993</v>
      </c>
      <c r="FF496" s="68" t="s">
        <v>3994</v>
      </c>
    </row>
    <row r="497" spans="151:162" x14ac:dyDescent="0.2">
      <c r="EU497" s="67">
        <v>562.73</v>
      </c>
      <c r="EV497" s="67" t="s">
        <v>3995</v>
      </c>
      <c r="EW497" s="67">
        <v>484.72</v>
      </c>
      <c r="EX497" s="67" t="s">
        <v>3996</v>
      </c>
      <c r="EY497" s="67">
        <v>5641.5</v>
      </c>
      <c r="EZ497" s="67" t="s">
        <v>3997</v>
      </c>
      <c r="FA497" s="67">
        <v>19911.25</v>
      </c>
      <c r="FB497" s="67" t="s">
        <v>3998</v>
      </c>
      <c r="FC497" s="67" t="s">
        <v>3999</v>
      </c>
      <c r="FD497" s="67" t="s">
        <v>4000</v>
      </c>
      <c r="FE497" s="68" t="s">
        <v>4001</v>
      </c>
      <c r="FF497" s="68" t="s">
        <v>4002</v>
      </c>
    </row>
    <row r="498" spans="151:162" x14ac:dyDescent="0.2">
      <c r="EU498" s="67">
        <v>562.67999999999995</v>
      </c>
      <c r="EV498" s="67" t="s">
        <v>4003</v>
      </c>
      <c r="EW498" s="67">
        <v>484.65</v>
      </c>
      <c r="EX498" s="67" t="s">
        <v>4004</v>
      </c>
      <c r="EY498" s="67">
        <v>5641</v>
      </c>
      <c r="EZ498" s="67" t="s">
        <v>4005</v>
      </c>
      <c r="FA498" s="67">
        <v>19909.25</v>
      </c>
      <c r="FB498" s="67" t="s">
        <v>4006</v>
      </c>
      <c r="FC498" s="67" t="s">
        <v>4007</v>
      </c>
      <c r="FD498" s="67" t="s">
        <v>4008</v>
      </c>
      <c r="FE498" s="68" t="s">
        <v>4009</v>
      </c>
      <c r="FF498" s="68" t="s">
        <v>4010</v>
      </c>
    </row>
    <row r="499" spans="151:162" x14ac:dyDescent="0.2">
      <c r="EU499" s="67">
        <v>562.66999999999996</v>
      </c>
      <c r="EV499" s="67" t="s">
        <v>4011</v>
      </c>
      <c r="EW499" s="67">
        <v>484.64</v>
      </c>
      <c r="EX499" s="67" t="s">
        <v>4012</v>
      </c>
      <c r="EY499" s="67">
        <v>5641</v>
      </c>
      <c r="EZ499" s="67" t="s">
        <v>4013</v>
      </c>
      <c r="FA499" s="67">
        <v>19908.75</v>
      </c>
      <c r="FB499" s="67" t="s">
        <v>4014</v>
      </c>
      <c r="FC499" s="67" t="s">
        <v>4015</v>
      </c>
      <c r="FD499" s="67" t="s">
        <v>4016</v>
      </c>
      <c r="FE499" s="68" t="s">
        <v>4017</v>
      </c>
      <c r="FF499" s="68" t="s">
        <v>4018</v>
      </c>
    </row>
    <row r="500" spans="151:162" x14ac:dyDescent="0.2">
      <c r="EU500" s="67">
        <v>562.47</v>
      </c>
      <c r="EV500" s="67" t="s">
        <v>4019</v>
      </c>
      <c r="EW500" s="67">
        <v>484.44</v>
      </c>
      <c r="EX500" s="67" t="s">
        <v>4020</v>
      </c>
      <c r="EY500" s="67">
        <v>5638.75</v>
      </c>
      <c r="EZ500" s="67" t="s">
        <v>4021</v>
      </c>
      <c r="FA500" s="67">
        <v>19900.25</v>
      </c>
      <c r="FB500" s="67" t="s">
        <v>4022</v>
      </c>
      <c r="FC500" s="67" t="s">
        <v>4023</v>
      </c>
      <c r="FD500" s="67" t="s">
        <v>4024</v>
      </c>
      <c r="FE500" s="68" t="s">
        <v>4025</v>
      </c>
      <c r="FF500" s="68" t="s">
        <v>4026</v>
      </c>
    </row>
    <row r="501" spans="151:162" x14ac:dyDescent="0.2">
      <c r="EU501" s="67">
        <v>562.54999999999995</v>
      </c>
      <c r="EV501" s="67" t="s">
        <v>4027</v>
      </c>
      <c r="EW501" s="67">
        <v>484.5</v>
      </c>
      <c r="EX501" s="67" t="s">
        <v>4028</v>
      </c>
      <c r="EY501" s="67">
        <v>5639.5</v>
      </c>
      <c r="EZ501" s="67" t="s">
        <v>4029</v>
      </c>
      <c r="FA501" s="67">
        <v>19903</v>
      </c>
      <c r="FB501" s="67" t="s">
        <v>4030</v>
      </c>
      <c r="FC501" s="67" t="s">
        <v>4031</v>
      </c>
      <c r="FD501" s="67" t="s">
        <v>4032</v>
      </c>
      <c r="FE501" s="68" t="s">
        <v>4033</v>
      </c>
      <c r="FF501" s="68" t="s">
        <v>4034</v>
      </c>
    </row>
    <row r="502" spans="151:162" x14ac:dyDescent="0.2">
      <c r="EU502" s="67">
        <v>562.55999999999995</v>
      </c>
      <c r="EV502" s="67" t="s">
        <v>4035</v>
      </c>
      <c r="EW502" s="67">
        <v>484.5</v>
      </c>
      <c r="EX502" s="67" t="s">
        <v>4036</v>
      </c>
      <c r="EY502" s="67">
        <v>5639.75</v>
      </c>
      <c r="EZ502" s="67" t="s">
        <v>4037</v>
      </c>
      <c r="FA502" s="67">
        <v>19904</v>
      </c>
      <c r="FB502" s="67" t="s">
        <v>4038</v>
      </c>
      <c r="FC502" s="67" t="s">
        <v>4039</v>
      </c>
      <c r="FD502" s="67" t="s">
        <v>4040</v>
      </c>
      <c r="FE502" s="68" t="s">
        <v>4041</v>
      </c>
      <c r="FF502" s="68" t="s">
        <v>4042</v>
      </c>
    </row>
    <row r="503" spans="151:162" x14ac:dyDescent="0.2">
      <c r="EU503" s="67">
        <v>562.48</v>
      </c>
      <c r="EV503" s="67" t="s">
        <v>4043</v>
      </c>
      <c r="EW503" s="67">
        <v>484.45</v>
      </c>
      <c r="EX503" s="67" t="s">
        <v>4044</v>
      </c>
      <c r="EY503" s="67">
        <v>5639.25</v>
      </c>
      <c r="EZ503" s="67" t="s">
        <v>4045</v>
      </c>
      <c r="FA503" s="67">
        <v>19900.5</v>
      </c>
      <c r="FB503" s="67" t="s">
        <v>4046</v>
      </c>
      <c r="FC503" s="67" t="s">
        <v>4047</v>
      </c>
      <c r="FD503" s="67" t="s">
        <v>4048</v>
      </c>
      <c r="FE503" s="68" t="s">
        <v>4049</v>
      </c>
      <c r="FF503" s="68" t="s">
        <v>4050</v>
      </c>
    </row>
    <row r="504" spans="151:162" x14ac:dyDescent="0.2">
      <c r="EU504" s="67">
        <v>562.62</v>
      </c>
      <c r="EV504" s="67" t="s">
        <v>4051</v>
      </c>
      <c r="EW504" s="67">
        <v>484.58</v>
      </c>
      <c r="EX504" s="67" t="s">
        <v>4052</v>
      </c>
      <c r="EY504" s="67">
        <v>5640.5</v>
      </c>
      <c r="EZ504" s="67" t="s">
        <v>4053</v>
      </c>
      <c r="FA504" s="67">
        <v>19906</v>
      </c>
      <c r="FB504" s="67" t="s">
        <v>4054</v>
      </c>
      <c r="FC504" s="67" t="s">
        <v>4055</v>
      </c>
      <c r="FD504" s="67" t="s">
        <v>4056</v>
      </c>
      <c r="FE504" s="68" t="s">
        <v>4057</v>
      </c>
      <c r="FF504" s="68" t="s">
        <v>4058</v>
      </c>
    </row>
    <row r="505" spans="151:162" x14ac:dyDescent="0.2">
      <c r="EU505" s="67">
        <v>562.79</v>
      </c>
      <c r="EV505" s="67" t="s">
        <v>4059</v>
      </c>
      <c r="EW505" s="67">
        <v>484.72</v>
      </c>
      <c r="EX505" s="67" t="s">
        <v>4060</v>
      </c>
      <c r="EY505" s="67">
        <v>5642</v>
      </c>
      <c r="EZ505" s="67" t="s">
        <v>4061</v>
      </c>
      <c r="FA505" s="67">
        <v>19912</v>
      </c>
      <c r="FB505" s="67" t="s">
        <v>4062</v>
      </c>
      <c r="FC505" s="67" t="s">
        <v>4063</v>
      </c>
      <c r="FD505" s="67" t="s">
        <v>4064</v>
      </c>
      <c r="FE505" s="68" t="s">
        <v>4065</v>
      </c>
      <c r="FF505" s="68" t="s">
        <v>4066</v>
      </c>
    </row>
    <row r="506" spans="151:162" x14ac:dyDescent="0.2">
      <c r="EU506" s="67">
        <v>562.45000000000005</v>
      </c>
      <c r="EV506" s="67" t="s">
        <v>4067</v>
      </c>
      <c r="EW506" s="67">
        <v>484.36</v>
      </c>
      <c r="EX506" s="67" t="s">
        <v>4068</v>
      </c>
      <c r="EY506" s="67">
        <v>5638.5</v>
      </c>
      <c r="EZ506" s="67" t="s">
        <v>4069</v>
      </c>
      <c r="FA506" s="67">
        <v>19897.75</v>
      </c>
      <c r="FB506" s="67" t="s">
        <v>4070</v>
      </c>
      <c r="FC506" s="67" t="s">
        <v>4071</v>
      </c>
      <c r="FD506" s="67" t="s">
        <v>4072</v>
      </c>
      <c r="FE506" s="68" t="s">
        <v>4073</v>
      </c>
      <c r="FF506" s="68" t="s">
        <v>4074</v>
      </c>
    </row>
    <row r="507" spans="151:162" x14ac:dyDescent="0.2">
      <c r="EU507" s="67">
        <v>562.45000000000005</v>
      </c>
      <c r="EV507" s="67" t="s">
        <v>4075</v>
      </c>
      <c r="EW507" s="67">
        <v>484.42</v>
      </c>
      <c r="EX507" s="67" t="s">
        <v>4076</v>
      </c>
      <c r="EY507" s="67">
        <v>5638.5</v>
      </c>
      <c r="EZ507" s="67" t="s">
        <v>4077</v>
      </c>
      <c r="FA507" s="67">
        <v>19899.25</v>
      </c>
      <c r="FB507" s="67" t="s">
        <v>4078</v>
      </c>
      <c r="FC507" s="67" t="s">
        <v>4079</v>
      </c>
      <c r="FD507" s="67" t="s">
        <v>4080</v>
      </c>
      <c r="FE507" s="68" t="s">
        <v>4081</v>
      </c>
      <c r="FF507" s="68" t="s">
        <v>4082</v>
      </c>
    </row>
    <row r="508" spans="151:162" x14ac:dyDescent="0.2">
      <c r="EU508" s="67">
        <v>562.45000000000005</v>
      </c>
      <c r="EV508" s="67" t="s">
        <v>4083</v>
      </c>
      <c r="EW508" s="67">
        <v>484.4</v>
      </c>
      <c r="EX508" s="67" t="s">
        <v>4084</v>
      </c>
      <c r="EY508" s="67">
        <v>5638.5</v>
      </c>
      <c r="EZ508" s="67" t="s">
        <v>4085</v>
      </c>
      <c r="FA508" s="67">
        <v>19898.75</v>
      </c>
      <c r="FB508" s="67" t="s">
        <v>4086</v>
      </c>
      <c r="FC508" s="67" t="s">
        <v>4087</v>
      </c>
      <c r="FD508" s="67" t="s">
        <v>4088</v>
      </c>
      <c r="FE508" s="68" t="s">
        <v>4089</v>
      </c>
      <c r="FF508" s="68" t="s">
        <v>4090</v>
      </c>
    </row>
    <row r="509" spans="151:162" x14ac:dyDescent="0.2">
      <c r="EU509" s="67">
        <v>562.48</v>
      </c>
      <c r="EV509" s="67" t="s">
        <v>4091</v>
      </c>
      <c r="EW509" s="67">
        <v>484.39</v>
      </c>
      <c r="EX509" s="67" t="s">
        <v>4092</v>
      </c>
      <c r="EY509" s="67">
        <v>5639</v>
      </c>
      <c r="EZ509" s="67" t="s">
        <v>4093</v>
      </c>
      <c r="FA509" s="67">
        <v>19899</v>
      </c>
      <c r="FB509" s="67" t="s">
        <v>4094</v>
      </c>
      <c r="FC509" s="67" t="s">
        <v>4095</v>
      </c>
      <c r="FD509" s="67" t="s">
        <v>4096</v>
      </c>
      <c r="FE509" s="68" t="s">
        <v>4097</v>
      </c>
      <c r="FF509" s="68" t="s">
        <v>4098</v>
      </c>
    </row>
    <row r="510" spans="151:162" x14ac:dyDescent="0.2">
      <c r="EU510" s="67">
        <v>562.47</v>
      </c>
      <c r="EV510" s="67" t="s">
        <v>4099</v>
      </c>
      <c r="EW510" s="67">
        <v>484.4</v>
      </c>
      <c r="EX510" s="67" t="s">
        <v>4100</v>
      </c>
      <c r="EY510" s="67">
        <v>5638.75</v>
      </c>
      <c r="EZ510" s="67" t="s">
        <v>4101</v>
      </c>
      <c r="FA510" s="67">
        <v>19899</v>
      </c>
      <c r="FB510" s="67" t="s">
        <v>4102</v>
      </c>
      <c r="FC510" s="67" t="s">
        <v>4103</v>
      </c>
      <c r="FD510" s="67" t="s">
        <v>4104</v>
      </c>
      <c r="FE510" s="68" t="s">
        <v>4105</v>
      </c>
      <c r="FF510" s="68" t="s">
        <v>4106</v>
      </c>
    </row>
    <row r="511" spans="151:162" x14ac:dyDescent="0.2">
      <c r="EU511" s="67">
        <v>562.46</v>
      </c>
      <c r="EV511" s="67" t="s">
        <v>4107</v>
      </c>
      <c r="EW511" s="67">
        <v>484.4</v>
      </c>
      <c r="EX511" s="67" t="s">
        <v>4108</v>
      </c>
      <c r="EY511" s="67">
        <v>5638.75</v>
      </c>
      <c r="EZ511" s="67" t="s">
        <v>4109</v>
      </c>
      <c r="FA511" s="67">
        <v>19899</v>
      </c>
      <c r="FB511" s="67" t="s">
        <v>4110</v>
      </c>
      <c r="FC511" s="67" t="s">
        <v>4111</v>
      </c>
      <c r="FD511" s="67" t="s">
        <v>4112</v>
      </c>
      <c r="FE511" s="68" t="s">
        <v>4113</v>
      </c>
      <c r="FF511" s="68" t="s">
        <v>4114</v>
      </c>
    </row>
    <row r="512" spans="151:162" x14ac:dyDescent="0.2">
      <c r="EU512" s="67">
        <v>562.27</v>
      </c>
      <c r="EV512" s="67" t="s">
        <v>4115</v>
      </c>
      <c r="EW512" s="67">
        <v>484.16</v>
      </c>
      <c r="EX512" s="67" t="s">
        <v>4116</v>
      </c>
      <c r="EY512" s="67">
        <v>5636.75</v>
      </c>
      <c r="EZ512" s="67" t="s">
        <v>4117</v>
      </c>
      <c r="FA512" s="67">
        <v>19889.75</v>
      </c>
      <c r="FB512" s="67" t="s">
        <v>4118</v>
      </c>
      <c r="FC512" s="67" t="s">
        <v>4119</v>
      </c>
      <c r="FD512" s="67" t="s">
        <v>4120</v>
      </c>
      <c r="FE512" s="68" t="s">
        <v>4121</v>
      </c>
      <c r="FF512" s="68" t="s">
        <v>4122</v>
      </c>
    </row>
    <row r="513" spans="151:162" x14ac:dyDescent="0.2">
      <c r="EU513" s="67">
        <v>562.32000000000005</v>
      </c>
      <c r="EV513" s="67" t="s">
        <v>4123</v>
      </c>
      <c r="EW513" s="67">
        <v>484.2</v>
      </c>
      <c r="EX513" s="67" t="s">
        <v>4124</v>
      </c>
      <c r="EY513" s="67">
        <v>5637.25</v>
      </c>
      <c r="EZ513" s="67" t="s">
        <v>4125</v>
      </c>
      <c r="FA513" s="67">
        <v>19890.25</v>
      </c>
      <c r="FB513" s="67" t="s">
        <v>4126</v>
      </c>
      <c r="FC513" s="67" t="s">
        <v>4127</v>
      </c>
      <c r="FD513" s="67" t="s">
        <v>4128</v>
      </c>
      <c r="FE513" s="68" t="s">
        <v>4129</v>
      </c>
      <c r="FF513" s="68" t="s">
        <v>4130</v>
      </c>
    </row>
    <row r="514" spans="151:162" x14ac:dyDescent="0.2">
      <c r="EU514" s="67">
        <v>562.41</v>
      </c>
      <c r="EV514" s="67" t="s">
        <v>4131</v>
      </c>
      <c r="EW514" s="67">
        <v>484.26</v>
      </c>
      <c r="EX514" s="67" t="s">
        <v>4132</v>
      </c>
      <c r="EY514" s="67">
        <v>5638</v>
      </c>
      <c r="EZ514" s="67" t="s">
        <v>4133</v>
      </c>
      <c r="FA514" s="67">
        <v>19893.5</v>
      </c>
      <c r="FB514" s="67" t="s">
        <v>4134</v>
      </c>
      <c r="FC514" s="67" t="s">
        <v>4135</v>
      </c>
      <c r="FD514" s="67" t="s">
        <v>4136</v>
      </c>
      <c r="FE514" s="68" t="s">
        <v>4137</v>
      </c>
      <c r="FF514" s="68" t="s">
        <v>4138</v>
      </c>
    </row>
    <row r="515" spans="151:162" x14ac:dyDescent="0.2">
      <c r="EU515" s="67">
        <v>562.55999999999995</v>
      </c>
      <c r="EV515" s="67" t="s">
        <v>4139</v>
      </c>
      <c r="EW515" s="67">
        <v>484.42</v>
      </c>
      <c r="EX515" s="67" t="s">
        <v>4140</v>
      </c>
      <c r="EY515" s="67">
        <v>5639.75</v>
      </c>
      <c r="EZ515" s="67" t="s">
        <v>4141</v>
      </c>
      <c r="FA515" s="67">
        <v>19900.5</v>
      </c>
      <c r="FB515" s="67" t="s">
        <v>4142</v>
      </c>
      <c r="FC515" s="67" t="s">
        <v>4143</v>
      </c>
      <c r="FD515" s="67" t="s">
        <v>4144</v>
      </c>
      <c r="FE515" s="68" t="s">
        <v>4145</v>
      </c>
      <c r="FF515" s="68" t="s">
        <v>4146</v>
      </c>
    </row>
    <row r="516" spans="151:162" x14ac:dyDescent="0.2">
      <c r="EU516" s="67">
        <v>562.6</v>
      </c>
      <c r="EV516" s="67" t="s">
        <v>4147</v>
      </c>
      <c r="EW516" s="67">
        <v>484.46</v>
      </c>
      <c r="EX516" s="67" t="s">
        <v>4148</v>
      </c>
      <c r="EY516" s="67">
        <v>5640.25</v>
      </c>
      <c r="EZ516" s="67" t="s">
        <v>4149</v>
      </c>
      <c r="FA516" s="67">
        <v>19902</v>
      </c>
      <c r="FB516" s="67" t="s">
        <v>4150</v>
      </c>
      <c r="FC516" s="67" t="s">
        <v>4151</v>
      </c>
      <c r="FD516" s="67" t="s">
        <v>4152</v>
      </c>
      <c r="FE516" s="68" t="s">
        <v>4153</v>
      </c>
      <c r="FF516" s="68" t="s">
        <v>4154</v>
      </c>
    </row>
    <row r="517" spans="151:162" x14ac:dyDescent="0.2">
      <c r="EU517" s="67">
        <v>562.5</v>
      </c>
      <c r="EV517" s="67" t="s">
        <v>4155</v>
      </c>
      <c r="EW517" s="67">
        <v>484.36</v>
      </c>
      <c r="EX517" s="67" t="s">
        <v>4156</v>
      </c>
      <c r="EY517" s="67">
        <v>5639</v>
      </c>
      <c r="EZ517" s="67" t="s">
        <v>4157</v>
      </c>
      <c r="FA517" s="67">
        <v>19897.25</v>
      </c>
      <c r="FB517" s="67" t="s">
        <v>4158</v>
      </c>
      <c r="FC517" s="67" t="s">
        <v>4159</v>
      </c>
      <c r="FD517" s="67" t="s">
        <v>4160</v>
      </c>
      <c r="FE517" s="68" t="s">
        <v>4161</v>
      </c>
      <c r="FF517" s="68" t="s">
        <v>4162</v>
      </c>
    </row>
    <row r="518" spans="151:162" x14ac:dyDescent="0.2">
      <c r="EU518" s="67">
        <v>562.5</v>
      </c>
      <c r="EV518" s="67" t="s">
        <v>4163</v>
      </c>
      <c r="EW518" s="67">
        <v>484.35</v>
      </c>
      <c r="EX518" s="67" t="s">
        <v>4164</v>
      </c>
      <c r="EY518" s="67">
        <v>5639.25</v>
      </c>
      <c r="EZ518" s="67" t="s">
        <v>4165</v>
      </c>
      <c r="FA518" s="67">
        <v>19897</v>
      </c>
      <c r="FB518" s="67" t="s">
        <v>4166</v>
      </c>
      <c r="FC518" s="67" t="s">
        <v>4167</v>
      </c>
      <c r="FD518" s="67" t="s">
        <v>4168</v>
      </c>
      <c r="FE518" s="68" t="s">
        <v>4169</v>
      </c>
      <c r="FF518" s="68" t="s">
        <v>4170</v>
      </c>
    </row>
    <row r="519" spans="151:162" x14ac:dyDescent="0.2">
      <c r="EU519" s="67">
        <v>562.49</v>
      </c>
      <c r="EV519" s="67" t="s">
        <v>4171</v>
      </c>
      <c r="EW519" s="67">
        <v>484.38</v>
      </c>
      <c r="EX519" s="67" t="s">
        <v>4172</v>
      </c>
      <c r="EY519" s="67">
        <v>5639</v>
      </c>
      <c r="EZ519" s="67" t="s">
        <v>4173</v>
      </c>
      <c r="FA519" s="67">
        <v>19898.5</v>
      </c>
      <c r="FB519" s="67" t="s">
        <v>4174</v>
      </c>
      <c r="FC519" s="67" t="s">
        <v>4175</v>
      </c>
      <c r="FD519" s="67" t="s">
        <v>4176</v>
      </c>
      <c r="FE519" s="68" t="s">
        <v>4177</v>
      </c>
      <c r="FF519" s="68" t="s">
        <v>4178</v>
      </c>
    </row>
    <row r="520" spans="151:162" x14ac:dyDescent="0.2">
      <c r="EU520" s="67">
        <v>562.41</v>
      </c>
      <c r="EV520" s="67" t="s">
        <v>4179</v>
      </c>
      <c r="EW520" s="67">
        <v>484.28</v>
      </c>
      <c r="EX520" s="67" t="s">
        <v>4180</v>
      </c>
      <c r="EY520" s="67">
        <v>5638</v>
      </c>
      <c r="EZ520" s="67" t="s">
        <v>4181</v>
      </c>
      <c r="FA520" s="67">
        <v>19894.75</v>
      </c>
      <c r="FB520" s="67" t="s">
        <v>4182</v>
      </c>
      <c r="FC520" s="67" t="s">
        <v>4183</v>
      </c>
      <c r="FD520" s="67" t="s">
        <v>4184</v>
      </c>
      <c r="FE520" s="68" t="s">
        <v>4185</v>
      </c>
      <c r="FF520" s="68" t="s">
        <v>4186</v>
      </c>
    </row>
    <row r="521" spans="151:162" x14ac:dyDescent="0.2">
      <c r="EU521" s="67">
        <v>562.41999999999996</v>
      </c>
      <c r="EV521" s="67" t="s">
        <v>4187</v>
      </c>
      <c r="EW521" s="67">
        <v>484.22</v>
      </c>
      <c r="EX521" s="67" t="s">
        <v>4188</v>
      </c>
      <c r="EY521" s="67">
        <v>5638</v>
      </c>
      <c r="EZ521" s="67" t="s">
        <v>4189</v>
      </c>
      <c r="FA521" s="67">
        <v>19893</v>
      </c>
      <c r="FB521" s="67" t="s">
        <v>4190</v>
      </c>
      <c r="FC521" s="67" t="s">
        <v>4191</v>
      </c>
      <c r="FD521" s="67" t="s">
        <v>4192</v>
      </c>
      <c r="FE521" s="68" t="s">
        <v>4193</v>
      </c>
      <c r="FF521" s="68" t="s">
        <v>4194</v>
      </c>
    </row>
    <row r="522" spans="151:162" x14ac:dyDescent="0.2">
      <c r="EU522" s="67">
        <v>562.35</v>
      </c>
      <c r="EV522" s="67" t="s">
        <v>4195</v>
      </c>
      <c r="EW522" s="67">
        <v>484.16</v>
      </c>
      <c r="EX522" s="67" t="s">
        <v>4196</v>
      </c>
      <c r="EY522" s="67">
        <v>5637.5</v>
      </c>
      <c r="EZ522" s="67" t="s">
        <v>4197</v>
      </c>
      <c r="FA522" s="67">
        <v>19889.75</v>
      </c>
      <c r="FB522" s="67" t="s">
        <v>4198</v>
      </c>
      <c r="FC522" s="67" t="s">
        <v>4199</v>
      </c>
      <c r="FD522" s="67" t="s">
        <v>4200</v>
      </c>
      <c r="FE522" s="68" t="s">
        <v>4201</v>
      </c>
      <c r="FF522" s="68" t="s">
        <v>4202</v>
      </c>
    </row>
    <row r="523" spans="151:162" x14ac:dyDescent="0.2">
      <c r="EU523" s="67">
        <v>562.36</v>
      </c>
      <c r="EV523" s="67" t="s">
        <v>4203</v>
      </c>
      <c r="EW523" s="67">
        <v>484.21</v>
      </c>
      <c r="EX523" s="67" t="s">
        <v>4204</v>
      </c>
      <c r="EY523" s="67">
        <v>5637.5</v>
      </c>
      <c r="EZ523" s="67" t="s">
        <v>4205</v>
      </c>
      <c r="FA523" s="67">
        <v>19890.75</v>
      </c>
      <c r="FB523" s="67" t="s">
        <v>4206</v>
      </c>
      <c r="FC523" s="67" t="s">
        <v>4207</v>
      </c>
      <c r="FD523" s="67" t="s">
        <v>4208</v>
      </c>
      <c r="FE523" s="68" t="s">
        <v>4209</v>
      </c>
      <c r="FF523" s="68" t="s">
        <v>4210</v>
      </c>
    </row>
    <row r="524" spans="151:162" x14ac:dyDescent="0.2">
      <c r="EU524" s="67">
        <v>562.35</v>
      </c>
      <c r="EV524" s="67" t="s">
        <v>4211</v>
      </c>
      <c r="EW524" s="67">
        <v>484.2</v>
      </c>
      <c r="EX524" s="67" t="s">
        <v>4212</v>
      </c>
      <c r="EY524" s="67">
        <v>5637.75</v>
      </c>
      <c r="EZ524" s="67" t="s">
        <v>4213</v>
      </c>
      <c r="FA524" s="67">
        <v>19891.5</v>
      </c>
      <c r="FB524" s="67" t="s">
        <v>4214</v>
      </c>
      <c r="FC524" s="67" t="s">
        <v>4215</v>
      </c>
      <c r="FD524" s="67" t="s">
        <v>4216</v>
      </c>
      <c r="FE524" s="68" t="s">
        <v>4217</v>
      </c>
      <c r="FF524" s="68" t="s">
        <v>4218</v>
      </c>
    </row>
    <row r="525" spans="151:162" x14ac:dyDescent="0.2">
      <c r="EU525" s="67">
        <v>562.29</v>
      </c>
      <c r="EV525" s="67" t="s">
        <v>4219</v>
      </c>
      <c r="EW525" s="67">
        <v>484.11</v>
      </c>
      <c r="EX525" s="67" t="s">
        <v>4220</v>
      </c>
      <c r="EY525" s="67">
        <v>5637</v>
      </c>
      <c r="EZ525" s="67" t="s">
        <v>4221</v>
      </c>
      <c r="FA525" s="67">
        <v>19888</v>
      </c>
      <c r="FB525" s="67" t="s">
        <v>4222</v>
      </c>
      <c r="FC525" s="67" t="s">
        <v>4223</v>
      </c>
      <c r="FD525" s="67" t="s">
        <v>4224</v>
      </c>
      <c r="FE525" s="68" t="s">
        <v>4225</v>
      </c>
      <c r="FF525" s="68" t="s">
        <v>4226</v>
      </c>
    </row>
    <row r="526" spans="151:162" x14ac:dyDescent="0.2">
      <c r="EU526" s="67">
        <v>562.39</v>
      </c>
      <c r="EV526" s="67" t="s">
        <v>4227</v>
      </c>
      <c r="EW526" s="67">
        <v>484.22</v>
      </c>
      <c r="EX526" s="67" t="s">
        <v>4228</v>
      </c>
      <c r="EY526" s="67">
        <v>5638</v>
      </c>
      <c r="EZ526" s="67" t="s">
        <v>4229</v>
      </c>
      <c r="FA526" s="67">
        <v>19892.25</v>
      </c>
      <c r="FB526" s="67" t="s">
        <v>4230</v>
      </c>
      <c r="FC526" s="67" t="s">
        <v>4231</v>
      </c>
      <c r="FD526" s="67" t="s">
        <v>4232</v>
      </c>
      <c r="FE526" s="68" t="s">
        <v>4233</v>
      </c>
      <c r="FF526" s="68" t="s">
        <v>4234</v>
      </c>
    </row>
    <row r="527" spans="151:162" x14ac:dyDescent="0.2">
      <c r="EU527" s="67">
        <v>562.48</v>
      </c>
      <c r="EV527" s="67" t="s">
        <v>4235</v>
      </c>
      <c r="EW527" s="67">
        <v>484.29</v>
      </c>
      <c r="EX527" s="67" t="s">
        <v>4236</v>
      </c>
      <c r="EY527" s="67">
        <v>5639</v>
      </c>
      <c r="EZ527" s="67" t="s">
        <v>4237</v>
      </c>
      <c r="FA527" s="67">
        <v>19894.75</v>
      </c>
      <c r="FB527" s="67" t="s">
        <v>4238</v>
      </c>
      <c r="FC527" s="67" t="s">
        <v>4239</v>
      </c>
      <c r="FD527" s="67" t="s">
        <v>4240</v>
      </c>
      <c r="FE527" s="68" t="s">
        <v>4241</v>
      </c>
      <c r="FF527" s="68" t="s">
        <v>4242</v>
      </c>
    </row>
    <row r="528" spans="151:162" x14ac:dyDescent="0.2">
      <c r="EU528" s="67">
        <v>562.48</v>
      </c>
      <c r="EV528" s="67" t="s">
        <v>4243</v>
      </c>
      <c r="EW528" s="67">
        <v>484.32</v>
      </c>
      <c r="EX528" s="67" t="s">
        <v>4244</v>
      </c>
      <c r="EY528" s="67">
        <v>5639</v>
      </c>
      <c r="EZ528" s="67" t="s">
        <v>4245</v>
      </c>
      <c r="FA528" s="67">
        <v>19895.5</v>
      </c>
      <c r="FB528" s="67" t="s">
        <v>4246</v>
      </c>
      <c r="FC528" s="67" t="s">
        <v>4247</v>
      </c>
      <c r="FD528" s="67" t="s">
        <v>4248</v>
      </c>
      <c r="FE528" s="68" t="s">
        <v>4249</v>
      </c>
      <c r="FF528" s="68" t="s">
        <v>4250</v>
      </c>
    </row>
    <row r="529" spans="151:162" x14ac:dyDescent="0.2">
      <c r="EU529" s="67">
        <v>562.41</v>
      </c>
      <c r="EV529" s="67" t="s">
        <v>4251</v>
      </c>
      <c r="EW529" s="67">
        <v>484.26</v>
      </c>
      <c r="EX529" s="67" t="s">
        <v>4252</v>
      </c>
      <c r="EY529" s="67">
        <v>5638.25</v>
      </c>
      <c r="EZ529" s="67" t="s">
        <v>4253</v>
      </c>
      <c r="FA529" s="67">
        <v>19893.75</v>
      </c>
      <c r="FB529" s="67" t="s">
        <v>4254</v>
      </c>
      <c r="FC529" s="67" t="s">
        <v>4255</v>
      </c>
      <c r="FD529" s="67" t="s">
        <v>4256</v>
      </c>
      <c r="FE529" s="68" t="s">
        <v>4257</v>
      </c>
      <c r="FF529" s="68" t="s">
        <v>4258</v>
      </c>
    </row>
    <row r="530" spans="151:162" x14ac:dyDescent="0.2">
      <c r="EU530" s="67">
        <v>562.46</v>
      </c>
      <c r="EV530" s="67" t="s">
        <v>4259</v>
      </c>
      <c r="EW530" s="67">
        <v>484.32</v>
      </c>
      <c r="EX530" s="67" t="s">
        <v>4260</v>
      </c>
      <c r="EY530" s="67">
        <v>5638.75</v>
      </c>
      <c r="EZ530" s="67" t="s">
        <v>4261</v>
      </c>
      <c r="FA530" s="67">
        <v>19895.25</v>
      </c>
      <c r="FB530" s="67" t="s">
        <v>4262</v>
      </c>
      <c r="FC530" s="67" t="s">
        <v>4263</v>
      </c>
      <c r="FD530" s="67" t="s">
        <v>4264</v>
      </c>
      <c r="FE530" s="68" t="s">
        <v>4265</v>
      </c>
      <c r="FF530" s="68" t="s">
        <v>4266</v>
      </c>
    </row>
    <row r="531" spans="151:162" x14ac:dyDescent="0.2">
      <c r="EU531" s="67">
        <v>562.67999999999995</v>
      </c>
      <c r="EV531" s="67" t="s">
        <v>4267</v>
      </c>
      <c r="EW531" s="67">
        <v>484.56</v>
      </c>
      <c r="EX531" s="67" t="s">
        <v>4268</v>
      </c>
      <c r="EY531" s="67">
        <v>5641</v>
      </c>
      <c r="EZ531" s="67" t="s">
        <v>4269</v>
      </c>
      <c r="FA531" s="67">
        <v>19906.5</v>
      </c>
      <c r="FB531" s="67" t="s">
        <v>4270</v>
      </c>
      <c r="FC531" s="67" t="s">
        <v>4271</v>
      </c>
      <c r="FD531" s="67" t="s">
        <v>4272</v>
      </c>
      <c r="FE531" s="68" t="s">
        <v>4273</v>
      </c>
      <c r="FF531" s="68" t="s">
        <v>4274</v>
      </c>
    </row>
    <row r="532" spans="151:162" x14ac:dyDescent="0.2">
      <c r="EU532" s="67">
        <v>562.66</v>
      </c>
      <c r="EV532" s="67" t="s">
        <v>4275</v>
      </c>
      <c r="EW532" s="67">
        <v>484.53</v>
      </c>
      <c r="EX532" s="67" t="s">
        <v>4276</v>
      </c>
      <c r="EY532" s="67">
        <v>5640.5</v>
      </c>
      <c r="EZ532" s="67" t="s">
        <v>4277</v>
      </c>
      <c r="FA532" s="67">
        <v>19904.5</v>
      </c>
      <c r="FB532" s="67" t="s">
        <v>4278</v>
      </c>
      <c r="FC532" s="67" t="s">
        <v>4279</v>
      </c>
      <c r="FD532" s="67" t="s">
        <v>4280</v>
      </c>
      <c r="FE532" s="68" t="s">
        <v>4281</v>
      </c>
      <c r="FF532" s="68" t="s">
        <v>4282</v>
      </c>
    </row>
    <row r="533" spans="151:162" x14ac:dyDescent="0.2">
      <c r="EU533" s="67">
        <v>562.74</v>
      </c>
      <c r="EV533" s="67" t="s">
        <v>4283</v>
      </c>
      <c r="EW533" s="67">
        <v>484.61</v>
      </c>
      <c r="EX533" s="67" t="s">
        <v>4284</v>
      </c>
      <c r="EY533" s="67">
        <v>5641.25</v>
      </c>
      <c r="EZ533" s="67" t="s">
        <v>4285</v>
      </c>
      <c r="FA533" s="67">
        <v>19908.5</v>
      </c>
      <c r="FB533" s="67" t="s">
        <v>4286</v>
      </c>
      <c r="FC533" s="67" t="s">
        <v>4287</v>
      </c>
      <c r="FD533" s="67" t="s">
        <v>4288</v>
      </c>
      <c r="FE533" s="68" t="s">
        <v>4289</v>
      </c>
      <c r="FF533" s="68" t="s">
        <v>4290</v>
      </c>
    </row>
    <row r="534" spans="151:162" x14ac:dyDescent="0.2">
      <c r="EU534" s="67">
        <v>562.82000000000005</v>
      </c>
      <c r="EV534" s="67" t="s">
        <v>4291</v>
      </c>
      <c r="EW534" s="67">
        <v>484.64</v>
      </c>
      <c r="EX534" s="67" t="s">
        <v>4292</v>
      </c>
      <c r="EY534" s="67">
        <v>5642.25</v>
      </c>
      <c r="EZ534" s="67" t="s">
        <v>4293</v>
      </c>
      <c r="FA534" s="67">
        <v>19909</v>
      </c>
      <c r="FB534" s="67" t="s">
        <v>4294</v>
      </c>
      <c r="FC534" s="67" t="s">
        <v>4295</v>
      </c>
      <c r="FD534" s="67" t="s">
        <v>4296</v>
      </c>
      <c r="FE534" s="68" t="s">
        <v>4297</v>
      </c>
      <c r="FF534" s="68" t="s">
        <v>4298</v>
      </c>
    </row>
    <row r="535" spans="151:162" x14ac:dyDescent="0.2">
      <c r="EU535" s="67">
        <v>562.76</v>
      </c>
      <c r="EV535" s="67" t="s">
        <v>4299</v>
      </c>
      <c r="EW535" s="67">
        <v>484.57</v>
      </c>
      <c r="EX535" s="67" t="s">
        <v>4300</v>
      </c>
      <c r="EY535" s="67">
        <v>5641.75</v>
      </c>
      <c r="EZ535" s="67" t="s">
        <v>4301</v>
      </c>
      <c r="FA535" s="67">
        <v>19907</v>
      </c>
      <c r="FB535" s="67" t="s">
        <v>4302</v>
      </c>
      <c r="FC535" s="67" t="s">
        <v>4303</v>
      </c>
      <c r="FD535" s="67" t="s">
        <v>4304</v>
      </c>
      <c r="FE535" s="68" t="s">
        <v>4305</v>
      </c>
      <c r="FF535" s="68" t="s">
        <v>4306</v>
      </c>
    </row>
    <row r="536" spans="151:162" x14ac:dyDescent="0.2">
      <c r="EU536" s="67">
        <v>562.79</v>
      </c>
      <c r="EV536" s="67" t="s">
        <v>4307</v>
      </c>
      <c r="EW536" s="67">
        <v>484.62</v>
      </c>
      <c r="EX536" s="67" t="s">
        <v>4308</v>
      </c>
      <c r="EY536" s="67">
        <v>5642</v>
      </c>
      <c r="EZ536" s="67" t="s">
        <v>4309</v>
      </c>
      <c r="FA536" s="67">
        <v>19908.75</v>
      </c>
      <c r="FB536" s="67" t="s">
        <v>4310</v>
      </c>
      <c r="FC536" s="67" t="s">
        <v>4311</v>
      </c>
      <c r="FD536" s="67" t="s">
        <v>4312</v>
      </c>
      <c r="FE536" s="68" t="s">
        <v>4313</v>
      </c>
      <c r="FF536" s="68" t="s">
        <v>4314</v>
      </c>
    </row>
    <row r="537" spans="151:162" x14ac:dyDescent="0.2">
      <c r="EU537" s="67">
        <v>562.82000000000005</v>
      </c>
      <c r="EV537" s="67" t="s">
        <v>4315</v>
      </c>
      <c r="EW537" s="67">
        <v>484.65</v>
      </c>
      <c r="EX537" s="67" t="s">
        <v>4316</v>
      </c>
      <c r="EY537" s="67">
        <v>5642.25</v>
      </c>
      <c r="EZ537" s="67" t="s">
        <v>4317</v>
      </c>
      <c r="FA537" s="67">
        <v>19909.75</v>
      </c>
      <c r="FB537" s="67" t="s">
        <v>4318</v>
      </c>
      <c r="FC537" s="67" t="s">
        <v>4319</v>
      </c>
      <c r="FD537" s="67" t="s">
        <v>4320</v>
      </c>
      <c r="FE537" s="68" t="s">
        <v>4321</v>
      </c>
      <c r="FF537" s="68" t="s">
        <v>4322</v>
      </c>
    </row>
    <row r="538" spans="151:162" x14ac:dyDescent="0.2">
      <c r="EU538" s="67">
        <v>562.73</v>
      </c>
      <c r="EV538" s="67" t="s">
        <v>4323</v>
      </c>
      <c r="EW538" s="67">
        <v>484.56</v>
      </c>
      <c r="EX538" s="67" t="s">
        <v>4324</v>
      </c>
      <c r="EY538" s="67">
        <v>5641</v>
      </c>
      <c r="EZ538" s="67" t="s">
        <v>4325</v>
      </c>
      <c r="FA538" s="67">
        <v>19906.75</v>
      </c>
      <c r="FB538" s="67" t="s">
        <v>4326</v>
      </c>
      <c r="FC538" s="67" t="s">
        <v>4327</v>
      </c>
      <c r="FD538" s="67" t="s">
        <v>4328</v>
      </c>
      <c r="FE538" s="68" t="s">
        <v>4329</v>
      </c>
      <c r="FF538" s="68" t="s">
        <v>4330</v>
      </c>
    </row>
    <row r="539" spans="151:162" x14ac:dyDescent="0.2">
      <c r="EU539" s="67">
        <v>562.75</v>
      </c>
      <c r="EV539" s="67" t="s">
        <v>4331</v>
      </c>
      <c r="EW539" s="67">
        <v>484.63</v>
      </c>
      <c r="EX539" s="67" t="s">
        <v>4332</v>
      </c>
      <c r="EY539" s="67">
        <v>5641.5</v>
      </c>
      <c r="EZ539" s="67" t="s">
        <v>4333</v>
      </c>
      <c r="FA539" s="67">
        <v>19908.75</v>
      </c>
      <c r="FB539" s="67" t="s">
        <v>4334</v>
      </c>
      <c r="FC539" s="67" t="s">
        <v>4335</v>
      </c>
      <c r="FD539" s="67" t="s">
        <v>4336</v>
      </c>
      <c r="FE539" s="68" t="s">
        <v>4337</v>
      </c>
      <c r="FF539" s="68" t="s">
        <v>4338</v>
      </c>
    </row>
    <row r="540" spans="151:162" x14ac:dyDescent="0.2">
      <c r="EU540" s="67">
        <v>562.75</v>
      </c>
      <c r="EV540" s="67" t="s">
        <v>4339</v>
      </c>
      <c r="EW540" s="67">
        <v>484.7</v>
      </c>
      <c r="EX540" s="67" t="s">
        <v>4340</v>
      </c>
      <c r="EY540" s="67">
        <v>5641.5</v>
      </c>
      <c r="EZ540" s="67" t="s">
        <v>4341</v>
      </c>
      <c r="FA540" s="67">
        <v>19911.25</v>
      </c>
      <c r="FB540" s="67" t="s">
        <v>4342</v>
      </c>
      <c r="FC540" s="67" t="s">
        <v>4343</v>
      </c>
      <c r="FD540" s="67" t="s">
        <v>4344</v>
      </c>
      <c r="FE540" s="68" t="s">
        <v>4345</v>
      </c>
      <c r="FF540" s="68" t="s">
        <v>4346</v>
      </c>
    </row>
    <row r="541" spans="151:162" x14ac:dyDescent="0.2">
      <c r="EU541" s="67">
        <v>562.79</v>
      </c>
      <c r="EV541" s="67" t="s">
        <v>4347</v>
      </c>
      <c r="EW541" s="67">
        <v>484.72</v>
      </c>
      <c r="EX541" s="67" t="s">
        <v>4348</v>
      </c>
      <c r="EY541" s="67">
        <v>5641.75</v>
      </c>
      <c r="EZ541" s="67" t="s">
        <v>4349</v>
      </c>
      <c r="FA541" s="67">
        <v>19911.5</v>
      </c>
      <c r="FB541" s="67" t="s">
        <v>4350</v>
      </c>
      <c r="FC541" s="67" t="s">
        <v>4351</v>
      </c>
      <c r="FD541" s="67" t="s">
        <v>4352</v>
      </c>
      <c r="FE541" s="68" t="s">
        <v>4353</v>
      </c>
      <c r="FF541" s="68" t="s">
        <v>4354</v>
      </c>
    </row>
    <row r="542" spans="151:162" x14ac:dyDescent="0.2">
      <c r="EU542" s="67">
        <v>562.79999999999995</v>
      </c>
      <c r="EV542" s="67" t="s">
        <v>4355</v>
      </c>
      <c r="EW542" s="67">
        <v>484.74</v>
      </c>
      <c r="EX542" s="67" t="s">
        <v>4356</v>
      </c>
      <c r="EY542" s="67">
        <v>5642</v>
      </c>
      <c r="EZ542" s="67" t="s">
        <v>4357</v>
      </c>
      <c r="FA542" s="67">
        <v>19912.75</v>
      </c>
      <c r="FB542" s="67" t="s">
        <v>4358</v>
      </c>
      <c r="FC542" s="67" t="s">
        <v>4359</v>
      </c>
      <c r="FD542" s="67" t="s">
        <v>4360</v>
      </c>
      <c r="FE542" s="68" t="s">
        <v>4361</v>
      </c>
      <c r="FF542" s="68" t="s">
        <v>4362</v>
      </c>
    </row>
    <row r="543" spans="151:162" x14ac:dyDescent="0.2">
      <c r="EU543" s="67">
        <v>562.70000000000005</v>
      </c>
      <c r="EV543" s="67" t="s">
        <v>4363</v>
      </c>
      <c r="EW543" s="67">
        <v>484.63</v>
      </c>
      <c r="EX543" s="67" t="s">
        <v>4364</v>
      </c>
      <c r="EY543" s="67">
        <v>5641</v>
      </c>
      <c r="EZ543" s="67" t="s">
        <v>4365</v>
      </c>
      <c r="FA543" s="67">
        <v>19908.75</v>
      </c>
      <c r="FB543" s="67" t="s">
        <v>4366</v>
      </c>
      <c r="FC543" s="67" t="s">
        <v>4367</v>
      </c>
      <c r="FD543" s="67" t="s">
        <v>4368</v>
      </c>
      <c r="FE543" s="68" t="s">
        <v>4369</v>
      </c>
      <c r="FF543" s="68" t="s">
        <v>4370</v>
      </c>
    </row>
    <row r="544" spans="151:162" x14ac:dyDescent="0.2">
      <c r="EU544" s="67">
        <v>562.73</v>
      </c>
      <c r="EV544" s="67" t="s">
        <v>4371</v>
      </c>
      <c r="EW544" s="67">
        <v>484.62</v>
      </c>
      <c r="EX544" s="67" t="s">
        <v>4372</v>
      </c>
      <c r="EY544" s="67">
        <v>5641.25</v>
      </c>
      <c r="EZ544" s="67" t="s">
        <v>4373</v>
      </c>
      <c r="FA544" s="67">
        <v>19907.25</v>
      </c>
      <c r="FB544" s="67" t="s">
        <v>4374</v>
      </c>
      <c r="FC544" s="67" t="s">
        <v>4375</v>
      </c>
      <c r="FD544" s="67" t="s">
        <v>4376</v>
      </c>
      <c r="FE544" s="68" t="s">
        <v>4377</v>
      </c>
      <c r="FF544" s="68" t="s">
        <v>4378</v>
      </c>
    </row>
    <row r="545" spans="151:162" x14ac:dyDescent="0.2">
      <c r="EU545" s="67">
        <v>562.74</v>
      </c>
      <c r="EV545" s="67" t="s">
        <v>4379</v>
      </c>
      <c r="EW545" s="67">
        <v>484.64</v>
      </c>
      <c r="EX545" s="67" t="s">
        <v>4380</v>
      </c>
      <c r="EY545" s="67">
        <v>5641.25</v>
      </c>
      <c r="EZ545" s="67" t="s">
        <v>4381</v>
      </c>
      <c r="FA545" s="67">
        <v>19909.25</v>
      </c>
      <c r="FB545" s="67" t="s">
        <v>4382</v>
      </c>
      <c r="FC545" s="67" t="s">
        <v>4383</v>
      </c>
      <c r="FD545" s="67" t="s">
        <v>4384</v>
      </c>
      <c r="FE545" s="68" t="s">
        <v>4385</v>
      </c>
      <c r="FF545" s="68" t="s">
        <v>4386</v>
      </c>
    </row>
    <row r="546" spans="151:162" x14ac:dyDescent="0.2">
      <c r="EU546" s="67">
        <v>562.80999999999995</v>
      </c>
      <c r="EV546" s="67" t="s">
        <v>4387</v>
      </c>
      <c r="EW546" s="67">
        <v>484.73</v>
      </c>
      <c r="EX546" s="67" t="s">
        <v>4388</v>
      </c>
      <c r="EY546" s="67">
        <v>5642</v>
      </c>
      <c r="EZ546" s="67" t="s">
        <v>4389</v>
      </c>
      <c r="FA546" s="67">
        <v>19912.25</v>
      </c>
      <c r="FB546" s="67" t="s">
        <v>4390</v>
      </c>
      <c r="FC546" s="67" t="s">
        <v>4391</v>
      </c>
      <c r="FD546" s="67" t="s">
        <v>4392</v>
      </c>
      <c r="FE546" s="68" t="s">
        <v>4393</v>
      </c>
      <c r="FF546" s="68" t="s">
        <v>4394</v>
      </c>
    </row>
    <row r="547" spans="151:162" x14ac:dyDescent="0.2">
      <c r="EU547" s="67">
        <v>562.79999999999995</v>
      </c>
      <c r="EV547" s="67" t="s">
        <v>4395</v>
      </c>
      <c r="EW547" s="67">
        <v>484.69</v>
      </c>
      <c r="EX547" s="67" t="s">
        <v>4396</v>
      </c>
      <c r="EY547" s="67">
        <v>5641.75</v>
      </c>
      <c r="EZ547" s="67" t="s">
        <v>4397</v>
      </c>
      <c r="FA547" s="67">
        <v>19912</v>
      </c>
      <c r="FB547" s="67" t="s">
        <v>4398</v>
      </c>
      <c r="FC547" s="67" t="s">
        <v>4399</v>
      </c>
      <c r="FD547" s="67" t="s">
        <v>4400</v>
      </c>
      <c r="FE547" s="68" t="s">
        <v>4401</v>
      </c>
      <c r="FF547" s="68" t="s">
        <v>4402</v>
      </c>
    </row>
    <row r="548" spans="151:162" x14ac:dyDescent="0.2">
      <c r="EU548" s="67">
        <v>562.84</v>
      </c>
      <c r="EV548" s="67" t="s">
        <v>4403</v>
      </c>
      <c r="EW548" s="67">
        <v>484.75</v>
      </c>
      <c r="EX548" s="67" t="s">
        <v>4404</v>
      </c>
      <c r="EY548" s="67">
        <v>5642</v>
      </c>
      <c r="EZ548" s="67" t="s">
        <v>4405</v>
      </c>
      <c r="FA548" s="67">
        <v>19913.75</v>
      </c>
      <c r="FB548" s="67" t="s">
        <v>4406</v>
      </c>
      <c r="FC548" s="67" t="s">
        <v>4407</v>
      </c>
      <c r="FD548" s="67" t="s">
        <v>4408</v>
      </c>
      <c r="FE548" s="68" t="s">
        <v>4409</v>
      </c>
      <c r="FF548" s="68" t="s">
        <v>4410</v>
      </c>
    </row>
    <row r="549" spans="151:162" x14ac:dyDescent="0.2">
      <c r="EU549" s="67">
        <v>562.79</v>
      </c>
      <c r="EV549" s="67" t="s">
        <v>4411</v>
      </c>
      <c r="EW549" s="67">
        <v>484.71</v>
      </c>
      <c r="EX549" s="67" t="s">
        <v>4412</v>
      </c>
      <c r="EY549" s="67">
        <v>5642</v>
      </c>
      <c r="EZ549" s="67" t="s">
        <v>4413</v>
      </c>
      <c r="FA549" s="67">
        <v>19912.25</v>
      </c>
      <c r="FB549" s="67" t="s">
        <v>4414</v>
      </c>
      <c r="FC549" s="67" t="s">
        <v>4415</v>
      </c>
      <c r="FD549" s="67" t="s">
        <v>4416</v>
      </c>
      <c r="FE549" s="68" t="s">
        <v>4417</v>
      </c>
      <c r="FF549" s="68" t="s">
        <v>4418</v>
      </c>
    </row>
    <row r="550" spans="151:162" x14ac:dyDescent="0.2">
      <c r="EU550" s="67">
        <v>562.82000000000005</v>
      </c>
      <c r="EV550" s="67" t="s">
        <v>4419</v>
      </c>
      <c r="EW550" s="67">
        <v>484.77</v>
      </c>
      <c r="EX550" s="67" t="s">
        <v>4420</v>
      </c>
      <c r="EY550" s="67">
        <v>5642.25</v>
      </c>
      <c r="EZ550" s="67" t="s">
        <v>4421</v>
      </c>
      <c r="FA550" s="67">
        <v>19914</v>
      </c>
      <c r="FB550" s="67" t="s">
        <v>4422</v>
      </c>
      <c r="FC550" s="67" t="s">
        <v>4423</v>
      </c>
      <c r="FD550" s="67" t="s">
        <v>4424</v>
      </c>
      <c r="FE550" s="68" t="s">
        <v>4425</v>
      </c>
      <c r="FF550" s="68" t="s">
        <v>4426</v>
      </c>
    </row>
    <row r="551" spans="151:162" x14ac:dyDescent="0.2">
      <c r="EU551" s="67">
        <v>562.79999999999995</v>
      </c>
      <c r="EV551" s="67" t="s">
        <v>4427</v>
      </c>
      <c r="EW551" s="67">
        <v>484.75</v>
      </c>
      <c r="EX551" s="67" t="s">
        <v>4428</v>
      </c>
      <c r="EY551" s="67">
        <v>5641.75</v>
      </c>
      <c r="EZ551" s="67" t="s">
        <v>4429</v>
      </c>
      <c r="FA551" s="67">
        <v>19913</v>
      </c>
      <c r="FB551" s="67" t="s">
        <v>4430</v>
      </c>
      <c r="FC551" s="67" t="s">
        <v>4431</v>
      </c>
      <c r="FD551" s="67" t="s">
        <v>4432</v>
      </c>
      <c r="FE551" s="68" t="s">
        <v>4433</v>
      </c>
      <c r="FF551" s="68" t="s">
        <v>4434</v>
      </c>
    </row>
    <row r="552" spans="151:162" x14ac:dyDescent="0.2">
      <c r="EU552" s="67">
        <v>562.85</v>
      </c>
      <c r="EV552" s="67" t="s">
        <v>4435</v>
      </c>
      <c r="EW552" s="67">
        <v>484.79</v>
      </c>
      <c r="EX552" s="67" t="s">
        <v>4436</v>
      </c>
      <c r="EY552" s="67">
        <v>5642.25</v>
      </c>
      <c r="EZ552" s="67" t="s">
        <v>4437</v>
      </c>
      <c r="FA552" s="67">
        <v>19914.5</v>
      </c>
      <c r="FB552" s="67" t="s">
        <v>4438</v>
      </c>
      <c r="FC552" s="67" t="s">
        <v>4439</v>
      </c>
      <c r="FD552" s="67" t="s">
        <v>4440</v>
      </c>
      <c r="FE552" s="68" t="s">
        <v>4441</v>
      </c>
      <c r="FF552" s="68" t="s">
        <v>4442</v>
      </c>
    </row>
    <row r="553" spans="151:162" x14ac:dyDescent="0.2">
      <c r="EU553" s="67">
        <v>562.76</v>
      </c>
      <c r="EV553" s="67" t="s">
        <v>4443</v>
      </c>
      <c r="EW553" s="67">
        <v>484.68</v>
      </c>
      <c r="EX553" s="67" t="s">
        <v>4444</v>
      </c>
      <c r="EY553" s="67">
        <v>5641.5</v>
      </c>
      <c r="EZ553" s="67" t="s">
        <v>4445</v>
      </c>
      <c r="FA553" s="67">
        <v>19910</v>
      </c>
      <c r="FB553" s="67" t="s">
        <v>4446</v>
      </c>
      <c r="FC553" s="67" t="s">
        <v>4447</v>
      </c>
      <c r="FD553" s="67" t="s">
        <v>4448</v>
      </c>
      <c r="FE553" s="68" t="s">
        <v>4449</v>
      </c>
      <c r="FF553" s="68" t="s">
        <v>4450</v>
      </c>
    </row>
    <row r="554" spans="151:162" x14ac:dyDescent="0.2">
      <c r="EU554" s="67">
        <v>562.91999999999996</v>
      </c>
      <c r="EV554" s="67" t="s">
        <v>4451</v>
      </c>
      <c r="EW554" s="67">
        <v>484.87</v>
      </c>
      <c r="EX554" s="67" t="s">
        <v>4452</v>
      </c>
      <c r="EY554" s="67">
        <v>5643</v>
      </c>
      <c r="EZ554" s="67" t="s">
        <v>4453</v>
      </c>
      <c r="FA554" s="67">
        <v>19917.75</v>
      </c>
      <c r="FB554" s="67" t="s">
        <v>4454</v>
      </c>
      <c r="FC554" s="67" t="s">
        <v>4455</v>
      </c>
      <c r="FD554" s="67" t="s">
        <v>4456</v>
      </c>
      <c r="FE554" s="68" t="s">
        <v>4457</v>
      </c>
      <c r="FF554" s="68" t="s">
        <v>4458</v>
      </c>
    </row>
    <row r="555" spans="151:162" x14ac:dyDescent="0.2">
      <c r="EU555" s="67">
        <v>562.79999999999995</v>
      </c>
      <c r="EV555" s="67" t="s">
        <v>4459</v>
      </c>
      <c r="EW555" s="67">
        <v>484.73</v>
      </c>
      <c r="EX555" s="67" t="s">
        <v>4460</v>
      </c>
      <c r="EY555" s="67">
        <v>5641.75</v>
      </c>
      <c r="EZ555" s="67" t="s">
        <v>4461</v>
      </c>
      <c r="FA555" s="67">
        <v>19912</v>
      </c>
      <c r="FB555" s="67" t="s">
        <v>4462</v>
      </c>
      <c r="FC555" s="67" t="s">
        <v>4463</v>
      </c>
      <c r="FD555" s="67" t="s">
        <v>4464</v>
      </c>
      <c r="FE555" s="68" t="s">
        <v>4465</v>
      </c>
      <c r="FF555" s="68" t="s">
        <v>4466</v>
      </c>
    </row>
    <row r="556" spans="151:162" x14ac:dyDescent="0.2">
      <c r="EU556" s="67">
        <v>562.83000000000004</v>
      </c>
      <c r="EV556" s="67" t="s">
        <v>4467</v>
      </c>
      <c r="EW556" s="67">
        <v>484.71</v>
      </c>
      <c r="EX556" s="67" t="s">
        <v>4468</v>
      </c>
      <c r="EY556" s="67">
        <v>5642</v>
      </c>
      <c r="EZ556" s="67" t="s">
        <v>4469</v>
      </c>
      <c r="FA556" s="67">
        <v>19911</v>
      </c>
      <c r="FB556" s="67" t="s">
        <v>4470</v>
      </c>
      <c r="FC556" s="67" t="s">
        <v>4471</v>
      </c>
      <c r="FD556" s="67" t="s">
        <v>4472</v>
      </c>
      <c r="FE556" s="68" t="s">
        <v>4473</v>
      </c>
      <c r="FF556" s="68" t="s">
        <v>4474</v>
      </c>
    </row>
    <row r="557" spans="151:162" x14ac:dyDescent="0.2">
      <c r="EU557" s="67">
        <v>562.71</v>
      </c>
      <c r="EV557" s="67" t="s">
        <v>4475</v>
      </c>
      <c r="EW557" s="67">
        <v>484.58</v>
      </c>
      <c r="EX557" s="67" t="s">
        <v>4476</v>
      </c>
      <c r="EY557" s="67">
        <v>5640.75</v>
      </c>
      <c r="EZ557" s="67" t="s">
        <v>4477</v>
      </c>
      <c r="FA557" s="67">
        <v>19905.75</v>
      </c>
      <c r="FB557" s="67" t="s">
        <v>4478</v>
      </c>
      <c r="FC557" s="67" t="s">
        <v>4479</v>
      </c>
      <c r="FD557" s="67" t="s">
        <v>4480</v>
      </c>
      <c r="FE557" s="68" t="s">
        <v>4481</v>
      </c>
      <c r="FF557" s="68" t="s">
        <v>4482</v>
      </c>
    </row>
    <row r="558" spans="151:162" x14ac:dyDescent="0.2">
      <c r="EU558" s="67">
        <v>562.78</v>
      </c>
      <c r="EV558" s="67" t="s">
        <v>4483</v>
      </c>
      <c r="EW558" s="67">
        <v>484.62</v>
      </c>
      <c r="EX558" s="67" t="s">
        <v>4484</v>
      </c>
      <c r="EY558" s="67">
        <v>5641.5</v>
      </c>
      <c r="EZ558" s="67" t="s">
        <v>4485</v>
      </c>
      <c r="FA558" s="67">
        <v>19907.25</v>
      </c>
      <c r="FB558" s="67" t="s">
        <v>4486</v>
      </c>
      <c r="FC558" s="67" t="s">
        <v>4487</v>
      </c>
      <c r="FD558" s="67" t="s">
        <v>4488</v>
      </c>
      <c r="FE558" s="68" t="s">
        <v>4489</v>
      </c>
      <c r="FF558" s="68" t="s">
        <v>4490</v>
      </c>
    </row>
    <row r="559" spans="151:162" x14ac:dyDescent="0.2">
      <c r="EU559" s="67">
        <v>562.82000000000005</v>
      </c>
      <c r="EV559" s="67" t="s">
        <v>4491</v>
      </c>
      <c r="EW559" s="67">
        <v>484.68</v>
      </c>
      <c r="EX559" s="67" t="s">
        <v>4492</v>
      </c>
      <c r="EY559" s="67">
        <v>5642</v>
      </c>
      <c r="EZ559" s="67" t="s">
        <v>4493</v>
      </c>
      <c r="FA559" s="67">
        <v>19909.25</v>
      </c>
      <c r="FB559" s="67" t="s">
        <v>4494</v>
      </c>
      <c r="FC559" s="67" t="s">
        <v>4495</v>
      </c>
      <c r="FD559" s="67" t="s">
        <v>4496</v>
      </c>
      <c r="FE559" s="68" t="s">
        <v>4497</v>
      </c>
      <c r="FF559" s="68" t="s">
        <v>4498</v>
      </c>
    </row>
    <row r="560" spans="151:162" x14ac:dyDescent="0.2">
      <c r="EU560" s="67">
        <v>562.73</v>
      </c>
      <c r="EV560" s="67" t="s">
        <v>4499</v>
      </c>
      <c r="EW560" s="67">
        <v>484.59</v>
      </c>
      <c r="EX560" s="67" t="s">
        <v>4500</v>
      </c>
      <c r="EY560" s="67">
        <v>5641</v>
      </c>
      <c r="EZ560" s="67" t="s">
        <v>4501</v>
      </c>
      <c r="FA560" s="67">
        <v>19906.25</v>
      </c>
      <c r="FB560" s="67" t="s">
        <v>4502</v>
      </c>
      <c r="FC560" s="67" t="s">
        <v>4503</v>
      </c>
      <c r="FD560" s="67" t="s">
        <v>4504</v>
      </c>
      <c r="FE560" s="68" t="s">
        <v>4505</v>
      </c>
      <c r="FF560" s="68" t="s">
        <v>4506</v>
      </c>
    </row>
    <row r="561" spans="151:162" x14ac:dyDescent="0.2">
      <c r="EU561" s="67">
        <v>562.62</v>
      </c>
      <c r="EV561" s="67" t="s">
        <v>4507</v>
      </c>
      <c r="EW561" s="67">
        <v>484.5</v>
      </c>
      <c r="EX561" s="67" t="s">
        <v>4508</v>
      </c>
      <c r="EY561" s="67">
        <v>5640.25</v>
      </c>
      <c r="EZ561" s="67" t="s">
        <v>4509</v>
      </c>
      <c r="FA561" s="67">
        <v>19902.5</v>
      </c>
      <c r="FB561" s="67" t="s">
        <v>4510</v>
      </c>
      <c r="FC561" s="67" t="s">
        <v>4511</v>
      </c>
      <c r="FD561" s="67" t="s">
        <v>4512</v>
      </c>
      <c r="FE561" s="68" t="s">
        <v>4513</v>
      </c>
      <c r="FF561" s="68" t="s">
        <v>4514</v>
      </c>
    </row>
    <row r="562" spans="151:162" x14ac:dyDescent="0.2">
      <c r="EU562" s="67">
        <v>562.66</v>
      </c>
      <c r="EV562" s="67" t="s">
        <v>4515</v>
      </c>
      <c r="EW562" s="67">
        <v>484.55</v>
      </c>
      <c r="EX562" s="67" t="s">
        <v>4516</v>
      </c>
      <c r="EY562" s="67">
        <v>5640.5</v>
      </c>
      <c r="EZ562" s="67" t="s">
        <v>4517</v>
      </c>
      <c r="FA562" s="67">
        <v>19904</v>
      </c>
      <c r="FB562" s="67" t="s">
        <v>4518</v>
      </c>
      <c r="FC562" s="67" t="s">
        <v>4519</v>
      </c>
      <c r="FD562" s="67" t="s">
        <v>4520</v>
      </c>
      <c r="FE562" s="68" t="s">
        <v>4521</v>
      </c>
      <c r="FF562" s="68" t="s">
        <v>4522</v>
      </c>
    </row>
    <row r="563" spans="151:162" x14ac:dyDescent="0.2">
      <c r="EU563" s="67">
        <v>562.65</v>
      </c>
      <c r="EV563" s="67" t="s">
        <v>4523</v>
      </c>
      <c r="EW563" s="67">
        <v>484.58</v>
      </c>
      <c r="EX563" s="67" t="s">
        <v>4524</v>
      </c>
      <c r="EY563" s="67">
        <v>5640.25</v>
      </c>
      <c r="EZ563" s="67" t="s">
        <v>4525</v>
      </c>
      <c r="FA563" s="67">
        <v>19905.75</v>
      </c>
      <c r="FB563" s="67" t="s">
        <v>4526</v>
      </c>
      <c r="FC563" s="67" t="s">
        <v>4527</v>
      </c>
      <c r="FD563" s="67" t="s">
        <v>4528</v>
      </c>
      <c r="FE563" s="68" t="s">
        <v>4529</v>
      </c>
      <c r="FF563" s="68" t="s">
        <v>4530</v>
      </c>
    </row>
    <row r="564" spans="151:162" x14ac:dyDescent="0.2">
      <c r="EU564" s="67">
        <v>562.62</v>
      </c>
      <c r="EV564" s="67" t="s">
        <v>4531</v>
      </c>
      <c r="EW564" s="67">
        <v>484.54</v>
      </c>
      <c r="EX564" s="67" t="s">
        <v>4532</v>
      </c>
      <c r="EY564" s="67">
        <v>5640</v>
      </c>
      <c r="EZ564" s="67" t="s">
        <v>4533</v>
      </c>
      <c r="FA564" s="67">
        <v>19903.75</v>
      </c>
      <c r="FB564" s="67" t="s">
        <v>4534</v>
      </c>
      <c r="FC564" s="67" t="s">
        <v>4535</v>
      </c>
      <c r="FD564" s="67" t="s">
        <v>4536</v>
      </c>
      <c r="FE564" s="68" t="s">
        <v>4537</v>
      </c>
      <c r="FF564" s="68" t="s">
        <v>4538</v>
      </c>
    </row>
    <row r="565" spans="151:162" x14ac:dyDescent="0.2">
      <c r="EU565" s="67">
        <v>562.6</v>
      </c>
      <c r="EV565" s="67" t="s">
        <v>4539</v>
      </c>
      <c r="EW565" s="67">
        <v>484.55</v>
      </c>
      <c r="EX565" s="67" t="s">
        <v>4540</v>
      </c>
      <c r="EY565" s="67">
        <v>5639.75</v>
      </c>
      <c r="EZ565" s="67" t="s">
        <v>4541</v>
      </c>
      <c r="FA565" s="67">
        <v>19903.75</v>
      </c>
      <c r="FB565" s="67" t="s">
        <v>4542</v>
      </c>
      <c r="FC565" s="67" t="s">
        <v>4543</v>
      </c>
      <c r="FD565" s="67" t="s">
        <v>4544</v>
      </c>
      <c r="FE565" s="68" t="s">
        <v>4545</v>
      </c>
      <c r="FF565" s="68" t="s">
        <v>4546</v>
      </c>
    </row>
    <row r="566" spans="151:162" x14ac:dyDescent="0.2">
      <c r="EU566" s="67">
        <v>562.57000000000005</v>
      </c>
      <c r="EV566" s="67" t="s">
        <v>4547</v>
      </c>
      <c r="EW566" s="67">
        <v>484.46</v>
      </c>
      <c r="EX566" s="67" t="s">
        <v>4548</v>
      </c>
      <c r="EY566" s="67">
        <v>5639.25</v>
      </c>
      <c r="EZ566" s="67" t="s">
        <v>4549</v>
      </c>
      <c r="FA566" s="67">
        <v>19900.5</v>
      </c>
      <c r="FB566" s="67" t="s">
        <v>4550</v>
      </c>
      <c r="FC566" s="67" t="s">
        <v>4551</v>
      </c>
      <c r="FD566" s="67" t="s">
        <v>4552</v>
      </c>
      <c r="FE566" s="68" t="s">
        <v>4553</v>
      </c>
      <c r="FF566" s="68" t="s">
        <v>4554</v>
      </c>
    </row>
    <row r="567" spans="151:162" x14ac:dyDescent="0.2">
      <c r="EU567" s="67">
        <v>562.55999999999995</v>
      </c>
      <c r="EV567" s="67" t="s">
        <v>4555</v>
      </c>
      <c r="EW567" s="67">
        <v>484.45</v>
      </c>
      <c r="EX567" s="67" t="s">
        <v>4556</v>
      </c>
      <c r="EY567" s="67">
        <v>5639.25</v>
      </c>
      <c r="EZ567" s="67" t="s">
        <v>4557</v>
      </c>
      <c r="FA567" s="67">
        <v>19900</v>
      </c>
      <c r="FB567" s="67" t="s">
        <v>4558</v>
      </c>
      <c r="FC567" s="67" t="s">
        <v>4559</v>
      </c>
      <c r="FD567" s="67" t="s">
        <v>4560</v>
      </c>
      <c r="FE567" s="68" t="s">
        <v>4561</v>
      </c>
      <c r="FF567" s="68" t="s">
        <v>4562</v>
      </c>
    </row>
    <row r="568" spans="151:162" x14ac:dyDescent="0.2">
      <c r="EU568" s="67">
        <v>562.5</v>
      </c>
      <c r="EV568" s="67" t="s">
        <v>4563</v>
      </c>
      <c r="EW568" s="67">
        <v>484.4</v>
      </c>
      <c r="EX568" s="67" t="s">
        <v>4564</v>
      </c>
      <c r="EY568" s="67">
        <v>5639.25</v>
      </c>
      <c r="EZ568" s="67" t="s">
        <v>4565</v>
      </c>
      <c r="FA568" s="67">
        <v>19897.75</v>
      </c>
      <c r="FB568" s="67" t="s">
        <v>4566</v>
      </c>
      <c r="FC568" s="67" t="s">
        <v>4567</v>
      </c>
      <c r="FD568" s="67" t="s">
        <v>4568</v>
      </c>
      <c r="FE568" s="68" t="s">
        <v>4569</v>
      </c>
      <c r="FF568" s="68" t="s">
        <v>4570</v>
      </c>
    </row>
    <row r="569" spans="151:162" x14ac:dyDescent="0.2">
      <c r="EU569" s="67">
        <v>562.62</v>
      </c>
      <c r="EV569" s="67" t="s">
        <v>4571</v>
      </c>
      <c r="EW569" s="67">
        <v>484.49</v>
      </c>
      <c r="EX569" s="67" t="s">
        <v>4572</v>
      </c>
      <c r="EY569" s="67">
        <v>5639.75</v>
      </c>
      <c r="EZ569" s="67" t="s">
        <v>4573</v>
      </c>
      <c r="FA569" s="67">
        <v>19901.5</v>
      </c>
      <c r="FB569" s="67" t="s">
        <v>4574</v>
      </c>
      <c r="FC569" s="67" t="s">
        <v>4575</v>
      </c>
      <c r="FD569" s="67" t="s">
        <v>4576</v>
      </c>
      <c r="FE569" s="68" t="s">
        <v>4577</v>
      </c>
      <c r="FF569" s="68" t="s">
        <v>4578</v>
      </c>
    </row>
    <row r="570" spans="151:162" x14ac:dyDescent="0.2">
      <c r="EU570" s="67">
        <v>562.49</v>
      </c>
      <c r="EV570" s="67" t="s">
        <v>4579</v>
      </c>
      <c r="EW570" s="67">
        <v>484.39</v>
      </c>
      <c r="EX570" s="67" t="s">
        <v>4580</v>
      </c>
      <c r="EY570" s="67">
        <v>5638.75</v>
      </c>
      <c r="EZ570" s="67" t="s">
        <v>4581</v>
      </c>
      <c r="FA570" s="67">
        <v>19897.5</v>
      </c>
      <c r="FB570" s="67" t="s">
        <v>4582</v>
      </c>
      <c r="FC570" s="67" t="s">
        <v>4583</v>
      </c>
      <c r="FD570" s="67" t="s">
        <v>4584</v>
      </c>
      <c r="FE570" s="68" t="s">
        <v>4585</v>
      </c>
      <c r="FF570" s="68" t="s">
        <v>4586</v>
      </c>
    </row>
    <row r="571" spans="151:162" x14ac:dyDescent="0.2">
      <c r="EU571" s="67">
        <v>562.32000000000005</v>
      </c>
      <c r="EV571" s="67" t="s">
        <v>4587</v>
      </c>
      <c r="EW571" s="67">
        <v>484.15</v>
      </c>
      <c r="EX571" s="67" t="s">
        <v>4588</v>
      </c>
      <c r="EY571" s="67">
        <v>5637</v>
      </c>
      <c r="EZ571" s="67" t="s">
        <v>4589</v>
      </c>
      <c r="FA571" s="67">
        <v>19888</v>
      </c>
      <c r="FB571" s="67" t="s">
        <v>4590</v>
      </c>
      <c r="FC571" s="67" t="s">
        <v>4591</v>
      </c>
      <c r="FD571" s="67" t="s">
        <v>4592</v>
      </c>
      <c r="FE571" s="68" t="s">
        <v>4593</v>
      </c>
      <c r="FF571" s="68" t="s">
        <v>4594</v>
      </c>
    </row>
    <row r="572" spans="151:162" x14ac:dyDescent="0.2">
      <c r="EU572" s="67">
        <v>562.45000000000005</v>
      </c>
      <c r="EV572" s="67" t="s">
        <v>4595</v>
      </c>
      <c r="EW572" s="67">
        <v>484.34</v>
      </c>
      <c r="EX572" s="67" t="s">
        <v>4596</v>
      </c>
      <c r="EY572" s="67">
        <v>5638.25</v>
      </c>
      <c r="EZ572" s="67" t="s">
        <v>4597</v>
      </c>
      <c r="FA572" s="67">
        <v>19895</v>
      </c>
      <c r="FB572" s="67" t="s">
        <v>4598</v>
      </c>
      <c r="FC572" s="67" t="s">
        <v>4599</v>
      </c>
      <c r="FD572" s="67" t="s">
        <v>4600</v>
      </c>
      <c r="FE572" s="68" t="s">
        <v>4601</v>
      </c>
      <c r="FF572" s="68" t="s">
        <v>4602</v>
      </c>
    </row>
    <row r="573" spans="151:162" x14ac:dyDescent="0.2">
      <c r="EU573" s="67">
        <v>562.67999999999995</v>
      </c>
      <c r="EV573" s="67" t="s">
        <v>4603</v>
      </c>
      <c r="EW573" s="67">
        <v>484.6</v>
      </c>
      <c r="EX573" s="67" t="s">
        <v>4604</v>
      </c>
      <c r="EY573" s="67">
        <v>5641</v>
      </c>
      <c r="EZ573" s="67" t="s">
        <v>4605</v>
      </c>
      <c r="FA573" s="67">
        <v>19906</v>
      </c>
      <c r="FB573" s="67" t="s">
        <v>4606</v>
      </c>
      <c r="FC573" s="67" t="s">
        <v>4607</v>
      </c>
      <c r="FD573" s="67" t="s">
        <v>4608</v>
      </c>
      <c r="FE573" s="68" t="s">
        <v>4609</v>
      </c>
      <c r="FF573" s="68" t="s">
        <v>4610</v>
      </c>
    </row>
    <row r="574" spans="151:162" x14ac:dyDescent="0.2">
      <c r="EU574" s="67">
        <v>562.62</v>
      </c>
      <c r="EV574" s="67" t="s">
        <v>4611</v>
      </c>
      <c r="EW574" s="67">
        <v>484.51</v>
      </c>
      <c r="EX574" s="67" t="s">
        <v>4612</v>
      </c>
      <c r="EY574" s="67">
        <v>5640.25</v>
      </c>
      <c r="EZ574" s="67" t="s">
        <v>4613</v>
      </c>
      <c r="FA574" s="67">
        <v>19902.25</v>
      </c>
      <c r="FB574" s="67" t="s">
        <v>4614</v>
      </c>
      <c r="FC574" s="67" t="s">
        <v>4615</v>
      </c>
      <c r="FD574" s="67" t="s">
        <v>4616</v>
      </c>
      <c r="FE574" s="68" t="s">
        <v>4617</v>
      </c>
      <c r="FF574" s="68" t="s">
        <v>4618</v>
      </c>
    </row>
    <row r="575" spans="151:162" x14ac:dyDescent="0.2">
      <c r="EU575" s="67">
        <v>562.62</v>
      </c>
      <c r="EV575" s="67" t="s">
        <v>4619</v>
      </c>
      <c r="EW575" s="67">
        <v>484.48</v>
      </c>
      <c r="EX575" s="67" t="s">
        <v>4620</v>
      </c>
      <c r="EY575" s="67">
        <v>5639.75</v>
      </c>
      <c r="EZ575" s="67" t="s">
        <v>4621</v>
      </c>
      <c r="FA575" s="67">
        <v>19901.5</v>
      </c>
      <c r="FB575" s="67" t="s">
        <v>4622</v>
      </c>
      <c r="FC575" s="67" t="s">
        <v>4623</v>
      </c>
      <c r="FD575" s="67" t="s">
        <v>4624</v>
      </c>
      <c r="FE575" s="68" t="s">
        <v>4625</v>
      </c>
      <c r="FF575" s="68" t="s">
        <v>4626</v>
      </c>
    </row>
    <row r="576" spans="151:162" x14ac:dyDescent="0.2">
      <c r="EU576" s="67">
        <v>562.48</v>
      </c>
      <c r="EV576" s="67" t="s">
        <v>4627</v>
      </c>
      <c r="EW576" s="67">
        <v>484.29</v>
      </c>
      <c r="EX576" s="67" t="s">
        <v>4628</v>
      </c>
      <c r="EY576" s="67">
        <v>5638.75</v>
      </c>
      <c r="EZ576" s="67" t="s">
        <v>4629</v>
      </c>
      <c r="FA576" s="67">
        <v>19895.5</v>
      </c>
      <c r="FB576" s="67" t="s">
        <v>4630</v>
      </c>
      <c r="FC576" s="67" t="s">
        <v>4631</v>
      </c>
      <c r="FD576" s="67" t="s">
        <v>4632</v>
      </c>
      <c r="FE576" s="68" t="s">
        <v>4633</v>
      </c>
      <c r="FF576" s="68" t="s">
        <v>4634</v>
      </c>
    </row>
    <row r="577" spans="151:162" x14ac:dyDescent="0.2">
      <c r="EU577" s="67">
        <v>562.36</v>
      </c>
      <c r="EV577" s="67" t="s">
        <v>4635</v>
      </c>
      <c r="EW577" s="67">
        <v>484.22</v>
      </c>
      <c r="EX577" s="67" t="s">
        <v>4636</v>
      </c>
      <c r="EY577" s="67">
        <v>5637.25</v>
      </c>
      <c r="EZ577" s="67" t="s">
        <v>4637</v>
      </c>
      <c r="FA577" s="67">
        <v>19890.75</v>
      </c>
      <c r="FB577" s="67" t="s">
        <v>4638</v>
      </c>
      <c r="FC577" s="67" t="s">
        <v>4639</v>
      </c>
      <c r="FD577" s="67" t="s">
        <v>4640</v>
      </c>
      <c r="FE577" s="68" t="s">
        <v>4641</v>
      </c>
      <c r="FF577" s="68" t="s">
        <v>4642</v>
      </c>
    </row>
    <row r="578" spans="151:162" x14ac:dyDescent="0.2">
      <c r="EU578" s="67">
        <v>562.16999999999996</v>
      </c>
      <c r="EV578" s="67" t="s">
        <v>4643</v>
      </c>
      <c r="EW578" s="67">
        <v>484.1</v>
      </c>
      <c r="EX578" s="67" t="s">
        <v>4644</v>
      </c>
      <c r="EY578" s="67">
        <v>5635.5</v>
      </c>
      <c r="EZ578" s="67" t="s">
        <v>4645</v>
      </c>
      <c r="FA578" s="67">
        <v>19885.75</v>
      </c>
      <c r="FB578" s="67" t="s">
        <v>4646</v>
      </c>
      <c r="FC578" s="67" t="s">
        <v>4647</v>
      </c>
      <c r="FD578" s="67" t="s">
        <v>4648</v>
      </c>
      <c r="FE578" s="68" t="s">
        <v>4649</v>
      </c>
      <c r="FF578" s="68" t="s">
        <v>4650</v>
      </c>
    </row>
    <row r="579" spans="151:162" x14ac:dyDescent="0.2">
      <c r="EU579" s="67">
        <v>562.11</v>
      </c>
      <c r="EV579" s="67" t="s">
        <v>4651</v>
      </c>
      <c r="EW579" s="67">
        <v>484</v>
      </c>
      <c r="EX579" s="67" t="s">
        <v>4652</v>
      </c>
      <c r="EY579" s="67">
        <v>5635</v>
      </c>
      <c r="EZ579" s="67" t="s">
        <v>4653</v>
      </c>
      <c r="FA579" s="67">
        <v>19881</v>
      </c>
      <c r="FB579" s="67" t="s">
        <v>4654</v>
      </c>
      <c r="FC579" s="67" t="s">
        <v>4655</v>
      </c>
      <c r="FD579" s="67" t="s">
        <v>4656</v>
      </c>
      <c r="FE579" s="68" t="s">
        <v>4657</v>
      </c>
      <c r="FF579" s="68" t="s">
        <v>4658</v>
      </c>
    </row>
    <row r="580" spans="151:162" x14ac:dyDescent="0.2">
      <c r="EU580" s="67">
        <v>562.05999999999995</v>
      </c>
      <c r="EV580" s="67" t="s">
        <v>4659</v>
      </c>
      <c r="EW580" s="67">
        <v>484</v>
      </c>
      <c r="EX580" s="67" t="s">
        <v>4660</v>
      </c>
      <c r="EY580" s="67">
        <v>5634.75</v>
      </c>
      <c r="EZ580" s="67" t="s">
        <v>4661</v>
      </c>
      <c r="FA580" s="67">
        <v>19881</v>
      </c>
      <c r="FB580" s="67" t="s">
        <v>4662</v>
      </c>
      <c r="FC580" s="67" t="s">
        <v>4663</v>
      </c>
      <c r="FD580" s="67" t="s">
        <v>4664</v>
      </c>
      <c r="FE580" s="68" t="s">
        <v>4665</v>
      </c>
      <c r="FF580" s="68" t="s">
        <v>4666</v>
      </c>
    </row>
    <row r="581" spans="151:162" x14ac:dyDescent="0.2">
      <c r="EU581" s="67">
        <v>561.95000000000005</v>
      </c>
      <c r="EV581" s="67" t="s">
        <v>4667</v>
      </c>
      <c r="EW581" s="67">
        <v>483.83</v>
      </c>
      <c r="EX581" s="67" t="s">
        <v>4668</v>
      </c>
      <c r="EY581" s="67">
        <v>5633.5</v>
      </c>
      <c r="EZ581" s="67" t="s">
        <v>4669</v>
      </c>
      <c r="FA581" s="67">
        <v>19874.25</v>
      </c>
      <c r="FB581" s="67" t="s">
        <v>4670</v>
      </c>
      <c r="FC581" s="67" t="s">
        <v>4671</v>
      </c>
      <c r="FD581" s="67" t="s">
        <v>4672</v>
      </c>
      <c r="FE581" s="68" t="s">
        <v>4673</v>
      </c>
      <c r="FF581" s="68" t="s">
        <v>4674</v>
      </c>
    </row>
    <row r="582" spans="151:162" x14ac:dyDescent="0.2">
      <c r="EU582" s="67">
        <v>561.99</v>
      </c>
      <c r="EV582" s="67" t="s">
        <v>4675</v>
      </c>
      <c r="EW582" s="67">
        <v>483.81</v>
      </c>
      <c r="EX582" s="67" t="s">
        <v>4676</v>
      </c>
      <c r="EY582" s="67">
        <v>5633.75</v>
      </c>
      <c r="EZ582" s="67" t="s">
        <v>4677</v>
      </c>
      <c r="FA582" s="67">
        <v>19873.25</v>
      </c>
      <c r="FB582" s="67" t="s">
        <v>4678</v>
      </c>
      <c r="FC582" s="67" t="s">
        <v>4679</v>
      </c>
      <c r="FD582" s="67" t="s">
        <v>4680</v>
      </c>
      <c r="FE582" s="68" t="s">
        <v>4681</v>
      </c>
      <c r="FF582" s="68" t="s">
        <v>4682</v>
      </c>
    </row>
    <row r="583" spans="151:162" x14ac:dyDescent="0.2">
      <c r="EU583" s="67">
        <v>561.98</v>
      </c>
      <c r="EV583" s="67" t="s">
        <v>4683</v>
      </c>
      <c r="EW583" s="67">
        <v>483.8</v>
      </c>
      <c r="EX583" s="67" t="s">
        <v>4684</v>
      </c>
      <c r="EY583" s="67">
        <v>5633.5</v>
      </c>
      <c r="EZ583" s="67" t="s">
        <v>4685</v>
      </c>
      <c r="FA583" s="67">
        <v>19874.5</v>
      </c>
      <c r="FB583" s="67" t="s">
        <v>4686</v>
      </c>
      <c r="FC583" s="67" t="s">
        <v>4687</v>
      </c>
      <c r="FD583" s="67" t="s">
        <v>4688</v>
      </c>
      <c r="FE583" s="68" t="s">
        <v>4689</v>
      </c>
      <c r="FF583" s="68" t="s">
        <v>4690</v>
      </c>
    </row>
    <row r="584" spans="151:162" x14ac:dyDescent="0.2">
      <c r="EU584" s="67">
        <v>562.04999999999995</v>
      </c>
      <c r="EV584" s="67" t="s">
        <v>4691</v>
      </c>
      <c r="EW584" s="67">
        <v>483.87</v>
      </c>
      <c r="EX584" s="67" t="s">
        <v>4692</v>
      </c>
      <c r="EY584" s="67">
        <v>5634.5</v>
      </c>
      <c r="EZ584" s="67" t="s">
        <v>4693</v>
      </c>
      <c r="FA584" s="67">
        <v>19875.75</v>
      </c>
      <c r="FB584" s="67" t="s">
        <v>4694</v>
      </c>
      <c r="FC584" s="67" t="s">
        <v>4695</v>
      </c>
      <c r="FD584" s="67" t="s">
        <v>4696</v>
      </c>
      <c r="FE584" s="68" t="s">
        <v>4697</v>
      </c>
      <c r="FF584" s="68" t="s">
        <v>4698</v>
      </c>
    </row>
    <row r="585" spans="151:162" x14ac:dyDescent="0.2">
      <c r="EU585" s="67">
        <v>562.15</v>
      </c>
      <c r="EV585" s="67" t="s">
        <v>4699</v>
      </c>
      <c r="EW585" s="67">
        <v>484</v>
      </c>
      <c r="EX585" s="67" t="s">
        <v>4700</v>
      </c>
      <c r="EY585" s="67">
        <v>5635.5</v>
      </c>
      <c r="EZ585" s="67" t="s">
        <v>4701</v>
      </c>
      <c r="FA585" s="67">
        <v>19881.25</v>
      </c>
      <c r="FB585" s="67" t="s">
        <v>4702</v>
      </c>
      <c r="FC585" s="67" t="s">
        <v>4703</v>
      </c>
      <c r="FD585" s="67" t="s">
        <v>4704</v>
      </c>
      <c r="FE585" s="68" t="s">
        <v>4705</v>
      </c>
      <c r="FF585" s="68" t="s">
        <v>4706</v>
      </c>
    </row>
    <row r="586" spans="151:162" x14ac:dyDescent="0.2">
      <c r="EU586" s="67">
        <v>562.36</v>
      </c>
      <c r="EV586" s="67" t="s">
        <v>4707</v>
      </c>
      <c r="EW586" s="67">
        <v>484.19</v>
      </c>
      <c r="EX586" s="67" t="s">
        <v>4708</v>
      </c>
      <c r="EY586" s="67">
        <v>5637.5</v>
      </c>
      <c r="EZ586" s="67" t="s">
        <v>4709</v>
      </c>
      <c r="FA586" s="67">
        <v>19888.75</v>
      </c>
      <c r="FB586" s="67" t="s">
        <v>4710</v>
      </c>
      <c r="FC586" s="67" t="s">
        <v>4711</v>
      </c>
      <c r="FD586" s="67" t="s">
        <v>4712</v>
      </c>
      <c r="FE586" s="68" t="s">
        <v>4713</v>
      </c>
      <c r="FF586" s="68" t="s">
        <v>4714</v>
      </c>
    </row>
    <row r="587" spans="151:162" x14ac:dyDescent="0.2">
      <c r="EU587" s="67">
        <v>562.29</v>
      </c>
      <c r="EV587" s="67" t="s">
        <v>4715</v>
      </c>
      <c r="EW587" s="67">
        <v>484.09</v>
      </c>
      <c r="EX587" s="67" t="s">
        <v>4716</v>
      </c>
      <c r="EY587" s="67">
        <v>5637</v>
      </c>
      <c r="EZ587" s="67" t="s">
        <v>4717</v>
      </c>
      <c r="FA587" s="67">
        <v>19884.5</v>
      </c>
      <c r="FB587" s="67" t="s">
        <v>4718</v>
      </c>
      <c r="FC587" s="67" t="s">
        <v>4719</v>
      </c>
      <c r="FD587" s="67" t="s">
        <v>4720</v>
      </c>
      <c r="FE587" s="68" t="s">
        <v>4721</v>
      </c>
      <c r="FF587" s="68" t="s">
        <v>4722</v>
      </c>
    </row>
    <row r="588" spans="151:162" x14ac:dyDescent="0.2">
      <c r="EU588" s="67">
        <v>562.29999999999995</v>
      </c>
      <c r="EV588" s="67" t="s">
        <v>4723</v>
      </c>
      <c r="EW588" s="67">
        <v>484.14</v>
      </c>
      <c r="EX588" s="67" t="s">
        <v>4724</v>
      </c>
      <c r="EY588" s="67">
        <v>5637.25</v>
      </c>
      <c r="EZ588" s="67" t="s">
        <v>4725</v>
      </c>
      <c r="FA588" s="67">
        <v>19886.25</v>
      </c>
      <c r="FB588" s="67" t="s">
        <v>4726</v>
      </c>
      <c r="FC588" s="67" t="s">
        <v>4727</v>
      </c>
      <c r="FD588" s="67" t="s">
        <v>4728</v>
      </c>
      <c r="FE588" s="68" t="s">
        <v>4729</v>
      </c>
      <c r="FF588" s="68" t="s">
        <v>4730</v>
      </c>
    </row>
    <row r="589" spans="151:162" x14ac:dyDescent="0.2">
      <c r="EU589" s="67">
        <v>562.24</v>
      </c>
      <c r="EV589" s="67" t="s">
        <v>4731</v>
      </c>
      <c r="EW589" s="67">
        <v>484.08</v>
      </c>
      <c r="EX589" s="67" t="s">
        <v>4732</v>
      </c>
      <c r="EY589" s="67">
        <v>5636.25</v>
      </c>
      <c r="EZ589" s="67" t="s">
        <v>4733</v>
      </c>
      <c r="FA589" s="67">
        <v>19884.75</v>
      </c>
      <c r="FB589" s="67" t="s">
        <v>4734</v>
      </c>
      <c r="FC589" s="67" t="s">
        <v>4735</v>
      </c>
      <c r="FD589" s="67" t="s">
        <v>4736</v>
      </c>
      <c r="FE589" s="68" t="s">
        <v>4737</v>
      </c>
      <c r="FF589" s="68" t="s">
        <v>4738</v>
      </c>
    </row>
    <row r="590" spans="151:162" x14ac:dyDescent="0.2">
      <c r="EU590" s="67">
        <v>562.20000000000005</v>
      </c>
      <c r="EV590" s="67" t="s">
        <v>4739</v>
      </c>
      <c r="EW590" s="67">
        <v>484</v>
      </c>
      <c r="EX590" s="67" t="s">
        <v>4740</v>
      </c>
      <c r="EY590" s="67">
        <v>5635.75</v>
      </c>
      <c r="EZ590" s="67" t="s">
        <v>4741</v>
      </c>
      <c r="FA590" s="67">
        <v>19881.25</v>
      </c>
      <c r="FB590" s="67" t="s">
        <v>4742</v>
      </c>
      <c r="FC590" s="67" t="s">
        <v>4743</v>
      </c>
      <c r="FD590" s="67" t="s">
        <v>4744</v>
      </c>
      <c r="FE590" s="68" t="s">
        <v>4745</v>
      </c>
      <c r="FF590" s="68" t="s">
        <v>4746</v>
      </c>
    </row>
    <row r="591" spans="151:162" x14ac:dyDescent="0.2">
      <c r="EU591" s="67">
        <v>562.21</v>
      </c>
      <c r="EV591" s="67" t="s">
        <v>4747</v>
      </c>
      <c r="EW591" s="67">
        <v>484.05</v>
      </c>
      <c r="EX591" s="67" t="s">
        <v>4748</v>
      </c>
      <c r="EY591" s="67">
        <v>5636.25</v>
      </c>
      <c r="EZ591" s="67" t="s">
        <v>4749</v>
      </c>
      <c r="FA591" s="67">
        <v>19883.25</v>
      </c>
      <c r="FB591" s="67" t="s">
        <v>4750</v>
      </c>
      <c r="FC591" s="67" t="s">
        <v>4751</v>
      </c>
      <c r="FD591" s="67" t="s">
        <v>4752</v>
      </c>
      <c r="FE591" s="68" t="s">
        <v>4753</v>
      </c>
      <c r="FF591" s="68" t="s">
        <v>4754</v>
      </c>
    </row>
    <row r="592" spans="151:162" x14ac:dyDescent="0.2">
      <c r="EU592" s="67">
        <v>562.28</v>
      </c>
      <c r="EV592" s="67" t="s">
        <v>4755</v>
      </c>
      <c r="EW592" s="67">
        <v>484.06</v>
      </c>
      <c r="EX592" s="67" t="s">
        <v>4756</v>
      </c>
      <c r="EY592" s="67">
        <v>5636.5</v>
      </c>
      <c r="EZ592" s="67" t="s">
        <v>4757</v>
      </c>
      <c r="FA592" s="67">
        <v>19883.25</v>
      </c>
      <c r="FB592" s="67" t="s">
        <v>4758</v>
      </c>
      <c r="FC592" s="67" t="s">
        <v>4759</v>
      </c>
      <c r="FD592" s="67" t="s">
        <v>4760</v>
      </c>
      <c r="FE592" s="68" t="s">
        <v>4761</v>
      </c>
      <c r="FF592" s="68" t="s">
        <v>4762</v>
      </c>
    </row>
    <row r="593" spans="151:162" x14ac:dyDescent="0.2">
      <c r="EU593" s="67">
        <v>562.26</v>
      </c>
      <c r="EV593" s="67" t="s">
        <v>4763</v>
      </c>
      <c r="EW593" s="67">
        <v>484.01</v>
      </c>
      <c r="EX593" s="67" t="s">
        <v>4764</v>
      </c>
      <c r="EY593" s="67">
        <v>5636.25</v>
      </c>
      <c r="EZ593" s="67" t="s">
        <v>4765</v>
      </c>
      <c r="FA593" s="67">
        <v>19882.25</v>
      </c>
      <c r="FB593" s="67" t="s">
        <v>4766</v>
      </c>
      <c r="FC593" s="67" t="s">
        <v>4767</v>
      </c>
      <c r="FD593" s="67" t="s">
        <v>4768</v>
      </c>
      <c r="FE593" s="68" t="s">
        <v>4769</v>
      </c>
      <c r="FF593" s="68" t="s">
        <v>4770</v>
      </c>
    </row>
    <row r="594" spans="151:162" x14ac:dyDescent="0.2">
      <c r="EU594" s="67">
        <v>562.20000000000005</v>
      </c>
      <c r="EV594" s="67" t="s">
        <v>4771</v>
      </c>
      <c r="EW594" s="67">
        <v>483.91</v>
      </c>
      <c r="EX594" s="67" t="s">
        <v>4772</v>
      </c>
      <c r="EY594" s="67">
        <v>5636</v>
      </c>
      <c r="EZ594" s="67" t="s">
        <v>4773</v>
      </c>
      <c r="FA594" s="67">
        <v>19877.25</v>
      </c>
      <c r="FB594" s="67" t="s">
        <v>4774</v>
      </c>
      <c r="FC594" s="67" t="s">
        <v>4775</v>
      </c>
      <c r="FD594" s="67" t="s">
        <v>4776</v>
      </c>
      <c r="FE594" s="68" t="s">
        <v>4777</v>
      </c>
      <c r="FF594" s="68" t="s">
        <v>4778</v>
      </c>
    </row>
    <row r="595" spans="151:162" x14ac:dyDescent="0.2">
      <c r="EU595" s="67">
        <v>562.11</v>
      </c>
      <c r="EV595" s="67" t="s">
        <v>4779</v>
      </c>
      <c r="EW595" s="67">
        <v>483.82</v>
      </c>
      <c r="EX595" s="67" t="s">
        <v>4780</v>
      </c>
      <c r="EY595" s="67">
        <v>5635.25</v>
      </c>
      <c r="EZ595" s="67" t="s">
        <v>4781</v>
      </c>
      <c r="FA595" s="67">
        <v>19873.75</v>
      </c>
      <c r="FB595" s="67" t="s">
        <v>4782</v>
      </c>
      <c r="FC595" s="67" t="s">
        <v>4783</v>
      </c>
      <c r="FD595" s="67" t="s">
        <v>4784</v>
      </c>
      <c r="FE595" s="68" t="s">
        <v>4785</v>
      </c>
      <c r="FF595" s="68" t="s">
        <v>4786</v>
      </c>
    </row>
    <row r="596" spans="151:162" x14ac:dyDescent="0.2">
      <c r="EU596" s="67">
        <v>562.07000000000005</v>
      </c>
      <c r="EV596" s="67" t="s">
        <v>4787</v>
      </c>
      <c r="EW596" s="67">
        <v>483.77</v>
      </c>
      <c r="EX596" s="67" t="s">
        <v>4788</v>
      </c>
      <c r="EY596" s="67">
        <v>5634.5</v>
      </c>
      <c r="EZ596" s="67" t="s">
        <v>4789</v>
      </c>
      <c r="FA596" s="67">
        <v>19871.75</v>
      </c>
      <c r="FB596" s="67" t="s">
        <v>4790</v>
      </c>
      <c r="FC596" s="67" t="s">
        <v>4791</v>
      </c>
      <c r="FD596" s="67" t="s">
        <v>4792</v>
      </c>
      <c r="FE596" s="68" t="s">
        <v>4793</v>
      </c>
      <c r="FF596" s="68" t="s">
        <v>4794</v>
      </c>
    </row>
    <row r="597" spans="151:162" x14ac:dyDescent="0.2">
      <c r="EU597" s="67">
        <v>562</v>
      </c>
      <c r="EV597" s="67" t="s">
        <v>4795</v>
      </c>
      <c r="EW597" s="67">
        <v>483.68</v>
      </c>
      <c r="EX597" s="67" t="s">
        <v>4796</v>
      </c>
      <c r="EY597" s="67">
        <v>5634</v>
      </c>
      <c r="EZ597" s="67" t="s">
        <v>4797</v>
      </c>
      <c r="FA597" s="67">
        <v>19868.75</v>
      </c>
      <c r="FB597" s="67" t="s">
        <v>4798</v>
      </c>
      <c r="FC597" s="67" t="s">
        <v>4799</v>
      </c>
      <c r="FD597" s="67" t="s">
        <v>4800</v>
      </c>
      <c r="FE597" s="68" t="s">
        <v>4801</v>
      </c>
      <c r="FF597" s="68" t="s">
        <v>4802</v>
      </c>
    </row>
    <row r="598" spans="151:162" x14ac:dyDescent="0.2">
      <c r="EU598" s="67">
        <v>562.09</v>
      </c>
      <c r="EV598" s="67" t="s">
        <v>4803</v>
      </c>
      <c r="EW598" s="67">
        <v>483.84</v>
      </c>
      <c r="EX598" s="67" t="s">
        <v>4804</v>
      </c>
      <c r="EY598" s="67">
        <v>5635</v>
      </c>
      <c r="EZ598" s="67" t="s">
        <v>4805</v>
      </c>
      <c r="FA598" s="67">
        <v>19874.5</v>
      </c>
      <c r="FB598" s="67" t="s">
        <v>4806</v>
      </c>
      <c r="FC598" s="67" t="s">
        <v>4807</v>
      </c>
      <c r="FD598" s="67" t="s">
        <v>4808</v>
      </c>
      <c r="FE598" s="68" t="s">
        <v>4809</v>
      </c>
      <c r="FF598" s="68" t="s">
        <v>4810</v>
      </c>
    </row>
    <row r="599" spans="151:162" x14ac:dyDescent="0.2">
      <c r="EU599" s="67">
        <v>562.15</v>
      </c>
      <c r="EV599" s="67" t="s">
        <v>4811</v>
      </c>
      <c r="EW599" s="67">
        <v>483.92</v>
      </c>
      <c r="EX599" s="67" t="s">
        <v>4812</v>
      </c>
      <c r="EY599" s="67">
        <v>5635.75</v>
      </c>
      <c r="EZ599" s="67" t="s">
        <v>4813</v>
      </c>
      <c r="FA599" s="67">
        <v>19878.5</v>
      </c>
      <c r="FB599" s="67" t="s">
        <v>4814</v>
      </c>
      <c r="FC599" s="67" t="s">
        <v>4815</v>
      </c>
      <c r="FD599" s="67" t="s">
        <v>4816</v>
      </c>
      <c r="FE599" s="68" t="s">
        <v>4817</v>
      </c>
      <c r="FF599" s="68" t="s">
        <v>4818</v>
      </c>
    </row>
    <row r="600" spans="151:162" x14ac:dyDescent="0.2">
      <c r="EU600" s="67">
        <v>562.27</v>
      </c>
      <c r="EV600" s="67" t="s">
        <v>4819</v>
      </c>
      <c r="EW600" s="67">
        <v>484.08</v>
      </c>
      <c r="EX600" s="67" t="s">
        <v>4820</v>
      </c>
      <c r="EY600" s="67">
        <v>5637</v>
      </c>
      <c r="EZ600" s="67" t="s">
        <v>4821</v>
      </c>
      <c r="FA600" s="67">
        <v>19885.5</v>
      </c>
      <c r="FB600" s="67" t="s">
        <v>4822</v>
      </c>
      <c r="FC600" s="67" t="s">
        <v>4823</v>
      </c>
      <c r="FD600" s="67" t="s">
        <v>4824</v>
      </c>
      <c r="FE600" s="68" t="s">
        <v>4825</v>
      </c>
      <c r="FF600" s="68" t="s">
        <v>4826</v>
      </c>
    </row>
    <row r="601" spans="151:162" x14ac:dyDescent="0.2">
      <c r="EU601" s="67">
        <v>562.30999999999995</v>
      </c>
      <c r="EV601" s="67" t="s">
        <v>4827</v>
      </c>
      <c r="EW601" s="67">
        <v>484.15</v>
      </c>
      <c r="EX601" s="67" t="s">
        <v>4828</v>
      </c>
      <c r="EY601" s="67">
        <v>5636.75</v>
      </c>
      <c r="EZ601" s="67" t="s">
        <v>4829</v>
      </c>
      <c r="FA601" s="67">
        <v>19890.5</v>
      </c>
      <c r="FB601" s="67" t="s">
        <v>4830</v>
      </c>
      <c r="FC601" s="67" t="s">
        <v>4831</v>
      </c>
      <c r="FD601" s="67" t="s">
        <v>4832</v>
      </c>
      <c r="FE601" s="68" t="s">
        <v>4833</v>
      </c>
      <c r="FF601" s="68" t="s">
        <v>4834</v>
      </c>
    </row>
    <row r="602" spans="151:162" x14ac:dyDescent="0.2">
      <c r="EU602" s="67">
        <v>562.26</v>
      </c>
      <c r="EV602" s="67" t="s">
        <v>4835</v>
      </c>
      <c r="EW602" s="67">
        <v>484.06</v>
      </c>
      <c r="EX602" s="67" t="s">
        <v>4836</v>
      </c>
      <c r="EY602" s="67">
        <v>5636.5</v>
      </c>
      <c r="EZ602" s="67" t="s">
        <v>4837</v>
      </c>
      <c r="FA602" s="67">
        <v>19884.25</v>
      </c>
      <c r="FB602" s="67" t="s">
        <v>4838</v>
      </c>
      <c r="FC602" s="67" t="s">
        <v>4839</v>
      </c>
      <c r="FD602" s="67" t="s">
        <v>4840</v>
      </c>
      <c r="FE602" s="68" t="s">
        <v>4841</v>
      </c>
      <c r="FF602" s="68" t="s">
        <v>4842</v>
      </c>
    </row>
    <row r="603" spans="151:162" x14ac:dyDescent="0.2">
      <c r="EU603" s="67">
        <v>562.21</v>
      </c>
      <c r="EV603" s="67" t="s">
        <v>4843</v>
      </c>
      <c r="EW603" s="67">
        <v>484.02</v>
      </c>
      <c r="EX603" s="67" t="s">
        <v>4844</v>
      </c>
      <c r="EY603" s="67">
        <v>5636</v>
      </c>
      <c r="EZ603" s="67" t="s">
        <v>4845</v>
      </c>
      <c r="FA603" s="67">
        <v>19883</v>
      </c>
      <c r="FB603" s="67" t="s">
        <v>4846</v>
      </c>
      <c r="FC603" s="67" t="s">
        <v>4847</v>
      </c>
      <c r="FD603" s="67" t="s">
        <v>4848</v>
      </c>
      <c r="FE603" s="68" t="s">
        <v>4849</v>
      </c>
      <c r="FF603" s="68" t="s">
        <v>4850</v>
      </c>
    </row>
    <row r="604" spans="151:162" x14ac:dyDescent="0.2">
      <c r="EU604" s="67">
        <v>562.14</v>
      </c>
      <c r="EV604" s="67" t="s">
        <v>4851</v>
      </c>
      <c r="EW604" s="67">
        <v>483.9</v>
      </c>
      <c r="EX604" s="67" t="s">
        <v>4852</v>
      </c>
      <c r="EY604" s="67">
        <v>5635.5</v>
      </c>
      <c r="EZ604" s="67" t="s">
        <v>4853</v>
      </c>
      <c r="FA604" s="67">
        <v>19878.5</v>
      </c>
      <c r="FB604" s="67" t="s">
        <v>4854</v>
      </c>
      <c r="FC604" s="67" t="s">
        <v>4855</v>
      </c>
      <c r="FD604" s="67" t="s">
        <v>4856</v>
      </c>
      <c r="FE604" s="68" t="s">
        <v>4857</v>
      </c>
      <c r="FF604" s="68" t="s">
        <v>4858</v>
      </c>
    </row>
    <row r="605" spans="151:162" x14ac:dyDescent="0.2">
      <c r="EU605" s="67">
        <v>562.1</v>
      </c>
      <c r="EV605" s="67" t="s">
        <v>4859</v>
      </c>
      <c r="EW605" s="67">
        <v>483.83</v>
      </c>
      <c r="EX605" s="67" t="s">
        <v>4860</v>
      </c>
      <c r="EY605" s="67">
        <v>5635.25</v>
      </c>
      <c r="EZ605" s="67" t="s">
        <v>4861</v>
      </c>
      <c r="FA605" s="67">
        <v>19876.5</v>
      </c>
      <c r="FB605" s="67" t="s">
        <v>4862</v>
      </c>
      <c r="FC605" s="67" t="s">
        <v>4863</v>
      </c>
      <c r="FD605" s="67" t="s">
        <v>4864</v>
      </c>
      <c r="FE605" s="68" t="s">
        <v>4865</v>
      </c>
      <c r="FF605" s="68" t="s">
        <v>4866</v>
      </c>
    </row>
    <row r="606" spans="151:162" x14ac:dyDescent="0.2">
      <c r="EU606" s="67">
        <v>562.12</v>
      </c>
      <c r="EV606" s="67" t="s">
        <v>4867</v>
      </c>
      <c r="EW606" s="67">
        <v>483.86</v>
      </c>
      <c r="EX606" s="67" t="s">
        <v>4868</v>
      </c>
      <c r="EY606" s="67">
        <v>5635.5</v>
      </c>
      <c r="EZ606" s="67" t="s">
        <v>4869</v>
      </c>
      <c r="FA606" s="67">
        <v>19876.5</v>
      </c>
      <c r="FB606" s="67" t="s">
        <v>4870</v>
      </c>
      <c r="FC606" s="67" t="s">
        <v>4871</v>
      </c>
      <c r="FD606" s="67" t="s">
        <v>4872</v>
      </c>
      <c r="FE606" s="68" t="s">
        <v>4873</v>
      </c>
      <c r="FF606" s="68" t="s">
        <v>4874</v>
      </c>
    </row>
    <row r="607" spans="151:162" x14ac:dyDescent="0.2">
      <c r="EU607" s="67">
        <v>562.35</v>
      </c>
      <c r="EV607" s="67" t="s">
        <v>4875</v>
      </c>
      <c r="EW607" s="67">
        <v>484.1</v>
      </c>
      <c r="EX607" s="67" t="s">
        <v>4876</v>
      </c>
      <c r="EY607" s="67">
        <v>5637.75</v>
      </c>
      <c r="EZ607" s="67" t="s">
        <v>4877</v>
      </c>
      <c r="FA607" s="67">
        <v>19887.25</v>
      </c>
      <c r="FB607" s="67" t="s">
        <v>4878</v>
      </c>
      <c r="FC607" s="67" t="s">
        <v>4879</v>
      </c>
      <c r="FD607" s="67" t="s">
        <v>4880</v>
      </c>
      <c r="FE607" s="68" t="s">
        <v>4881</v>
      </c>
      <c r="FF607" s="68" t="s">
        <v>4882</v>
      </c>
    </row>
    <row r="608" spans="151:162" x14ac:dyDescent="0.2">
      <c r="EU608" s="67">
        <v>562.44000000000005</v>
      </c>
      <c r="EV608" s="67" t="s">
        <v>4883</v>
      </c>
      <c r="EW608" s="67">
        <v>484.22</v>
      </c>
      <c r="EX608" s="67" t="s">
        <v>4884</v>
      </c>
      <c r="EY608" s="67">
        <v>5639</v>
      </c>
      <c r="EZ608" s="67" t="s">
        <v>4885</v>
      </c>
      <c r="FA608" s="67">
        <v>19893.25</v>
      </c>
      <c r="FB608" s="67" t="s">
        <v>4886</v>
      </c>
      <c r="FC608" s="67" t="s">
        <v>4887</v>
      </c>
      <c r="FD608" s="67" t="s">
        <v>4888</v>
      </c>
      <c r="FE608" s="68" t="s">
        <v>4889</v>
      </c>
      <c r="FF608" s="68" t="s">
        <v>4890</v>
      </c>
    </row>
    <row r="609" spans="151:162" x14ac:dyDescent="0.2">
      <c r="EU609" s="67">
        <v>562.41</v>
      </c>
      <c r="EV609" s="67" t="s">
        <v>4891</v>
      </c>
      <c r="EW609" s="67">
        <v>484.16</v>
      </c>
      <c r="EX609" s="67" t="s">
        <v>4892</v>
      </c>
      <c r="EY609" s="67">
        <v>5638.25</v>
      </c>
      <c r="EZ609" s="67" t="s">
        <v>4893</v>
      </c>
      <c r="FA609" s="67">
        <v>19890.5</v>
      </c>
      <c r="FB609" s="67" t="s">
        <v>4894</v>
      </c>
      <c r="FC609" s="67" t="s">
        <v>4895</v>
      </c>
      <c r="FD609" s="67" t="s">
        <v>4896</v>
      </c>
      <c r="FE609" s="68" t="s">
        <v>4897</v>
      </c>
      <c r="FF609" s="68" t="s">
        <v>4898</v>
      </c>
    </row>
    <row r="610" spans="151:162" x14ac:dyDescent="0.2">
      <c r="EU610" s="67">
        <v>562.65</v>
      </c>
      <c r="EV610" s="67" t="s">
        <v>4899</v>
      </c>
      <c r="EW610" s="67">
        <v>484.39</v>
      </c>
      <c r="EX610" s="67" t="s">
        <v>4900</v>
      </c>
      <c r="EY610" s="67">
        <v>5641</v>
      </c>
      <c r="EZ610" s="67" t="s">
        <v>4901</v>
      </c>
      <c r="FA610" s="67">
        <v>19899.5</v>
      </c>
      <c r="FB610" s="67" t="s">
        <v>4902</v>
      </c>
      <c r="FC610" s="67" t="s">
        <v>4903</v>
      </c>
      <c r="FD610" s="67" t="s">
        <v>4904</v>
      </c>
      <c r="FE610" s="68" t="s">
        <v>4905</v>
      </c>
      <c r="FF610" s="68" t="s">
        <v>4906</v>
      </c>
    </row>
    <row r="611" spans="151:162" x14ac:dyDescent="0.2">
      <c r="EU611" s="67">
        <v>562.86</v>
      </c>
      <c r="EV611" s="67" t="s">
        <v>4907</v>
      </c>
      <c r="EW611" s="67">
        <v>484.7</v>
      </c>
      <c r="EX611" s="67" t="s">
        <v>4908</v>
      </c>
      <c r="EY611" s="67">
        <v>5643</v>
      </c>
      <c r="EZ611" s="67" t="s">
        <v>4909</v>
      </c>
      <c r="FA611" s="67">
        <v>19911.5</v>
      </c>
      <c r="FB611" s="67" t="s">
        <v>4910</v>
      </c>
      <c r="FC611" s="67" t="s">
        <v>4911</v>
      </c>
      <c r="FD611" s="67" t="s">
        <v>4912</v>
      </c>
      <c r="FE611" s="68" t="s">
        <v>4913</v>
      </c>
      <c r="FF611" s="68" t="s">
        <v>4914</v>
      </c>
    </row>
    <row r="612" spans="151:162" x14ac:dyDescent="0.2">
      <c r="EU612" s="67">
        <v>562.73</v>
      </c>
      <c r="EV612" s="67" t="s">
        <v>4915</v>
      </c>
      <c r="EW612" s="67">
        <v>484.57</v>
      </c>
      <c r="EX612" s="67" t="s">
        <v>4916</v>
      </c>
      <c r="EY612" s="67">
        <v>5641.5</v>
      </c>
      <c r="EZ612" s="67" t="s">
        <v>4917</v>
      </c>
      <c r="FA612" s="67">
        <v>19907</v>
      </c>
      <c r="FB612" s="67" t="s">
        <v>4918</v>
      </c>
      <c r="FC612" s="67" t="s">
        <v>4919</v>
      </c>
      <c r="FD612" s="67" t="s">
        <v>4920</v>
      </c>
      <c r="FE612" s="68" t="s">
        <v>4921</v>
      </c>
      <c r="FF612" s="68" t="s">
        <v>4922</v>
      </c>
    </row>
    <row r="613" spans="151:162" x14ac:dyDescent="0.2">
      <c r="EU613" s="67">
        <v>562.79999999999995</v>
      </c>
      <c r="EV613" s="67" t="s">
        <v>4923</v>
      </c>
      <c r="EW613" s="67">
        <v>484.62</v>
      </c>
      <c r="EX613" s="67" t="s">
        <v>4924</v>
      </c>
      <c r="EY613" s="67">
        <v>5642.25</v>
      </c>
      <c r="EZ613" s="67" t="s">
        <v>4925</v>
      </c>
      <c r="FA613" s="67">
        <v>19908.25</v>
      </c>
      <c r="FB613" s="67" t="s">
        <v>4926</v>
      </c>
      <c r="FC613" s="67" t="s">
        <v>4927</v>
      </c>
      <c r="FD613" s="67" t="s">
        <v>4928</v>
      </c>
      <c r="FE613" s="68" t="s">
        <v>4929</v>
      </c>
      <c r="FF613" s="68" t="s">
        <v>4930</v>
      </c>
    </row>
    <row r="614" spans="151:162" x14ac:dyDescent="0.2">
      <c r="EU614" s="67">
        <v>562.79999999999995</v>
      </c>
      <c r="EV614" s="67" t="s">
        <v>4931</v>
      </c>
      <c r="EW614" s="67">
        <v>484.58</v>
      </c>
      <c r="EX614" s="67" t="s">
        <v>4932</v>
      </c>
      <c r="EY614" s="67">
        <v>5642.25</v>
      </c>
      <c r="EZ614" s="67" t="s">
        <v>4933</v>
      </c>
      <c r="FA614" s="67">
        <v>19907</v>
      </c>
      <c r="FB614" s="67" t="s">
        <v>4934</v>
      </c>
      <c r="FC614" s="67" t="s">
        <v>4935</v>
      </c>
      <c r="FD614" s="67" t="s">
        <v>4936</v>
      </c>
      <c r="FE614" s="68" t="s">
        <v>4937</v>
      </c>
      <c r="FF614" s="68" t="s">
        <v>4938</v>
      </c>
    </row>
    <row r="615" spans="151:162" x14ac:dyDescent="0.2">
      <c r="EU615" s="67">
        <v>562.71</v>
      </c>
      <c r="EV615" s="67" t="s">
        <v>4939</v>
      </c>
      <c r="EW615" s="67">
        <v>484.48</v>
      </c>
      <c r="EX615" s="67" t="s">
        <v>4940</v>
      </c>
      <c r="EY615" s="67">
        <v>5641</v>
      </c>
      <c r="EZ615" s="67" t="s">
        <v>4941</v>
      </c>
      <c r="FA615" s="67">
        <v>19902.5</v>
      </c>
      <c r="FB615" s="67" t="s">
        <v>4942</v>
      </c>
      <c r="FC615" s="67" t="s">
        <v>4943</v>
      </c>
      <c r="FD615" s="67" t="s">
        <v>4944</v>
      </c>
      <c r="FE615" s="68" t="s">
        <v>4945</v>
      </c>
      <c r="FF615" s="68" t="s">
        <v>4946</v>
      </c>
    </row>
    <row r="616" spans="151:162" x14ac:dyDescent="0.2">
      <c r="EU616" s="67">
        <v>562.75</v>
      </c>
      <c r="EV616" s="67" t="s">
        <v>4947</v>
      </c>
      <c r="EW616" s="67">
        <v>484.5</v>
      </c>
      <c r="EX616" s="67" t="s">
        <v>4948</v>
      </c>
      <c r="EY616" s="67">
        <v>5641.5</v>
      </c>
      <c r="EZ616" s="67" t="s">
        <v>4949</v>
      </c>
      <c r="FA616" s="67">
        <v>19903.25</v>
      </c>
      <c r="FB616" s="67" t="s">
        <v>4950</v>
      </c>
      <c r="FC616" s="67" t="s">
        <v>4951</v>
      </c>
      <c r="FD616" s="67" t="s">
        <v>4952</v>
      </c>
      <c r="FE616" s="68" t="s">
        <v>4953</v>
      </c>
      <c r="FF616" s="68" t="s">
        <v>4954</v>
      </c>
    </row>
    <row r="617" spans="151:162" x14ac:dyDescent="0.2">
      <c r="EU617" s="67">
        <v>562.79</v>
      </c>
      <c r="EV617" s="67" t="s">
        <v>4955</v>
      </c>
      <c r="EW617" s="67">
        <v>484.5</v>
      </c>
      <c r="EX617" s="67" t="s">
        <v>4956</v>
      </c>
      <c r="EY617" s="67">
        <v>5642.5</v>
      </c>
      <c r="EZ617" s="67" t="s">
        <v>4957</v>
      </c>
      <c r="FA617" s="67">
        <v>19904.25</v>
      </c>
      <c r="FB617" s="67" t="s">
        <v>4958</v>
      </c>
      <c r="FC617" s="67" t="s">
        <v>4959</v>
      </c>
      <c r="FD617" s="67" t="s">
        <v>4960</v>
      </c>
      <c r="FE617" s="68" t="s">
        <v>4961</v>
      </c>
      <c r="FF617" s="68" t="s">
        <v>4962</v>
      </c>
    </row>
    <row r="618" spans="151:162" x14ac:dyDescent="0.2">
      <c r="EU618" s="67">
        <v>562.70000000000005</v>
      </c>
      <c r="EV618" s="67" t="s">
        <v>4963</v>
      </c>
      <c r="EW618" s="67">
        <v>484.41</v>
      </c>
      <c r="EX618" s="67" t="s">
        <v>4964</v>
      </c>
      <c r="EY618" s="67">
        <v>5641</v>
      </c>
      <c r="EZ618" s="67" t="s">
        <v>4965</v>
      </c>
      <c r="FA618" s="67">
        <v>19900.25</v>
      </c>
      <c r="FB618" s="67" t="s">
        <v>4966</v>
      </c>
      <c r="FC618" s="67" t="s">
        <v>4967</v>
      </c>
      <c r="FD618" s="67" t="s">
        <v>4968</v>
      </c>
      <c r="FE618" s="68" t="s">
        <v>4969</v>
      </c>
      <c r="FF618" s="68" t="s">
        <v>4970</v>
      </c>
    </row>
    <row r="619" spans="151:162" x14ac:dyDescent="0.2">
      <c r="EU619" s="67">
        <v>562.63</v>
      </c>
      <c r="EV619" s="67" t="s">
        <v>4971</v>
      </c>
      <c r="EW619" s="67">
        <v>484.4</v>
      </c>
      <c r="EX619" s="67" t="s">
        <v>4972</v>
      </c>
      <c r="EY619" s="67">
        <v>5640</v>
      </c>
      <c r="EZ619" s="67" t="s">
        <v>4973</v>
      </c>
      <c r="FA619" s="67">
        <v>19898.25</v>
      </c>
      <c r="FB619" s="67" t="s">
        <v>4974</v>
      </c>
      <c r="FC619" s="67" t="s">
        <v>4975</v>
      </c>
      <c r="FD619" s="67" t="s">
        <v>4976</v>
      </c>
      <c r="FE619" s="68" t="s">
        <v>4977</v>
      </c>
      <c r="FF619" s="68" t="s">
        <v>4978</v>
      </c>
    </row>
    <row r="620" spans="151:162" x14ac:dyDescent="0.2">
      <c r="EU620" s="67">
        <v>562.77</v>
      </c>
      <c r="EV620" s="67" t="s">
        <v>4979</v>
      </c>
      <c r="EW620" s="67">
        <v>484.54</v>
      </c>
      <c r="EX620" s="67" t="s">
        <v>4980</v>
      </c>
      <c r="EY620" s="67">
        <v>5641.75</v>
      </c>
      <c r="EZ620" s="67" t="s">
        <v>4981</v>
      </c>
      <c r="FA620" s="67">
        <v>19905</v>
      </c>
      <c r="FB620" s="67" t="s">
        <v>4982</v>
      </c>
      <c r="FC620" s="67" t="s">
        <v>4983</v>
      </c>
      <c r="FD620" s="67" t="s">
        <v>4984</v>
      </c>
      <c r="FE620" s="68" t="s">
        <v>4985</v>
      </c>
      <c r="FF620" s="68" t="s">
        <v>4986</v>
      </c>
    </row>
    <row r="621" spans="151:162" x14ac:dyDescent="0.2">
      <c r="EU621" s="67">
        <v>562.74</v>
      </c>
      <c r="EV621" s="67" t="s">
        <v>4987</v>
      </c>
      <c r="EW621" s="67">
        <v>484.51</v>
      </c>
      <c r="EX621" s="67" t="s">
        <v>4988</v>
      </c>
      <c r="EY621" s="67">
        <v>5642</v>
      </c>
      <c r="EZ621" s="67" t="s">
        <v>4989</v>
      </c>
      <c r="FA621" s="67">
        <v>19904.25</v>
      </c>
      <c r="FB621" s="67" t="s">
        <v>4990</v>
      </c>
      <c r="FC621" s="67" t="s">
        <v>4991</v>
      </c>
      <c r="FD621" s="67" t="s">
        <v>4992</v>
      </c>
      <c r="FE621" s="68" t="s">
        <v>4993</v>
      </c>
      <c r="FF621" s="68" t="s">
        <v>4994</v>
      </c>
    </row>
    <row r="622" spans="151:162" x14ac:dyDescent="0.2">
      <c r="EU622" s="67">
        <v>562.73</v>
      </c>
      <c r="EV622" s="67" t="s">
        <v>4995</v>
      </c>
      <c r="EW622" s="67">
        <v>484.51</v>
      </c>
      <c r="EX622" s="67" t="s">
        <v>4996</v>
      </c>
      <c r="EY622" s="67">
        <v>5641.5</v>
      </c>
      <c r="EZ622" s="67" t="s">
        <v>4997</v>
      </c>
      <c r="FA622" s="67">
        <v>19903.5</v>
      </c>
      <c r="FB622" s="67" t="s">
        <v>4998</v>
      </c>
      <c r="FC622" s="67" t="s">
        <v>4999</v>
      </c>
      <c r="FD622" s="67" t="s">
        <v>5000</v>
      </c>
      <c r="FE622" s="68" t="s">
        <v>5001</v>
      </c>
      <c r="FF622" s="68" t="s">
        <v>5002</v>
      </c>
    </row>
    <row r="623" spans="151:162" x14ac:dyDescent="0.2">
      <c r="EU623" s="67">
        <v>562.72</v>
      </c>
      <c r="EV623" s="67" t="s">
        <v>5003</v>
      </c>
      <c r="EW623" s="67">
        <v>484.51</v>
      </c>
      <c r="EX623" s="67" t="s">
        <v>5004</v>
      </c>
      <c r="EY623" s="67">
        <v>5641.25</v>
      </c>
      <c r="EZ623" s="67" t="s">
        <v>5005</v>
      </c>
      <c r="FA623" s="67">
        <v>19903.25</v>
      </c>
      <c r="FB623" s="67" t="s">
        <v>5006</v>
      </c>
      <c r="FC623" s="67" t="s">
        <v>5007</v>
      </c>
      <c r="FD623" s="67" t="s">
        <v>5008</v>
      </c>
      <c r="FE623" s="68" t="s">
        <v>5009</v>
      </c>
      <c r="FF623" s="68" t="s">
        <v>5010</v>
      </c>
    </row>
    <row r="624" spans="151:162" x14ac:dyDescent="0.2">
      <c r="EU624" s="67">
        <v>562.71</v>
      </c>
      <c r="EV624" s="67" t="s">
        <v>5011</v>
      </c>
      <c r="EW624" s="67">
        <v>484.53</v>
      </c>
      <c r="EX624" s="67" t="s">
        <v>5012</v>
      </c>
      <c r="EY624" s="67">
        <v>5641.25</v>
      </c>
      <c r="EZ624" s="67" t="s">
        <v>5013</v>
      </c>
      <c r="FA624" s="67">
        <v>19904.75</v>
      </c>
      <c r="FB624" s="67" t="s">
        <v>5014</v>
      </c>
      <c r="FC624" s="67" t="s">
        <v>5015</v>
      </c>
      <c r="FD624" s="67" t="s">
        <v>5016</v>
      </c>
      <c r="FE624" s="68" t="s">
        <v>5017</v>
      </c>
      <c r="FF624" s="68" t="s">
        <v>5018</v>
      </c>
    </row>
    <row r="625" spans="151:162" x14ac:dyDescent="0.2">
      <c r="EU625" s="67">
        <v>562.63</v>
      </c>
      <c r="EV625" s="67" t="s">
        <v>5019</v>
      </c>
      <c r="EW625" s="67">
        <v>484.44</v>
      </c>
      <c r="EX625" s="67" t="s">
        <v>5020</v>
      </c>
      <c r="EY625" s="67">
        <v>5640.25</v>
      </c>
      <c r="EZ625" s="67" t="s">
        <v>5021</v>
      </c>
      <c r="FA625" s="67">
        <v>19901</v>
      </c>
      <c r="FB625" s="67" t="s">
        <v>5022</v>
      </c>
      <c r="FC625" s="67" t="s">
        <v>5023</v>
      </c>
      <c r="FD625" s="67" t="s">
        <v>5024</v>
      </c>
      <c r="FE625" s="68" t="s">
        <v>5025</v>
      </c>
      <c r="FF625" s="68" t="s">
        <v>5026</v>
      </c>
    </row>
    <row r="626" spans="151:162" x14ac:dyDescent="0.2">
      <c r="EU626" s="67">
        <v>562.55999999999995</v>
      </c>
      <c r="EV626" s="67" t="s">
        <v>5027</v>
      </c>
      <c r="EW626" s="67">
        <v>484.33</v>
      </c>
      <c r="EX626" s="67" t="s">
        <v>5028</v>
      </c>
      <c r="EY626" s="67">
        <v>5640</v>
      </c>
      <c r="EZ626" s="67" t="s">
        <v>5029</v>
      </c>
      <c r="FA626" s="67">
        <v>19896.5</v>
      </c>
      <c r="FB626" s="67" t="s">
        <v>5030</v>
      </c>
      <c r="FC626" s="67" t="s">
        <v>5031</v>
      </c>
      <c r="FD626" s="67" t="s">
        <v>5032</v>
      </c>
      <c r="FE626" s="68" t="s">
        <v>5033</v>
      </c>
      <c r="FF626" s="68" t="s">
        <v>5034</v>
      </c>
    </row>
    <row r="627" spans="151:162" x14ac:dyDescent="0.2">
      <c r="EU627" s="67">
        <v>562.55999999999995</v>
      </c>
      <c r="EV627" s="67" t="s">
        <v>5035</v>
      </c>
      <c r="EW627" s="67">
        <v>484.29</v>
      </c>
      <c r="EX627" s="67" t="s">
        <v>5036</v>
      </c>
      <c r="EY627" s="67">
        <v>5639.75</v>
      </c>
      <c r="EZ627" s="67" t="s">
        <v>5037</v>
      </c>
      <c r="FA627" s="67">
        <v>19894.25</v>
      </c>
      <c r="FB627" s="67" t="s">
        <v>5038</v>
      </c>
      <c r="FC627" s="67" t="s">
        <v>5039</v>
      </c>
      <c r="FD627" s="67" t="s">
        <v>5040</v>
      </c>
      <c r="FE627" s="68" t="s">
        <v>5041</v>
      </c>
      <c r="FF627" s="68" t="s">
        <v>5042</v>
      </c>
    </row>
    <row r="628" spans="151:162" x14ac:dyDescent="0.2">
      <c r="EU628" s="67">
        <v>562.41999999999996</v>
      </c>
      <c r="EV628" s="67" t="s">
        <v>5043</v>
      </c>
      <c r="EW628" s="67">
        <v>484.19</v>
      </c>
      <c r="EX628" s="67" t="s">
        <v>5044</v>
      </c>
      <c r="EY628" s="67">
        <v>5638.5</v>
      </c>
      <c r="EZ628" s="67" t="s">
        <v>5045</v>
      </c>
      <c r="FA628" s="67">
        <v>19889.75</v>
      </c>
      <c r="FB628" s="67" t="s">
        <v>5046</v>
      </c>
      <c r="FC628" s="67" t="s">
        <v>5047</v>
      </c>
      <c r="FD628" s="67" t="s">
        <v>5048</v>
      </c>
      <c r="FE628" s="68" t="s">
        <v>5049</v>
      </c>
      <c r="FF628" s="68" t="s">
        <v>5050</v>
      </c>
    </row>
    <row r="629" spans="151:162" x14ac:dyDescent="0.2">
      <c r="EU629" s="67">
        <v>562.41</v>
      </c>
      <c r="EV629" s="67" t="s">
        <v>5051</v>
      </c>
      <c r="EW629" s="67">
        <v>484.23</v>
      </c>
      <c r="EX629" s="67" t="s">
        <v>5052</v>
      </c>
      <c r="EY629" s="67">
        <v>5638.5</v>
      </c>
      <c r="EZ629" s="67" t="s">
        <v>5053</v>
      </c>
      <c r="FA629" s="67">
        <v>19891.75</v>
      </c>
      <c r="FB629" s="67" t="s">
        <v>5054</v>
      </c>
      <c r="FC629" s="67" t="s">
        <v>5055</v>
      </c>
      <c r="FD629" s="67" t="s">
        <v>5056</v>
      </c>
      <c r="FE629" s="68" t="s">
        <v>5057</v>
      </c>
      <c r="FF629" s="68" t="s">
        <v>5058</v>
      </c>
    </row>
    <row r="630" spans="151:162" x14ac:dyDescent="0.2">
      <c r="EU630" s="67">
        <v>562.45000000000005</v>
      </c>
      <c r="EV630" s="67" t="s">
        <v>5059</v>
      </c>
      <c r="EW630" s="67">
        <v>484.25</v>
      </c>
      <c r="EX630" s="67" t="s">
        <v>5060</v>
      </c>
      <c r="EY630" s="67">
        <v>5638.75</v>
      </c>
      <c r="EZ630" s="67" t="s">
        <v>5061</v>
      </c>
      <c r="FA630" s="67">
        <v>19892</v>
      </c>
      <c r="FB630" s="67" t="s">
        <v>5062</v>
      </c>
      <c r="FC630" s="67" t="s">
        <v>5063</v>
      </c>
      <c r="FD630" s="67" t="s">
        <v>5064</v>
      </c>
      <c r="FE630" s="68" t="s">
        <v>5065</v>
      </c>
      <c r="FF630" s="68" t="s">
        <v>5066</v>
      </c>
    </row>
    <row r="631" spans="151:162" x14ac:dyDescent="0.2">
      <c r="EU631" s="67">
        <v>562.38</v>
      </c>
      <c r="EV631" s="67" t="s">
        <v>5067</v>
      </c>
      <c r="EW631" s="67">
        <v>484.16</v>
      </c>
      <c r="EX631" s="67" t="s">
        <v>5068</v>
      </c>
      <c r="EY631" s="67">
        <v>5638</v>
      </c>
      <c r="EZ631" s="67" t="s">
        <v>5069</v>
      </c>
      <c r="FA631" s="67">
        <v>19889.5</v>
      </c>
      <c r="FB631" s="67" t="s">
        <v>5070</v>
      </c>
      <c r="FC631" s="67" t="s">
        <v>5071</v>
      </c>
      <c r="FD631" s="67" t="s">
        <v>5072</v>
      </c>
      <c r="FE631" s="68" t="s">
        <v>5073</v>
      </c>
      <c r="FF631" s="68" t="s">
        <v>5074</v>
      </c>
    </row>
    <row r="632" spans="151:162" x14ac:dyDescent="0.2">
      <c r="EU632" s="67">
        <v>562.51</v>
      </c>
      <c r="EV632" s="67" t="s">
        <v>5075</v>
      </c>
      <c r="EW632" s="67">
        <v>484.27</v>
      </c>
      <c r="EX632" s="67" t="s">
        <v>5076</v>
      </c>
      <c r="EY632" s="67">
        <v>5639.5</v>
      </c>
      <c r="EZ632" s="67" t="s">
        <v>5077</v>
      </c>
      <c r="FA632" s="67">
        <v>19894</v>
      </c>
      <c r="FB632" s="67" t="s">
        <v>5078</v>
      </c>
      <c r="FC632" s="67" t="s">
        <v>5079</v>
      </c>
      <c r="FD632" s="67" t="s">
        <v>5080</v>
      </c>
      <c r="FE632" s="68" t="s">
        <v>5081</v>
      </c>
      <c r="FF632" s="68" t="s">
        <v>5082</v>
      </c>
    </row>
    <row r="633" spans="151:162" x14ac:dyDescent="0.2">
      <c r="EU633" s="67">
        <v>562.48</v>
      </c>
      <c r="EV633" s="67" t="s">
        <v>5083</v>
      </c>
      <c r="EW633" s="67">
        <v>484.22</v>
      </c>
      <c r="EX633" s="67" t="s">
        <v>5084</v>
      </c>
      <c r="EY633" s="67">
        <v>5639.25</v>
      </c>
      <c r="EZ633" s="67" t="s">
        <v>5085</v>
      </c>
      <c r="FA633" s="67">
        <v>19891.25</v>
      </c>
      <c r="FB633" s="67" t="s">
        <v>5086</v>
      </c>
      <c r="FC633" s="67" t="s">
        <v>5087</v>
      </c>
      <c r="FD633" s="67" t="s">
        <v>5088</v>
      </c>
      <c r="FE633" s="68" t="s">
        <v>5089</v>
      </c>
      <c r="FF633" s="68" t="s">
        <v>5090</v>
      </c>
    </row>
    <row r="634" spans="151:162" x14ac:dyDescent="0.2">
      <c r="EU634" s="67">
        <v>562.25</v>
      </c>
      <c r="EV634" s="67" t="s">
        <v>5091</v>
      </c>
      <c r="EW634" s="67">
        <v>484.06</v>
      </c>
      <c r="EX634" s="67" t="s">
        <v>5092</v>
      </c>
      <c r="EY634" s="67">
        <v>5637</v>
      </c>
      <c r="EZ634" s="67" t="s">
        <v>5093</v>
      </c>
      <c r="FA634" s="67">
        <v>19885.25</v>
      </c>
      <c r="FB634" s="67" t="s">
        <v>5094</v>
      </c>
      <c r="FC634" s="67" t="s">
        <v>5095</v>
      </c>
      <c r="FD634" s="67" t="s">
        <v>5096</v>
      </c>
      <c r="FE634" s="68" t="s">
        <v>5097</v>
      </c>
      <c r="FF634" s="68" t="s">
        <v>5098</v>
      </c>
    </row>
    <row r="635" spans="151:162" x14ac:dyDescent="0.2">
      <c r="EU635" s="67">
        <v>562.23</v>
      </c>
      <c r="EV635" s="67" t="s">
        <v>5099</v>
      </c>
      <c r="EW635" s="67">
        <v>484.06</v>
      </c>
      <c r="EX635" s="67" t="s">
        <v>5100</v>
      </c>
      <c r="EY635" s="67">
        <v>5636.5</v>
      </c>
      <c r="EZ635" s="67" t="s">
        <v>5101</v>
      </c>
      <c r="FA635" s="67">
        <v>19884.75</v>
      </c>
      <c r="FB635" s="67" t="s">
        <v>5102</v>
      </c>
      <c r="FC635" s="67" t="s">
        <v>5103</v>
      </c>
      <c r="FD635" s="67" t="s">
        <v>5104</v>
      </c>
      <c r="FE635" s="68" t="s">
        <v>5105</v>
      </c>
      <c r="FF635" s="68" t="s">
        <v>5106</v>
      </c>
    </row>
    <row r="636" spans="151:162" x14ac:dyDescent="0.2">
      <c r="EU636" s="67">
        <v>562.24</v>
      </c>
      <c r="EV636" s="67" t="s">
        <v>5107</v>
      </c>
      <c r="EW636" s="67">
        <v>484.06</v>
      </c>
      <c r="EX636" s="67" t="s">
        <v>5108</v>
      </c>
      <c r="EY636" s="67">
        <v>5636.5</v>
      </c>
      <c r="EZ636" s="67" t="s">
        <v>5109</v>
      </c>
      <c r="FA636" s="67">
        <v>19884.75</v>
      </c>
      <c r="FB636" s="67" t="s">
        <v>5110</v>
      </c>
      <c r="FC636" s="67" t="s">
        <v>5111</v>
      </c>
      <c r="FD636" s="67" t="s">
        <v>5112</v>
      </c>
      <c r="FE636" s="68" t="s">
        <v>5113</v>
      </c>
      <c r="FF636" s="68" t="s">
        <v>5114</v>
      </c>
    </row>
    <row r="637" spans="151:162" x14ac:dyDescent="0.2">
      <c r="EU637" s="67">
        <v>562.16999999999996</v>
      </c>
      <c r="EV637" s="67" t="s">
        <v>5115</v>
      </c>
      <c r="EW637" s="67">
        <v>483.98</v>
      </c>
      <c r="EX637" s="67" t="s">
        <v>5116</v>
      </c>
      <c r="EY637" s="67">
        <v>5636</v>
      </c>
      <c r="EZ637" s="67" t="s">
        <v>5117</v>
      </c>
      <c r="FA637" s="67">
        <v>19881.75</v>
      </c>
      <c r="FB637" s="67" t="s">
        <v>5118</v>
      </c>
      <c r="FC637" s="67" t="s">
        <v>5119</v>
      </c>
      <c r="FD637" s="67" t="s">
        <v>5120</v>
      </c>
      <c r="FE637" s="68" t="s">
        <v>5121</v>
      </c>
      <c r="FF637" s="68" t="s">
        <v>5122</v>
      </c>
    </row>
    <row r="638" spans="151:162" x14ac:dyDescent="0.2">
      <c r="EU638" s="67">
        <v>562.20000000000005</v>
      </c>
      <c r="EV638" s="67" t="s">
        <v>5123</v>
      </c>
      <c r="EW638" s="67">
        <v>484.01</v>
      </c>
      <c r="EX638" s="67" t="s">
        <v>5124</v>
      </c>
      <c r="EY638" s="67">
        <v>5636.25</v>
      </c>
      <c r="EZ638" s="67" t="s">
        <v>5125</v>
      </c>
      <c r="FA638" s="67">
        <v>19882.25</v>
      </c>
      <c r="FB638" s="67" t="s">
        <v>5126</v>
      </c>
      <c r="FC638" s="67" t="s">
        <v>5127</v>
      </c>
      <c r="FD638" s="67" t="s">
        <v>5128</v>
      </c>
      <c r="FE638" s="68" t="s">
        <v>5129</v>
      </c>
      <c r="FF638" s="68" t="s">
        <v>5130</v>
      </c>
    </row>
    <row r="639" spans="151:162" x14ac:dyDescent="0.2">
      <c r="EU639" s="67">
        <v>562.13</v>
      </c>
      <c r="EV639" s="67" t="s">
        <v>5131</v>
      </c>
      <c r="EW639" s="67">
        <v>483.95</v>
      </c>
      <c r="EX639" s="67" t="s">
        <v>5132</v>
      </c>
      <c r="EY639" s="67">
        <v>5635.75</v>
      </c>
      <c r="EZ639" s="67" t="s">
        <v>5133</v>
      </c>
      <c r="FA639" s="67">
        <v>19881.75</v>
      </c>
      <c r="FB639" s="67" t="s">
        <v>5134</v>
      </c>
      <c r="FC639" s="67" t="s">
        <v>5135</v>
      </c>
      <c r="FD639" s="67" t="s">
        <v>5136</v>
      </c>
      <c r="FE639" s="68" t="s">
        <v>5137</v>
      </c>
      <c r="FF639" s="68" t="s">
        <v>5138</v>
      </c>
    </row>
    <row r="640" spans="151:162" x14ac:dyDescent="0.2">
      <c r="EU640" s="67">
        <v>562.19000000000005</v>
      </c>
      <c r="EV640" s="67" t="s">
        <v>5139</v>
      </c>
      <c r="EW640" s="67">
        <v>484.05</v>
      </c>
      <c r="EX640" s="67" t="s">
        <v>5140</v>
      </c>
      <c r="EY640" s="67">
        <v>5636</v>
      </c>
      <c r="EZ640" s="67" t="s">
        <v>5141</v>
      </c>
      <c r="FA640" s="67">
        <v>19884.25</v>
      </c>
      <c r="FB640" s="67" t="s">
        <v>5142</v>
      </c>
      <c r="FC640" s="67" t="s">
        <v>5143</v>
      </c>
      <c r="FD640" s="67" t="s">
        <v>5144</v>
      </c>
      <c r="FE640" s="68" t="s">
        <v>5145</v>
      </c>
      <c r="FF640" s="68" t="s">
        <v>5146</v>
      </c>
    </row>
    <row r="641" spans="151:162" x14ac:dyDescent="0.2">
      <c r="EU641" s="67">
        <v>562.19000000000005</v>
      </c>
      <c r="EV641" s="67" t="s">
        <v>5147</v>
      </c>
      <c r="EW641" s="67">
        <v>484.04</v>
      </c>
      <c r="EX641" s="67" t="s">
        <v>5148</v>
      </c>
      <c r="EY641" s="67">
        <v>5636.25</v>
      </c>
      <c r="EZ641" s="67" t="s">
        <v>5149</v>
      </c>
      <c r="FA641" s="67">
        <v>19884.5</v>
      </c>
      <c r="FB641" s="67" t="s">
        <v>5150</v>
      </c>
      <c r="FC641" s="67" t="s">
        <v>5151</v>
      </c>
      <c r="FD641" s="67" t="s">
        <v>5152</v>
      </c>
      <c r="FE641" s="68" t="s">
        <v>5153</v>
      </c>
      <c r="FF641" s="68" t="s">
        <v>5154</v>
      </c>
    </row>
    <row r="642" spans="151:162" x14ac:dyDescent="0.2">
      <c r="EU642" s="67">
        <v>562.33000000000004</v>
      </c>
      <c r="EV642" s="67" t="s">
        <v>5155</v>
      </c>
      <c r="EW642" s="67">
        <v>484.2</v>
      </c>
      <c r="EX642" s="67" t="s">
        <v>5156</v>
      </c>
      <c r="EY642" s="67">
        <v>5637.5</v>
      </c>
      <c r="EZ642" s="67" t="s">
        <v>5157</v>
      </c>
      <c r="FA642" s="67">
        <v>19890.5</v>
      </c>
      <c r="FB642" s="67" t="s">
        <v>5158</v>
      </c>
      <c r="FC642" s="67" t="s">
        <v>5159</v>
      </c>
      <c r="FD642" s="67" t="s">
        <v>5160</v>
      </c>
      <c r="FE642" s="68" t="s">
        <v>5161</v>
      </c>
      <c r="FF642" s="68" t="s">
        <v>5162</v>
      </c>
    </row>
    <row r="643" spans="151:162" x14ac:dyDescent="0.2">
      <c r="EU643" s="67">
        <v>562.39</v>
      </c>
      <c r="EV643" s="67" t="s">
        <v>5163</v>
      </c>
      <c r="EW643" s="67">
        <v>484.25</v>
      </c>
      <c r="EX643" s="67" t="s">
        <v>5164</v>
      </c>
      <c r="EY643" s="67">
        <v>5638.5</v>
      </c>
      <c r="EZ643" s="67" t="s">
        <v>5165</v>
      </c>
      <c r="FA643" s="67">
        <v>19893</v>
      </c>
      <c r="FB643" s="67" t="s">
        <v>5166</v>
      </c>
      <c r="FC643" s="67" t="s">
        <v>5167</v>
      </c>
      <c r="FD643" s="67" t="s">
        <v>5168</v>
      </c>
      <c r="FE643" s="68" t="s">
        <v>5169</v>
      </c>
      <c r="FF643" s="68" t="s">
        <v>5170</v>
      </c>
    </row>
    <row r="644" spans="151:162" x14ac:dyDescent="0.2">
      <c r="EU644" s="67">
        <v>562.59</v>
      </c>
      <c r="EV644" s="67" t="s">
        <v>5171</v>
      </c>
      <c r="EW644" s="67">
        <v>484.42</v>
      </c>
      <c r="EX644" s="67" t="s">
        <v>5172</v>
      </c>
      <c r="EY644" s="67">
        <v>5640.5</v>
      </c>
      <c r="EZ644" s="67" t="s">
        <v>5173</v>
      </c>
      <c r="FA644" s="67">
        <v>19900.75</v>
      </c>
      <c r="FB644" s="67" t="s">
        <v>5174</v>
      </c>
      <c r="FC644" s="67" t="s">
        <v>5175</v>
      </c>
      <c r="FD644" s="67" t="s">
        <v>5176</v>
      </c>
      <c r="FE644" s="68" t="s">
        <v>5177</v>
      </c>
      <c r="FF644" s="68" t="s">
        <v>5178</v>
      </c>
    </row>
    <row r="645" spans="151:162" x14ac:dyDescent="0.2">
      <c r="EU645" s="67">
        <v>562.58000000000004</v>
      </c>
      <c r="EV645" s="67" t="s">
        <v>5179</v>
      </c>
      <c r="EW645" s="67">
        <v>484.44</v>
      </c>
      <c r="EX645" s="67" t="s">
        <v>5180</v>
      </c>
      <c r="EY645" s="67">
        <v>5640</v>
      </c>
      <c r="EZ645" s="67" t="s">
        <v>5181</v>
      </c>
      <c r="FA645" s="67">
        <v>19900.5</v>
      </c>
      <c r="FB645" s="67" t="s">
        <v>5182</v>
      </c>
      <c r="FC645" s="67" t="s">
        <v>5183</v>
      </c>
      <c r="FD645" s="67" t="s">
        <v>5184</v>
      </c>
      <c r="FE645" s="68" t="s">
        <v>5185</v>
      </c>
      <c r="FF645" s="68" t="s">
        <v>5186</v>
      </c>
    </row>
    <row r="646" spans="151:162" x14ac:dyDescent="0.2">
      <c r="EU646" s="67">
        <v>562.61</v>
      </c>
      <c r="EV646" s="67" t="s">
        <v>5187</v>
      </c>
      <c r="EW646" s="67">
        <v>484.49</v>
      </c>
      <c r="EX646" s="67" t="s">
        <v>5188</v>
      </c>
      <c r="EY646" s="67">
        <v>5640.25</v>
      </c>
      <c r="EZ646" s="67" t="s">
        <v>5189</v>
      </c>
      <c r="FA646" s="67">
        <v>19902.75</v>
      </c>
      <c r="FB646" s="67" t="s">
        <v>5190</v>
      </c>
      <c r="FC646" s="67" t="s">
        <v>5191</v>
      </c>
      <c r="FD646" s="67" t="s">
        <v>5192</v>
      </c>
      <c r="FE646" s="68" t="s">
        <v>5193</v>
      </c>
      <c r="FF646" s="68" t="s">
        <v>5194</v>
      </c>
    </row>
    <row r="647" spans="151:162" x14ac:dyDescent="0.2">
      <c r="EU647" s="67">
        <v>562.66999999999996</v>
      </c>
      <c r="EV647" s="67" t="s">
        <v>5195</v>
      </c>
      <c r="EW647" s="67">
        <v>484.52</v>
      </c>
      <c r="EX647" s="67" t="s">
        <v>5196</v>
      </c>
      <c r="EY647" s="67">
        <v>5641</v>
      </c>
      <c r="EZ647" s="67" t="s">
        <v>5197</v>
      </c>
      <c r="FA647" s="67">
        <v>19903.75</v>
      </c>
      <c r="FB647" s="67" t="s">
        <v>5198</v>
      </c>
      <c r="FC647" s="67" t="s">
        <v>5199</v>
      </c>
      <c r="FD647" s="67" t="s">
        <v>5200</v>
      </c>
      <c r="FE647" s="68" t="s">
        <v>5201</v>
      </c>
      <c r="FF647" s="68" t="s">
        <v>5202</v>
      </c>
    </row>
    <row r="648" spans="151:162" x14ac:dyDescent="0.2">
      <c r="EU648" s="67">
        <v>562.72</v>
      </c>
      <c r="EV648" s="67" t="s">
        <v>5203</v>
      </c>
      <c r="EW648" s="67">
        <v>484.6</v>
      </c>
      <c r="EX648" s="67" t="s">
        <v>5204</v>
      </c>
      <c r="EY648" s="67">
        <v>5641.5</v>
      </c>
      <c r="EZ648" s="67" t="s">
        <v>5205</v>
      </c>
      <c r="FA648" s="67">
        <v>19907.25</v>
      </c>
      <c r="FB648" s="67" t="s">
        <v>5206</v>
      </c>
      <c r="FC648" s="67" t="s">
        <v>5207</v>
      </c>
      <c r="FD648" s="67" t="s">
        <v>5208</v>
      </c>
      <c r="FE648" s="68" t="s">
        <v>5209</v>
      </c>
      <c r="FF648" s="68" t="s">
        <v>5210</v>
      </c>
    </row>
    <row r="649" spans="151:162" x14ac:dyDescent="0.2">
      <c r="EU649" s="67">
        <v>562.65</v>
      </c>
      <c r="EV649" s="67" t="s">
        <v>5211</v>
      </c>
      <c r="EW649" s="67">
        <v>484.51</v>
      </c>
      <c r="EX649" s="67" t="s">
        <v>5212</v>
      </c>
      <c r="EY649" s="67">
        <v>5640.75</v>
      </c>
      <c r="EZ649" s="67" t="s">
        <v>5213</v>
      </c>
      <c r="FA649" s="67">
        <v>19904.5</v>
      </c>
      <c r="FB649" s="67" t="s">
        <v>5214</v>
      </c>
      <c r="FC649" s="67" t="s">
        <v>5215</v>
      </c>
      <c r="FD649" s="67" t="s">
        <v>5216</v>
      </c>
      <c r="FE649" s="68" t="s">
        <v>5217</v>
      </c>
      <c r="FF649" s="68" t="s">
        <v>5218</v>
      </c>
    </row>
    <row r="650" spans="151:162" x14ac:dyDescent="0.2">
      <c r="EU650" s="67">
        <v>562.62</v>
      </c>
      <c r="EV650" s="67" t="s">
        <v>5219</v>
      </c>
      <c r="EW650" s="67">
        <v>484.54</v>
      </c>
      <c r="EX650" s="67" t="s">
        <v>5220</v>
      </c>
      <c r="EY650" s="67">
        <v>5640.5</v>
      </c>
      <c r="EZ650" s="67" t="s">
        <v>5221</v>
      </c>
      <c r="FA650" s="67">
        <v>19904.25</v>
      </c>
      <c r="FB650" s="67" t="s">
        <v>5222</v>
      </c>
      <c r="FC650" s="67" t="s">
        <v>5223</v>
      </c>
      <c r="FD650" s="67" t="s">
        <v>5224</v>
      </c>
      <c r="FE650" s="68" t="s">
        <v>5225</v>
      </c>
      <c r="FF650" s="68" t="s">
        <v>5226</v>
      </c>
    </row>
    <row r="651" spans="151:162" x14ac:dyDescent="0.2">
      <c r="EU651" s="67">
        <v>562.64</v>
      </c>
      <c r="EV651" s="67" t="s">
        <v>5227</v>
      </c>
      <c r="EW651" s="67">
        <v>484.54</v>
      </c>
      <c r="EX651" s="67" t="s">
        <v>5228</v>
      </c>
      <c r="EY651" s="67">
        <v>5640.75</v>
      </c>
      <c r="EZ651" s="67" t="s">
        <v>5229</v>
      </c>
      <c r="FA651" s="67">
        <v>19904.75</v>
      </c>
      <c r="FB651" s="67" t="s">
        <v>5230</v>
      </c>
      <c r="FC651" s="67" t="s">
        <v>5231</v>
      </c>
      <c r="FD651" s="67" t="s">
        <v>5232</v>
      </c>
      <c r="FE651" s="68" t="s">
        <v>5233</v>
      </c>
      <c r="FF651" s="68" t="s">
        <v>5234</v>
      </c>
    </row>
    <row r="652" spans="151:162" x14ac:dyDescent="0.2">
      <c r="EU652" s="67">
        <v>562.70000000000005</v>
      </c>
      <c r="EV652" s="67" t="s">
        <v>5235</v>
      </c>
      <c r="EW652" s="67">
        <v>484.58</v>
      </c>
      <c r="EX652" s="67" t="s">
        <v>5236</v>
      </c>
      <c r="EY652" s="67">
        <v>5641.5</v>
      </c>
      <c r="EZ652" s="67" t="s">
        <v>5237</v>
      </c>
      <c r="FA652" s="67">
        <v>19906.5</v>
      </c>
      <c r="FB652" s="67" t="s">
        <v>5238</v>
      </c>
      <c r="FC652" s="67" t="s">
        <v>5239</v>
      </c>
      <c r="FD652" s="67" t="s">
        <v>5240</v>
      </c>
      <c r="FE652" s="68" t="s">
        <v>5241</v>
      </c>
      <c r="FF652" s="68" t="s">
        <v>5242</v>
      </c>
    </row>
    <row r="653" spans="151:162" x14ac:dyDescent="0.2">
      <c r="EU653" s="67">
        <v>562.92999999999995</v>
      </c>
      <c r="EV653" s="67" t="s">
        <v>5243</v>
      </c>
      <c r="EW653" s="67">
        <v>484.83</v>
      </c>
      <c r="EX653" s="67" t="s">
        <v>5244</v>
      </c>
      <c r="EY653" s="67">
        <v>5644</v>
      </c>
      <c r="EZ653" s="67" t="s">
        <v>5245</v>
      </c>
      <c r="FA653" s="67">
        <v>19917</v>
      </c>
      <c r="FB653" s="67" t="s">
        <v>5246</v>
      </c>
      <c r="FC653" s="67" t="s">
        <v>5247</v>
      </c>
      <c r="FD653" s="67" t="s">
        <v>5248</v>
      </c>
      <c r="FE653" s="68" t="s">
        <v>5249</v>
      </c>
      <c r="FF653" s="68" t="s">
        <v>5250</v>
      </c>
    </row>
    <row r="654" spans="151:162" x14ac:dyDescent="0.2">
      <c r="EU654" s="67">
        <v>563.1</v>
      </c>
      <c r="EV654" s="67" t="s">
        <v>5251</v>
      </c>
      <c r="EW654" s="67">
        <v>484.91</v>
      </c>
      <c r="EX654" s="67" t="s">
        <v>5252</v>
      </c>
      <c r="EY654" s="67">
        <v>5645.5</v>
      </c>
      <c r="EZ654" s="67" t="s">
        <v>5253</v>
      </c>
      <c r="FA654" s="67">
        <v>19920.25</v>
      </c>
      <c r="FB654" s="67" t="s">
        <v>5254</v>
      </c>
      <c r="FC654" s="67" t="s">
        <v>5255</v>
      </c>
      <c r="FD654" s="67" t="s">
        <v>5256</v>
      </c>
      <c r="FE654" s="68" t="s">
        <v>5257</v>
      </c>
      <c r="FF654" s="68" t="s">
        <v>5258</v>
      </c>
    </row>
    <row r="655" spans="151:162" x14ac:dyDescent="0.2">
      <c r="EU655" s="67">
        <v>562.99</v>
      </c>
      <c r="EV655" s="67" t="s">
        <v>5259</v>
      </c>
      <c r="EW655" s="67">
        <v>484.84</v>
      </c>
      <c r="EX655" s="67" t="s">
        <v>5260</v>
      </c>
      <c r="EY655" s="67">
        <v>5644.5</v>
      </c>
      <c r="EZ655" s="67" t="s">
        <v>5261</v>
      </c>
      <c r="FA655" s="67">
        <v>19917.75</v>
      </c>
      <c r="FB655" s="67" t="s">
        <v>5262</v>
      </c>
      <c r="FC655" s="67" t="s">
        <v>5263</v>
      </c>
      <c r="FD655" s="67" t="s">
        <v>5264</v>
      </c>
      <c r="FE655" s="68" t="s">
        <v>5265</v>
      </c>
      <c r="FF655" s="68" t="s">
        <v>5266</v>
      </c>
    </row>
    <row r="656" spans="151:162" x14ac:dyDescent="0.2">
      <c r="EU656" s="67">
        <v>562.76</v>
      </c>
      <c r="EV656" s="67" t="s">
        <v>5267</v>
      </c>
      <c r="EW656" s="67">
        <v>484.59</v>
      </c>
      <c r="EX656" s="67" t="s">
        <v>5268</v>
      </c>
      <c r="EY656" s="67">
        <v>5642</v>
      </c>
      <c r="EZ656" s="67" t="s">
        <v>5269</v>
      </c>
      <c r="FA656" s="67">
        <v>19906.5</v>
      </c>
      <c r="FB656" s="67" t="s">
        <v>5270</v>
      </c>
      <c r="FC656" s="67" t="s">
        <v>5271</v>
      </c>
      <c r="FD656" s="67" t="s">
        <v>5272</v>
      </c>
      <c r="FE656" s="68" t="s">
        <v>5273</v>
      </c>
      <c r="FF656" s="68" t="s">
        <v>5274</v>
      </c>
    </row>
    <row r="657" spans="151:162" x14ac:dyDescent="0.2">
      <c r="EU657" s="67">
        <v>562.87</v>
      </c>
      <c r="EV657" s="67" t="s">
        <v>5275</v>
      </c>
      <c r="EW657" s="67">
        <v>484.68</v>
      </c>
      <c r="EX657" s="67" t="s">
        <v>5276</v>
      </c>
      <c r="EY657" s="67">
        <v>5643</v>
      </c>
      <c r="EZ657" s="67" t="s">
        <v>5277</v>
      </c>
      <c r="FA657" s="67">
        <v>19910</v>
      </c>
      <c r="FB657" s="67" t="s">
        <v>5278</v>
      </c>
      <c r="FC657" s="67" t="s">
        <v>5279</v>
      </c>
      <c r="FD657" s="67" t="s">
        <v>5280</v>
      </c>
      <c r="FE657" s="68" t="s">
        <v>5281</v>
      </c>
      <c r="FF657" s="68" t="s">
        <v>5282</v>
      </c>
    </row>
    <row r="658" spans="151:162" x14ac:dyDescent="0.2">
      <c r="EU658" s="67">
        <v>562.75</v>
      </c>
      <c r="EV658" s="67" t="s">
        <v>5283</v>
      </c>
      <c r="EW658" s="67">
        <v>484.55</v>
      </c>
      <c r="EX658" s="67" t="s">
        <v>5284</v>
      </c>
      <c r="EY658" s="67">
        <v>5641.75</v>
      </c>
      <c r="EZ658" s="67" t="s">
        <v>5285</v>
      </c>
      <c r="FA658" s="67">
        <v>19904.75</v>
      </c>
      <c r="FB658" s="67" t="s">
        <v>5286</v>
      </c>
      <c r="FC658" s="67" t="s">
        <v>5287</v>
      </c>
      <c r="FD658" s="67" t="s">
        <v>5288</v>
      </c>
      <c r="FE658" s="68" t="s">
        <v>5289</v>
      </c>
      <c r="FF658" s="68" t="s">
        <v>5290</v>
      </c>
    </row>
    <row r="659" spans="151:162" x14ac:dyDescent="0.2">
      <c r="EU659" s="67">
        <v>562.61</v>
      </c>
      <c r="EV659" s="67" t="s">
        <v>5291</v>
      </c>
      <c r="EW659" s="67">
        <v>484.38</v>
      </c>
      <c r="EX659" s="67" t="s">
        <v>5292</v>
      </c>
      <c r="EY659" s="67">
        <v>5640.5</v>
      </c>
      <c r="EZ659" s="67" t="s">
        <v>5293</v>
      </c>
      <c r="FA659" s="67">
        <v>19898.5</v>
      </c>
      <c r="FB659" s="67" t="s">
        <v>5294</v>
      </c>
      <c r="FC659" s="67" t="s">
        <v>5295</v>
      </c>
      <c r="FD659" s="67" t="s">
        <v>5296</v>
      </c>
      <c r="FE659" s="68" t="s">
        <v>5297</v>
      </c>
      <c r="FF659" s="68" t="s">
        <v>5298</v>
      </c>
    </row>
    <row r="660" spans="151:162" x14ac:dyDescent="0.2">
      <c r="EU660" s="67">
        <v>562.49</v>
      </c>
      <c r="EV660" s="67" t="s">
        <v>5299</v>
      </c>
      <c r="EW660" s="67">
        <v>484.28</v>
      </c>
      <c r="EX660" s="67" t="s">
        <v>5300</v>
      </c>
      <c r="EY660" s="67">
        <v>5639.25</v>
      </c>
      <c r="EZ660" s="67" t="s">
        <v>5301</v>
      </c>
      <c r="FA660" s="67">
        <v>19893.5</v>
      </c>
      <c r="FB660" s="67" t="s">
        <v>5302</v>
      </c>
      <c r="FC660" s="67" t="s">
        <v>5303</v>
      </c>
      <c r="FD660" s="67" t="s">
        <v>5304</v>
      </c>
      <c r="FE660" s="68" t="s">
        <v>5305</v>
      </c>
      <c r="FF660" s="68" t="s">
        <v>5306</v>
      </c>
    </row>
    <row r="661" spans="151:162" x14ac:dyDescent="0.2">
      <c r="EU661" s="67">
        <v>562.67999999999995</v>
      </c>
      <c r="EV661" s="67" t="s">
        <v>5307</v>
      </c>
      <c r="EW661" s="67">
        <v>484.4</v>
      </c>
      <c r="EX661" s="67" t="s">
        <v>5308</v>
      </c>
      <c r="EY661" s="67">
        <v>5641.25</v>
      </c>
      <c r="EZ661" s="67" t="s">
        <v>5309</v>
      </c>
      <c r="FA661" s="67">
        <v>19899</v>
      </c>
      <c r="FB661" s="67" t="s">
        <v>5310</v>
      </c>
      <c r="FC661" s="67" t="s">
        <v>5311</v>
      </c>
      <c r="FD661" s="67" t="s">
        <v>5312</v>
      </c>
      <c r="FE661" s="68" t="s">
        <v>5313</v>
      </c>
      <c r="FF661" s="68" t="s">
        <v>5314</v>
      </c>
    </row>
    <row r="662" spans="151:162" x14ac:dyDescent="0.2">
      <c r="EU662" s="67">
        <v>562.92999999999995</v>
      </c>
      <c r="EV662" s="67" t="s">
        <v>5315</v>
      </c>
      <c r="EW662" s="67">
        <v>484.75</v>
      </c>
      <c r="EX662" s="67" t="s">
        <v>5316</v>
      </c>
      <c r="EY662" s="67">
        <v>5644</v>
      </c>
      <c r="EZ662" s="67" t="s">
        <v>5317</v>
      </c>
      <c r="FA662" s="67">
        <v>19914</v>
      </c>
      <c r="FB662" s="67" t="s">
        <v>5318</v>
      </c>
      <c r="FC662" s="67" t="s">
        <v>5319</v>
      </c>
      <c r="FD662" s="67" t="s">
        <v>5320</v>
      </c>
      <c r="FE662" s="68" t="s">
        <v>5321</v>
      </c>
      <c r="FF662" s="68" t="s">
        <v>5322</v>
      </c>
    </row>
    <row r="663" spans="151:162" x14ac:dyDescent="0.2">
      <c r="EU663" s="67">
        <v>562.83000000000004</v>
      </c>
      <c r="EV663" s="67" t="s">
        <v>5323</v>
      </c>
      <c r="EW663" s="67">
        <v>484.63</v>
      </c>
      <c r="EX663" s="67" t="s">
        <v>5324</v>
      </c>
      <c r="EY663" s="67">
        <v>5642.5</v>
      </c>
      <c r="EZ663" s="67" t="s">
        <v>5325</v>
      </c>
      <c r="FA663" s="67">
        <v>19907.75</v>
      </c>
      <c r="FB663" s="67" t="s">
        <v>5326</v>
      </c>
      <c r="FC663" s="67" t="s">
        <v>5327</v>
      </c>
      <c r="FD663" s="67" t="s">
        <v>5328</v>
      </c>
      <c r="FE663" s="68" t="s">
        <v>5329</v>
      </c>
      <c r="FF663" s="68" t="s">
        <v>5330</v>
      </c>
    </row>
    <row r="664" spans="151:162" x14ac:dyDescent="0.2">
      <c r="EU664" s="67">
        <v>562.54999999999995</v>
      </c>
      <c r="EV664" s="67" t="s">
        <v>5331</v>
      </c>
      <c r="EW664" s="67">
        <v>484.38</v>
      </c>
      <c r="EX664" s="67" t="s">
        <v>5332</v>
      </c>
      <c r="EY664" s="67">
        <v>5640</v>
      </c>
      <c r="EZ664" s="67" t="s">
        <v>5333</v>
      </c>
      <c r="FA664" s="67">
        <v>19897.75</v>
      </c>
      <c r="FB664" s="67" t="s">
        <v>5334</v>
      </c>
      <c r="FC664" s="67" t="s">
        <v>5335</v>
      </c>
      <c r="FD664" s="67" t="s">
        <v>5336</v>
      </c>
      <c r="FE664" s="68" t="s">
        <v>5337</v>
      </c>
      <c r="FF664" s="68" t="s">
        <v>5338</v>
      </c>
    </row>
    <row r="665" spans="151:162" x14ac:dyDescent="0.2">
      <c r="EU665" s="67">
        <v>562.59</v>
      </c>
      <c r="EV665" s="67" t="s">
        <v>5339</v>
      </c>
      <c r="EW665" s="67">
        <v>484.38</v>
      </c>
      <c r="EX665" s="67" t="s">
        <v>5340</v>
      </c>
      <c r="EY665" s="67">
        <v>5640.25</v>
      </c>
      <c r="EZ665" s="67" t="s">
        <v>5341</v>
      </c>
      <c r="FA665" s="67">
        <v>19897.25</v>
      </c>
      <c r="FB665" s="67" t="s">
        <v>5342</v>
      </c>
      <c r="FC665" s="67" t="s">
        <v>5343</v>
      </c>
      <c r="FD665" s="67" t="s">
        <v>5344</v>
      </c>
      <c r="FE665" s="68" t="s">
        <v>5345</v>
      </c>
      <c r="FF665" s="68" t="s">
        <v>5346</v>
      </c>
    </row>
    <row r="666" spans="151:162" x14ac:dyDescent="0.2">
      <c r="EU666" s="67">
        <v>562.58000000000004</v>
      </c>
      <c r="EV666" s="67" t="s">
        <v>5347</v>
      </c>
      <c r="EW666" s="67">
        <v>484.46</v>
      </c>
      <c r="EX666" s="67" t="s">
        <v>5348</v>
      </c>
      <c r="EY666" s="67">
        <v>5640</v>
      </c>
      <c r="EZ666" s="67" t="s">
        <v>5349</v>
      </c>
      <c r="FA666" s="67">
        <v>19900.75</v>
      </c>
      <c r="FB666" s="67" t="s">
        <v>5350</v>
      </c>
      <c r="FC666" s="67" t="s">
        <v>5351</v>
      </c>
      <c r="FD666" s="67" t="s">
        <v>5352</v>
      </c>
      <c r="FE666" s="68" t="s">
        <v>5353</v>
      </c>
      <c r="FF666" s="68" t="s">
        <v>5354</v>
      </c>
    </row>
    <row r="667" spans="151:162" x14ac:dyDescent="0.2">
      <c r="EU667" s="67">
        <v>562.54999999999995</v>
      </c>
      <c r="EV667" s="67" t="s">
        <v>5355</v>
      </c>
      <c r="EW667" s="67">
        <v>484.39</v>
      </c>
      <c r="EX667" s="67" t="s">
        <v>5356</v>
      </c>
      <c r="EY667" s="67">
        <v>5639.75</v>
      </c>
      <c r="EZ667" s="67" t="s">
        <v>5357</v>
      </c>
      <c r="FA667" s="67">
        <v>19897.75</v>
      </c>
      <c r="FB667" s="67" t="s">
        <v>5358</v>
      </c>
      <c r="FC667" s="67" t="s">
        <v>5359</v>
      </c>
      <c r="FD667" s="67" t="s">
        <v>5360</v>
      </c>
      <c r="FE667" s="68" t="s">
        <v>5361</v>
      </c>
      <c r="FF667" s="68" t="s">
        <v>5362</v>
      </c>
    </row>
    <row r="668" spans="151:162" x14ac:dyDescent="0.2">
      <c r="EU668" s="67">
        <v>562.67999999999995</v>
      </c>
      <c r="EV668" s="67" t="s">
        <v>5363</v>
      </c>
      <c r="EW668" s="67">
        <v>484.54</v>
      </c>
      <c r="EX668" s="67" t="s">
        <v>5364</v>
      </c>
      <c r="EY668" s="67">
        <v>5641.25</v>
      </c>
      <c r="EZ668" s="67" t="s">
        <v>5365</v>
      </c>
      <c r="FA668" s="67">
        <v>19904.25</v>
      </c>
      <c r="FB668" s="67" t="s">
        <v>5366</v>
      </c>
      <c r="FC668" s="67" t="s">
        <v>5367</v>
      </c>
      <c r="FD668" s="67" t="s">
        <v>5368</v>
      </c>
      <c r="FE668" s="68" t="s">
        <v>5369</v>
      </c>
      <c r="FF668" s="68" t="s">
        <v>5370</v>
      </c>
    </row>
    <row r="669" spans="151:162" x14ac:dyDescent="0.2">
      <c r="EU669" s="67">
        <v>562.61</v>
      </c>
      <c r="EV669" s="67" t="s">
        <v>5371</v>
      </c>
      <c r="EW669" s="67">
        <v>484.46</v>
      </c>
      <c r="EX669" s="67" t="s">
        <v>5372</v>
      </c>
      <c r="EY669" s="67">
        <v>5640.5</v>
      </c>
      <c r="EZ669" s="67" t="s">
        <v>5373</v>
      </c>
      <c r="FA669" s="67">
        <v>19901</v>
      </c>
      <c r="FB669" s="67" t="s">
        <v>5374</v>
      </c>
      <c r="FC669" s="67" t="s">
        <v>5375</v>
      </c>
      <c r="FD669" s="67" t="s">
        <v>5376</v>
      </c>
      <c r="FE669" s="68" t="s">
        <v>5377</v>
      </c>
      <c r="FF669" s="68" t="s">
        <v>5378</v>
      </c>
    </row>
    <row r="670" spans="151:162" x14ac:dyDescent="0.2">
      <c r="EU670" s="67">
        <v>562.61</v>
      </c>
      <c r="EV670" s="67" t="s">
        <v>5379</v>
      </c>
      <c r="EW670" s="67">
        <v>484.45</v>
      </c>
      <c r="EX670" s="67" t="s">
        <v>5380</v>
      </c>
      <c r="EY670" s="67">
        <v>5640.25</v>
      </c>
      <c r="EZ670" s="67" t="s">
        <v>5381</v>
      </c>
      <c r="FA670" s="67">
        <v>19901.25</v>
      </c>
      <c r="FB670" s="67" t="s">
        <v>5382</v>
      </c>
      <c r="FC670" s="67" t="s">
        <v>5383</v>
      </c>
      <c r="FD670" s="67" t="s">
        <v>5384</v>
      </c>
      <c r="FE670" s="68" t="s">
        <v>5385</v>
      </c>
      <c r="FF670" s="68" t="s">
        <v>5386</v>
      </c>
    </row>
    <row r="671" spans="151:162" x14ac:dyDescent="0.2">
      <c r="EU671" s="67">
        <v>562.55999999999995</v>
      </c>
      <c r="EV671" s="67" t="s">
        <v>5387</v>
      </c>
      <c r="EW671" s="67">
        <v>484.42</v>
      </c>
      <c r="EX671" s="67" t="s">
        <v>5388</v>
      </c>
      <c r="EY671" s="67">
        <v>5640</v>
      </c>
      <c r="EZ671" s="67" t="s">
        <v>5389</v>
      </c>
      <c r="FA671" s="67">
        <v>19899</v>
      </c>
      <c r="FB671" s="67" t="s">
        <v>5390</v>
      </c>
      <c r="FC671" s="67" t="s">
        <v>5391</v>
      </c>
      <c r="FD671" s="67" t="s">
        <v>5392</v>
      </c>
      <c r="FE671" s="68" t="s">
        <v>5393</v>
      </c>
      <c r="FF671" s="68" t="s">
        <v>5394</v>
      </c>
    </row>
    <row r="672" spans="151:162" x14ac:dyDescent="0.2">
      <c r="EU672" s="67">
        <v>562.64</v>
      </c>
      <c r="EV672" s="67" t="s">
        <v>5395</v>
      </c>
      <c r="EW672" s="67">
        <v>484.6</v>
      </c>
      <c r="EX672" s="67" t="s">
        <v>5396</v>
      </c>
      <c r="EY672" s="67">
        <v>5641</v>
      </c>
      <c r="EZ672" s="67" t="s">
        <v>5397</v>
      </c>
      <c r="FA672" s="67">
        <v>19907</v>
      </c>
      <c r="FB672" s="67" t="s">
        <v>5398</v>
      </c>
      <c r="FC672" s="67" t="s">
        <v>5399</v>
      </c>
      <c r="FD672" s="67" t="s">
        <v>5400</v>
      </c>
      <c r="FE672" s="68" t="s">
        <v>5401</v>
      </c>
      <c r="FF672" s="68" t="s">
        <v>5402</v>
      </c>
    </row>
    <row r="673" spans="151:162" x14ac:dyDescent="0.2">
      <c r="EU673" s="67">
        <v>562.70000000000005</v>
      </c>
      <c r="EV673" s="67" t="s">
        <v>5403</v>
      </c>
      <c r="EW673" s="67">
        <v>484.62</v>
      </c>
      <c r="EX673" s="67" t="s">
        <v>5404</v>
      </c>
      <c r="EY673" s="67">
        <v>5641.25</v>
      </c>
      <c r="EZ673" s="67" t="s">
        <v>5405</v>
      </c>
      <c r="FA673" s="67">
        <v>19908</v>
      </c>
      <c r="FB673" s="67" t="s">
        <v>5406</v>
      </c>
      <c r="FC673" s="67" t="s">
        <v>5407</v>
      </c>
      <c r="FD673" s="67" t="s">
        <v>5408</v>
      </c>
      <c r="FE673" s="68" t="s">
        <v>5409</v>
      </c>
      <c r="FF673" s="68" t="s">
        <v>5410</v>
      </c>
    </row>
    <row r="674" spans="151:162" x14ac:dyDescent="0.2">
      <c r="EU674" s="67">
        <v>562.67999999999995</v>
      </c>
      <c r="EV674" s="67" t="s">
        <v>5411</v>
      </c>
      <c r="EW674" s="67">
        <v>484.6</v>
      </c>
      <c r="EX674" s="67" t="s">
        <v>5412</v>
      </c>
      <c r="EY674" s="67">
        <v>5641.25</v>
      </c>
      <c r="EZ674" s="67" t="s">
        <v>5413</v>
      </c>
      <c r="FA674" s="67">
        <v>19907.25</v>
      </c>
      <c r="FB674" s="67" t="s">
        <v>5414</v>
      </c>
      <c r="FC674" s="67" t="s">
        <v>5415</v>
      </c>
      <c r="FD674" s="67" t="s">
        <v>5416</v>
      </c>
      <c r="FE674" s="68" t="s">
        <v>5417</v>
      </c>
      <c r="FF674" s="68" t="s">
        <v>5418</v>
      </c>
    </row>
    <row r="675" spans="151:162" x14ac:dyDescent="0.2">
      <c r="EU675" s="67">
        <v>562.61</v>
      </c>
      <c r="EV675" s="67" t="s">
        <v>5419</v>
      </c>
      <c r="EW675" s="67">
        <v>484.51</v>
      </c>
      <c r="EX675" s="67" t="s">
        <v>5420</v>
      </c>
      <c r="EY675" s="67">
        <v>5640.25</v>
      </c>
      <c r="EZ675" s="67" t="s">
        <v>5421</v>
      </c>
      <c r="FA675" s="67">
        <v>19903.25</v>
      </c>
      <c r="FB675" s="67" t="s">
        <v>5422</v>
      </c>
      <c r="FC675" s="67" t="s">
        <v>5423</v>
      </c>
      <c r="FD675" s="67" t="s">
        <v>5424</v>
      </c>
      <c r="FE675" s="68" t="s">
        <v>5425</v>
      </c>
      <c r="FF675" s="68" t="s">
        <v>5426</v>
      </c>
    </row>
    <row r="676" spans="151:162" x14ac:dyDescent="0.2">
      <c r="EU676" s="67">
        <v>562.5</v>
      </c>
      <c r="EV676" s="67" t="s">
        <v>5427</v>
      </c>
      <c r="EW676" s="67">
        <v>484.43</v>
      </c>
      <c r="EX676" s="67" t="s">
        <v>5428</v>
      </c>
      <c r="EY676" s="67">
        <v>5639.75</v>
      </c>
      <c r="EZ676" s="67" t="s">
        <v>5429</v>
      </c>
      <c r="FA676" s="67">
        <v>19900</v>
      </c>
      <c r="FB676" s="67" t="s">
        <v>5430</v>
      </c>
      <c r="FC676" s="67" t="s">
        <v>5431</v>
      </c>
      <c r="FD676" s="67" t="s">
        <v>5432</v>
      </c>
      <c r="FE676" s="68" t="s">
        <v>5433</v>
      </c>
      <c r="FF676" s="68" t="s">
        <v>5434</v>
      </c>
    </row>
    <row r="677" spans="151:162" x14ac:dyDescent="0.2">
      <c r="EU677" s="67">
        <v>562.65</v>
      </c>
      <c r="EV677" s="67" t="s">
        <v>5436</v>
      </c>
      <c r="EW677" s="67">
        <v>484.61</v>
      </c>
      <c r="EX677" s="67" t="s">
        <v>5437</v>
      </c>
      <c r="EY677" s="67">
        <v>5641.25</v>
      </c>
      <c r="EZ677" s="67" t="s">
        <v>5438</v>
      </c>
      <c r="FA677" s="67">
        <v>19907.5</v>
      </c>
      <c r="FB677" s="67" t="s">
        <v>5439</v>
      </c>
      <c r="FC677" s="67" t="s">
        <v>5440</v>
      </c>
      <c r="FD677" s="67" t="s">
        <v>5441</v>
      </c>
      <c r="FE677" s="68" t="s">
        <v>5442</v>
      </c>
      <c r="FF677" s="68" t="s">
        <v>5443</v>
      </c>
    </row>
    <row r="678" spans="151:162" x14ac:dyDescent="0.2">
      <c r="EU678" s="67">
        <v>562.46</v>
      </c>
      <c r="EV678" s="67" t="s">
        <v>5444</v>
      </c>
      <c r="EW678" s="67">
        <v>484.38</v>
      </c>
      <c r="EX678" s="67" t="s">
        <v>5445</v>
      </c>
      <c r="EY678" s="67">
        <v>5639</v>
      </c>
      <c r="EZ678" s="67" t="s">
        <v>5446</v>
      </c>
      <c r="FA678" s="67">
        <v>19899.25</v>
      </c>
      <c r="FB678" s="67" t="s">
        <v>5447</v>
      </c>
      <c r="FC678" s="67" t="s">
        <v>5448</v>
      </c>
      <c r="FD678" s="67" t="s">
        <v>5449</v>
      </c>
      <c r="FE678" s="68" t="s">
        <v>5450</v>
      </c>
      <c r="FF678" s="68" t="s">
        <v>5451</v>
      </c>
    </row>
    <row r="679" spans="151:162" x14ac:dyDescent="0.2">
      <c r="EU679" s="67">
        <v>562.72</v>
      </c>
      <c r="EV679" s="67" t="s">
        <v>5452</v>
      </c>
      <c r="EW679" s="67">
        <v>484.72</v>
      </c>
      <c r="EX679" s="67" t="s">
        <v>5453</v>
      </c>
      <c r="EY679" s="67">
        <v>5641.5</v>
      </c>
      <c r="EZ679" s="67" t="s">
        <v>5454</v>
      </c>
      <c r="FA679" s="67">
        <v>19912.25</v>
      </c>
      <c r="FB679" s="67" t="s">
        <v>5455</v>
      </c>
      <c r="FC679" s="67" t="s">
        <v>5456</v>
      </c>
      <c r="FD679" s="67" t="s">
        <v>5457</v>
      </c>
      <c r="FE679" s="68" t="s">
        <v>5458</v>
      </c>
      <c r="FF679" s="68" t="s">
        <v>5459</v>
      </c>
    </row>
    <row r="680" spans="151:162" x14ac:dyDescent="0.2">
      <c r="EU680" s="67">
        <v>562.54999999999995</v>
      </c>
      <c r="EV680" s="67" t="s">
        <v>5460</v>
      </c>
      <c r="EW680" s="67">
        <v>484.57</v>
      </c>
      <c r="EX680" s="67" t="s">
        <v>5461</v>
      </c>
      <c r="EY680" s="67">
        <v>5640</v>
      </c>
      <c r="EZ680" s="67" t="s">
        <v>5462</v>
      </c>
      <c r="FA680" s="67">
        <v>19906.75</v>
      </c>
      <c r="FB680" s="67" t="s">
        <v>5463</v>
      </c>
      <c r="FC680" s="67" t="s">
        <v>5464</v>
      </c>
      <c r="FD680" s="67" t="s">
        <v>5465</v>
      </c>
      <c r="FE680" s="68" t="s">
        <v>5466</v>
      </c>
      <c r="FF680" s="68" t="s">
        <v>5467</v>
      </c>
    </row>
    <row r="681" spans="151:162" x14ac:dyDescent="0.2">
      <c r="EU681" s="67">
        <v>562.87</v>
      </c>
      <c r="EV681" s="67" t="s">
        <v>5468</v>
      </c>
      <c r="EW681" s="67">
        <v>485.03</v>
      </c>
      <c r="EX681" s="67" t="s">
        <v>5469</v>
      </c>
      <c r="EY681" s="67">
        <v>5643.5</v>
      </c>
      <c r="EZ681" s="67" t="s">
        <v>5470</v>
      </c>
      <c r="FA681" s="67">
        <v>19925.5</v>
      </c>
      <c r="FB681" s="67" t="s">
        <v>5471</v>
      </c>
      <c r="FC681" s="67" t="s">
        <v>5472</v>
      </c>
      <c r="FD681" s="67" t="s">
        <v>5473</v>
      </c>
      <c r="FE681" s="68" t="s">
        <v>5474</v>
      </c>
      <c r="FF681" s="68" t="s">
        <v>5475</v>
      </c>
    </row>
    <row r="682" spans="151:162" x14ac:dyDescent="0.2">
      <c r="EU682" s="67">
        <v>562.39</v>
      </c>
      <c r="EV682" s="67" t="s">
        <v>5476</v>
      </c>
      <c r="EW682" s="67">
        <v>484.64</v>
      </c>
      <c r="EX682" s="67" t="s">
        <v>5477</v>
      </c>
      <c r="EY682" s="67">
        <v>5638.75</v>
      </c>
      <c r="EZ682" s="67" t="s">
        <v>5478</v>
      </c>
      <c r="FA682" s="67">
        <v>19910.5</v>
      </c>
      <c r="FB682" s="67" t="s">
        <v>5479</v>
      </c>
      <c r="FC682" s="67" t="s">
        <v>5480</v>
      </c>
      <c r="FD682" s="67" t="s">
        <v>5481</v>
      </c>
      <c r="FE682" s="68" t="s">
        <v>5482</v>
      </c>
      <c r="FF682" s="68" t="s">
        <v>5483</v>
      </c>
    </row>
    <row r="683" spans="151:162" x14ac:dyDescent="0.2">
      <c r="EU683" s="67">
        <v>562.27</v>
      </c>
      <c r="EV683" s="67" t="s">
        <v>5484</v>
      </c>
      <c r="EW683" s="67">
        <v>484.67</v>
      </c>
      <c r="EX683" s="67" t="s">
        <v>5485</v>
      </c>
      <c r="EY683" s="67">
        <v>5637</v>
      </c>
      <c r="EZ683" s="67" t="s">
        <v>5486</v>
      </c>
      <c r="FA683" s="67">
        <v>19910.5</v>
      </c>
      <c r="FB683" s="67" t="s">
        <v>5487</v>
      </c>
      <c r="FC683" s="67" t="s">
        <v>5488</v>
      </c>
      <c r="FD683" s="67" t="s">
        <v>5489</v>
      </c>
      <c r="FE683" s="68" t="s">
        <v>5490</v>
      </c>
      <c r="FF683" s="68" t="s">
        <v>5491</v>
      </c>
    </row>
    <row r="684" spans="151:162" x14ac:dyDescent="0.2">
      <c r="EU684" s="67">
        <v>562.73900000000003</v>
      </c>
      <c r="EV684" s="67" t="s">
        <v>5492</v>
      </c>
      <c r="EW684" s="67">
        <v>484.97</v>
      </c>
      <c r="EX684" s="67" t="s">
        <v>5493</v>
      </c>
      <c r="EY684" s="67">
        <v>5642</v>
      </c>
      <c r="EZ684" s="67" t="s">
        <v>5494</v>
      </c>
      <c r="FA684" s="67">
        <v>19923.25</v>
      </c>
      <c r="FB684" s="67" t="s">
        <v>5495</v>
      </c>
      <c r="FC684" s="67" t="s">
        <v>5496</v>
      </c>
      <c r="FD684" s="67" t="s">
        <v>5497</v>
      </c>
      <c r="FE684" s="68" t="s">
        <v>5498</v>
      </c>
      <c r="FF684" s="68" t="s">
        <v>5499</v>
      </c>
    </row>
    <row r="685" spans="151:162" x14ac:dyDescent="0.2">
      <c r="EU685" s="67">
        <v>562.87</v>
      </c>
      <c r="EV685" s="67" t="s">
        <v>5500</v>
      </c>
      <c r="EW685" s="67">
        <v>485.13</v>
      </c>
      <c r="EX685" s="67" t="s">
        <v>5501</v>
      </c>
      <c r="EY685" s="67">
        <v>5643.5</v>
      </c>
      <c r="EZ685" s="67" t="s">
        <v>5502</v>
      </c>
      <c r="FA685" s="67">
        <v>19928.75</v>
      </c>
      <c r="FB685" s="67" t="s">
        <v>5503</v>
      </c>
      <c r="FC685" s="67" t="s">
        <v>5504</v>
      </c>
      <c r="FD685" s="67" t="s">
        <v>5505</v>
      </c>
      <c r="FE685" s="68" t="s">
        <v>5506</v>
      </c>
      <c r="FF685" s="68" t="s">
        <v>5507</v>
      </c>
    </row>
    <row r="686" spans="151:162" x14ac:dyDescent="0.2">
      <c r="EU686" s="67">
        <v>563.08000000000004</v>
      </c>
      <c r="EV686" s="67" t="s">
        <v>5508</v>
      </c>
      <c r="EW686" s="67">
        <v>485.41199999999998</v>
      </c>
      <c r="EX686" s="67" t="s">
        <v>5509</v>
      </c>
      <c r="EY686" s="67">
        <v>5645.5</v>
      </c>
      <c r="EZ686" s="67" t="s">
        <v>5510</v>
      </c>
      <c r="FA686" s="67">
        <v>19941</v>
      </c>
      <c r="FB686" s="67" t="s">
        <v>5511</v>
      </c>
      <c r="FC686" s="67" t="s">
        <v>5512</v>
      </c>
      <c r="FD686" s="67" t="s">
        <v>5513</v>
      </c>
      <c r="FE686" s="68" t="s">
        <v>5514</v>
      </c>
      <c r="FF686" s="68" t="s">
        <v>5515</v>
      </c>
    </row>
    <row r="687" spans="151:162" x14ac:dyDescent="0.2">
      <c r="EU687" s="67">
        <v>562.88</v>
      </c>
      <c r="EV687" s="67" t="s">
        <v>5516</v>
      </c>
      <c r="EW687" s="67">
        <v>485.44</v>
      </c>
      <c r="EX687" s="67" t="s">
        <v>5517</v>
      </c>
      <c r="EY687" s="67">
        <v>5643.25</v>
      </c>
      <c r="EZ687" s="67" t="s">
        <v>5518</v>
      </c>
      <c r="FA687" s="67">
        <v>19940.5</v>
      </c>
      <c r="FB687" s="67" t="s">
        <v>5519</v>
      </c>
      <c r="FC687" s="67" t="s">
        <v>5520</v>
      </c>
      <c r="FD687" s="67" t="s">
        <v>5521</v>
      </c>
      <c r="FE687" s="68" t="s">
        <v>5522</v>
      </c>
      <c r="FF687" s="68" t="s">
        <v>5523</v>
      </c>
    </row>
    <row r="688" spans="151:162" x14ac:dyDescent="0.2">
      <c r="EU688" s="67">
        <v>562.94000000000005</v>
      </c>
      <c r="EV688" s="67" t="s">
        <v>5524</v>
      </c>
      <c r="EW688" s="67">
        <v>485.57</v>
      </c>
      <c r="EX688" s="67" t="s">
        <v>5525</v>
      </c>
      <c r="EY688" s="67">
        <v>5643.75</v>
      </c>
      <c r="EZ688" s="67" t="s">
        <v>5526</v>
      </c>
      <c r="FA688" s="67">
        <v>19948.75</v>
      </c>
      <c r="FB688" s="67" t="s">
        <v>5527</v>
      </c>
      <c r="FC688" s="67" t="s">
        <v>5528</v>
      </c>
      <c r="FD688" s="67" t="s">
        <v>5529</v>
      </c>
      <c r="FE688" s="68" t="s">
        <v>5530</v>
      </c>
      <c r="FF688" s="68" t="s">
        <v>5531</v>
      </c>
    </row>
    <row r="689" spans="151:162" x14ac:dyDescent="0.2">
      <c r="EU689" s="67">
        <v>562.97</v>
      </c>
      <c r="EV689" s="67" t="s">
        <v>5532</v>
      </c>
      <c r="EW689" s="67">
        <v>485.56</v>
      </c>
      <c r="EX689" s="67" t="s">
        <v>5533</v>
      </c>
      <c r="EY689" s="67">
        <v>5644.5</v>
      </c>
      <c r="EZ689" s="67" t="s">
        <v>5534</v>
      </c>
      <c r="FA689" s="67">
        <v>19946.25</v>
      </c>
      <c r="FB689" s="67" t="s">
        <v>5535</v>
      </c>
      <c r="FC689" s="67" t="s">
        <v>5536</v>
      </c>
      <c r="FD689" s="67" t="s">
        <v>5537</v>
      </c>
      <c r="FE689" s="68" t="s">
        <v>5538</v>
      </c>
      <c r="FF689" s="68" t="s">
        <v>5539</v>
      </c>
    </row>
    <row r="690" spans="151:162" x14ac:dyDescent="0.2">
      <c r="EU690" s="67">
        <v>562.51</v>
      </c>
      <c r="EV690" s="67" t="s">
        <v>5540</v>
      </c>
      <c r="EW690" s="67">
        <v>484.99</v>
      </c>
      <c r="EX690" s="67" t="s">
        <v>5541</v>
      </c>
      <c r="EY690" s="67">
        <v>5639.75</v>
      </c>
      <c r="EZ690" s="67" t="s">
        <v>5542</v>
      </c>
      <c r="FA690" s="67">
        <v>19922.25</v>
      </c>
      <c r="FB690" s="67" t="s">
        <v>5543</v>
      </c>
      <c r="FC690" s="67" t="s">
        <v>5544</v>
      </c>
      <c r="FD690" s="67" t="s">
        <v>5545</v>
      </c>
      <c r="FE690" s="68" t="s">
        <v>5546</v>
      </c>
      <c r="FF690" s="68" t="s">
        <v>5547</v>
      </c>
    </row>
    <row r="691" spans="151:162" x14ac:dyDescent="0.2">
      <c r="EU691" s="67">
        <v>562.20000000000005</v>
      </c>
      <c r="EV691" s="67" t="s">
        <v>5548</v>
      </c>
      <c r="EW691" s="67">
        <v>484.53</v>
      </c>
      <c r="EX691" s="67" t="s">
        <v>5549</v>
      </c>
      <c r="EY691" s="67">
        <v>5636</v>
      </c>
      <c r="EZ691" s="67" t="s">
        <v>5550</v>
      </c>
      <c r="FA691" s="67">
        <v>19904.75</v>
      </c>
      <c r="FB691" s="67" t="s">
        <v>5551</v>
      </c>
      <c r="FC691" s="67" t="s">
        <v>5552</v>
      </c>
      <c r="FD691" s="67" t="s">
        <v>5553</v>
      </c>
      <c r="FE691" s="68" t="s">
        <v>5554</v>
      </c>
      <c r="FF691" s="68" t="s">
        <v>5555</v>
      </c>
    </row>
    <row r="692" spans="151:162" x14ac:dyDescent="0.2">
      <c r="EU692" s="67">
        <v>562.05999999999995</v>
      </c>
      <c r="EV692" s="67" t="s">
        <v>5556</v>
      </c>
      <c r="EW692" s="67">
        <v>484.4</v>
      </c>
      <c r="EX692" s="67" t="s">
        <v>5557</v>
      </c>
      <c r="EY692" s="67">
        <v>5635.25</v>
      </c>
      <c r="EZ692" s="67" t="s">
        <v>5558</v>
      </c>
      <c r="FA692" s="67">
        <v>19899.5</v>
      </c>
      <c r="FB692" s="67" t="s">
        <v>5559</v>
      </c>
      <c r="FC692" s="67" t="s">
        <v>5560</v>
      </c>
      <c r="FD692" s="67" t="s">
        <v>5561</v>
      </c>
      <c r="FE692" s="68" t="s">
        <v>5562</v>
      </c>
      <c r="FF692" s="68" t="s">
        <v>5563</v>
      </c>
    </row>
    <row r="693" spans="151:162" x14ac:dyDescent="0.2">
      <c r="EU693" s="67">
        <v>562.36</v>
      </c>
      <c r="EV693" s="67" t="s">
        <v>5564</v>
      </c>
      <c r="EW693" s="67">
        <v>484.77</v>
      </c>
      <c r="EX693" s="67" t="s">
        <v>5565</v>
      </c>
      <c r="EY693" s="67">
        <v>5638.25</v>
      </c>
      <c r="EZ693" s="67" t="s">
        <v>5566</v>
      </c>
      <c r="FA693" s="67">
        <v>19913.25</v>
      </c>
      <c r="FB693" s="67" t="s">
        <v>5567</v>
      </c>
      <c r="FC693" s="67" t="s">
        <v>5568</v>
      </c>
      <c r="FD693" s="67" t="s">
        <v>5569</v>
      </c>
      <c r="FE693" s="68" t="s">
        <v>5570</v>
      </c>
      <c r="FF693" s="68" t="s">
        <v>5571</v>
      </c>
    </row>
    <row r="694" spans="151:162" x14ac:dyDescent="0.2">
      <c r="EU694" s="67">
        <v>562.75</v>
      </c>
      <c r="EV694" s="67" t="s">
        <v>5572</v>
      </c>
      <c r="EW694" s="67">
        <v>485.38</v>
      </c>
      <c r="EX694" s="67" t="s">
        <v>5573</v>
      </c>
      <c r="EY694" s="67">
        <v>5642.5</v>
      </c>
      <c r="EZ694" s="67" t="s">
        <v>5574</v>
      </c>
      <c r="FA694" s="67">
        <v>19940</v>
      </c>
      <c r="FB694" s="67" t="s">
        <v>5575</v>
      </c>
      <c r="FC694" s="67" t="s">
        <v>5576</v>
      </c>
      <c r="FD694" s="67" t="s">
        <v>5577</v>
      </c>
      <c r="FE694" s="68" t="s">
        <v>5578</v>
      </c>
      <c r="FF694" s="68" t="s">
        <v>5579</v>
      </c>
    </row>
    <row r="695" spans="151:162" x14ac:dyDescent="0.2">
      <c r="EU695" s="67">
        <v>562.47500000000002</v>
      </c>
      <c r="EV695" s="67" t="s">
        <v>5580</v>
      </c>
      <c r="EW695" s="67">
        <v>485.17500000000001</v>
      </c>
      <c r="EX695" s="67" t="s">
        <v>5581</v>
      </c>
      <c r="EY695" s="67">
        <v>5639.5</v>
      </c>
      <c r="EZ695" s="67" t="s">
        <v>5582</v>
      </c>
      <c r="FA695" s="67">
        <v>19930.5</v>
      </c>
      <c r="FB695" s="67" t="s">
        <v>5583</v>
      </c>
      <c r="FC695" s="67" t="s">
        <v>5584</v>
      </c>
      <c r="FD695" s="67" t="s">
        <v>5585</v>
      </c>
      <c r="FE695" s="68" t="s">
        <v>5586</v>
      </c>
      <c r="FF695" s="68" t="s">
        <v>5587</v>
      </c>
    </row>
    <row r="696" spans="151:162" x14ac:dyDescent="0.2">
      <c r="EU696" s="67">
        <v>562.22</v>
      </c>
      <c r="EV696" s="67" t="s">
        <v>5588</v>
      </c>
      <c r="EW696" s="67">
        <v>485.37</v>
      </c>
      <c r="EX696" s="67" t="s">
        <v>5589</v>
      </c>
      <c r="EY696" s="67">
        <v>5638</v>
      </c>
      <c r="EZ696" s="67" t="s">
        <v>5590</v>
      </c>
      <c r="FA696" s="67">
        <v>19931.25</v>
      </c>
      <c r="FB696" s="67" t="s">
        <v>5591</v>
      </c>
      <c r="FC696" s="67" t="s">
        <v>5592</v>
      </c>
      <c r="FD696" s="67" t="s">
        <v>5593</v>
      </c>
      <c r="FE696" s="68" t="s">
        <v>5594</v>
      </c>
      <c r="FF696" s="68" t="s">
        <v>5595</v>
      </c>
    </row>
    <row r="697" spans="151:162" x14ac:dyDescent="0.2">
      <c r="EU697" s="67">
        <v>562.29</v>
      </c>
      <c r="EV697" s="67" t="s">
        <v>5596</v>
      </c>
      <c r="EW697" s="67">
        <v>485.42</v>
      </c>
      <c r="EX697" s="67" t="s">
        <v>5597</v>
      </c>
      <c r="EY697" s="67">
        <v>5637.75</v>
      </c>
      <c r="EZ697" s="67" t="s">
        <v>5598</v>
      </c>
      <c r="FA697" s="67">
        <v>19941.25</v>
      </c>
      <c r="FB697" s="67" t="s">
        <v>5599</v>
      </c>
      <c r="FC697" s="67" t="s">
        <v>5600</v>
      </c>
      <c r="FD697" s="67" t="s">
        <v>5601</v>
      </c>
      <c r="FE697" s="68" t="s">
        <v>5602</v>
      </c>
      <c r="FF697" s="68" t="s">
        <v>5603</v>
      </c>
    </row>
    <row r="698" spans="151:162" x14ac:dyDescent="0.2">
      <c r="EU698" s="67">
        <v>562.27</v>
      </c>
      <c r="EV698" s="67" t="s">
        <v>5604</v>
      </c>
      <c r="EW698" s="67">
        <v>485.33</v>
      </c>
      <c r="EX698" s="67" t="s">
        <v>5605</v>
      </c>
      <c r="EY698" s="67">
        <v>5637.5</v>
      </c>
      <c r="EZ698" s="67" t="s">
        <v>5606</v>
      </c>
      <c r="FA698" s="67">
        <v>19937.75</v>
      </c>
      <c r="FB698" s="67" t="s">
        <v>5607</v>
      </c>
      <c r="FC698" s="67" t="s">
        <v>5608</v>
      </c>
      <c r="FD698" s="67" t="s">
        <v>5609</v>
      </c>
      <c r="FE698" s="68" t="s">
        <v>5610</v>
      </c>
      <c r="FF698" s="68" t="s">
        <v>5611</v>
      </c>
    </row>
    <row r="699" spans="151:162" x14ac:dyDescent="0.2">
      <c r="EU699" s="67">
        <v>562.72</v>
      </c>
      <c r="EV699" s="67" t="s">
        <v>5612</v>
      </c>
      <c r="EW699" s="67">
        <v>485.74700000000001</v>
      </c>
      <c r="EX699" s="67" t="s">
        <v>5613</v>
      </c>
      <c r="EY699" s="67">
        <v>5642.25</v>
      </c>
      <c r="EZ699" s="67" t="s">
        <v>5614</v>
      </c>
      <c r="FA699" s="67">
        <v>19954.25</v>
      </c>
      <c r="FB699" s="67" t="s">
        <v>5615</v>
      </c>
      <c r="FC699" s="67" t="s">
        <v>5616</v>
      </c>
      <c r="FD699" s="67" t="s">
        <v>5617</v>
      </c>
      <c r="FE699" s="68" t="s">
        <v>5618</v>
      </c>
      <c r="FF699" s="68" t="s">
        <v>5619</v>
      </c>
    </row>
    <row r="700" spans="151:162" x14ac:dyDescent="0.2">
      <c r="EU700" s="67">
        <v>562.41</v>
      </c>
      <c r="EV700" s="67" t="s">
        <v>5620</v>
      </c>
      <c r="EW700" s="67">
        <v>485.33</v>
      </c>
      <c r="EX700" s="67" t="s">
        <v>5621</v>
      </c>
      <c r="EY700" s="67">
        <v>5638.5</v>
      </c>
      <c r="EZ700" s="67" t="s">
        <v>5622</v>
      </c>
      <c r="FA700" s="67">
        <v>19936.5</v>
      </c>
      <c r="FB700" s="67" t="s">
        <v>5623</v>
      </c>
      <c r="FC700" s="67" t="s">
        <v>5624</v>
      </c>
      <c r="FD700" s="67" t="s">
        <v>5625</v>
      </c>
      <c r="FE700" s="68" t="s">
        <v>5626</v>
      </c>
      <c r="FF700" s="68" t="s">
        <v>5627</v>
      </c>
    </row>
    <row r="701" spans="151:162" x14ac:dyDescent="0.2">
      <c r="EU701" s="67">
        <v>562.23</v>
      </c>
      <c r="EV701" s="67" t="s">
        <v>5628</v>
      </c>
      <c r="EW701" s="67">
        <v>485.07</v>
      </c>
      <c r="EX701" s="67" t="s">
        <v>5629</v>
      </c>
      <c r="EY701" s="67">
        <v>5637</v>
      </c>
      <c r="EZ701" s="67" t="s">
        <v>5630</v>
      </c>
      <c r="FA701" s="67">
        <v>19926.5</v>
      </c>
      <c r="FB701" s="67" t="s">
        <v>5631</v>
      </c>
      <c r="FC701" s="67" t="s">
        <v>5632</v>
      </c>
      <c r="FD701" s="67" t="s">
        <v>5633</v>
      </c>
      <c r="FE701" s="68" t="s">
        <v>5634</v>
      </c>
      <c r="FF701" s="68" t="s">
        <v>5635</v>
      </c>
    </row>
    <row r="702" spans="151:162" x14ac:dyDescent="0.2">
      <c r="EU702" s="67">
        <v>562.07500000000005</v>
      </c>
      <c r="EV702" s="67" t="s">
        <v>5636</v>
      </c>
      <c r="EW702" s="67">
        <v>485.065</v>
      </c>
      <c r="EX702" s="67" t="s">
        <v>5637</v>
      </c>
      <c r="EY702" s="67">
        <v>5635.5</v>
      </c>
      <c r="EZ702" s="67" t="s">
        <v>5638</v>
      </c>
      <c r="FA702" s="67">
        <v>19926</v>
      </c>
      <c r="FB702" s="67" t="s">
        <v>5639</v>
      </c>
      <c r="FC702" s="67" t="s">
        <v>5640</v>
      </c>
      <c r="FD702" s="67" t="s">
        <v>5641</v>
      </c>
      <c r="FE702" s="68" t="s">
        <v>5642</v>
      </c>
      <c r="FF702" s="68" t="s">
        <v>5643</v>
      </c>
    </row>
    <row r="703" spans="151:162" x14ac:dyDescent="0.2">
      <c r="EU703" s="67">
        <v>562.04999999999995</v>
      </c>
      <c r="EV703" s="67" t="s">
        <v>5644</v>
      </c>
      <c r="EW703" s="67">
        <v>485</v>
      </c>
      <c r="EX703" s="67" t="s">
        <v>5645</v>
      </c>
      <c r="EY703" s="67">
        <v>5635</v>
      </c>
      <c r="EZ703" s="67" t="s">
        <v>5646</v>
      </c>
      <c r="FA703" s="67">
        <v>19923.25</v>
      </c>
      <c r="FB703" s="67" t="s">
        <v>5647</v>
      </c>
      <c r="FC703" s="67" t="s">
        <v>5648</v>
      </c>
      <c r="FD703" s="67" t="s">
        <v>5649</v>
      </c>
      <c r="FE703" s="68" t="s">
        <v>5650</v>
      </c>
      <c r="FF703" s="68" t="s">
        <v>5651</v>
      </c>
    </row>
    <row r="704" spans="151:162" x14ac:dyDescent="0.2">
      <c r="EU704" s="67">
        <v>562.19299999999998</v>
      </c>
      <c r="EV704" s="67" t="s">
        <v>5652</v>
      </c>
      <c r="EW704" s="67">
        <v>485.11</v>
      </c>
      <c r="EX704" s="67" t="s">
        <v>5653</v>
      </c>
      <c r="EY704" s="67">
        <v>5636.5</v>
      </c>
      <c r="EZ704" s="67" t="s">
        <v>5654</v>
      </c>
      <c r="FA704" s="67">
        <v>19927.75</v>
      </c>
      <c r="FB704" s="67" t="s">
        <v>5655</v>
      </c>
      <c r="FC704" s="67" t="s">
        <v>5656</v>
      </c>
      <c r="FD704" s="67" t="s">
        <v>5657</v>
      </c>
      <c r="FE704" s="68" t="s">
        <v>5658</v>
      </c>
      <c r="FF704" s="68" t="s">
        <v>5659</v>
      </c>
    </row>
    <row r="705" spans="151:162" x14ac:dyDescent="0.2">
      <c r="EU705" s="67">
        <v>562.29999999999995</v>
      </c>
      <c r="EV705" s="67" t="s">
        <v>5660</v>
      </c>
      <c r="EW705" s="67">
        <v>485.16</v>
      </c>
      <c r="EX705" s="67" t="s">
        <v>5661</v>
      </c>
      <c r="EY705" s="67">
        <v>5637.5</v>
      </c>
      <c r="EZ705" s="67" t="s">
        <v>5662</v>
      </c>
      <c r="FA705" s="67">
        <v>19929.75</v>
      </c>
      <c r="FB705" s="67" t="s">
        <v>5663</v>
      </c>
      <c r="FC705" s="67" t="s">
        <v>5664</v>
      </c>
      <c r="FD705" s="67" t="s">
        <v>5665</v>
      </c>
      <c r="FE705" s="68" t="s">
        <v>5666</v>
      </c>
      <c r="FF705" s="68" t="s">
        <v>5667</v>
      </c>
    </row>
    <row r="706" spans="151:162" x14ac:dyDescent="0.2">
      <c r="EU706" s="67">
        <v>562.75</v>
      </c>
      <c r="EV706" s="67" t="s">
        <v>5668</v>
      </c>
      <c r="EW706" s="67">
        <v>485.52</v>
      </c>
      <c r="EX706" s="67" t="s">
        <v>5669</v>
      </c>
      <c r="EY706" s="67">
        <v>5642.25</v>
      </c>
      <c r="EZ706" s="67" t="s">
        <v>5670</v>
      </c>
      <c r="FA706" s="67">
        <v>19945.75</v>
      </c>
      <c r="FB706" s="67" t="s">
        <v>5671</v>
      </c>
      <c r="FC706" s="67" t="s">
        <v>5672</v>
      </c>
      <c r="FD706" s="67" t="s">
        <v>5673</v>
      </c>
      <c r="FE706" s="68" t="s">
        <v>5674</v>
      </c>
      <c r="FF706" s="68" t="s">
        <v>5675</v>
      </c>
    </row>
    <row r="707" spans="151:162" x14ac:dyDescent="0.2">
      <c r="EU707" s="67">
        <v>563.23</v>
      </c>
      <c r="EV707" s="67" t="s">
        <v>5676</v>
      </c>
      <c r="EW707" s="67">
        <v>486.11</v>
      </c>
      <c r="EX707" s="67" t="s">
        <v>5677</v>
      </c>
      <c r="EY707" s="67">
        <v>5647.5</v>
      </c>
      <c r="EZ707" s="67" t="s">
        <v>5678</v>
      </c>
      <c r="FA707" s="67">
        <v>19969</v>
      </c>
      <c r="FB707" s="67" t="s">
        <v>5679</v>
      </c>
      <c r="FC707" s="67" t="s">
        <v>5680</v>
      </c>
      <c r="FD707" s="67" t="s">
        <v>5681</v>
      </c>
      <c r="FE707" s="68" t="s">
        <v>5682</v>
      </c>
      <c r="FF707" s="68" t="s">
        <v>5683</v>
      </c>
    </row>
    <row r="708" spans="151:162" x14ac:dyDescent="0.2">
      <c r="EU708" s="67">
        <v>563.14</v>
      </c>
      <c r="EV708" s="67" t="s">
        <v>5684</v>
      </c>
      <c r="EW708" s="67">
        <v>485.92</v>
      </c>
      <c r="EX708" s="67" t="s">
        <v>5685</v>
      </c>
      <c r="EY708" s="67">
        <v>5646.75</v>
      </c>
      <c r="EZ708" s="67" t="s">
        <v>5686</v>
      </c>
      <c r="FA708" s="67">
        <v>19960.25</v>
      </c>
      <c r="FB708" s="67" t="s">
        <v>5687</v>
      </c>
      <c r="FC708" s="67" t="s">
        <v>5688</v>
      </c>
      <c r="FD708" s="67" t="s">
        <v>5689</v>
      </c>
      <c r="FE708" s="68" t="s">
        <v>5690</v>
      </c>
      <c r="FF708" s="68" t="s">
        <v>5691</v>
      </c>
    </row>
    <row r="709" spans="151:162" x14ac:dyDescent="0.2">
      <c r="EU709" s="67">
        <v>563.12</v>
      </c>
      <c r="EV709" s="67" t="s">
        <v>5692</v>
      </c>
      <c r="EW709" s="67">
        <v>485.82499999999999</v>
      </c>
      <c r="EX709" s="67" t="s">
        <v>5693</v>
      </c>
      <c r="EY709" s="67">
        <v>5646</v>
      </c>
      <c r="EZ709" s="67" t="s">
        <v>5694</v>
      </c>
      <c r="FA709" s="67">
        <v>19959.75</v>
      </c>
      <c r="FB709" s="67" t="s">
        <v>5695</v>
      </c>
      <c r="FC709" s="67" t="s">
        <v>5696</v>
      </c>
      <c r="FD709" s="67" t="s">
        <v>5697</v>
      </c>
      <c r="FE709" s="68" t="s">
        <v>5698</v>
      </c>
      <c r="FF709" s="68" t="s">
        <v>5699</v>
      </c>
    </row>
    <row r="710" spans="151:162" x14ac:dyDescent="0.2">
      <c r="EU710" s="67">
        <v>563.77</v>
      </c>
      <c r="EV710" s="67" t="s">
        <v>5700</v>
      </c>
      <c r="EW710" s="67">
        <v>486.68</v>
      </c>
      <c r="EX710" s="67" t="s">
        <v>5701</v>
      </c>
      <c r="EY710" s="67">
        <v>5652.5</v>
      </c>
      <c r="EZ710" s="67" t="s">
        <v>5702</v>
      </c>
      <c r="FA710" s="67">
        <v>19993.25</v>
      </c>
      <c r="FB710" s="67" t="s">
        <v>5703</v>
      </c>
      <c r="FC710" s="67" t="s">
        <v>5704</v>
      </c>
      <c r="FD710" s="67" t="s">
        <v>5705</v>
      </c>
      <c r="FE710" s="68" t="s">
        <v>5706</v>
      </c>
      <c r="FF710" s="68" t="s">
        <v>5707</v>
      </c>
    </row>
    <row r="711" spans="151:162" x14ac:dyDescent="0.2">
      <c r="EU711" s="67">
        <v>564.12</v>
      </c>
      <c r="EV711" s="67" t="s">
        <v>5708</v>
      </c>
      <c r="EW711" s="67">
        <v>486.89</v>
      </c>
      <c r="EX711" s="67" t="s">
        <v>5709</v>
      </c>
      <c r="EY711" s="67">
        <v>5654.75</v>
      </c>
      <c r="EZ711" s="67" t="s">
        <v>5710</v>
      </c>
      <c r="FA711" s="67">
        <v>20006</v>
      </c>
      <c r="FB711" s="67" t="s">
        <v>5711</v>
      </c>
      <c r="FC711" s="67" t="s">
        <v>5712</v>
      </c>
      <c r="FD711" s="67" t="s">
        <v>5713</v>
      </c>
      <c r="FE711" s="68" t="s">
        <v>5714</v>
      </c>
      <c r="FF711" s="68" t="s">
        <v>5715</v>
      </c>
    </row>
    <row r="712" spans="151:162" x14ac:dyDescent="0.2">
      <c r="EU712" s="67">
        <v>563.92999999999995</v>
      </c>
      <c r="EV712" s="67" t="s">
        <v>5716</v>
      </c>
      <c r="EW712" s="67">
        <v>486.86</v>
      </c>
      <c r="EX712" s="67" t="s">
        <v>5717</v>
      </c>
      <c r="EY712" s="67">
        <v>5654</v>
      </c>
      <c r="EZ712" s="67" t="s">
        <v>5718</v>
      </c>
      <c r="FA712" s="67">
        <v>20000.5</v>
      </c>
      <c r="FB712" s="67" t="s">
        <v>5719</v>
      </c>
      <c r="FC712" s="67" t="s">
        <v>5720</v>
      </c>
      <c r="FD712" s="67" t="s">
        <v>5721</v>
      </c>
      <c r="FE712" s="68" t="s">
        <v>5722</v>
      </c>
      <c r="FF712" s="68" t="s">
        <v>5723</v>
      </c>
    </row>
    <row r="713" spans="151:162" x14ac:dyDescent="0.2">
      <c r="EU713" s="67">
        <v>563.6</v>
      </c>
      <c r="EV713" s="67" t="s">
        <v>5724</v>
      </c>
      <c r="EW713" s="67">
        <v>486.49</v>
      </c>
      <c r="EX713" s="67" t="s">
        <v>5725</v>
      </c>
      <c r="EY713" s="67">
        <v>5651</v>
      </c>
      <c r="EZ713" s="67" t="s">
        <v>5726</v>
      </c>
      <c r="FA713" s="67">
        <v>19985.5</v>
      </c>
      <c r="FB713" s="67" t="s">
        <v>5727</v>
      </c>
      <c r="FC713" s="67" t="s">
        <v>5728</v>
      </c>
      <c r="FD713" s="67" t="s">
        <v>5729</v>
      </c>
      <c r="FE713" s="68" t="s">
        <v>5730</v>
      </c>
      <c r="FF713" s="68" t="s">
        <v>5731</v>
      </c>
    </row>
    <row r="714" spans="151:162" x14ac:dyDescent="0.2">
      <c r="EU714" s="67">
        <v>563.11</v>
      </c>
      <c r="EV714" s="67" t="s">
        <v>5732</v>
      </c>
      <c r="EW714" s="67">
        <v>485.8</v>
      </c>
      <c r="EX714" s="67" t="s">
        <v>5733</v>
      </c>
      <c r="EY714" s="67">
        <v>5645.75</v>
      </c>
      <c r="EZ714" s="67" t="s">
        <v>5734</v>
      </c>
      <c r="FA714" s="67">
        <v>19957.25</v>
      </c>
      <c r="FB714" s="67" t="s">
        <v>5735</v>
      </c>
      <c r="FC714" s="67" t="s">
        <v>5736</v>
      </c>
      <c r="FD714" s="67" t="s">
        <v>5737</v>
      </c>
      <c r="FE714" s="68" t="s">
        <v>5738</v>
      </c>
      <c r="FF714" s="68" t="s">
        <v>5739</v>
      </c>
    </row>
    <row r="715" spans="151:162" x14ac:dyDescent="0.2">
      <c r="EU715" s="67">
        <v>563.12</v>
      </c>
      <c r="EV715" s="67" t="s">
        <v>5740</v>
      </c>
      <c r="EW715" s="67">
        <v>485.9</v>
      </c>
      <c r="EX715" s="67" t="s">
        <v>5741</v>
      </c>
      <c r="EY715" s="67">
        <v>5645.75</v>
      </c>
      <c r="EZ715" s="67" t="s">
        <v>5742</v>
      </c>
      <c r="FA715" s="67">
        <v>19960.25</v>
      </c>
      <c r="FB715" s="67" t="s">
        <v>5743</v>
      </c>
      <c r="FC715" s="67" t="s">
        <v>5744</v>
      </c>
      <c r="FD715" s="67" t="s">
        <v>5745</v>
      </c>
      <c r="FE715" s="68" t="s">
        <v>5746</v>
      </c>
      <c r="FF715" s="68" t="s">
        <v>5747</v>
      </c>
    </row>
    <row r="716" spans="151:162" x14ac:dyDescent="0.2">
      <c r="EU716" s="67">
        <v>562.52</v>
      </c>
      <c r="EV716" s="67" t="s">
        <v>5748</v>
      </c>
      <c r="EW716" s="67">
        <v>485.3</v>
      </c>
      <c r="EX716" s="67" t="s">
        <v>5749</v>
      </c>
      <c r="EY716" s="67">
        <v>5640.5</v>
      </c>
      <c r="EZ716" s="67" t="s">
        <v>5750</v>
      </c>
      <c r="FA716" s="67">
        <v>19935.25</v>
      </c>
      <c r="FB716" s="67" t="s">
        <v>5751</v>
      </c>
      <c r="FC716" s="67" t="s">
        <v>5752</v>
      </c>
      <c r="FD716" s="67" t="s">
        <v>5753</v>
      </c>
      <c r="FE716" s="68" t="s">
        <v>5754</v>
      </c>
      <c r="FF716" s="68" t="s">
        <v>5755</v>
      </c>
    </row>
    <row r="717" spans="151:162" x14ac:dyDescent="0.2">
      <c r="EU717" s="67">
        <v>563.36599999999999</v>
      </c>
      <c r="EV717" s="67" t="s">
        <v>5756</v>
      </c>
      <c r="EW717" s="67">
        <v>486.02</v>
      </c>
      <c r="EX717" s="67" t="s">
        <v>5757</v>
      </c>
      <c r="EY717" s="67">
        <v>5648.5</v>
      </c>
      <c r="EZ717" s="67" t="s">
        <v>5758</v>
      </c>
      <c r="FA717" s="67">
        <v>19965.75</v>
      </c>
      <c r="FB717" s="67" t="s">
        <v>5759</v>
      </c>
      <c r="FC717" s="67" t="s">
        <v>5760</v>
      </c>
      <c r="FD717" s="67" t="s">
        <v>5761</v>
      </c>
      <c r="FE717" s="68" t="s">
        <v>5762</v>
      </c>
      <c r="FF717" s="68" t="s">
        <v>5763</v>
      </c>
    </row>
    <row r="718" spans="151:162" x14ac:dyDescent="0.2">
      <c r="EU718" s="67">
        <v>563.52</v>
      </c>
      <c r="EV718" s="67" t="s">
        <v>5764</v>
      </c>
      <c r="EW718" s="67">
        <v>486.02</v>
      </c>
      <c r="EX718" s="67" t="s">
        <v>5765</v>
      </c>
      <c r="EY718" s="67">
        <v>5649.75</v>
      </c>
      <c r="EZ718" s="67" t="s">
        <v>5766</v>
      </c>
      <c r="FA718" s="67">
        <v>19966.25</v>
      </c>
      <c r="FB718" s="67" t="s">
        <v>5767</v>
      </c>
      <c r="FC718" s="67" t="s">
        <v>5768</v>
      </c>
      <c r="FD718" s="67" t="s">
        <v>5769</v>
      </c>
      <c r="FE718" s="68" t="s">
        <v>5770</v>
      </c>
      <c r="FF718" s="68" t="s">
        <v>5771</v>
      </c>
    </row>
    <row r="719" spans="151:162" x14ac:dyDescent="0.2">
      <c r="EU719" s="67">
        <v>563.17499999999995</v>
      </c>
      <c r="EV719" s="67" t="s">
        <v>5772</v>
      </c>
      <c r="EW719" s="67">
        <v>485.67</v>
      </c>
      <c r="EX719" s="67" t="s">
        <v>5773</v>
      </c>
      <c r="EY719" s="67">
        <v>5646.5</v>
      </c>
      <c r="EZ719" s="67" t="s">
        <v>5774</v>
      </c>
      <c r="FA719" s="67">
        <v>19950.75</v>
      </c>
      <c r="FB719" s="67" t="s">
        <v>5775</v>
      </c>
      <c r="FC719" s="67" t="s">
        <v>5776</v>
      </c>
      <c r="FD719" s="67" t="s">
        <v>5777</v>
      </c>
      <c r="FE719" s="68" t="s">
        <v>5778</v>
      </c>
      <c r="FF719" s="68" t="s">
        <v>5779</v>
      </c>
    </row>
    <row r="720" spans="151:162" x14ac:dyDescent="0.2">
      <c r="EU720" s="67">
        <v>563.37</v>
      </c>
      <c r="EV720" s="67" t="s">
        <v>5780</v>
      </c>
      <c r="EW720" s="67">
        <v>485.87</v>
      </c>
      <c r="EX720" s="67" t="s">
        <v>5781</v>
      </c>
      <c r="EY720" s="67">
        <v>5648</v>
      </c>
      <c r="EZ720" s="67" t="s">
        <v>5782</v>
      </c>
      <c r="FA720" s="67">
        <v>19958.75</v>
      </c>
      <c r="FB720" s="67" t="s">
        <v>5783</v>
      </c>
      <c r="FC720" s="67" t="s">
        <v>5784</v>
      </c>
      <c r="FD720" s="67" t="s">
        <v>5785</v>
      </c>
      <c r="FE720" s="68" t="s">
        <v>5786</v>
      </c>
      <c r="FF720" s="68" t="s">
        <v>5787</v>
      </c>
    </row>
    <row r="721" spans="151:162" x14ac:dyDescent="0.2">
      <c r="EU721" s="67">
        <v>563.59</v>
      </c>
      <c r="EV721" s="67" t="s">
        <v>5788</v>
      </c>
      <c r="EW721" s="67">
        <v>485.95</v>
      </c>
      <c r="EX721" s="67" t="s">
        <v>5789</v>
      </c>
      <c r="EY721" s="67">
        <v>5650.5</v>
      </c>
      <c r="EZ721" s="67" t="s">
        <v>5790</v>
      </c>
      <c r="FA721" s="67">
        <v>19963</v>
      </c>
      <c r="FB721" s="67" t="s">
        <v>5791</v>
      </c>
      <c r="FC721" s="67" t="s">
        <v>5792</v>
      </c>
      <c r="FD721" s="67" t="s">
        <v>5793</v>
      </c>
      <c r="FE721" s="68" t="s">
        <v>5794</v>
      </c>
      <c r="FF721" s="68" t="s">
        <v>5795</v>
      </c>
    </row>
    <row r="722" spans="151:162" x14ac:dyDescent="0.2">
      <c r="EU722" s="67">
        <v>563.10500000000002</v>
      </c>
      <c r="EV722" s="67" t="s">
        <v>5796</v>
      </c>
      <c r="EW722" s="67">
        <v>485.52</v>
      </c>
      <c r="EX722" s="67" t="s">
        <v>5797</v>
      </c>
      <c r="EY722" s="67">
        <v>5645.75</v>
      </c>
      <c r="EZ722" s="67" t="s">
        <v>5798</v>
      </c>
      <c r="FA722" s="67">
        <v>19945</v>
      </c>
      <c r="FB722" s="67" t="s">
        <v>5799</v>
      </c>
      <c r="FC722" s="67" t="s">
        <v>5800</v>
      </c>
      <c r="FD722" s="67" t="s">
        <v>5801</v>
      </c>
      <c r="FE722" s="68" t="s">
        <v>5802</v>
      </c>
      <c r="FF722" s="68" t="s">
        <v>5803</v>
      </c>
    </row>
    <row r="723" spans="151:162" x14ac:dyDescent="0.2">
      <c r="EU723" s="67">
        <v>563.12</v>
      </c>
      <c r="EV723" s="67" t="s">
        <v>5804</v>
      </c>
      <c r="EW723" s="67">
        <v>485.6</v>
      </c>
      <c r="EX723" s="67" t="s">
        <v>5805</v>
      </c>
      <c r="EY723" s="67">
        <v>5646</v>
      </c>
      <c r="EZ723" s="67" t="s">
        <v>5806</v>
      </c>
      <c r="FA723" s="67">
        <v>19948.25</v>
      </c>
      <c r="FB723" s="67" t="s">
        <v>5807</v>
      </c>
      <c r="FC723" s="67" t="s">
        <v>5808</v>
      </c>
      <c r="FD723" s="67" t="s">
        <v>5809</v>
      </c>
      <c r="FE723" s="68" t="s">
        <v>5810</v>
      </c>
      <c r="FF723" s="68" t="s">
        <v>5811</v>
      </c>
    </row>
    <row r="724" spans="151:162" x14ac:dyDescent="0.2">
      <c r="EU724" s="67">
        <v>563.62</v>
      </c>
      <c r="EV724" s="67" t="s">
        <v>5812</v>
      </c>
      <c r="EW724" s="67">
        <v>486.18</v>
      </c>
      <c r="EX724" s="67" t="s">
        <v>5813</v>
      </c>
      <c r="EY724" s="67">
        <v>5651</v>
      </c>
      <c r="EZ724" s="67" t="s">
        <v>5814</v>
      </c>
      <c r="FA724" s="67">
        <v>19971.75</v>
      </c>
      <c r="FB724" s="67" t="s">
        <v>5815</v>
      </c>
      <c r="FC724" s="67" t="s">
        <v>5816</v>
      </c>
      <c r="FD724" s="67" t="s">
        <v>5817</v>
      </c>
      <c r="FE724" s="68" t="s">
        <v>5818</v>
      </c>
      <c r="FF724" s="68" t="s">
        <v>5819</v>
      </c>
    </row>
    <row r="725" spans="151:162" x14ac:dyDescent="0.2">
      <c r="EU725" s="67">
        <v>563.61</v>
      </c>
      <c r="EV725" s="67" t="s">
        <v>5820</v>
      </c>
      <c r="EW725" s="67">
        <v>486.12</v>
      </c>
      <c r="EX725" s="67" t="s">
        <v>5821</v>
      </c>
      <c r="EY725" s="67">
        <v>5651.5</v>
      </c>
      <c r="EZ725" s="67" t="s">
        <v>5822</v>
      </c>
      <c r="FA725" s="67">
        <v>19968.25</v>
      </c>
      <c r="FB725" s="67" t="s">
        <v>5823</v>
      </c>
      <c r="FC725" s="67" t="s">
        <v>5824</v>
      </c>
      <c r="FD725" s="67" t="s">
        <v>5825</v>
      </c>
      <c r="FE725" s="68" t="s">
        <v>5826</v>
      </c>
      <c r="FF725" s="68" t="s">
        <v>5827</v>
      </c>
    </row>
    <row r="726" spans="151:162" x14ac:dyDescent="0.2">
      <c r="EU726" s="67">
        <v>563.73</v>
      </c>
      <c r="EV726" s="67" t="s">
        <v>5828</v>
      </c>
      <c r="EW726" s="67">
        <v>486.36</v>
      </c>
      <c r="EX726" s="67" t="s">
        <v>5829</v>
      </c>
      <c r="EY726" s="67">
        <v>5653</v>
      </c>
      <c r="EZ726" s="67" t="s">
        <v>5830</v>
      </c>
      <c r="FA726" s="67">
        <v>19978</v>
      </c>
      <c r="FB726" s="67" t="s">
        <v>5831</v>
      </c>
      <c r="FC726" s="67" t="s">
        <v>5832</v>
      </c>
      <c r="FD726" s="67" t="s">
        <v>5833</v>
      </c>
      <c r="FE726" s="68" t="s">
        <v>5834</v>
      </c>
      <c r="FF726" s="68" t="s">
        <v>5835</v>
      </c>
    </row>
    <row r="727" spans="151:162" x14ac:dyDescent="0.2">
      <c r="EU727" s="67">
        <v>564.04999999999995</v>
      </c>
      <c r="EV727" s="67" t="s">
        <v>5836</v>
      </c>
      <c r="EW727" s="67">
        <v>486.74</v>
      </c>
      <c r="EX727" s="67" t="s">
        <v>5837</v>
      </c>
      <c r="EY727" s="67">
        <v>5656</v>
      </c>
      <c r="EZ727" s="67" t="s">
        <v>5838</v>
      </c>
      <c r="FA727" s="67">
        <v>19992.25</v>
      </c>
      <c r="FB727" s="67" t="s">
        <v>5839</v>
      </c>
      <c r="FC727" s="67" t="s">
        <v>5840</v>
      </c>
      <c r="FD727" s="67" t="s">
        <v>5841</v>
      </c>
      <c r="FE727" s="68" t="s">
        <v>5842</v>
      </c>
      <c r="FF727" s="68" t="s">
        <v>5843</v>
      </c>
    </row>
    <row r="728" spans="151:162" x14ac:dyDescent="0.2">
      <c r="EU728" s="67">
        <v>564.03200000000004</v>
      </c>
      <c r="EV728" s="67" t="s">
        <v>5844</v>
      </c>
      <c r="EW728" s="67">
        <v>486.63</v>
      </c>
      <c r="EX728" s="67" t="s">
        <v>5845</v>
      </c>
      <c r="EY728" s="67">
        <v>5655</v>
      </c>
      <c r="EZ728" s="67" t="s">
        <v>5846</v>
      </c>
      <c r="FA728" s="67">
        <v>19992</v>
      </c>
      <c r="FB728" s="67" t="s">
        <v>5847</v>
      </c>
      <c r="FC728" s="67" t="s">
        <v>5848</v>
      </c>
      <c r="FD728" s="67" t="s">
        <v>5849</v>
      </c>
      <c r="FE728" s="68" t="s">
        <v>5850</v>
      </c>
      <c r="FF728" s="68" t="s">
        <v>5851</v>
      </c>
    </row>
    <row r="729" spans="151:162" x14ac:dyDescent="0.2">
      <c r="EU729" s="67">
        <v>563.745</v>
      </c>
      <c r="EV729" s="67" t="s">
        <v>5852</v>
      </c>
      <c r="EW729" s="67">
        <v>486.34</v>
      </c>
      <c r="EX729" s="67" t="s">
        <v>5853</v>
      </c>
      <c r="EY729" s="67">
        <v>5652.25</v>
      </c>
      <c r="EZ729" s="67" t="s">
        <v>5854</v>
      </c>
      <c r="FA729" s="67">
        <v>19979.25</v>
      </c>
      <c r="FB729" s="67" t="s">
        <v>5855</v>
      </c>
      <c r="FC729" s="67" t="s">
        <v>5856</v>
      </c>
      <c r="FD729" s="67" t="s">
        <v>5857</v>
      </c>
      <c r="FE729" s="68" t="s">
        <v>5858</v>
      </c>
      <c r="FF729" s="68" t="s">
        <v>5859</v>
      </c>
    </row>
    <row r="730" spans="151:162" x14ac:dyDescent="0.2">
      <c r="EU730" s="67">
        <v>563.63</v>
      </c>
      <c r="EV730" s="67" t="s">
        <v>5860</v>
      </c>
      <c r="EW730" s="67">
        <v>486.11</v>
      </c>
      <c r="EX730" s="67" t="s">
        <v>5861</v>
      </c>
      <c r="EY730" s="67">
        <v>5651.25</v>
      </c>
      <c r="EZ730" s="67" t="s">
        <v>5862</v>
      </c>
      <c r="FA730" s="67">
        <v>19970</v>
      </c>
      <c r="FB730" s="67" t="s">
        <v>5863</v>
      </c>
      <c r="FC730" s="67" t="s">
        <v>5864</v>
      </c>
      <c r="FD730" s="67" t="s">
        <v>5865</v>
      </c>
      <c r="FE730" s="68" t="s">
        <v>5866</v>
      </c>
      <c r="FF730" s="68" t="s">
        <v>5867</v>
      </c>
    </row>
    <row r="731" spans="151:162" x14ac:dyDescent="0.2">
      <c r="EU731" s="67">
        <v>563.48900000000003</v>
      </c>
      <c r="EV731" s="67" t="s">
        <v>5868</v>
      </c>
      <c r="EW731" s="67">
        <v>485.94</v>
      </c>
      <c r="EX731" s="67" t="s">
        <v>5869</v>
      </c>
      <c r="EY731" s="67">
        <v>5649.5</v>
      </c>
      <c r="EZ731" s="67" t="s">
        <v>5870</v>
      </c>
      <c r="FA731" s="67">
        <v>19962.75</v>
      </c>
      <c r="FB731" s="67" t="s">
        <v>5871</v>
      </c>
      <c r="FC731" s="67" t="s">
        <v>5872</v>
      </c>
      <c r="FD731" s="67" t="s">
        <v>5873</v>
      </c>
      <c r="FE731" s="68" t="s">
        <v>5874</v>
      </c>
      <c r="FF731" s="68" t="s">
        <v>5875</v>
      </c>
    </row>
    <row r="732" spans="151:162" x14ac:dyDescent="0.2">
      <c r="EU732" s="67">
        <v>563.25</v>
      </c>
      <c r="EV732" s="67" t="s">
        <v>5876</v>
      </c>
      <c r="EW732" s="67">
        <v>485.65499999999997</v>
      </c>
      <c r="EX732" s="67" t="s">
        <v>5877</v>
      </c>
      <c r="EY732" s="67">
        <v>5647.25</v>
      </c>
      <c r="EZ732" s="67" t="s">
        <v>5878</v>
      </c>
      <c r="FA732" s="67">
        <v>19951.25</v>
      </c>
      <c r="FB732" s="67" t="s">
        <v>5879</v>
      </c>
      <c r="FC732" s="67" t="s">
        <v>5880</v>
      </c>
      <c r="FD732" s="67" t="s">
        <v>5881</v>
      </c>
      <c r="FE732" s="68" t="s">
        <v>5882</v>
      </c>
      <c r="FF732" s="68" t="s">
        <v>5883</v>
      </c>
    </row>
    <row r="733" spans="151:162" x14ac:dyDescent="0.2">
      <c r="EU733" s="67">
        <v>563.59</v>
      </c>
      <c r="EV733" s="67" t="s">
        <v>5884</v>
      </c>
      <c r="EW733" s="67">
        <v>485.91</v>
      </c>
      <c r="EX733" s="67" t="s">
        <v>5885</v>
      </c>
      <c r="EY733" s="67">
        <v>5651</v>
      </c>
      <c r="EZ733" s="67" t="s">
        <v>5886</v>
      </c>
      <c r="FA733" s="67">
        <v>19962.75</v>
      </c>
      <c r="FB733" s="67" t="s">
        <v>5887</v>
      </c>
      <c r="FC733" s="67" t="s">
        <v>5888</v>
      </c>
      <c r="FD733" s="67" t="s">
        <v>5889</v>
      </c>
      <c r="FE733" s="68" t="s">
        <v>5890</v>
      </c>
      <c r="FF733" s="68" t="s">
        <v>5891</v>
      </c>
    </row>
    <row r="734" spans="151:162" x14ac:dyDescent="0.2">
      <c r="EU734" s="67">
        <v>563.54</v>
      </c>
      <c r="EV734" s="67" t="s">
        <v>5892</v>
      </c>
      <c r="EW734" s="67">
        <v>485.76</v>
      </c>
      <c r="EX734" s="67" t="s">
        <v>5893</v>
      </c>
      <c r="EY734" s="67">
        <v>5650</v>
      </c>
      <c r="EZ734" s="67" t="s">
        <v>5894</v>
      </c>
      <c r="FA734" s="67">
        <v>19953.75</v>
      </c>
      <c r="FB734" s="67" t="s">
        <v>5895</v>
      </c>
      <c r="FC734" s="67" t="s">
        <v>5896</v>
      </c>
      <c r="FD734" s="67" t="s">
        <v>5897</v>
      </c>
      <c r="FE734" s="68" t="s">
        <v>5898</v>
      </c>
      <c r="FF734" s="68" t="s">
        <v>5899</v>
      </c>
    </row>
    <row r="735" spans="151:162" x14ac:dyDescent="0.2">
      <c r="EU735" s="67">
        <v>563.66999999999996</v>
      </c>
      <c r="EV735" s="67" t="s">
        <v>5900</v>
      </c>
      <c r="EW735" s="67">
        <v>485.92500000000001</v>
      </c>
      <c r="EX735" s="67" t="s">
        <v>5901</v>
      </c>
      <c r="EY735" s="67">
        <v>5651.75</v>
      </c>
      <c r="EZ735" s="67" t="s">
        <v>5902</v>
      </c>
      <c r="FA735" s="67">
        <v>19962</v>
      </c>
      <c r="FB735" s="67" t="s">
        <v>5903</v>
      </c>
      <c r="FC735" s="67" t="s">
        <v>5904</v>
      </c>
      <c r="FD735" s="67" t="s">
        <v>5905</v>
      </c>
      <c r="FE735" s="68" t="s">
        <v>5906</v>
      </c>
      <c r="FF735" s="68" t="s">
        <v>5907</v>
      </c>
    </row>
    <row r="736" spans="151:162" x14ac:dyDescent="0.2">
      <c r="EU736" s="67">
        <v>563.52</v>
      </c>
      <c r="EV736" s="67" t="s">
        <v>5908</v>
      </c>
      <c r="EW736" s="67">
        <v>485.75</v>
      </c>
      <c r="EX736" s="67" t="s">
        <v>5909</v>
      </c>
      <c r="EY736" s="67">
        <v>5650</v>
      </c>
      <c r="EZ736" s="67" t="s">
        <v>5910</v>
      </c>
      <c r="FA736" s="67">
        <v>19953.75</v>
      </c>
      <c r="FB736" s="67" t="s">
        <v>5911</v>
      </c>
      <c r="FC736" s="67" t="s">
        <v>5912</v>
      </c>
      <c r="FD736" s="67" t="s">
        <v>5913</v>
      </c>
      <c r="FE736" s="68" t="s">
        <v>5914</v>
      </c>
      <c r="FF736" s="68" t="s">
        <v>5915</v>
      </c>
    </row>
    <row r="737" spans="151:162" x14ac:dyDescent="0.2">
      <c r="EU737" s="67">
        <v>563.64</v>
      </c>
      <c r="EV737" s="67" t="s">
        <v>5916</v>
      </c>
      <c r="EW737" s="67">
        <v>485.92500000000001</v>
      </c>
      <c r="EX737" s="67" t="s">
        <v>5917</v>
      </c>
      <c r="EY737" s="67">
        <v>5652.25</v>
      </c>
      <c r="EZ737" s="67" t="s">
        <v>5918</v>
      </c>
      <c r="FA737" s="67">
        <v>19957.75</v>
      </c>
      <c r="FB737" s="67" t="s">
        <v>5919</v>
      </c>
      <c r="FC737" s="67" t="s">
        <v>5920</v>
      </c>
      <c r="FD737" s="67" t="s">
        <v>5921</v>
      </c>
      <c r="FE737" s="68" t="s">
        <v>5922</v>
      </c>
      <c r="FF737" s="68" t="s">
        <v>5923</v>
      </c>
    </row>
    <row r="738" spans="151:162" x14ac:dyDescent="0.2">
      <c r="EU738" s="67">
        <v>563.48</v>
      </c>
      <c r="EV738" s="67" t="s">
        <v>5924</v>
      </c>
      <c r="EW738" s="67">
        <v>485.62</v>
      </c>
      <c r="EX738" s="67" t="s">
        <v>5925</v>
      </c>
      <c r="EY738" s="67">
        <v>5649.5</v>
      </c>
      <c r="EZ738" s="67" t="s">
        <v>5926</v>
      </c>
      <c r="FA738" s="67">
        <v>19948.75</v>
      </c>
      <c r="FB738" s="67" t="s">
        <v>5927</v>
      </c>
      <c r="FC738" s="67" t="s">
        <v>5928</v>
      </c>
      <c r="FD738" s="67" t="s">
        <v>5929</v>
      </c>
      <c r="FE738" s="68" t="s">
        <v>5930</v>
      </c>
      <c r="FF738" s="68" t="s">
        <v>5931</v>
      </c>
    </row>
    <row r="739" spans="151:162" x14ac:dyDescent="0.2">
      <c r="EU739" s="67">
        <v>563.47500000000002</v>
      </c>
      <c r="EV739" s="67" t="s">
        <v>5932</v>
      </c>
      <c r="EW739" s="67">
        <v>485.63</v>
      </c>
      <c r="EX739" s="67" t="s">
        <v>5933</v>
      </c>
      <c r="EY739" s="67">
        <v>5649.75</v>
      </c>
      <c r="EZ739" s="67" t="s">
        <v>5934</v>
      </c>
      <c r="FA739" s="67">
        <v>19950</v>
      </c>
      <c r="FB739" s="67" t="s">
        <v>5935</v>
      </c>
      <c r="FC739" s="67" t="s">
        <v>5936</v>
      </c>
      <c r="FD739" s="67" t="s">
        <v>5937</v>
      </c>
      <c r="FE739" s="68" t="s">
        <v>5938</v>
      </c>
      <c r="FF739" s="68" t="s">
        <v>5939</v>
      </c>
    </row>
    <row r="740" spans="151:162" x14ac:dyDescent="0.2">
      <c r="EU740" s="67">
        <v>563.47</v>
      </c>
      <c r="EV740" s="67" t="s">
        <v>5940</v>
      </c>
      <c r="EW740" s="67">
        <v>485.57</v>
      </c>
      <c r="EX740" s="67" t="s">
        <v>5941</v>
      </c>
      <c r="EY740" s="67">
        <v>5649.5</v>
      </c>
      <c r="EZ740" s="67" t="s">
        <v>5942</v>
      </c>
      <c r="FA740" s="67">
        <v>19948</v>
      </c>
      <c r="FB740" s="67" t="s">
        <v>5943</v>
      </c>
      <c r="FC740" s="67" t="s">
        <v>5944</v>
      </c>
      <c r="FD740" s="67" t="s">
        <v>5945</v>
      </c>
      <c r="FE740" s="68" t="s">
        <v>5946</v>
      </c>
      <c r="FF740" s="68" t="s">
        <v>5947</v>
      </c>
    </row>
    <row r="741" spans="151:162" x14ac:dyDescent="0.2">
      <c r="EU741" s="67">
        <v>563.26</v>
      </c>
      <c r="EV741" s="67" t="s">
        <v>5948</v>
      </c>
      <c r="EW741" s="67">
        <v>485.19</v>
      </c>
      <c r="EX741" s="67" t="s">
        <v>5949</v>
      </c>
      <c r="EY741" s="67">
        <v>5647.5</v>
      </c>
      <c r="EZ741" s="67" t="s">
        <v>5950</v>
      </c>
      <c r="FA741" s="67">
        <v>19930.75</v>
      </c>
      <c r="FB741" s="67" t="s">
        <v>5951</v>
      </c>
      <c r="FC741" s="67" t="s">
        <v>5952</v>
      </c>
      <c r="FD741" s="67" t="s">
        <v>5953</v>
      </c>
      <c r="FE741" s="68" t="s">
        <v>5954</v>
      </c>
      <c r="FF741" s="68" t="s">
        <v>5955</v>
      </c>
    </row>
    <row r="742" spans="151:162" x14ac:dyDescent="0.2">
      <c r="EU742" s="67">
        <v>563</v>
      </c>
      <c r="EV742" s="67" t="s">
        <v>5956</v>
      </c>
      <c r="EW742" s="67">
        <v>484.87</v>
      </c>
      <c r="EX742" s="67" t="s">
        <v>5957</v>
      </c>
      <c r="EY742" s="67">
        <v>5644.75</v>
      </c>
      <c r="EZ742" s="67" t="s">
        <v>5958</v>
      </c>
      <c r="FA742" s="67">
        <v>19918</v>
      </c>
      <c r="FB742" s="67" t="s">
        <v>5959</v>
      </c>
      <c r="FC742" s="67" t="s">
        <v>5960</v>
      </c>
      <c r="FD742" s="67" t="s">
        <v>5961</v>
      </c>
      <c r="FE742" s="68" t="s">
        <v>5962</v>
      </c>
      <c r="FF742" s="68" t="s">
        <v>5963</v>
      </c>
    </row>
    <row r="743" spans="151:162" x14ac:dyDescent="0.2">
      <c r="EU743" s="67">
        <v>563.13</v>
      </c>
      <c r="EV743" s="67" t="s">
        <v>5964</v>
      </c>
      <c r="EW743" s="67">
        <v>484.97</v>
      </c>
      <c r="EX743" s="67" t="s">
        <v>5965</v>
      </c>
      <c r="EY743" s="67">
        <v>5646</v>
      </c>
      <c r="EZ743" s="67" t="s">
        <v>5966</v>
      </c>
      <c r="FA743" s="67">
        <v>19922.75</v>
      </c>
      <c r="FB743" s="67" t="s">
        <v>5967</v>
      </c>
      <c r="FC743" s="67" t="s">
        <v>5968</v>
      </c>
      <c r="FD743" s="67" t="s">
        <v>5969</v>
      </c>
      <c r="FE743" s="68" t="s">
        <v>5970</v>
      </c>
      <c r="FF743" s="68" t="s">
        <v>5971</v>
      </c>
    </row>
    <row r="744" spans="151:162" x14ac:dyDescent="0.2">
      <c r="EU744" s="67">
        <v>563.255</v>
      </c>
      <c r="EV744" s="67" t="s">
        <v>5972</v>
      </c>
      <c r="EW744" s="67">
        <v>485.03</v>
      </c>
      <c r="EX744" s="67" t="s">
        <v>5973</v>
      </c>
      <c r="EY744" s="67">
        <v>5647.5</v>
      </c>
      <c r="EZ744" s="67" t="s">
        <v>5974</v>
      </c>
      <c r="FA744" s="67">
        <v>19925.75</v>
      </c>
      <c r="FB744" s="67" t="s">
        <v>5975</v>
      </c>
      <c r="FC744" s="67" t="s">
        <v>5976</v>
      </c>
      <c r="FD744" s="67" t="s">
        <v>5977</v>
      </c>
      <c r="FE744" s="68" t="s">
        <v>5978</v>
      </c>
      <c r="FF744" s="68" t="s">
        <v>5979</v>
      </c>
    </row>
    <row r="745" spans="151:162" x14ac:dyDescent="0.2">
      <c r="EU745" s="67">
        <v>563.80999999999995</v>
      </c>
      <c r="EV745" s="67" t="s">
        <v>5980</v>
      </c>
      <c r="EW745" s="67">
        <v>485.64</v>
      </c>
      <c r="EX745" s="67" t="s">
        <v>5981</v>
      </c>
      <c r="EY745" s="67">
        <v>5653.25</v>
      </c>
      <c r="EZ745" s="67" t="s">
        <v>5982</v>
      </c>
      <c r="FA745" s="67">
        <v>19951.25</v>
      </c>
      <c r="FB745" s="67" t="s">
        <v>5983</v>
      </c>
      <c r="FC745" s="67" t="s">
        <v>5984</v>
      </c>
      <c r="FD745" s="67" t="s">
        <v>5985</v>
      </c>
      <c r="FE745" s="68" t="s">
        <v>5986</v>
      </c>
      <c r="FF745" s="68" t="s">
        <v>5987</v>
      </c>
    </row>
    <row r="746" spans="151:162" x14ac:dyDescent="0.2">
      <c r="EU746" s="67">
        <v>564.12</v>
      </c>
      <c r="EV746" s="67" t="s">
        <v>5988</v>
      </c>
      <c r="EW746" s="67">
        <v>485.98</v>
      </c>
      <c r="EX746" s="67" t="s">
        <v>5989</v>
      </c>
      <c r="EY746" s="67">
        <v>5656</v>
      </c>
      <c r="EZ746" s="67" t="s">
        <v>5990</v>
      </c>
      <c r="FA746" s="67">
        <v>19965.75</v>
      </c>
      <c r="FB746" s="67" t="s">
        <v>5991</v>
      </c>
      <c r="FC746" s="67" t="s">
        <v>5992</v>
      </c>
      <c r="FD746" s="67" t="s">
        <v>5993</v>
      </c>
      <c r="FE746" s="68" t="s">
        <v>5994</v>
      </c>
      <c r="FF746" s="68" t="s">
        <v>5995</v>
      </c>
    </row>
    <row r="747" spans="151:162" x14ac:dyDescent="0.2">
      <c r="EU747" s="67">
        <v>564.1</v>
      </c>
      <c r="EV747" s="67" t="s">
        <v>5996</v>
      </c>
      <c r="EW747" s="67">
        <v>485.94499999999999</v>
      </c>
      <c r="EX747" s="67" t="s">
        <v>5997</v>
      </c>
      <c r="EY747" s="67">
        <v>5655.5</v>
      </c>
      <c r="EZ747" s="67" t="s">
        <v>5998</v>
      </c>
      <c r="FA747" s="67">
        <v>19964.25</v>
      </c>
      <c r="FB747" s="67" t="s">
        <v>5999</v>
      </c>
      <c r="FC747" s="67" t="s">
        <v>6000</v>
      </c>
      <c r="FD747" s="67" t="s">
        <v>6001</v>
      </c>
      <c r="FE747" s="68" t="s">
        <v>6002</v>
      </c>
      <c r="FF747" s="68" t="s">
        <v>6003</v>
      </c>
    </row>
    <row r="748" spans="151:162" x14ac:dyDescent="0.2">
      <c r="EU748" s="67">
        <v>564.34</v>
      </c>
      <c r="EV748" s="67" t="s">
        <v>6004</v>
      </c>
      <c r="EW748" s="67">
        <v>486.26</v>
      </c>
      <c r="EX748" s="67" t="s">
        <v>6005</v>
      </c>
      <c r="EY748" s="67">
        <v>5659</v>
      </c>
      <c r="EZ748" s="67" t="s">
        <v>6006</v>
      </c>
      <c r="FA748" s="67">
        <v>19974.25</v>
      </c>
      <c r="FB748" s="67" t="s">
        <v>6007</v>
      </c>
      <c r="FC748" s="67" t="s">
        <v>6008</v>
      </c>
      <c r="FD748" s="67" t="s">
        <v>6009</v>
      </c>
      <c r="FE748" s="68" t="s">
        <v>6010</v>
      </c>
      <c r="FF748" s="68" t="s">
        <v>6011</v>
      </c>
    </row>
    <row r="749" spans="151:162" x14ac:dyDescent="0.2">
      <c r="EU749" s="67">
        <v>564.55999999999995</v>
      </c>
      <c r="EV749" s="67" t="s">
        <v>6012</v>
      </c>
      <c r="EW749" s="67">
        <v>486.4</v>
      </c>
      <c r="EX749" s="67" t="s">
        <v>6013</v>
      </c>
      <c r="EY749" s="67">
        <v>5660.5</v>
      </c>
      <c r="EZ749" s="67" t="s">
        <v>6014</v>
      </c>
      <c r="FA749" s="67">
        <v>19982.5</v>
      </c>
      <c r="FB749" s="67" t="s">
        <v>6015</v>
      </c>
      <c r="FC749" s="67" t="s">
        <v>6016</v>
      </c>
      <c r="FD749" s="67" t="s">
        <v>6017</v>
      </c>
      <c r="FE749" s="68" t="s">
        <v>6018</v>
      </c>
      <c r="FF749" s="68" t="s">
        <v>6019</v>
      </c>
    </row>
    <row r="750" spans="151:162" x14ac:dyDescent="0.2">
      <c r="EU750" s="67">
        <v>564.37</v>
      </c>
      <c r="EV750" s="67" t="s">
        <v>6020</v>
      </c>
      <c r="EW750" s="67">
        <v>486.15</v>
      </c>
      <c r="EX750" s="67" t="s">
        <v>6021</v>
      </c>
      <c r="EY750" s="67">
        <v>5658.5</v>
      </c>
      <c r="EZ750" s="67" t="s">
        <v>6022</v>
      </c>
      <c r="FA750" s="67">
        <v>19972.25</v>
      </c>
      <c r="FB750" s="67" t="s">
        <v>6023</v>
      </c>
      <c r="FC750" s="67" t="s">
        <v>6024</v>
      </c>
      <c r="FD750" s="67" t="s">
        <v>6025</v>
      </c>
      <c r="FE750" s="68" t="s">
        <v>6026</v>
      </c>
      <c r="FF750" s="68" t="s">
        <v>6027</v>
      </c>
    </row>
    <row r="751" spans="151:162" x14ac:dyDescent="0.2">
      <c r="EU751" s="67">
        <v>564.42999999999995</v>
      </c>
      <c r="EV751" s="67" t="s">
        <v>6028</v>
      </c>
      <c r="EW751" s="67">
        <v>486.23</v>
      </c>
      <c r="EX751" s="67" t="s">
        <v>6029</v>
      </c>
      <c r="EY751" s="67">
        <v>5659</v>
      </c>
      <c r="EZ751" s="67" t="s">
        <v>6030</v>
      </c>
      <c r="FA751" s="67">
        <v>19976.75</v>
      </c>
      <c r="FB751" s="67" t="s">
        <v>6031</v>
      </c>
      <c r="FC751" s="67" t="s">
        <v>6032</v>
      </c>
      <c r="FD751" s="67" t="s">
        <v>6033</v>
      </c>
      <c r="FE751" s="68" t="s">
        <v>6034</v>
      </c>
      <c r="FF751" s="68" t="s">
        <v>6035</v>
      </c>
    </row>
    <row r="752" spans="151:162" x14ac:dyDescent="0.2">
      <c r="EU752" s="67">
        <v>564.61</v>
      </c>
      <c r="EV752" s="67" t="s">
        <v>6036</v>
      </c>
      <c r="EW752" s="67">
        <v>486.42</v>
      </c>
      <c r="EX752" s="67" t="s">
        <v>6037</v>
      </c>
      <c r="EY752" s="67">
        <v>5661</v>
      </c>
      <c r="EZ752" s="67" t="s">
        <v>6038</v>
      </c>
      <c r="FA752" s="67">
        <v>19983.5</v>
      </c>
      <c r="FB752" s="67" t="s">
        <v>6039</v>
      </c>
      <c r="FC752" s="67" t="s">
        <v>6040</v>
      </c>
      <c r="FD752" s="67" t="s">
        <v>6041</v>
      </c>
      <c r="FE752" s="68" t="s">
        <v>6042</v>
      </c>
      <c r="FF752" s="68" t="s">
        <v>6043</v>
      </c>
    </row>
    <row r="753" spans="151:162" x14ac:dyDescent="0.2">
      <c r="EU753" s="67">
        <v>564.60500000000002</v>
      </c>
      <c r="EV753" s="67" t="s">
        <v>6044</v>
      </c>
      <c r="EW753" s="67">
        <v>486.38</v>
      </c>
      <c r="EX753" s="67" t="s">
        <v>6045</v>
      </c>
      <c r="EY753" s="67">
        <v>5660.75</v>
      </c>
      <c r="EZ753" s="67" t="s">
        <v>6046</v>
      </c>
      <c r="FA753" s="67">
        <v>19982</v>
      </c>
      <c r="FB753" s="67" t="s">
        <v>6047</v>
      </c>
      <c r="FC753" s="67" t="s">
        <v>6048</v>
      </c>
      <c r="FD753" s="67" t="s">
        <v>6049</v>
      </c>
      <c r="FE753" s="68" t="s">
        <v>6050</v>
      </c>
      <c r="FF753" s="68" t="s">
        <v>6051</v>
      </c>
    </row>
    <row r="754" spans="151:162" x14ac:dyDescent="0.2">
      <c r="EU754" s="67">
        <v>564.64499999999998</v>
      </c>
      <c r="EV754" s="67" t="s">
        <v>6052</v>
      </c>
      <c r="EW754" s="67">
        <v>486.51</v>
      </c>
      <c r="EX754" s="67" t="s">
        <v>6053</v>
      </c>
      <c r="EY754" s="67">
        <v>5661.25</v>
      </c>
      <c r="EZ754" s="67" t="s">
        <v>6054</v>
      </c>
      <c r="FA754" s="67">
        <v>19987</v>
      </c>
      <c r="FB754" s="67" t="s">
        <v>6055</v>
      </c>
      <c r="FC754" s="67" t="s">
        <v>6056</v>
      </c>
      <c r="FD754" s="67" t="s">
        <v>6057</v>
      </c>
      <c r="FE754" s="68" t="s">
        <v>6058</v>
      </c>
      <c r="FF754" s="68" t="s">
        <v>6059</v>
      </c>
    </row>
    <row r="755" spans="151:162" x14ac:dyDescent="0.2">
      <c r="EU755" s="67">
        <v>564.55999999999995</v>
      </c>
      <c r="EV755" s="67" t="s">
        <v>6060</v>
      </c>
      <c r="EW755" s="67">
        <v>486.47</v>
      </c>
      <c r="EX755" s="67" t="s">
        <v>6061</v>
      </c>
      <c r="EY755" s="67">
        <v>5660.5</v>
      </c>
      <c r="EZ755" s="67" t="s">
        <v>6062</v>
      </c>
      <c r="FA755" s="67">
        <v>19985</v>
      </c>
      <c r="FB755" s="67" t="s">
        <v>6063</v>
      </c>
      <c r="FC755" s="67" t="s">
        <v>6064</v>
      </c>
      <c r="FD755" s="67" t="s">
        <v>6065</v>
      </c>
      <c r="FE755" s="68" t="s">
        <v>6066</v>
      </c>
      <c r="FF755" s="68" t="s">
        <v>6067</v>
      </c>
    </row>
    <row r="756" spans="151:162" x14ac:dyDescent="0.2">
      <c r="EU756" s="67">
        <v>564.54</v>
      </c>
      <c r="EV756" s="67" t="s">
        <v>6068</v>
      </c>
      <c r="EW756" s="67">
        <v>486.4</v>
      </c>
      <c r="EX756" s="67" t="s">
        <v>6069</v>
      </c>
      <c r="EY756" s="67">
        <v>5660.5</v>
      </c>
      <c r="EZ756" s="67" t="s">
        <v>6070</v>
      </c>
      <c r="FA756" s="67">
        <v>19982.25</v>
      </c>
      <c r="FB756" s="67" t="s">
        <v>6071</v>
      </c>
      <c r="FC756" s="67" t="s">
        <v>6072</v>
      </c>
      <c r="FD756" s="67" t="s">
        <v>6073</v>
      </c>
      <c r="FE756" s="68" t="s">
        <v>6074</v>
      </c>
      <c r="FF756" s="68" t="s">
        <v>6075</v>
      </c>
    </row>
    <row r="757" spans="151:162" x14ac:dyDescent="0.2">
      <c r="EU757" s="67">
        <v>564.51</v>
      </c>
      <c r="EV757" s="67" t="s">
        <v>6076</v>
      </c>
      <c r="EW757" s="67">
        <v>486.43</v>
      </c>
      <c r="EX757" s="67" t="s">
        <v>6077</v>
      </c>
      <c r="EY757" s="67">
        <v>5660.25</v>
      </c>
      <c r="EZ757" s="67" t="s">
        <v>6078</v>
      </c>
      <c r="FA757" s="67">
        <v>19983.75</v>
      </c>
      <c r="FB757" s="67" t="s">
        <v>6079</v>
      </c>
      <c r="FC757" s="67" t="s">
        <v>6080</v>
      </c>
      <c r="FD757" s="67" t="s">
        <v>6081</v>
      </c>
      <c r="FE757" s="68" t="s">
        <v>6082</v>
      </c>
      <c r="FF757" s="68" t="s">
        <v>6083</v>
      </c>
    </row>
    <row r="758" spans="151:162" x14ac:dyDescent="0.2">
      <c r="EU758" s="67">
        <v>564.58000000000004</v>
      </c>
      <c r="EV758" s="67" t="s">
        <v>6084</v>
      </c>
      <c r="EW758" s="67">
        <v>486.57</v>
      </c>
      <c r="EX758" s="67" t="s">
        <v>6085</v>
      </c>
      <c r="EY758" s="67">
        <v>5661</v>
      </c>
      <c r="EZ758" s="67" t="s">
        <v>6086</v>
      </c>
      <c r="FA758" s="67">
        <v>19989.5</v>
      </c>
      <c r="FB758" s="67" t="s">
        <v>6087</v>
      </c>
      <c r="FC758" s="67" t="s">
        <v>6088</v>
      </c>
      <c r="FD758" s="67" t="s">
        <v>6089</v>
      </c>
      <c r="FE758" s="68" t="s">
        <v>6090</v>
      </c>
      <c r="FF758" s="68" t="s">
        <v>6091</v>
      </c>
    </row>
    <row r="759" spans="151:162" x14ac:dyDescent="0.2">
      <c r="EU759" s="67">
        <v>564.4</v>
      </c>
      <c r="EV759" s="67" t="s">
        <v>6092</v>
      </c>
      <c r="EW759" s="67">
        <v>486.33</v>
      </c>
      <c r="EX759" s="67" t="s">
        <v>6093</v>
      </c>
      <c r="EY759" s="67">
        <v>5658.75</v>
      </c>
      <c r="EZ759" s="67" t="s">
        <v>6094</v>
      </c>
      <c r="FA759" s="67">
        <v>19980</v>
      </c>
      <c r="FB759" s="67" t="s">
        <v>6095</v>
      </c>
      <c r="FC759" s="67" t="s">
        <v>6096</v>
      </c>
      <c r="FD759" s="67" t="s">
        <v>6097</v>
      </c>
      <c r="FE759" s="68" t="s">
        <v>6098</v>
      </c>
      <c r="FF759" s="68" t="s">
        <v>6099</v>
      </c>
    </row>
    <row r="760" spans="151:162" x14ac:dyDescent="0.2">
      <c r="EU760" s="67">
        <v>564.51</v>
      </c>
      <c r="EV760" s="67" t="s">
        <v>6100</v>
      </c>
      <c r="EW760" s="67">
        <v>486.48</v>
      </c>
      <c r="EX760" s="67" t="s">
        <v>6101</v>
      </c>
      <c r="EY760" s="67">
        <v>5660.25</v>
      </c>
      <c r="EZ760" s="67" t="s">
        <v>6102</v>
      </c>
      <c r="FA760" s="67">
        <v>19986.75</v>
      </c>
      <c r="FB760" s="67" t="s">
        <v>6103</v>
      </c>
      <c r="FC760" s="67" t="s">
        <v>6104</v>
      </c>
      <c r="FD760" s="67" t="s">
        <v>6105</v>
      </c>
      <c r="FE760" s="68" t="s">
        <v>6106</v>
      </c>
      <c r="FF760" s="68" t="s">
        <v>6107</v>
      </c>
    </row>
    <row r="761" spans="151:162" x14ac:dyDescent="0.2">
      <c r="EU761" s="67">
        <v>564.625</v>
      </c>
      <c r="EV761" s="67" t="s">
        <v>6108</v>
      </c>
      <c r="EW761" s="67">
        <v>486.6</v>
      </c>
      <c r="EX761" s="67" t="s">
        <v>6109</v>
      </c>
      <c r="EY761" s="67">
        <v>5661</v>
      </c>
      <c r="EZ761" s="67" t="s">
        <v>6110</v>
      </c>
      <c r="FA761" s="67">
        <v>19991.5</v>
      </c>
      <c r="FB761" s="67" t="s">
        <v>6111</v>
      </c>
      <c r="FC761" s="67" t="s">
        <v>6112</v>
      </c>
      <c r="FD761" s="67" t="s">
        <v>6113</v>
      </c>
      <c r="FE761" s="68" t="s">
        <v>6114</v>
      </c>
      <c r="FF761" s="68" t="s">
        <v>6115</v>
      </c>
    </row>
    <row r="762" spans="151:162" x14ac:dyDescent="0.2">
      <c r="EU762" s="67">
        <v>564.88</v>
      </c>
      <c r="EV762" s="67" t="s">
        <v>6116</v>
      </c>
      <c r="EW762" s="67">
        <v>486.79</v>
      </c>
      <c r="EX762" s="67" t="s">
        <v>6117</v>
      </c>
      <c r="EY762" s="67">
        <v>5663.5</v>
      </c>
      <c r="EZ762" s="67" t="s">
        <v>6118</v>
      </c>
      <c r="FA762" s="67">
        <v>19999.25</v>
      </c>
      <c r="FB762" s="67" t="s">
        <v>6119</v>
      </c>
      <c r="FC762" s="67" t="s">
        <v>6120</v>
      </c>
      <c r="FD762" s="67" t="s">
        <v>6121</v>
      </c>
      <c r="FE762" s="68" t="s">
        <v>6122</v>
      </c>
      <c r="FF762" s="68" t="s">
        <v>6123</v>
      </c>
    </row>
    <row r="763" spans="151:162" x14ac:dyDescent="0.2">
      <c r="EU763" s="67">
        <v>564.92999999999995</v>
      </c>
      <c r="EV763" s="67" t="s">
        <v>6124</v>
      </c>
      <c r="EW763" s="67">
        <v>486.86</v>
      </c>
      <c r="EX763" s="67" t="s">
        <v>6125</v>
      </c>
      <c r="EY763" s="67">
        <v>5664.25</v>
      </c>
      <c r="EZ763" s="67" t="s">
        <v>6126</v>
      </c>
      <c r="FA763" s="67">
        <v>20002.25</v>
      </c>
      <c r="FB763" s="67" t="s">
        <v>6127</v>
      </c>
      <c r="FC763" s="67" t="s">
        <v>6128</v>
      </c>
      <c r="FD763" s="67" t="s">
        <v>6129</v>
      </c>
      <c r="FE763" s="68" t="s">
        <v>6130</v>
      </c>
      <c r="FF763" s="68" t="s">
        <v>6131</v>
      </c>
    </row>
    <row r="764" spans="151:162" x14ac:dyDescent="0.2">
      <c r="EU764" s="67">
        <v>565.15</v>
      </c>
      <c r="EV764" s="67" t="s">
        <v>6132</v>
      </c>
      <c r="EW764" s="67">
        <v>487.04</v>
      </c>
      <c r="EX764" s="67" t="s">
        <v>6133</v>
      </c>
      <c r="EY764" s="67">
        <v>5666</v>
      </c>
      <c r="EZ764" s="67" t="s">
        <v>6134</v>
      </c>
      <c r="FA764" s="67">
        <v>20009.5</v>
      </c>
      <c r="FB764" s="67" t="s">
        <v>6135</v>
      </c>
      <c r="FC764" s="67" t="s">
        <v>6136</v>
      </c>
      <c r="FD764" s="67" t="s">
        <v>6137</v>
      </c>
      <c r="FE764" s="68" t="s">
        <v>6138</v>
      </c>
      <c r="FF764" s="68" t="s">
        <v>6139</v>
      </c>
    </row>
    <row r="765" spans="151:162" x14ac:dyDescent="0.2">
      <c r="EU765" s="67">
        <v>565.04999999999995</v>
      </c>
      <c r="EV765" s="67" t="s">
        <v>6140</v>
      </c>
      <c r="EW765" s="67">
        <v>487.01</v>
      </c>
      <c r="EX765" s="67" t="s">
        <v>6141</v>
      </c>
      <c r="EY765" s="67">
        <v>5665.5</v>
      </c>
      <c r="EZ765" s="67" t="s">
        <v>6142</v>
      </c>
      <c r="FA765" s="67">
        <v>20008</v>
      </c>
      <c r="FB765" s="67" t="s">
        <v>6143</v>
      </c>
      <c r="FC765" s="67" t="s">
        <v>6144</v>
      </c>
      <c r="FD765" s="67" t="s">
        <v>6145</v>
      </c>
      <c r="FE765" s="68" t="s">
        <v>6146</v>
      </c>
      <c r="FF765" s="68" t="s">
        <v>6147</v>
      </c>
    </row>
    <row r="766" spans="151:162" x14ac:dyDescent="0.2">
      <c r="EU766" s="67">
        <v>564.98</v>
      </c>
      <c r="EV766" s="67" t="s">
        <v>6148</v>
      </c>
      <c r="EW766" s="67">
        <v>486.94</v>
      </c>
      <c r="EX766" s="67" t="s">
        <v>6149</v>
      </c>
      <c r="EY766" s="67">
        <v>5665</v>
      </c>
      <c r="EZ766" s="67" t="s">
        <v>6150</v>
      </c>
      <c r="FA766" s="67">
        <v>20002.5</v>
      </c>
      <c r="FB766" s="67" t="s">
        <v>6151</v>
      </c>
      <c r="FC766" s="67" t="s">
        <v>6152</v>
      </c>
      <c r="FD766" s="67" t="s">
        <v>6153</v>
      </c>
      <c r="FE766" s="68" t="s">
        <v>6154</v>
      </c>
      <c r="FF766" s="68" t="s">
        <v>6155</v>
      </c>
    </row>
    <row r="767" spans="151:162" x14ac:dyDescent="0.2">
      <c r="EU767" s="67">
        <v>565.08000000000004</v>
      </c>
      <c r="EV767" s="67" t="s">
        <v>6156</v>
      </c>
      <c r="EW767" s="67">
        <v>487.01</v>
      </c>
      <c r="EX767" s="67" t="s">
        <v>6157</v>
      </c>
      <c r="EY767" s="67">
        <v>5666</v>
      </c>
      <c r="EZ767" s="67" t="s">
        <v>6158</v>
      </c>
      <c r="FA767" s="67">
        <v>20007.5</v>
      </c>
      <c r="FB767" s="67" t="s">
        <v>6159</v>
      </c>
      <c r="FC767" s="67" t="s">
        <v>6160</v>
      </c>
      <c r="FD767" s="67" t="s">
        <v>6161</v>
      </c>
      <c r="FE767" s="68" t="s">
        <v>6162</v>
      </c>
      <c r="FF767" s="68" t="s">
        <v>6163</v>
      </c>
    </row>
    <row r="768" spans="151:162" x14ac:dyDescent="0.2">
      <c r="EU768" s="67">
        <v>565.16999999999996</v>
      </c>
      <c r="EV768" s="67" t="s">
        <v>6164</v>
      </c>
      <c r="EW768" s="67">
        <v>487.1</v>
      </c>
      <c r="EX768" s="67" t="s">
        <v>6165</v>
      </c>
      <c r="EY768" s="67">
        <v>5666.5</v>
      </c>
      <c r="EZ768" s="67" t="s">
        <v>6166</v>
      </c>
      <c r="FA768" s="67">
        <v>20012.5</v>
      </c>
      <c r="FB768" s="67" t="s">
        <v>6167</v>
      </c>
      <c r="FC768" s="67" t="s">
        <v>6168</v>
      </c>
      <c r="FD768" s="67" t="s">
        <v>6169</v>
      </c>
      <c r="FE768" s="68" t="s">
        <v>6170</v>
      </c>
      <c r="FF768" s="68" t="s">
        <v>6171</v>
      </c>
    </row>
    <row r="769" spans="151:162" x14ac:dyDescent="0.2">
      <c r="EU769" s="67">
        <v>565.17999999999995</v>
      </c>
      <c r="EV769" s="67" t="s">
        <v>6172</v>
      </c>
      <c r="EW769" s="67">
        <v>487.1</v>
      </c>
      <c r="EX769" s="67" t="s">
        <v>6173</v>
      </c>
      <c r="EY769" s="67">
        <v>5666.25</v>
      </c>
      <c r="EZ769" s="67" t="s">
        <v>6174</v>
      </c>
      <c r="FA769" s="67">
        <v>20013.25</v>
      </c>
      <c r="FB769" s="67" t="s">
        <v>6175</v>
      </c>
      <c r="FC769" s="67" t="s">
        <v>6176</v>
      </c>
      <c r="FD769" s="67" t="s">
        <v>6177</v>
      </c>
      <c r="FE769" s="68" t="s">
        <v>6178</v>
      </c>
      <c r="FF769" s="68" t="s">
        <v>6179</v>
      </c>
    </row>
    <row r="770" spans="151:162" x14ac:dyDescent="0.2">
      <c r="EU770" s="67">
        <v>565.08000000000004</v>
      </c>
      <c r="EV770" s="67" t="s">
        <v>6180</v>
      </c>
      <c r="EW770" s="67">
        <v>487.15</v>
      </c>
      <c r="EX770" s="67" t="s">
        <v>6181</v>
      </c>
      <c r="EY770" s="67">
        <v>5666.25</v>
      </c>
      <c r="EZ770" s="67" t="s">
        <v>6182</v>
      </c>
      <c r="FA770" s="67">
        <v>20013.5</v>
      </c>
      <c r="FB770" s="67" t="s">
        <v>6183</v>
      </c>
      <c r="FC770" s="67" t="s">
        <v>6184</v>
      </c>
      <c r="FD770" s="67" t="s">
        <v>6185</v>
      </c>
      <c r="FE770" s="68" t="s">
        <v>6186</v>
      </c>
      <c r="FF770" s="68" t="s">
        <v>6187</v>
      </c>
    </row>
    <row r="771" spans="151:162" x14ac:dyDescent="0.2">
      <c r="EU771" s="67">
        <v>565.1</v>
      </c>
      <c r="EV771" s="67" t="s">
        <v>6188</v>
      </c>
      <c r="EW771" s="67">
        <v>487.22</v>
      </c>
      <c r="EX771" s="67" t="s">
        <v>6189</v>
      </c>
      <c r="EY771" s="67">
        <v>5666.25</v>
      </c>
      <c r="EZ771" s="67" t="s">
        <v>6190</v>
      </c>
      <c r="FA771" s="67">
        <v>20016.5</v>
      </c>
      <c r="FB771" s="67" t="s">
        <v>6191</v>
      </c>
      <c r="FC771" s="67" t="s">
        <v>6192</v>
      </c>
      <c r="FD771" s="67" t="s">
        <v>6193</v>
      </c>
      <c r="FE771" s="68" t="s">
        <v>6194</v>
      </c>
      <c r="FF771" s="68" t="s">
        <v>6195</v>
      </c>
    </row>
    <row r="772" spans="151:162" x14ac:dyDescent="0.2">
      <c r="EU772" s="67">
        <v>565.04</v>
      </c>
      <c r="EV772" s="67" t="s">
        <v>6196</v>
      </c>
      <c r="EW772" s="67">
        <v>487.14</v>
      </c>
      <c r="EX772" s="67" t="s">
        <v>6197</v>
      </c>
      <c r="EY772" s="67">
        <v>5665.25</v>
      </c>
      <c r="EZ772" s="67" t="s">
        <v>6198</v>
      </c>
      <c r="FA772" s="67">
        <v>20013.25</v>
      </c>
      <c r="FB772" s="67" t="s">
        <v>6199</v>
      </c>
      <c r="FC772" s="67" t="s">
        <v>6200</v>
      </c>
      <c r="FD772" s="67" t="s">
        <v>6201</v>
      </c>
      <c r="FE772" s="68" t="s">
        <v>6202</v>
      </c>
      <c r="FF772" s="68" t="s">
        <v>6203</v>
      </c>
    </row>
    <row r="773" spans="151:162" x14ac:dyDescent="0.2">
      <c r="EU773" s="67">
        <v>564.82000000000005</v>
      </c>
      <c r="EV773" s="67" t="s">
        <v>6204</v>
      </c>
      <c r="EW773" s="67">
        <v>486.88</v>
      </c>
      <c r="EX773" s="67" t="s">
        <v>6205</v>
      </c>
      <c r="EY773" s="67">
        <v>5663</v>
      </c>
      <c r="EZ773" s="67" t="s">
        <v>6206</v>
      </c>
      <c r="FA773" s="67">
        <v>20002.75</v>
      </c>
      <c r="FB773" s="67" t="s">
        <v>6207</v>
      </c>
      <c r="FC773" s="67" t="s">
        <v>6208</v>
      </c>
      <c r="FD773" s="67" t="s">
        <v>6209</v>
      </c>
      <c r="FE773" s="68" t="s">
        <v>6210</v>
      </c>
      <c r="FF773" s="68" t="s">
        <v>6211</v>
      </c>
    </row>
    <row r="774" spans="151:162" x14ac:dyDescent="0.2">
      <c r="EU774" s="67">
        <v>564.9</v>
      </c>
      <c r="EV774" s="67" t="s">
        <v>6212</v>
      </c>
      <c r="EW774" s="67">
        <v>487</v>
      </c>
      <c r="EX774" s="67" t="s">
        <v>6213</v>
      </c>
      <c r="EY774" s="67">
        <v>5664.25</v>
      </c>
      <c r="EZ774" s="67" t="s">
        <v>6214</v>
      </c>
      <c r="FA774" s="67">
        <v>20008.25</v>
      </c>
      <c r="FB774" s="67" t="s">
        <v>6215</v>
      </c>
      <c r="FC774" s="67" t="s">
        <v>6216</v>
      </c>
      <c r="FD774" s="67" t="s">
        <v>6217</v>
      </c>
      <c r="FE774" s="68" t="s">
        <v>6218</v>
      </c>
      <c r="FF774" s="68" t="s">
        <v>6219</v>
      </c>
    </row>
    <row r="775" spans="151:162" x14ac:dyDescent="0.2">
      <c r="EU775" s="67">
        <v>564.92999999999995</v>
      </c>
      <c r="EV775" s="67" t="s">
        <v>6220</v>
      </c>
      <c r="EW775" s="67">
        <v>487.1</v>
      </c>
      <c r="EX775" s="67" t="s">
        <v>6221</v>
      </c>
      <c r="EY775" s="67">
        <v>5664.25</v>
      </c>
      <c r="EZ775" s="67" t="s">
        <v>6222</v>
      </c>
      <c r="FA775" s="67">
        <v>20012.5</v>
      </c>
      <c r="FB775" s="67" t="s">
        <v>6223</v>
      </c>
      <c r="FC775" s="67" t="s">
        <v>6224</v>
      </c>
      <c r="FD775" s="67" t="s">
        <v>6225</v>
      </c>
      <c r="FE775" s="68" t="s">
        <v>6226</v>
      </c>
      <c r="FF775" s="68" t="s">
        <v>6227</v>
      </c>
    </row>
    <row r="776" spans="151:162" x14ac:dyDescent="0.2">
      <c r="EU776" s="67">
        <v>564.71</v>
      </c>
      <c r="EV776" s="67" t="s">
        <v>6228</v>
      </c>
      <c r="EW776" s="67">
        <v>486.81</v>
      </c>
      <c r="EX776" s="67" t="s">
        <v>6229</v>
      </c>
      <c r="EY776" s="67">
        <v>5662.25</v>
      </c>
      <c r="EZ776" s="67" t="s">
        <v>6230</v>
      </c>
      <c r="FA776" s="67">
        <v>20000</v>
      </c>
      <c r="FB776" s="67" t="s">
        <v>6231</v>
      </c>
      <c r="FC776" s="67" t="s">
        <v>6232</v>
      </c>
      <c r="FD776" s="67" t="s">
        <v>6233</v>
      </c>
      <c r="FE776" s="68" t="s">
        <v>6234</v>
      </c>
      <c r="FF776" s="68" t="s">
        <v>6235</v>
      </c>
    </row>
    <row r="777" spans="151:162" x14ac:dyDescent="0.2">
      <c r="EU777" s="67">
        <v>564.85</v>
      </c>
      <c r="EV777" s="67" t="s">
        <v>6236</v>
      </c>
      <c r="EW777" s="67">
        <v>486.9</v>
      </c>
      <c r="EX777" s="67" t="s">
        <v>6237</v>
      </c>
      <c r="EY777" s="67">
        <v>5663.25</v>
      </c>
      <c r="EZ777" s="67" t="s">
        <v>6238</v>
      </c>
      <c r="FA777" s="67">
        <v>20003.5</v>
      </c>
      <c r="FB777" s="67" t="s">
        <v>6239</v>
      </c>
      <c r="FC777" s="67" t="s">
        <v>6240</v>
      </c>
      <c r="FD777" s="67" t="s">
        <v>6241</v>
      </c>
      <c r="FE777" s="68" t="s">
        <v>6242</v>
      </c>
      <c r="FF777" s="68" t="s">
        <v>6243</v>
      </c>
    </row>
    <row r="778" spans="151:162" x14ac:dyDescent="0.2">
      <c r="EU778" s="67">
        <v>564.82000000000005</v>
      </c>
      <c r="EV778" s="67" t="s">
        <v>6244</v>
      </c>
      <c r="EW778" s="67">
        <v>486.76</v>
      </c>
      <c r="EX778" s="67" t="s">
        <v>6245</v>
      </c>
      <c r="EY778" s="67">
        <v>5663</v>
      </c>
      <c r="EZ778" s="67" t="s">
        <v>6246</v>
      </c>
      <c r="FA778" s="67">
        <v>19997.75</v>
      </c>
      <c r="FB778" s="67" t="s">
        <v>6247</v>
      </c>
      <c r="FC778" s="67" t="s">
        <v>6248</v>
      </c>
      <c r="FD778" s="67" t="s">
        <v>6249</v>
      </c>
      <c r="FE778" s="68" t="s">
        <v>6250</v>
      </c>
      <c r="FF778" s="68" t="s">
        <v>6251</v>
      </c>
    </row>
    <row r="779" spans="151:162" x14ac:dyDescent="0.2">
      <c r="EU779" s="67">
        <v>564.74</v>
      </c>
      <c r="EV779" s="67" t="s">
        <v>6252</v>
      </c>
      <c r="EW779" s="67">
        <v>486.64</v>
      </c>
      <c r="EX779" s="67" t="s">
        <v>6253</v>
      </c>
      <c r="EY779" s="67">
        <v>5662.25</v>
      </c>
      <c r="EZ779" s="67" t="s">
        <v>6254</v>
      </c>
      <c r="FA779" s="67">
        <v>19993</v>
      </c>
      <c r="FB779" s="67" t="s">
        <v>6255</v>
      </c>
      <c r="FC779" s="67" t="s">
        <v>6256</v>
      </c>
      <c r="FD779" s="67" t="s">
        <v>6257</v>
      </c>
      <c r="FE779" s="68" t="s">
        <v>6258</v>
      </c>
      <c r="FF779" s="68" t="s">
        <v>6259</v>
      </c>
    </row>
    <row r="780" spans="151:162" x14ac:dyDescent="0.2">
      <c r="EU780" s="67">
        <v>564.65</v>
      </c>
      <c r="EV780" s="67" t="s">
        <v>6260</v>
      </c>
      <c r="EW780" s="67">
        <v>486.6</v>
      </c>
      <c r="EX780" s="67" t="s">
        <v>6261</v>
      </c>
      <c r="EY780" s="67">
        <v>5661.5</v>
      </c>
      <c r="EZ780" s="67" t="s">
        <v>6262</v>
      </c>
      <c r="FA780" s="67">
        <v>19991</v>
      </c>
      <c r="FB780" s="67" t="s">
        <v>6263</v>
      </c>
      <c r="FC780" s="67" t="s">
        <v>6264</v>
      </c>
      <c r="FD780" s="67" t="s">
        <v>6265</v>
      </c>
      <c r="FE780" s="68" t="s">
        <v>6266</v>
      </c>
      <c r="FF780" s="68" t="s">
        <v>6267</v>
      </c>
    </row>
    <row r="781" spans="151:162" x14ac:dyDescent="0.2">
      <c r="EU781" s="67">
        <v>564.75</v>
      </c>
      <c r="EV781" s="67" t="s">
        <v>6268</v>
      </c>
      <c r="EW781" s="67">
        <v>486.8</v>
      </c>
      <c r="EX781" s="67" t="s">
        <v>6269</v>
      </c>
      <c r="EY781" s="67">
        <v>5662.25</v>
      </c>
      <c r="EZ781" s="67" t="s">
        <v>6270</v>
      </c>
      <c r="FA781" s="67">
        <v>19998.75</v>
      </c>
      <c r="FB781" s="67" t="s">
        <v>6271</v>
      </c>
      <c r="FC781" s="67" t="s">
        <v>6272</v>
      </c>
      <c r="FD781" s="67" t="s">
        <v>6273</v>
      </c>
      <c r="FE781" s="68" t="s">
        <v>6274</v>
      </c>
      <c r="FF781" s="68" t="s">
        <v>6275</v>
      </c>
    </row>
    <row r="782" spans="151:162" x14ac:dyDescent="0.2">
      <c r="EU782" s="67">
        <v>564.54999999999995</v>
      </c>
      <c r="EV782" s="67" t="s">
        <v>6276</v>
      </c>
      <c r="EW782" s="67">
        <v>486.58300000000003</v>
      </c>
      <c r="EX782" s="67" t="s">
        <v>6277</v>
      </c>
      <c r="EY782" s="67">
        <v>5660.5</v>
      </c>
      <c r="EZ782" s="67" t="s">
        <v>6278</v>
      </c>
      <c r="FA782" s="67">
        <v>19990.5</v>
      </c>
      <c r="FB782" s="67" t="s">
        <v>6279</v>
      </c>
      <c r="FC782" s="67" t="s">
        <v>6280</v>
      </c>
      <c r="FD782" s="67" t="s">
        <v>6281</v>
      </c>
      <c r="FE782" s="68" t="s">
        <v>6282</v>
      </c>
      <c r="FF782" s="68" t="s">
        <v>6283</v>
      </c>
    </row>
    <row r="783" spans="151:162" x14ac:dyDescent="0.2">
      <c r="EU783" s="67">
        <v>564.5</v>
      </c>
      <c r="EV783" s="67" t="s">
        <v>6284</v>
      </c>
      <c r="EW783" s="67">
        <v>486.47</v>
      </c>
      <c r="EX783" s="67" t="s">
        <v>6285</v>
      </c>
      <c r="EY783" s="67">
        <v>5659.75</v>
      </c>
      <c r="EZ783" s="67" t="s">
        <v>6286</v>
      </c>
      <c r="FA783" s="67">
        <v>19985</v>
      </c>
      <c r="FB783" s="67" t="s">
        <v>6287</v>
      </c>
      <c r="FC783" s="67" t="s">
        <v>6288</v>
      </c>
      <c r="FD783" s="67" t="s">
        <v>6289</v>
      </c>
      <c r="FE783" s="68" t="s">
        <v>6290</v>
      </c>
      <c r="FF783" s="68" t="s">
        <v>6291</v>
      </c>
    </row>
    <row r="784" spans="151:162" x14ac:dyDescent="0.2">
      <c r="EU784" s="67">
        <v>564.79999999999995</v>
      </c>
      <c r="EV784" s="67" t="s">
        <v>6292</v>
      </c>
      <c r="EW784" s="67">
        <v>486.64</v>
      </c>
      <c r="EX784" s="67" t="s">
        <v>6293</v>
      </c>
      <c r="EY784" s="67">
        <v>5662.75</v>
      </c>
      <c r="EZ784" s="67" t="s">
        <v>6294</v>
      </c>
      <c r="FA784" s="67">
        <v>19992.25</v>
      </c>
      <c r="FB784" s="67" t="s">
        <v>6295</v>
      </c>
      <c r="FC784" s="67" t="s">
        <v>6296</v>
      </c>
      <c r="FD784" s="67" t="s">
        <v>6297</v>
      </c>
      <c r="FE784" s="68" t="s">
        <v>6298</v>
      </c>
      <c r="FF784" s="68" t="s">
        <v>6299</v>
      </c>
    </row>
    <row r="785" spans="151:162" x14ac:dyDescent="0.2">
      <c r="EU785" s="67">
        <v>564.77</v>
      </c>
      <c r="EV785" s="67" t="s">
        <v>6300</v>
      </c>
      <c r="EW785" s="67">
        <v>486.66</v>
      </c>
      <c r="EX785" s="67" t="s">
        <v>6301</v>
      </c>
      <c r="EY785" s="67">
        <v>5662.5</v>
      </c>
      <c r="EZ785" s="67" t="s">
        <v>6302</v>
      </c>
      <c r="FA785" s="67">
        <v>19993.25</v>
      </c>
      <c r="FB785" s="67" t="s">
        <v>6303</v>
      </c>
      <c r="FC785" s="67" t="s">
        <v>6304</v>
      </c>
      <c r="FD785" s="67" t="s">
        <v>6305</v>
      </c>
      <c r="FE785" s="68" t="s">
        <v>6306</v>
      </c>
      <c r="FF785" s="68" t="s">
        <v>6307</v>
      </c>
    </row>
    <row r="786" spans="151:162" x14ac:dyDescent="0.2">
      <c r="EU786" s="67">
        <v>564.78</v>
      </c>
      <c r="EV786" s="67" t="s">
        <v>6308</v>
      </c>
      <c r="EW786" s="67">
        <v>486.73</v>
      </c>
      <c r="EX786" s="67" t="s">
        <v>6309</v>
      </c>
      <c r="EY786" s="67">
        <v>5662.75</v>
      </c>
      <c r="EZ786" s="67" t="s">
        <v>6310</v>
      </c>
      <c r="FA786" s="67">
        <v>19997.25</v>
      </c>
      <c r="FB786" s="67" t="s">
        <v>6311</v>
      </c>
      <c r="FC786" s="67" t="s">
        <v>6312</v>
      </c>
      <c r="FD786" s="67" t="s">
        <v>6313</v>
      </c>
      <c r="FE786" s="68" t="s">
        <v>6314</v>
      </c>
      <c r="FF786" s="68" t="s">
        <v>6315</v>
      </c>
    </row>
    <row r="787" spans="151:162" x14ac:dyDescent="0.2">
      <c r="EU787" s="67">
        <v>564.88</v>
      </c>
      <c r="EV787" s="67" t="s">
        <v>6316</v>
      </c>
      <c r="EW787" s="67">
        <v>486.87</v>
      </c>
      <c r="EX787" s="67" t="s">
        <v>6317</v>
      </c>
      <c r="EY787" s="67">
        <v>5663.75</v>
      </c>
      <c r="EZ787" s="67" t="s">
        <v>6318</v>
      </c>
      <c r="FA787" s="67">
        <v>20002.5</v>
      </c>
      <c r="FB787" s="67" t="s">
        <v>6319</v>
      </c>
      <c r="FC787" s="67" t="s">
        <v>6320</v>
      </c>
      <c r="FD787" s="67" t="s">
        <v>6321</v>
      </c>
      <c r="FE787" s="68" t="s">
        <v>6322</v>
      </c>
      <c r="FF787" s="68" t="s">
        <v>6323</v>
      </c>
    </row>
    <row r="788" spans="151:162" x14ac:dyDescent="0.2">
      <c r="EU788" s="67">
        <v>565.20000000000005</v>
      </c>
      <c r="EV788" s="67" t="s">
        <v>6324</v>
      </c>
      <c r="EW788" s="67">
        <v>487.22</v>
      </c>
      <c r="EX788" s="67" t="s">
        <v>6325</v>
      </c>
      <c r="EY788" s="67">
        <v>5667</v>
      </c>
      <c r="EZ788" s="67" t="s">
        <v>6326</v>
      </c>
      <c r="FA788" s="67">
        <v>20015.75</v>
      </c>
      <c r="FB788" s="67" t="s">
        <v>6327</v>
      </c>
      <c r="FC788" s="67" t="s">
        <v>6328</v>
      </c>
      <c r="FD788" s="67" t="s">
        <v>6329</v>
      </c>
      <c r="FE788" s="68" t="s">
        <v>6330</v>
      </c>
      <c r="FF788" s="68" t="s">
        <v>6331</v>
      </c>
    </row>
    <row r="789" spans="151:162" x14ac:dyDescent="0.2">
      <c r="EU789" s="67">
        <v>565.28</v>
      </c>
      <c r="EV789" s="67" t="s">
        <v>6332</v>
      </c>
      <c r="EW789" s="67">
        <v>487.26</v>
      </c>
      <c r="EX789" s="67" t="s">
        <v>6333</v>
      </c>
      <c r="EY789" s="67">
        <v>5667.5</v>
      </c>
      <c r="EZ789" s="67" t="s">
        <v>6334</v>
      </c>
      <c r="FA789" s="67">
        <v>20018.75</v>
      </c>
      <c r="FB789" s="67" t="s">
        <v>6335</v>
      </c>
      <c r="FC789" s="67" t="s">
        <v>6336</v>
      </c>
      <c r="FD789" s="67" t="s">
        <v>6337</v>
      </c>
      <c r="FE789" s="68" t="s">
        <v>6338</v>
      </c>
      <c r="FF789" s="68" t="s">
        <v>6339</v>
      </c>
    </row>
    <row r="790" spans="151:162" x14ac:dyDescent="0.2">
      <c r="EU790" s="67">
        <v>565.12</v>
      </c>
      <c r="EV790" s="67" t="s">
        <v>6340</v>
      </c>
      <c r="EW790" s="67">
        <v>487.14</v>
      </c>
      <c r="EX790" s="67" t="s">
        <v>6341</v>
      </c>
      <c r="EY790" s="67">
        <v>5666</v>
      </c>
      <c r="EZ790" s="67" t="s">
        <v>6342</v>
      </c>
      <c r="FA790" s="67">
        <v>20013.25</v>
      </c>
      <c r="FB790" s="67" t="s">
        <v>6343</v>
      </c>
      <c r="FC790" s="67" t="s">
        <v>6344</v>
      </c>
      <c r="FD790" s="67" t="s">
        <v>6345</v>
      </c>
      <c r="FE790" s="68" t="s">
        <v>6346</v>
      </c>
      <c r="FF790" s="68" t="s">
        <v>6347</v>
      </c>
    </row>
    <row r="791" spans="151:162" x14ac:dyDescent="0.2">
      <c r="EU791" s="67">
        <v>565.07000000000005</v>
      </c>
      <c r="EV791" s="67" t="s">
        <v>6348</v>
      </c>
      <c r="EW791" s="67">
        <v>487.05</v>
      </c>
      <c r="EX791" s="67" t="s">
        <v>6349</v>
      </c>
      <c r="EY791" s="67">
        <v>5665.75</v>
      </c>
      <c r="EZ791" s="67" t="s">
        <v>6350</v>
      </c>
      <c r="FA791" s="67">
        <v>20010.25</v>
      </c>
      <c r="FB791" s="67" t="s">
        <v>6351</v>
      </c>
      <c r="FC791" s="67" t="s">
        <v>6352</v>
      </c>
      <c r="FD791" s="67" t="s">
        <v>6353</v>
      </c>
      <c r="FE791" s="68" t="s">
        <v>6354</v>
      </c>
      <c r="FF791" s="68" t="s">
        <v>6355</v>
      </c>
    </row>
    <row r="792" spans="151:162" x14ac:dyDescent="0.2">
      <c r="EU792" s="67">
        <v>564.85500000000002</v>
      </c>
      <c r="EV792" s="67" t="s">
        <v>6356</v>
      </c>
      <c r="EW792" s="67">
        <v>486.83</v>
      </c>
      <c r="EX792" s="67" t="s">
        <v>6357</v>
      </c>
      <c r="EY792" s="67">
        <v>5663.5</v>
      </c>
      <c r="EZ792" s="67" t="s">
        <v>6358</v>
      </c>
      <c r="FA792" s="67">
        <v>19999.75</v>
      </c>
      <c r="FB792" s="67" t="s">
        <v>6359</v>
      </c>
      <c r="FC792" s="67" t="s">
        <v>6360</v>
      </c>
      <c r="FD792" s="67" t="s">
        <v>6361</v>
      </c>
      <c r="FE792" s="68" t="s">
        <v>6362</v>
      </c>
      <c r="FF792" s="68" t="s">
        <v>6363</v>
      </c>
    </row>
    <row r="793" spans="151:162" x14ac:dyDescent="0.2">
      <c r="EU793" s="67">
        <v>564.55999999999995</v>
      </c>
      <c r="EV793" s="67" t="s">
        <v>6364</v>
      </c>
      <c r="EW793" s="67">
        <v>486.49</v>
      </c>
      <c r="EX793" s="67" t="s">
        <v>6365</v>
      </c>
      <c r="EY793" s="67">
        <v>5660.75</v>
      </c>
      <c r="EZ793" s="67" t="s">
        <v>6366</v>
      </c>
      <c r="FA793" s="67">
        <v>19986.25</v>
      </c>
      <c r="FB793" s="67" t="s">
        <v>6367</v>
      </c>
      <c r="FC793" s="67" t="s">
        <v>6368</v>
      </c>
      <c r="FD793" s="67" t="s">
        <v>6369</v>
      </c>
      <c r="FE793" s="68" t="s">
        <v>6370</v>
      </c>
      <c r="FF793" s="68" t="s">
        <v>6371</v>
      </c>
    </row>
    <row r="794" spans="151:162" x14ac:dyDescent="0.2">
      <c r="EU794" s="67">
        <v>564.67999999999995</v>
      </c>
      <c r="EV794" s="67" t="s">
        <v>6372</v>
      </c>
      <c r="EW794" s="67">
        <v>486.68</v>
      </c>
      <c r="EX794" s="67" t="s">
        <v>6373</v>
      </c>
      <c r="EY794" s="67">
        <v>5661.75</v>
      </c>
      <c r="EZ794" s="67" t="s">
        <v>6374</v>
      </c>
      <c r="FA794" s="67">
        <v>19994.25</v>
      </c>
      <c r="FB794" s="67" t="s">
        <v>6375</v>
      </c>
      <c r="FC794" s="67" t="s">
        <v>6376</v>
      </c>
      <c r="FD794" s="67" t="s">
        <v>6377</v>
      </c>
      <c r="FE794" s="68" t="s">
        <v>6378</v>
      </c>
      <c r="FF794" s="68" t="s">
        <v>6379</v>
      </c>
    </row>
    <row r="795" spans="151:162" x14ac:dyDescent="0.2">
      <c r="EU795" s="67">
        <v>564.74</v>
      </c>
      <c r="EV795" s="67" t="s">
        <v>6380</v>
      </c>
      <c r="EW795" s="67">
        <v>486.71</v>
      </c>
      <c r="EX795" s="67" t="s">
        <v>6381</v>
      </c>
      <c r="EY795" s="67">
        <v>5662.25</v>
      </c>
      <c r="EZ795" s="67" t="s">
        <v>6382</v>
      </c>
      <c r="FA795" s="67">
        <v>19995</v>
      </c>
      <c r="FB795" s="67" t="s">
        <v>6383</v>
      </c>
      <c r="FC795" s="67" t="s">
        <v>6384</v>
      </c>
      <c r="FD795" s="67" t="s">
        <v>6385</v>
      </c>
      <c r="FE795" s="68" t="s">
        <v>6386</v>
      </c>
      <c r="FF795" s="68" t="s">
        <v>6387</v>
      </c>
    </row>
    <row r="796" spans="151:162" x14ac:dyDescent="0.2">
      <c r="EU796" s="67">
        <v>564.77</v>
      </c>
      <c r="EV796" s="67" t="s">
        <v>6388</v>
      </c>
      <c r="EW796" s="67">
        <v>486.78399999999999</v>
      </c>
      <c r="EX796" s="67" t="s">
        <v>6389</v>
      </c>
      <c r="EY796" s="67">
        <v>5662.5</v>
      </c>
      <c r="EZ796" s="67" t="s">
        <v>6390</v>
      </c>
      <c r="FA796" s="67">
        <v>19997</v>
      </c>
      <c r="FB796" s="67" t="s">
        <v>6391</v>
      </c>
      <c r="FC796" s="67" t="s">
        <v>6392</v>
      </c>
      <c r="FD796" s="67" t="s">
        <v>6393</v>
      </c>
      <c r="FE796" s="68" t="s">
        <v>6394</v>
      </c>
      <c r="FF796" s="68" t="s">
        <v>6395</v>
      </c>
    </row>
    <row r="797" spans="151:162" x14ac:dyDescent="0.2">
      <c r="EU797" s="67">
        <v>565</v>
      </c>
      <c r="EV797" s="67" t="s">
        <v>6396</v>
      </c>
      <c r="EW797" s="67">
        <v>486.99</v>
      </c>
      <c r="EX797" s="67" t="s">
        <v>6397</v>
      </c>
      <c r="EY797" s="67">
        <v>5665</v>
      </c>
      <c r="EZ797" s="67" t="s">
        <v>6398</v>
      </c>
      <c r="FA797" s="67">
        <v>20006.5</v>
      </c>
      <c r="FB797" s="67" t="s">
        <v>6399</v>
      </c>
      <c r="FC797" s="67" t="s">
        <v>6400</v>
      </c>
      <c r="FD797" s="67" t="s">
        <v>6401</v>
      </c>
      <c r="FE797" s="68" t="s">
        <v>6402</v>
      </c>
      <c r="FF797" s="68" t="s">
        <v>6403</v>
      </c>
    </row>
    <row r="798" spans="151:162" x14ac:dyDescent="0.2">
      <c r="EU798" s="67">
        <v>564.75</v>
      </c>
      <c r="EV798" s="67" t="s">
        <v>6404</v>
      </c>
      <c r="EW798" s="67">
        <v>486.8</v>
      </c>
      <c r="EX798" s="67" t="s">
        <v>6405</v>
      </c>
      <c r="EY798" s="67">
        <v>5662.5</v>
      </c>
      <c r="EZ798" s="67" t="s">
        <v>6406</v>
      </c>
      <c r="FA798" s="67">
        <v>19998.25</v>
      </c>
      <c r="FB798" s="67" t="s">
        <v>6407</v>
      </c>
      <c r="FC798" s="67" t="s">
        <v>6408</v>
      </c>
      <c r="FD798" s="67" t="s">
        <v>6409</v>
      </c>
      <c r="FE798" s="68" t="s">
        <v>6410</v>
      </c>
      <c r="FF798" s="68" t="s">
        <v>6411</v>
      </c>
    </row>
    <row r="799" spans="151:162" x14ac:dyDescent="0.2">
      <c r="EU799" s="67">
        <v>564.48</v>
      </c>
      <c r="EV799" s="67" t="s">
        <v>6412</v>
      </c>
      <c r="EW799" s="67">
        <v>486.52499999999998</v>
      </c>
      <c r="EX799" s="67" t="s">
        <v>6413</v>
      </c>
      <c r="EY799" s="67">
        <v>5659.75</v>
      </c>
      <c r="EZ799" s="67" t="s">
        <v>6414</v>
      </c>
      <c r="FA799" s="67">
        <v>19987</v>
      </c>
      <c r="FB799" s="67" t="s">
        <v>6415</v>
      </c>
      <c r="FC799" s="67" t="s">
        <v>6416</v>
      </c>
      <c r="FD799" s="67" t="s">
        <v>6417</v>
      </c>
      <c r="FE799" s="68" t="s">
        <v>6418</v>
      </c>
      <c r="FF799" s="68" t="s">
        <v>6419</v>
      </c>
    </row>
    <row r="800" spans="151:162" x14ac:dyDescent="0.2">
      <c r="EU800" s="67">
        <v>564.49</v>
      </c>
      <c r="EV800" s="67" t="s">
        <v>6420</v>
      </c>
      <c r="EW800" s="67">
        <v>486.49</v>
      </c>
      <c r="EX800" s="67" t="s">
        <v>6421</v>
      </c>
      <c r="EY800" s="67">
        <v>5659.75</v>
      </c>
      <c r="EZ800" s="67" t="s">
        <v>6422</v>
      </c>
      <c r="FA800" s="67">
        <v>19987.5</v>
      </c>
      <c r="FB800" s="67" t="s">
        <v>6423</v>
      </c>
      <c r="FC800" s="67" t="s">
        <v>6424</v>
      </c>
      <c r="FD800" s="67" t="s">
        <v>6425</v>
      </c>
      <c r="FE800" s="68" t="s">
        <v>6426</v>
      </c>
      <c r="FF800" s="68" t="s">
        <v>6427</v>
      </c>
    </row>
    <row r="801" spans="151:162" x14ac:dyDescent="0.2">
      <c r="EU801" s="67">
        <v>564.4</v>
      </c>
      <c r="EV801" s="67" t="s">
        <v>6428</v>
      </c>
      <c r="EW801" s="67">
        <v>486.48099999999999</v>
      </c>
      <c r="EX801" s="67" t="s">
        <v>6429</v>
      </c>
      <c r="EY801" s="67">
        <v>5659</v>
      </c>
      <c r="EZ801" s="67" t="s">
        <v>6430</v>
      </c>
      <c r="FA801" s="67">
        <v>19986.75</v>
      </c>
      <c r="FB801" s="67" t="s">
        <v>6431</v>
      </c>
      <c r="FC801" s="67" t="s">
        <v>6432</v>
      </c>
      <c r="FD801" s="67" t="s">
        <v>6433</v>
      </c>
      <c r="FE801" s="68" t="s">
        <v>6434</v>
      </c>
      <c r="FF801" s="68" t="s">
        <v>6435</v>
      </c>
    </row>
    <row r="802" spans="151:162" x14ac:dyDescent="0.2">
      <c r="EU802" s="67">
        <v>564.42999999999995</v>
      </c>
      <c r="EV802" s="67" t="s">
        <v>6436</v>
      </c>
      <c r="EW802" s="67">
        <v>486.48</v>
      </c>
      <c r="EX802" s="67" t="s">
        <v>6437</v>
      </c>
      <c r="EY802" s="67">
        <v>5658.75</v>
      </c>
      <c r="EZ802" s="67" t="s">
        <v>6438</v>
      </c>
      <c r="FA802" s="67">
        <v>19986</v>
      </c>
      <c r="FB802" s="67" t="s">
        <v>6439</v>
      </c>
      <c r="FC802" s="67" t="s">
        <v>6440</v>
      </c>
      <c r="FD802" s="67" t="s">
        <v>6441</v>
      </c>
      <c r="FE802" s="68" t="s">
        <v>6442</v>
      </c>
      <c r="FF802" s="68" t="s">
        <v>6443</v>
      </c>
    </row>
    <row r="803" spans="151:162" x14ac:dyDescent="0.2">
      <c r="EU803" s="67">
        <v>564.21</v>
      </c>
      <c r="EV803" s="67" t="s">
        <v>6444</v>
      </c>
      <c r="EW803" s="67">
        <v>486.36</v>
      </c>
      <c r="EX803" s="67" t="s">
        <v>6445</v>
      </c>
      <c r="EY803" s="67">
        <v>5657</v>
      </c>
      <c r="EZ803" s="67" t="s">
        <v>6446</v>
      </c>
      <c r="FA803" s="67">
        <v>19978.75</v>
      </c>
      <c r="FB803" s="67" t="s">
        <v>6447</v>
      </c>
      <c r="FC803" s="67" t="s">
        <v>6448</v>
      </c>
      <c r="FD803" s="67" t="s">
        <v>6449</v>
      </c>
      <c r="FE803" s="68" t="s">
        <v>6450</v>
      </c>
      <c r="FF803" s="68" t="s">
        <v>6451</v>
      </c>
    </row>
    <row r="804" spans="151:162" x14ac:dyDescent="0.2">
      <c r="EU804" s="67">
        <v>564.16</v>
      </c>
      <c r="EV804" s="67" t="s">
        <v>6452</v>
      </c>
      <c r="EW804" s="67">
        <v>486.29</v>
      </c>
      <c r="EX804" s="67" t="s">
        <v>6453</v>
      </c>
      <c r="EY804" s="67">
        <v>5656.5</v>
      </c>
      <c r="EZ804" s="67" t="s">
        <v>6454</v>
      </c>
      <c r="FA804" s="67">
        <v>19978</v>
      </c>
      <c r="FB804" s="67" t="s">
        <v>6455</v>
      </c>
      <c r="FC804" s="67" t="s">
        <v>6456</v>
      </c>
      <c r="FD804" s="67" t="s">
        <v>6457</v>
      </c>
      <c r="FE804" s="68" t="s">
        <v>6458</v>
      </c>
      <c r="FF804" s="68" t="s">
        <v>6459</v>
      </c>
    </row>
    <row r="805" spans="151:162" x14ac:dyDescent="0.2">
      <c r="EU805" s="67">
        <v>564.07000000000005</v>
      </c>
      <c r="EV805" s="67" t="s">
        <v>6460</v>
      </c>
      <c r="EW805" s="67">
        <v>486.16</v>
      </c>
      <c r="EX805" s="67" t="s">
        <v>6461</v>
      </c>
      <c r="EY805" s="67">
        <v>5655.25</v>
      </c>
      <c r="EZ805" s="67" t="s">
        <v>6462</v>
      </c>
      <c r="FA805" s="67">
        <v>19973.5</v>
      </c>
      <c r="FB805" s="67" t="s">
        <v>6463</v>
      </c>
      <c r="FC805" s="67" t="s">
        <v>6464</v>
      </c>
      <c r="FD805" s="67" t="s">
        <v>6465</v>
      </c>
      <c r="FE805" s="68" t="s">
        <v>6466</v>
      </c>
      <c r="FF805" s="68" t="s">
        <v>6467</v>
      </c>
    </row>
    <row r="806" spans="151:162" x14ac:dyDescent="0.2">
      <c r="EU806" s="67">
        <v>563.92499999999995</v>
      </c>
      <c r="EV806" s="67" t="s">
        <v>6468</v>
      </c>
      <c r="EW806" s="67">
        <v>486.08</v>
      </c>
      <c r="EX806" s="67" t="s">
        <v>6469</v>
      </c>
      <c r="EY806" s="67">
        <v>5654.25</v>
      </c>
      <c r="EZ806" s="67" t="s">
        <v>6470</v>
      </c>
      <c r="FA806" s="67">
        <v>19970</v>
      </c>
      <c r="FB806" s="67" t="s">
        <v>6471</v>
      </c>
      <c r="FC806" s="67" t="s">
        <v>6472</v>
      </c>
      <c r="FD806" s="67" t="s">
        <v>6473</v>
      </c>
      <c r="FE806" s="68" t="s">
        <v>6474</v>
      </c>
      <c r="FF806" s="68" t="s">
        <v>6475</v>
      </c>
    </row>
    <row r="807" spans="151:162" x14ac:dyDescent="0.2">
      <c r="EU807" s="67">
        <v>564.48699999999997</v>
      </c>
      <c r="EV807" s="67" t="s">
        <v>6476</v>
      </c>
      <c r="EW807" s="67">
        <v>486.59</v>
      </c>
      <c r="EX807" s="67" t="s">
        <v>6477</v>
      </c>
      <c r="EY807" s="67">
        <v>5659.75</v>
      </c>
      <c r="EZ807" s="67" t="s">
        <v>6478</v>
      </c>
      <c r="FA807" s="67">
        <v>19990.75</v>
      </c>
      <c r="FB807" s="67" t="s">
        <v>6479</v>
      </c>
      <c r="FC807" s="67" t="s">
        <v>6480</v>
      </c>
      <c r="FD807" s="67" t="s">
        <v>6481</v>
      </c>
      <c r="FE807" s="68" t="s">
        <v>6482</v>
      </c>
      <c r="FF807" s="68" t="s">
        <v>6483</v>
      </c>
    </row>
    <row r="808" spans="151:162" x14ac:dyDescent="0.2">
      <c r="EU808" s="67">
        <v>564.36800000000005</v>
      </c>
      <c r="EV808" s="67" t="s">
        <v>6484</v>
      </c>
      <c r="EW808" s="67">
        <v>486.47</v>
      </c>
      <c r="EX808" s="67" t="s">
        <v>6485</v>
      </c>
      <c r="EY808" s="67">
        <v>5658.25</v>
      </c>
      <c r="EZ808" s="67" t="s">
        <v>6486</v>
      </c>
      <c r="FA808" s="67">
        <v>19985.75</v>
      </c>
      <c r="FB808" s="67" t="s">
        <v>6487</v>
      </c>
      <c r="FC808" s="67" t="s">
        <v>6488</v>
      </c>
      <c r="FD808" s="67" t="s">
        <v>6489</v>
      </c>
      <c r="FE808" s="68" t="s">
        <v>6490</v>
      </c>
      <c r="FF808" s="68" t="s">
        <v>6491</v>
      </c>
    </row>
    <row r="809" spans="151:162" x14ac:dyDescent="0.2">
      <c r="EU809" s="67">
        <v>564.29499999999996</v>
      </c>
      <c r="EV809" s="67" t="s">
        <v>6492</v>
      </c>
      <c r="EW809" s="67">
        <v>486.4</v>
      </c>
      <c r="EX809" s="67" t="s">
        <v>6493</v>
      </c>
      <c r="EY809" s="67">
        <v>5658</v>
      </c>
      <c r="EZ809" s="67" t="s">
        <v>6494</v>
      </c>
      <c r="FA809" s="67">
        <v>19981.75</v>
      </c>
      <c r="FB809" s="67" t="s">
        <v>6495</v>
      </c>
      <c r="FC809" s="67" t="s">
        <v>6496</v>
      </c>
      <c r="FD809" s="67" t="s">
        <v>6497</v>
      </c>
      <c r="FE809" s="68" t="s">
        <v>6498</v>
      </c>
      <c r="FF809" s="68" t="s">
        <v>6499</v>
      </c>
    </row>
    <row r="810" spans="151:162" x14ac:dyDescent="0.2">
      <c r="EU810" s="67">
        <v>564.45000000000005</v>
      </c>
      <c r="EV810" s="67" t="s">
        <v>6500</v>
      </c>
      <c r="EW810" s="67">
        <v>486.45100000000002</v>
      </c>
      <c r="EX810" s="67" t="s">
        <v>6501</v>
      </c>
      <c r="EY810" s="67">
        <v>5659.5</v>
      </c>
      <c r="EZ810" s="67" t="s">
        <v>6502</v>
      </c>
      <c r="FA810" s="67">
        <v>19985.25</v>
      </c>
      <c r="FB810" s="67" t="s">
        <v>6503</v>
      </c>
      <c r="FC810" s="67" t="s">
        <v>6504</v>
      </c>
      <c r="FD810" s="67" t="s">
        <v>6505</v>
      </c>
      <c r="FE810" s="68" t="s">
        <v>6506</v>
      </c>
      <c r="FF810" s="68" t="s">
        <v>6507</v>
      </c>
    </row>
    <row r="811" spans="151:162" x14ac:dyDescent="0.2">
      <c r="EU811" s="67">
        <v>564.52</v>
      </c>
      <c r="EV811" s="67" t="s">
        <v>6508</v>
      </c>
      <c r="EW811" s="67">
        <v>486.52</v>
      </c>
      <c r="EX811" s="67" t="s">
        <v>6509</v>
      </c>
      <c r="EY811" s="67">
        <v>5660.25</v>
      </c>
      <c r="EZ811" s="67" t="s">
        <v>6510</v>
      </c>
      <c r="FA811" s="67">
        <v>19987.5</v>
      </c>
      <c r="FB811" s="67" t="s">
        <v>6511</v>
      </c>
      <c r="FC811" s="67" t="s">
        <v>6512</v>
      </c>
      <c r="FD811" s="67" t="s">
        <v>6513</v>
      </c>
      <c r="FE811" s="68" t="s">
        <v>6514</v>
      </c>
      <c r="FF811" s="68" t="s">
        <v>6515</v>
      </c>
    </row>
    <row r="812" spans="151:162" x14ac:dyDescent="0.2">
      <c r="EU812" s="67">
        <v>564.83000000000004</v>
      </c>
      <c r="EV812" s="67" t="s">
        <v>6516</v>
      </c>
      <c r="EW812" s="67">
        <v>486.78</v>
      </c>
      <c r="EX812" s="67" t="s">
        <v>6517</v>
      </c>
      <c r="EY812" s="67">
        <v>5663.25</v>
      </c>
      <c r="EZ812" s="67" t="s">
        <v>6518</v>
      </c>
      <c r="FA812" s="67">
        <v>19998.25</v>
      </c>
      <c r="FB812" s="67" t="s">
        <v>6519</v>
      </c>
      <c r="FC812" s="67" t="s">
        <v>6520</v>
      </c>
      <c r="FD812" s="67" t="s">
        <v>6521</v>
      </c>
      <c r="FE812" s="68" t="s">
        <v>6522</v>
      </c>
      <c r="FF812" s="68" t="s">
        <v>6523</v>
      </c>
    </row>
    <row r="813" spans="151:162" x14ac:dyDescent="0.2">
      <c r="EU813" s="67">
        <v>564.72</v>
      </c>
      <c r="EV813" s="67" t="s">
        <v>6524</v>
      </c>
      <c r="EW813" s="67">
        <v>486.66</v>
      </c>
      <c r="EX813" s="67" t="s">
        <v>6525</v>
      </c>
      <c r="EY813" s="67">
        <v>5662</v>
      </c>
      <c r="EZ813" s="67" t="s">
        <v>6526</v>
      </c>
      <c r="FA813" s="67">
        <v>19993.5</v>
      </c>
      <c r="FB813" s="67" t="s">
        <v>6527</v>
      </c>
      <c r="FC813" s="67" t="s">
        <v>6528</v>
      </c>
      <c r="FD813" s="67" t="s">
        <v>6529</v>
      </c>
      <c r="FE813" s="68" t="s">
        <v>6530</v>
      </c>
      <c r="FF813" s="68" t="s">
        <v>6531</v>
      </c>
    </row>
    <row r="814" spans="151:162" x14ac:dyDescent="0.2">
      <c r="EU814" s="67">
        <v>564.61</v>
      </c>
      <c r="EV814" s="67" t="s">
        <v>6532</v>
      </c>
      <c r="EW814" s="67">
        <v>486.37</v>
      </c>
      <c r="EX814" s="67" t="s">
        <v>6533</v>
      </c>
      <c r="EY814" s="67">
        <v>5660.25</v>
      </c>
      <c r="EZ814" s="67" t="s">
        <v>6534</v>
      </c>
      <c r="FA814" s="67">
        <v>19983.25</v>
      </c>
      <c r="FB814" s="67" t="s">
        <v>6535</v>
      </c>
      <c r="FC814" s="67" t="s">
        <v>6536</v>
      </c>
      <c r="FD814" s="67" t="s">
        <v>6537</v>
      </c>
      <c r="FE814" s="68" t="s">
        <v>6538</v>
      </c>
      <c r="FF814" s="68" t="s">
        <v>6539</v>
      </c>
    </row>
    <row r="815" spans="151:162" x14ac:dyDescent="0.2">
      <c r="EU815" s="67">
        <v>564.45000000000005</v>
      </c>
      <c r="EV815" s="67" t="s">
        <v>6540</v>
      </c>
      <c r="EW815" s="67">
        <v>486.2</v>
      </c>
      <c r="EX815" s="67" t="s">
        <v>6541</v>
      </c>
      <c r="EY815" s="67">
        <v>5659.25</v>
      </c>
      <c r="EZ815" s="67" t="s">
        <v>6542</v>
      </c>
      <c r="FA815" s="67">
        <v>19975</v>
      </c>
      <c r="FB815" s="67" t="s">
        <v>6543</v>
      </c>
      <c r="FC815" s="67" t="s">
        <v>6544</v>
      </c>
      <c r="FD815" s="67" t="s">
        <v>6545</v>
      </c>
      <c r="FE815" s="68" t="s">
        <v>6546</v>
      </c>
      <c r="FF815" s="68" t="s">
        <v>6547</v>
      </c>
    </row>
    <row r="816" spans="151:162" x14ac:dyDescent="0.2">
      <c r="EU816" s="67">
        <v>564.62</v>
      </c>
      <c r="EV816" s="67" t="s">
        <v>6548</v>
      </c>
      <c r="EW816" s="67">
        <v>486.38</v>
      </c>
      <c r="EX816" s="67" t="s">
        <v>6549</v>
      </c>
      <c r="EY816" s="67">
        <v>5661.25</v>
      </c>
      <c r="EZ816" s="67" t="s">
        <v>6550</v>
      </c>
      <c r="FA816" s="67">
        <v>19981.5</v>
      </c>
      <c r="FB816" s="67" t="s">
        <v>6551</v>
      </c>
      <c r="FC816" s="67" t="s">
        <v>6552</v>
      </c>
      <c r="FD816" s="67" t="s">
        <v>6553</v>
      </c>
      <c r="FE816" s="68" t="s">
        <v>6554</v>
      </c>
      <c r="FF816" s="68" t="s">
        <v>6555</v>
      </c>
    </row>
    <row r="817" spans="151:162" x14ac:dyDescent="0.2">
      <c r="EU817" s="67">
        <v>564.95000000000005</v>
      </c>
      <c r="EV817" s="67" t="s">
        <v>6556</v>
      </c>
      <c r="EW817" s="67">
        <v>486.74</v>
      </c>
      <c r="EX817" s="67" t="s">
        <v>6557</v>
      </c>
      <c r="EY817" s="67">
        <v>5664.5</v>
      </c>
      <c r="EZ817" s="67" t="s">
        <v>6558</v>
      </c>
      <c r="FA817" s="67">
        <v>19996.75</v>
      </c>
      <c r="FB817" s="67" t="s">
        <v>6559</v>
      </c>
      <c r="FC817" s="67" t="s">
        <v>6560</v>
      </c>
      <c r="FD817" s="67" t="s">
        <v>6561</v>
      </c>
      <c r="FE817" s="68" t="s">
        <v>6562</v>
      </c>
      <c r="FF817" s="68" t="s">
        <v>6563</v>
      </c>
    </row>
    <row r="818" spans="151:162" x14ac:dyDescent="0.2">
      <c r="EU818" s="67">
        <v>565.04</v>
      </c>
      <c r="EV818" s="67" t="s">
        <v>6564</v>
      </c>
      <c r="EW818" s="67">
        <v>486.81</v>
      </c>
      <c r="EX818" s="67" t="s">
        <v>6565</v>
      </c>
      <c r="EY818" s="67">
        <v>5665.25</v>
      </c>
      <c r="EZ818" s="67" t="s">
        <v>6566</v>
      </c>
      <c r="FA818" s="67">
        <v>19999.5</v>
      </c>
      <c r="FB818" s="67" t="s">
        <v>6567</v>
      </c>
      <c r="FC818" s="67" t="s">
        <v>6568</v>
      </c>
      <c r="FD818" s="67" t="s">
        <v>6569</v>
      </c>
      <c r="FE818" s="68" t="s">
        <v>6570</v>
      </c>
      <c r="FF818" s="68" t="s">
        <v>6571</v>
      </c>
    </row>
    <row r="819" spans="151:162" x14ac:dyDescent="0.2">
      <c r="EU819" s="67">
        <v>565.08000000000004</v>
      </c>
      <c r="EV819" s="67" t="s">
        <v>6572</v>
      </c>
      <c r="EW819" s="67">
        <v>486.90499999999997</v>
      </c>
      <c r="EX819" s="67" t="s">
        <v>6573</v>
      </c>
      <c r="EY819" s="67">
        <v>5665.75</v>
      </c>
      <c r="EZ819" s="67" t="s">
        <v>6574</v>
      </c>
      <c r="FA819" s="67">
        <v>20003.25</v>
      </c>
      <c r="FB819" s="67" t="s">
        <v>6575</v>
      </c>
      <c r="FC819" s="67" t="s">
        <v>6576</v>
      </c>
      <c r="FD819" s="67" t="s">
        <v>6577</v>
      </c>
      <c r="FE819" s="68" t="s">
        <v>6578</v>
      </c>
      <c r="FF819" s="68" t="s">
        <v>6579</v>
      </c>
    </row>
    <row r="820" spans="151:162" x14ac:dyDescent="0.2">
      <c r="EU820" s="67">
        <v>565.09</v>
      </c>
      <c r="EV820" s="67" t="s">
        <v>6580</v>
      </c>
      <c r="EW820" s="67">
        <v>486.91</v>
      </c>
      <c r="EX820" s="67" t="s">
        <v>6581</v>
      </c>
      <c r="EY820" s="67">
        <v>5665.5</v>
      </c>
      <c r="EZ820" s="67" t="s">
        <v>6582</v>
      </c>
      <c r="FA820" s="67">
        <v>20002.25</v>
      </c>
      <c r="FB820" s="67" t="s">
        <v>6583</v>
      </c>
      <c r="FC820" s="67" t="s">
        <v>6584</v>
      </c>
      <c r="FD820" s="67" t="s">
        <v>6585</v>
      </c>
      <c r="FE820" s="68" t="s">
        <v>6586</v>
      </c>
      <c r="FF820" s="68" t="s">
        <v>6587</v>
      </c>
    </row>
    <row r="821" spans="151:162" x14ac:dyDescent="0.2">
      <c r="EU821" s="67">
        <v>564.9</v>
      </c>
      <c r="EV821" s="67" t="s">
        <v>6588</v>
      </c>
      <c r="EW821" s="67">
        <v>486.75</v>
      </c>
      <c r="EX821" s="67" t="s">
        <v>6589</v>
      </c>
      <c r="EY821" s="67">
        <v>5664</v>
      </c>
      <c r="EZ821" s="67" t="s">
        <v>6590</v>
      </c>
      <c r="FA821" s="67">
        <v>19997.5</v>
      </c>
      <c r="FB821" s="67" t="s">
        <v>6591</v>
      </c>
      <c r="FC821" s="67" t="s">
        <v>6592</v>
      </c>
      <c r="FD821" s="67" t="s">
        <v>6593</v>
      </c>
      <c r="FE821" s="68" t="s">
        <v>6594</v>
      </c>
      <c r="FF821" s="68" t="s">
        <v>6595</v>
      </c>
    </row>
    <row r="822" spans="151:162" x14ac:dyDescent="0.2">
      <c r="EU822" s="67">
        <v>565.04</v>
      </c>
      <c r="EV822" s="67" t="s">
        <v>6596</v>
      </c>
      <c r="EW822" s="67">
        <v>486.9</v>
      </c>
      <c r="EX822" s="67" t="s">
        <v>6597</v>
      </c>
      <c r="EY822" s="67">
        <v>5665.5</v>
      </c>
      <c r="EZ822" s="67" t="s">
        <v>6598</v>
      </c>
      <c r="FA822" s="67">
        <v>20003</v>
      </c>
      <c r="FB822" s="67" t="s">
        <v>6599</v>
      </c>
      <c r="FC822" s="67" t="s">
        <v>6600</v>
      </c>
      <c r="FD822" s="67" t="s">
        <v>6601</v>
      </c>
      <c r="FE822" s="68" t="s">
        <v>6602</v>
      </c>
      <c r="FF822" s="68" t="s">
        <v>6603</v>
      </c>
    </row>
    <row r="823" spans="151:162" x14ac:dyDescent="0.2">
      <c r="EU823" s="67">
        <v>564.82000000000005</v>
      </c>
      <c r="EV823" s="67" t="s">
        <v>6604</v>
      </c>
      <c r="EW823" s="67">
        <v>486.76</v>
      </c>
      <c r="EX823" s="67" t="s">
        <v>6605</v>
      </c>
      <c r="EY823" s="67">
        <v>5663.5</v>
      </c>
      <c r="EZ823" s="67" t="s">
        <v>6606</v>
      </c>
      <c r="FA823" s="67">
        <v>19997</v>
      </c>
      <c r="FB823" s="67" t="s">
        <v>6607</v>
      </c>
      <c r="FC823" s="67" t="s">
        <v>6608</v>
      </c>
      <c r="FD823" s="67" t="s">
        <v>6609</v>
      </c>
      <c r="FE823" s="68" t="s">
        <v>6610</v>
      </c>
      <c r="FF823" s="68" t="s">
        <v>6611</v>
      </c>
    </row>
    <row r="824" spans="151:162" x14ac:dyDescent="0.2">
      <c r="EU824" s="67">
        <v>565</v>
      </c>
      <c r="EV824" s="67" t="s">
        <v>6612</v>
      </c>
      <c r="EW824" s="67">
        <v>486.88</v>
      </c>
      <c r="EX824" s="67" t="s">
        <v>6613</v>
      </c>
      <c r="EY824" s="67">
        <v>5665</v>
      </c>
      <c r="EZ824" s="67" t="s">
        <v>6614</v>
      </c>
      <c r="FA824" s="67">
        <v>20002.5</v>
      </c>
      <c r="FB824" s="67" t="s">
        <v>6615</v>
      </c>
      <c r="FC824" s="67" t="s">
        <v>6616</v>
      </c>
      <c r="FD824" s="67" t="s">
        <v>6617</v>
      </c>
      <c r="FE824" s="68" t="s">
        <v>6618</v>
      </c>
      <c r="FF824" s="68" t="s">
        <v>6619</v>
      </c>
    </row>
    <row r="825" spans="151:162" x14ac:dyDescent="0.2">
      <c r="EU825" s="67">
        <v>565.04899999999998</v>
      </c>
      <c r="EV825" s="67" t="s">
        <v>6620</v>
      </c>
      <c r="EW825" s="67">
        <v>486.9</v>
      </c>
      <c r="EX825" s="67" t="s">
        <v>6621</v>
      </c>
      <c r="EY825" s="67">
        <v>5665.25</v>
      </c>
      <c r="EZ825" s="67" t="s">
        <v>6622</v>
      </c>
      <c r="FA825" s="67">
        <v>20002.75</v>
      </c>
      <c r="FB825" s="67" t="s">
        <v>6623</v>
      </c>
      <c r="FC825" s="67" t="s">
        <v>6624</v>
      </c>
      <c r="FD825" s="67" t="s">
        <v>6625</v>
      </c>
      <c r="FE825" s="68" t="s">
        <v>6626</v>
      </c>
      <c r="FF825" s="68" t="s">
        <v>6627</v>
      </c>
    </row>
    <row r="826" spans="151:162" x14ac:dyDescent="0.2">
      <c r="EU826" s="67">
        <v>565.01400000000001</v>
      </c>
      <c r="EV826" s="67" t="s">
        <v>6628</v>
      </c>
      <c r="EW826" s="67">
        <v>486.89</v>
      </c>
      <c r="EX826" s="67" t="s">
        <v>6629</v>
      </c>
      <c r="EY826" s="67">
        <v>5665</v>
      </c>
      <c r="EZ826" s="67" t="s">
        <v>6630</v>
      </c>
      <c r="FA826" s="67">
        <v>20002.75</v>
      </c>
      <c r="FB826" s="67" t="s">
        <v>6631</v>
      </c>
      <c r="FC826" s="67" t="s">
        <v>6632</v>
      </c>
      <c r="FD826" s="67" t="s">
        <v>6633</v>
      </c>
      <c r="FE826" s="68" t="s">
        <v>6634</v>
      </c>
      <c r="FF826" s="68" t="s">
        <v>6635</v>
      </c>
    </row>
    <row r="827" spans="151:162" x14ac:dyDescent="0.2">
      <c r="EU827" s="67">
        <v>565.17999999999995</v>
      </c>
      <c r="EV827" s="67" t="s">
        <v>6636</v>
      </c>
      <c r="EW827" s="67">
        <v>486.9</v>
      </c>
      <c r="EX827" s="67" t="s">
        <v>6637</v>
      </c>
      <c r="EY827" s="67">
        <v>5667</v>
      </c>
      <c r="EZ827" s="67" t="s">
        <v>6638</v>
      </c>
      <c r="FA827" s="67">
        <v>20003.5</v>
      </c>
      <c r="FB827" s="67" t="s">
        <v>6639</v>
      </c>
      <c r="FC827" s="67" t="s">
        <v>6640</v>
      </c>
      <c r="FD827" s="67" t="s">
        <v>6641</v>
      </c>
      <c r="FE827" s="68" t="s">
        <v>6642</v>
      </c>
      <c r="FF827" s="68" t="s">
        <v>6643</v>
      </c>
    </row>
    <row r="828" spans="151:162" x14ac:dyDescent="0.2">
      <c r="EU828" s="67">
        <v>565.48</v>
      </c>
      <c r="EV828" s="67" t="s">
        <v>6644</v>
      </c>
      <c r="EW828" s="67">
        <v>487.14</v>
      </c>
      <c r="EX828" s="67" t="s">
        <v>6645</v>
      </c>
      <c r="EY828" s="67">
        <v>5669.5</v>
      </c>
      <c r="EZ828" s="67" t="s">
        <v>6646</v>
      </c>
      <c r="FA828" s="67">
        <v>20012.25</v>
      </c>
      <c r="FB828" s="67" t="s">
        <v>6647</v>
      </c>
      <c r="FC828" s="67" t="s">
        <v>6648</v>
      </c>
      <c r="FD828" s="67" t="s">
        <v>6649</v>
      </c>
      <c r="FE828" s="68" t="s">
        <v>6650</v>
      </c>
      <c r="FF828" s="68" t="s">
        <v>6651</v>
      </c>
    </row>
    <row r="829" spans="151:162" x14ac:dyDescent="0.2">
      <c r="EU829" s="67">
        <v>565.52</v>
      </c>
      <c r="EV829" s="67" t="s">
        <v>6652</v>
      </c>
      <c r="EW829" s="67">
        <v>487.17</v>
      </c>
      <c r="EX829" s="67" t="s">
        <v>6653</v>
      </c>
      <c r="EY829" s="67">
        <v>5670</v>
      </c>
      <c r="EZ829" s="67" t="s">
        <v>6654</v>
      </c>
      <c r="FA829" s="67">
        <v>20014</v>
      </c>
      <c r="FB829" s="67" t="s">
        <v>6655</v>
      </c>
      <c r="FC829" s="67" t="s">
        <v>6656</v>
      </c>
      <c r="FD829" s="67" t="s">
        <v>6657</v>
      </c>
      <c r="FE829" s="68" t="s">
        <v>6658</v>
      </c>
      <c r="FF829" s="68" t="s">
        <v>6659</v>
      </c>
    </row>
    <row r="830" spans="151:162" x14ac:dyDescent="0.2">
      <c r="EU830" s="67">
        <v>565.38</v>
      </c>
      <c r="EV830" s="67" t="s">
        <v>6660</v>
      </c>
      <c r="EW830" s="67">
        <v>487.11500000000001</v>
      </c>
      <c r="EX830" s="67" t="s">
        <v>6661</v>
      </c>
      <c r="EY830" s="67">
        <v>5669</v>
      </c>
      <c r="EZ830" s="67" t="s">
        <v>6662</v>
      </c>
      <c r="FA830" s="67">
        <v>20012</v>
      </c>
      <c r="FB830" s="67" t="s">
        <v>6663</v>
      </c>
      <c r="FC830" s="67" t="s">
        <v>6664</v>
      </c>
      <c r="FD830" s="67" t="s">
        <v>6665</v>
      </c>
      <c r="FE830" s="68" t="s">
        <v>6666</v>
      </c>
      <c r="FF830" s="68" t="s">
        <v>6667</v>
      </c>
    </row>
    <row r="831" spans="151:162" x14ac:dyDescent="0.2">
      <c r="EU831" s="67">
        <v>565.54</v>
      </c>
      <c r="EV831" s="67" t="s">
        <v>6668</v>
      </c>
      <c r="EW831" s="67">
        <v>487.28</v>
      </c>
      <c r="EX831" s="67" t="s">
        <v>6669</v>
      </c>
      <c r="EY831" s="67">
        <v>5670.5</v>
      </c>
      <c r="EZ831" s="67" t="s">
        <v>6670</v>
      </c>
      <c r="FA831" s="67">
        <v>20018.75</v>
      </c>
      <c r="FB831" s="67" t="s">
        <v>6671</v>
      </c>
      <c r="FC831" s="67" t="s">
        <v>6672</v>
      </c>
      <c r="FD831" s="67" t="s">
        <v>6673</v>
      </c>
      <c r="FE831" s="68" t="s">
        <v>6674</v>
      </c>
      <c r="FF831" s="68" t="s">
        <v>6675</v>
      </c>
    </row>
    <row r="832" spans="151:162" x14ac:dyDescent="0.2">
      <c r="EU832" s="67">
        <v>565.52</v>
      </c>
      <c r="EV832" s="67" t="s">
        <v>6676</v>
      </c>
      <c r="EW832" s="67">
        <v>487.5</v>
      </c>
      <c r="EX832" s="67" t="s">
        <v>6677</v>
      </c>
      <c r="EY832" s="67">
        <v>5670.25</v>
      </c>
      <c r="EZ832" s="67" t="s">
        <v>6678</v>
      </c>
      <c r="FA832" s="67">
        <v>20027.25</v>
      </c>
      <c r="FB832" s="67" t="s">
        <v>6679</v>
      </c>
      <c r="FC832" s="67" t="s">
        <v>6680</v>
      </c>
      <c r="FD832" s="67" t="s">
        <v>6681</v>
      </c>
      <c r="FE832" s="68" t="s">
        <v>6682</v>
      </c>
      <c r="FF832" s="68" t="s">
        <v>6683</v>
      </c>
    </row>
    <row r="833" spans="151:162" x14ac:dyDescent="0.2">
      <c r="EU833" s="67">
        <v>565.6</v>
      </c>
      <c r="EV833" s="67" t="s">
        <v>6684</v>
      </c>
      <c r="EW833" s="67">
        <v>487.53</v>
      </c>
      <c r="EX833" s="67" t="s">
        <v>6685</v>
      </c>
      <c r="EY833" s="67">
        <v>5671</v>
      </c>
      <c r="EZ833" s="67" t="s">
        <v>6686</v>
      </c>
      <c r="FA833" s="67">
        <v>20027.5</v>
      </c>
      <c r="FB833" s="67" t="s">
        <v>6687</v>
      </c>
      <c r="FC833" s="67" t="s">
        <v>6688</v>
      </c>
      <c r="FD833" s="67" t="s">
        <v>6689</v>
      </c>
      <c r="FE833" s="68" t="s">
        <v>6690</v>
      </c>
      <c r="FF833" s="68" t="s">
        <v>6691</v>
      </c>
    </row>
    <row r="834" spans="151:162" x14ac:dyDescent="0.2">
      <c r="EU834" s="67">
        <v>565.51099999999997</v>
      </c>
      <c r="EV834" s="67" t="s">
        <v>6692</v>
      </c>
      <c r="EW834" s="67">
        <v>487.52</v>
      </c>
      <c r="EX834" s="67" t="s">
        <v>6693</v>
      </c>
      <c r="EY834" s="67">
        <v>5670.25</v>
      </c>
      <c r="EZ834" s="67" t="s">
        <v>6694</v>
      </c>
      <c r="FA834" s="67">
        <v>20028.25</v>
      </c>
      <c r="FB834" s="67" t="s">
        <v>6695</v>
      </c>
      <c r="FC834" s="67" t="s">
        <v>6696</v>
      </c>
      <c r="FD834" s="67" t="s">
        <v>6697</v>
      </c>
      <c r="FE834" s="68" t="s">
        <v>6698</v>
      </c>
      <c r="FF834" s="68" t="s">
        <v>6699</v>
      </c>
    </row>
    <row r="835" spans="151:162" x14ac:dyDescent="0.2">
      <c r="EU835" s="67">
        <v>565.58000000000004</v>
      </c>
      <c r="EV835" s="67" t="s">
        <v>6700</v>
      </c>
      <c r="EW835" s="67">
        <v>487.54</v>
      </c>
      <c r="EX835" s="67" t="s">
        <v>6701</v>
      </c>
      <c r="EY835" s="67">
        <v>5671</v>
      </c>
      <c r="EZ835" s="67" t="s">
        <v>6702</v>
      </c>
      <c r="FA835" s="67">
        <v>20029</v>
      </c>
      <c r="FB835" s="67" t="s">
        <v>6703</v>
      </c>
      <c r="FC835" s="67" t="s">
        <v>6704</v>
      </c>
      <c r="FD835" s="67" t="s">
        <v>6705</v>
      </c>
      <c r="FE835" s="68" t="s">
        <v>6706</v>
      </c>
      <c r="FF835" s="68" t="s">
        <v>6707</v>
      </c>
    </row>
    <row r="836" spans="151:162" x14ac:dyDescent="0.2">
      <c r="EU836" s="67">
        <v>565.41</v>
      </c>
      <c r="EV836" s="67" t="s">
        <v>6708</v>
      </c>
      <c r="EW836" s="67">
        <v>487.42</v>
      </c>
      <c r="EX836" s="67" t="s">
        <v>6709</v>
      </c>
      <c r="EY836" s="67">
        <v>5669</v>
      </c>
      <c r="EZ836" s="67" t="s">
        <v>6710</v>
      </c>
      <c r="FA836" s="67">
        <v>20023.25</v>
      </c>
      <c r="FB836" s="67" t="s">
        <v>6711</v>
      </c>
      <c r="FC836" s="67" t="s">
        <v>6712</v>
      </c>
      <c r="FD836" s="67" t="s">
        <v>6713</v>
      </c>
      <c r="FE836" s="68" t="s">
        <v>6714</v>
      </c>
      <c r="FF836" s="68" t="s">
        <v>6715</v>
      </c>
    </row>
    <row r="837" spans="151:162" x14ac:dyDescent="0.2">
      <c r="EU837" s="67">
        <v>565.42999999999995</v>
      </c>
      <c r="EV837" s="67" t="s">
        <v>6716</v>
      </c>
      <c r="EW837" s="67">
        <v>487.42</v>
      </c>
      <c r="EX837" s="67" t="s">
        <v>6717</v>
      </c>
      <c r="EY837" s="67">
        <v>5669.75</v>
      </c>
      <c r="EZ837" s="67" t="s">
        <v>6718</v>
      </c>
      <c r="FA837" s="67">
        <v>20024</v>
      </c>
      <c r="FB837" s="67" t="s">
        <v>6719</v>
      </c>
      <c r="FC837" s="67" t="s">
        <v>6720</v>
      </c>
      <c r="FD837" s="67" t="s">
        <v>6721</v>
      </c>
      <c r="FE837" s="68" t="s">
        <v>6722</v>
      </c>
      <c r="FF837" s="68" t="s">
        <v>6723</v>
      </c>
    </row>
    <row r="838" spans="151:162" x14ac:dyDescent="0.2">
      <c r="EU838" s="67">
        <v>565.66</v>
      </c>
      <c r="EV838" s="67" t="s">
        <v>6724</v>
      </c>
      <c r="EW838" s="67">
        <v>487.63</v>
      </c>
      <c r="EX838" s="67" t="s">
        <v>6725</v>
      </c>
      <c r="EY838" s="67">
        <v>5671.75</v>
      </c>
      <c r="EZ838" s="67" t="s">
        <v>6726</v>
      </c>
      <c r="FA838" s="67">
        <v>20033</v>
      </c>
      <c r="FB838" s="67" t="s">
        <v>6727</v>
      </c>
      <c r="FC838" s="67" t="s">
        <v>6728</v>
      </c>
      <c r="FD838" s="67" t="s">
        <v>6729</v>
      </c>
      <c r="FE838" s="68" t="s">
        <v>6730</v>
      </c>
      <c r="FF838" s="68" t="s">
        <v>6731</v>
      </c>
    </row>
    <row r="839" spans="151:162" x14ac:dyDescent="0.2">
      <c r="EU839" s="67">
        <v>565.78</v>
      </c>
      <c r="EV839" s="67" t="s">
        <v>6732</v>
      </c>
      <c r="EW839" s="67">
        <v>487.71</v>
      </c>
      <c r="EX839" s="67" t="s">
        <v>6733</v>
      </c>
      <c r="EY839" s="67">
        <v>5672.5</v>
      </c>
      <c r="EZ839" s="67" t="s">
        <v>6734</v>
      </c>
      <c r="FA839" s="67">
        <v>20035.5</v>
      </c>
      <c r="FB839" s="67" t="s">
        <v>6735</v>
      </c>
      <c r="FC839" s="67" t="s">
        <v>6736</v>
      </c>
      <c r="FD839" s="67" t="s">
        <v>6737</v>
      </c>
      <c r="FE839" s="68" t="s">
        <v>6738</v>
      </c>
      <c r="FF839" s="68" t="s">
        <v>6739</v>
      </c>
    </row>
    <row r="840" spans="151:162" x14ac:dyDescent="0.2">
      <c r="EU840" s="67">
        <v>565.69000000000005</v>
      </c>
      <c r="EV840" s="67" t="s">
        <v>6740</v>
      </c>
      <c r="EW840" s="67">
        <v>487.62</v>
      </c>
      <c r="EX840" s="67" t="s">
        <v>6741</v>
      </c>
      <c r="EY840" s="67">
        <v>5671.75</v>
      </c>
      <c r="EZ840" s="67" t="s">
        <v>6742</v>
      </c>
      <c r="FA840" s="67">
        <v>20032.75</v>
      </c>
      <c r="FB840" s="67" t="s">
        <v>6743</v>
      </c>
      <c r="FC840" s="67" t="s">
        <v>6744</v>
      </c>
      <c r="FD840" s="67" t="s">
        <v>6745</v>
      </c>
      <c r="FE840" s="68" t="s">
        <v>6746</v>
      </c>
      <c r="FF840" s="68" t="s">
        <v>6747</v>
      </c>
    </row>
    <row r="841" spans="151:162" x14ac:dyDescent="0.2">
      <c r="EU841" s="67">
        <v>565.54999999999995</v>
      </c>
      <c r="EV841" s="67" t="s">
        <v>6748</v>
      </c>
      <c r="EW841" s="67">
        <v>487.5</v>
      </c>
      <c r="EX841" s="67" t="s">
        <v>6749</v>
      </c>
      <c r="EY841" s="67">
        <v>5670.75</v>
      </c>
      <c r="EZ841" s="67" t="s">
        <v>6750</v>
      </c>
      <c r="FA841" s="67">
        <v>20028.25</v>
      </c>
      <c r="FB841" s="67" t="s">
        <v>6751</v>
      </c>
      <c r="FC841" s="67" t="s">
        <v>6752</v>
      </c>
      <c r="FD841" s="67" t="s">
        <v>6753</v>
      </c>
      <c r="FE841" s="68" t="s">
        <v>6754</v>
      </c>
      <c r="FF841" s="68" t="s">
        <v>6755</v>
      </c>
    </row>
    <row r="842" spans="151:162" x14ac:dyDescent="0.2">
      <c r="EU842" s="67">
        <v>565.30999999999995</v>
      </c>
      <c r="EV842" s="67" t="s">
        <v>6756</v>
      </c>
      <c r="EW842" s="67">
        <v>487.3</v>
      </c>
      <c r="EX842" s="67" t="s">
        <v>6757</v>
      </c>
      <c r="EY842" s="67">
        <v>5668.25</v>
      </c>
      <c r="EZ842" s="67" t="s">
        <v>6758</v>
      </c>
      <c r="FA842" s="67">
        <v>20018.5</v>
      </c>
      <c r="FB842" s="67" t="s">
        <v>6759</v>
      </c>
      <c r="FC842" s="67" t="s">
        <v>6760</v>
      </c>
      <c r="FD842" s="67" t="s">
        <v>6761</v>
      </c>
      <c r="FE842" s="68" t="s">
        <v>6762</v>
      </c>
      <c r="FF842" s="68" t="s">
        <v>6763</v>
      </c>
    </row>
    <row r="843" spans="151:162" x14ac:dyDescent="0.2">
      <c r="EU843" s="67">
        <v>565.37</v>
      </c>
      <c r="EV843" s="67" t="s">
        <v>6764</v>
      </c>
      <c r="EW843" s="67">
        <v>487.31</v>
      </c>
      <c r="EX843" s="67" t="s">
        <v>6765</v>
      </c>
      <c r="EY843" s="67">
        <v>5668.75</v>
      </c>
      <c r="EZ843" s="67" t="s">
        <v>6766</v>
      </c>
      <c r="FA843" s="67">
        <v>20020</v>
      </c>
      <c r="FB843" s="67" t="s">
        <v>6767</v>
      </c>
      <c r="FC843" s="67" t="s">
        <v>6768</v>
      </c>
      <c r="FD843" s="67" t="s">
        <v>6769</v>
      </c>
      <c r="FE843" s="68" t="s">
        <v>6770</v>
      </c>
      <c r="FF843" s="68" t="s">
        <v>6771</v>
      </c>
    </row>
    <row r="844" spans="151:162" x14ac:dyDescent="0.2">
      <c r="EU844" s="67">
        <v>565.29</v>
      </c>
      <c r="EV844" s="67" t="s">
        <v>6772</v>
      </c>
      <c r="EW844" s="67">
        <v>487.24</v>
      </c>
      <c r="EX844" s="67" t="s">
        <v>6773</v>
      </c>
      <c r="EY844" s="67">
        <v>5667.75</v>
      </c>
      <c r="EZ844" s="67" t="s">
        <v>6774</v>
      </c>
      <c r="FA844" s="67">
        <v>20016</v>
      </c>
      <c r="FB844" s="67" t="s">
        <v>6775</v>
      </c>
      <c r="FC844" s="67" t="s">
        <v>6776</v>
      </c>
      <c r="FD844" s="67" t="s">
        <v>6777</v>
      </c>
      <c r="FE844" s="68" t="s">
        <v>6778</v>
      </c>
      <c r="FF844" s="68" t="s">
        <v>6779</v>
      </c>
    </row>
    <row r="845" spans="151:162" x14ac:dyDescent="0.2">
      <c r="EU845" s="67">
        <v>565.37</v>
      </c>
      <c r="EV845" s="67" t="s">
        <v>6780</v>
      </c>
      <c r="EW845" s="67">
        <v>487.28</v>
      </c>
      <c r="EX845" s="67" t="s">
        <v>6781</v>
      </c>
      <c r="EY845" s="67">
        <v>5668.75</v>
      </c>
      <c r="EZ845" s="67" t="s">
        <v>6782</v>
      </c>
      <c r="FA845" s="67">
        <v>20018.75</v>
      </c>
      <c r="FB845" s="67" t="s">
        <v>6783</v>
      </c>
      <c r="FC845" s="67" t="s">
        <v>6784</v>
      </c>
      <c r="FD845" s="67" t="s">
        <v>6785</v>
      </c>
      <c r="FE845" s="68" t="s">
        <v>6786</v>
      </c>
      <c r="FF845" s="68" t="s">
        <v>6787</v>
      </c>
    </row>
    <row r="846" spans="151:162" x14ac:dyDescent="0.2">
      <c r="EU846" s="67">
        <v>565.38</v>
      </c>
      <c r="EV846" s="67" t="s">
        <v>6788</v>
      </c>
      <c r="EW846" s="67">
        <v>487.29</v>
      </c>
      <c r="EX846" s="67" t="s">
        <v>6789</v>
      </c>
      <c r="EY846" s="67">
        <v>5668.75</v>
      </c>
      <c r="EZ846" s="67" t="s">
        <v>6790</v>
      </c>
      <c r="FA846" s="67">
        <v>20018.75</v>
      </c>
      <c r="FB846" s="67" t="s">
        <v>6791</v>
      </c>
      <c r="FC846" s="67" t="s">
        <v>6792</v>
      </c>
      <c r="FD846" s="67" t="s">
        <v>6793</v>
      </c>
      <c r="FE846" s="68" t="s">
        <v>6794</v>
      </c>
      <c r="FF846" s="68" t="s">
        <v>6795</v>
      </c>
    </row>
    <row r="847" spans="151:162" x14ac:dyDescent="0.2">
      <c r="EU847" s="67">
        <v>565.46</v>
      </c>
      <c r="EV847" s="67" t="s">
        <v>6796</v>
      </c>
      <c r="EW847" s="67">
        <v>487.38</v>
      </c>
      <c r="EX847" s="67" t="s">
        <v>6797</v>
      </c>
      <c r="EY847" s="67">
        <v>5669.5</v>
      </c>
      <c r="EZ847" s="67" t="s">
        <v>6798</v>
      </c>
      <c r="FA847" s="67">
        <v>20022</v>
      </c>
      <c r="FB847" s="67" t="s">
        <v>6799</v>
      </c>
      <c r="FC847" s="67" t="s">
        <v>6800</v>
      </c>
      <c r="FD847" s="67" t="s">
        <v>6801</v>
      </c>
      <c r="FE847" s="68" t="s">
        <v>6802</v>
      </c>
      <c r="FF847" s="68" t="s">
        <v>6803</v>
      </c>
    </row>
    <row r="848" spans="151:162" x14ac:dyDescent="0.2">
      <c r="EU848" s="67">
        <v>565.42499999999995</v>
      </c>
      <c r="EV848" s="67" t="s">
        <v>6804</v>
      </c>
      <c r="EW848" s="67">
        <v>487.42</v>
      </c>
      <c r="EX848" s="67" t="s">
        <v>6805</v>
      </c>
      <c r="EY848" s="67">
        <v>5669.25</v>
      </c>
      <c r="EZ848" s="67" t="s">
        <v>6806</v>
      </c>
      <c r="FA848" s="67">
        <v>20023.25</v>
      </c>
      <c r="FB848" s="67" t="s">
        <v>6807</v>
      </c>
      <c r="FC848" s="67" t="s">
        <v>6808</v>
      </c>
      <c r="FD848" s="67" t="s">
        <v>6809</v>
      </c>
      <c r="FE848" s="68" t="s">
        <v>6810</v>
      </c>
      <c r="FF848" s="68" t="s">
        <v>6811</v>
      </c>
    </row>
    <row r="849" spans="151:162" x14ac:dyDescent="0.2">
      <c r="EU849" s="67">
        <v>565.46</v>
      </c>
      <c r="EV849" s="67" t="s">
        <v>6812</v>
      </c>
      <c r="EW849" s="67">
        <v>487.45499999999998</v>
      </c>
      <c r="EX849" s="67" t="s">
        <v>6813</v>
      </c>
      <c r="EY849" s="67">
        <v>5669.75</v>
      </c>
      <c r="EZ849" s="67" t="s">
        <v>6814</v>
      </c>
      <c r="FA849" s="67">
        <v>20025.25</v>
      </c>
      <c r="FB849" s="67" t="s">
        <v>6815</v>
      </c>
      <c r="FC849" s="67" t="s">
        <v>6816</v>
      </c>
      <c r="FD849" s="67" t="s">
        <v>6817</v>
      </c>
      <c r="FE849" s="68" t="s">
        <v>6818</v>
      </c>
      <c r="FF849" s="68" t="s">
        <v>6819</v>
      </c>
    </row>
    <row r="850" spans="151:162" x14ac:dyDescent="0.2">
      <c r="EU850" s="67">
        <v>565.72</v>
      </c>
      <c r="EV850" s="67" t="s">
        <v>6820</v>
      </c>
      <c r="EW850" s="67">
        <v>487.7</v>
      </c>
      <c r="EX850" s="67" t="s">
        <v>6821</v>
      </c>
      <c r="EY850" s="67">
        <v>5672.5</v>
      </c>
      <c r="EZ850" s="67" t="s">
        <v>6822</v>
      </c>
      <c r="FA850" s="67">
        <v>20035.75</v>
      </c>
      <c r="FB850" s="67" t="s">
        <v>6823</v>
      </c>
      <c r="FC850" s="67" t="s">
        <v>6824</v>
      </c>
      <c r="FD850" s="67" t="s">
        <v>6825</v>
      </c>
      <c r="FE850" s="68" t="s">
        <v>6826</v>
      </c>
      <c r="FF850" s="68" t="s">
        <v>6827</v>
      </c>
    </row>
    <row r="851" spans="151:162" x14ac:dyDescent="0.2">
      <c r="EU851" s="67">
        <v>565.79</v>
      </c>
      <c r="EV851" s="67" t="s">
        <v>6828</v>
      </c>
      <c r="EW851" s="67">
        <v>487.76</v>
      </c>
      <c r="EX851" s="67" t="s">
        <v>6829</v>
      </c>
      <c r="EY851" s="67">
        <v>5673</v>
      </c>
      <c r="EZ851" s="67" t="s">
        <v>6830</v>
      </c>
      <c r="FA851" s="67">
        <v>20038.25</v>
      </c>
      <c r="FB851" s="67" t="s">
        <v>6831</v>
      </c>
      <c r="FC851" s="67" t="s">
        <v>6832</v>
      </c>
      <c r="FD851" s="67" t="s">
        <v>6833</v>
      </c>
      <c r="FE851" s="68" t="s">
        <v>6834</v>
      </c>
      <c r="FF851" s="68" t="s">
        <v>6835</v>
      </c>
    </row>
    <row r="852" spans="151:162" x14ac:dyDescent="0.2">
      <c r="EU852" s="67">
        <v>565.79</v>
      </c>
      <c r="EV852" s="67" t="s">
        <v>6836</v>
      </c>
      <c r="EW852" s="67">
        <v>487.78</v>
      </c>
      <c r="EX852" s="67" t="s">
        <v>6837</v>
      </c>
      <c r="EY852" s="67">
        <v>5673</v>
      </c>
      <c r="EZ852" s="67" t="s">
        <v>6838</v>
      </c>
      <c r="FA852" s="67">
        <v>20038.5</v>
      </c>
      <c r="FB852" s="67" t="s">
        <v>6839</v>
      </c>
      <c r="FC852" s="67" t="s">
        <v>6840</v>
      </c>
      <c r="FD852" s="67" t="s">
        <v>6841</v>
      </c>
      <c r="FE852" s="68" t="s">
        <v>6842</v>
      </c>
      <c r="FF852" s="68" t="s">
        <v>6843</v>
      </c>
    </row>
    <row r="853" spans="151:162" x14ac:dyDescent="0.2">
      <c r="EU853" s="67">
        <v>565.63599999999997</v>
      </c>
      <c r="EV853" s="67" t="s">
        <v>6844</v>
      </c>
      <c r="EW853" s="67">
        <v>487.6</v>
      </c>
      <c r="EX853" s="67" t="s">
        <v>6845</v>
      </c>
      <c r="EY853" s="67">
        <v>5671.5</v>
      </c>
      <c r="EZ853" s="67" t="s">
        <v>6846</v>
      </c>
      <c r="FA853" s="67">
        <v>20031.75</v>
      </c>
      <c r="FB853" s="67" t="s">
        <v>6847</v>
      </c>
      <c r="FC853" s="67" t="s">
        <v>6848</v>
      </c>
      <c r="FD853" s="67" t="s">
        <v>6849</v>
      </c>
      <c r="FE853" s="68" t="s">
        <v>6850</v>
      </c>
      <c r="FF853" s="68" t="s">
        <v>6851</v>
      </c>
    </row>
    <row r="854" spans="151:162" x14ac:dyDescent="0.2">
      <c r="EU854" s="67">
        <v>565.70000000000005</v>
      </c>
      <c r="EV854" s="67" t="s">
        <v>6852</v>
      </c>
      <c r="EW854" s="67">
        <v>487.72</v>
      </c>
      <c r="EX854" s="67" t="s">
        <v>6853</v>
      </c>
      <c r="EY854" s="67">
        <v>5672.25</v>
      </c>
      <c r="EZ854" s="67" t="s">
        <v>6854</v>
      </c>
      <c r="FA854" s="67">
        <v>20036</v>
      </c>
      <c r="FB854" s="67" t="s">
        <v>6855</v>
      </c>
      <c r="FC854" s="67" t="s">
        <v>6856</v>
      </c>
      <c r="FD854" s="67" t="s">
        <v>6857</v>
      </c>
      <c r="FE854" s="68" t="s">
        <v>6858</v>
      </c>
      <c r="FF854" s="68" t="s">
        <v>6859</v>
      </c>
    </row>
    <row r="855" spans="151:162" x14ac:dyDescent="0.2">
      <c r="EU855" s="67">
        <v>565.65</v>
      </c>
      <c r="EV855" s="67" t="s">
        <v>6860</v>
      </c>
      <c r="EW855" s="67">
        <v>487.66</v>
      </c>
      <c r="EX855" s="67" t="s">
        <v>6861</v>
      </c>
      <c r="EY855" s="67">
        <v>5671.5</v>
      </c>
      <c r="EZ855" s="67" t="s">
        <v>6862</v>
      </c>
      <c r="FA855" s="67">
        <v>20034.25</v>
      </c>
      <c r="FB855" s="67" t="s">
        <v>6863</v>
      </c>
      <c r="FC855" s="67" t="s">
        <v>6864</v>
      </c>
      <c r="FD855" s="67" t="s">
        <v>6865</v>
      </c>
      <c r="FE855" s="68" t="s">
        <v>6866</v>
      </c>
      <c r="FF855" s="68" t="s">
        <v>6867</v>
      </c>
    </row>
    <row r="856" spans="151:162" x14ac:dyDescent="0.2">
      <c r="EU856" s="67">
        <v>565.65</v>
      </c>
      <c r="EV856" s="67" t="s">
        <v>6868</v>
      </c>
      <c r="EW856" s="67">
        <v>487.66</v>
      </c>
      <c r="EX856" s="67" t="s">
        <v>6869</v>
      </c>
      <c r="EY856" s="67">
        <v>5671.5</v>
      </c>
      <c r="EZ856" s="67" t="s">
        <v>6870</v>
      </c>
      <c r="FA856" s="67">
        <v>20034</v>
      </c>
      <c r="FB856" s="67" t="s">
        <v>6871</v>
      </c>
      <c r="FC856" s="67" t="s">
        <v>6872</v>
      </c>
      <c r="FD856" s="67" t="s">
        <v>6873</v>
      </c>
      <c r="FE856" s="68" t="s">
        <v>6874</v>
      </c>
      <c r="FF856" s="68" t="s">
        <v>6875</v>
      </c>
    </row>
    <row r="857" spans="151:162" x14ac:dyDescent="0.2">
      <c r="EU857" s="67">
        <v>565.80999999999995</v>
      </c>
      <c r="EV857" s="67" t="s">
        <v>6876</v>
      </c>
      <c r="EW857" s="67">
        <v>487.815</v>
      </c>
      <c r="EX857" s="67" t="s">
        <v>6877</v>
      </c>
      <c r="EY857" s="67">
        <v>5673.25</v>
      </c>
      <c r="EZ857" s="67" t="s">
        <v>6878</v>
      </c>
      <c r="FA857" s="67">
        <v>20040</v>
      </c>
      <c r="FB857" s="67" t="s">
        <v>6879</v>
      </c>
      <c r="FC857" s="67" t="s">
        <v>6880</v>
      </c>
      <c r="FD857" s="67" t="s">
        <v>6881</v>
      </c>
      <c r="FE857" s="68" t="s">
        <v>6882</v>
      </c>
      <c r="FF857" s="68" t="s">
        <v>6883</v>
      </c>
    </row>
    <row r="858" spans="151:162" x14ac:dyDescent="0.2">
      <c r="EU858" s="67">
        <v>565.79</v>
      </c>
      <c r="EV858" s="67" t="s">
        <v>6884</v>
      </c>
      <c r="EW858" s="67">
        <v>487.82</v>
      </c>
      <c r="EX858" s="67" t="s">
        <v>6885</v>
      </c>
      <c r="EY858" s="67">
        <v>5673.25</v>
      </c>
      <c r="EZ858" s="67" t="s">
        <v>6886</v>
      </c>
      <c r="FA858" s="67">
        <v>20039.75</v>
      </c>
      <c r="FB858" s="67" t="s">
        <v>6887</v>
      </c>
      <c r="FC858" s="67" t="s">
        <v>6888</v>
      </c>
      <c r="FD858" s="67" t="s">
        <v>6889</v>
      </c>
      <c r="FE858" s="68" t="s">
        <v>6890</v>
      </c>
      <c r="FF858" s="68" t="s">
        <v>6891</v>
      </c>
    </row>
    <row r="859" spans="151:162" x14ac:dyDescent="0.2">
      <c r="EU859" s="67">
        <v>565.79</v>
      </c>
      <c r="EV859" s="67" t="s">
        <v>6892</v>
      </c>
      <c r="EW859" s="67">
        <v>487.79</v>
      </c>
      <c r="EX859" s="67" t="s">
        <v>6893</v>
      </c>
      <c r="EY859" s="67">
        <v>5673</v>
      </c>
      <c r="EZ859" s="67" t="s">
        <v>6894</v>
      </c>
      <c r="FA859" s="67">
        <v>20040.75</v>
      </c>
      <c r="FB859" s="67" t="s">
        <v>6895</v>
      </c>
      <c r="FC859" s="67" t="s">
        <v>6896</v>
      </c>
      <c r="FD859" s="67" t="s">
        <v>6897</v>
      </c>
      <c r="FE859" s="68" t="s">
        <v>6898</v>
      </c>
      <c r="FF859" s="68" t="s">
        <v>6899</v>
      </c>
    </row>
    <row r="860" spans="151:162" x14ac:dyDescent="0.2">
      <c r="EU860" s="67">
        <v>565.9</v>
      </c>
      <c r="EV860" s="67" t="s">
        <v>6900</v>
      </c>
      <c r="EW860" s="67">
        <v>487.92</v>
      </c>
      <c r="EX860" s="67" t="s">
        <v>6901</v>
      </c>
      <c r="EY860" s="67">
        <v>5674</v>
      </c>
      <c r="EZ860" s="67" t="s">
        <v>6902</v>
      </c>
      <c r="FA860" s="67">
        <v>20043.25</v>
      </c>
      <c r="FB860" s="67" t="s">
        <v>6903</v>
      </c>
      <c r="FC860" s="67" t="s">
        <v>6904</v>
      </c>
      <c r="FD860" s="67" t="s">
        <v>6905</v>
      </c>
      <c r="FE860" s="68" t="s">
        <v>6906</v>
      </c>
      <c r="FF860" s="68" t="s">
        <v>6907</v>
      </c>
    </row>
    <row r="861" spans="151:162" x14ac:dyDescent="0.2">
      <c r="EU861" s="67">
        <v>565.58000000000004</v>
      </c>
      <c r="EV861" s="67" t="s">
        <v>6908</v>
      </c>
      <c r="EW861" s="67">
        <v>487.53</v>
      </c>
      <c r="EX861" s="67" t="s">
        <v>6909</v>
      </c>
      <c r="EY861" s="67">
        <v>5670.75</v>
      </c>
      <c r="EZ861" s="67" t="s">
        <v>6910</v>
      </c>
      <c r="FA861" s="67">
        <v>20028</v>
      </c>
      <c r="FB861" s="67" t="s">
        <v>6911</v>
      </c>
      <c r="FC861" s="67" t="s">
        <v>6912</v>
      </c>
      <c r="FD861" s="67" t="s">
        <v>6913</v>
      </c>
      <c r="FE861" s="68" t="s">
        <v>6914</v>
      </c>
      <c r="FF861" s="68" t="s">
        <v>6915</v>
      </c>
    </row>
    <row r="862" spans="151:162" x14ac:dyDescent="0.2">
      <c r="EU862" s="67">
        <v>565.78</v>
      </c>
      <c r="EV862" s="67" t="s">
        <v>6916</v>
      </c>
      <c r="EW862" s="67">
        <v>487.74</v>
      </c>
      <c r="EX862" s="67" t="s">
        <v>6917</v>
      </c>
      <c r="EY862" s="67">
        <v>5673</v>
      </c>
      <c r="EZ862" s="67" t="s">
        <v>6918</v>
      </c>
      <c r="FA862" s="67">
        <v>20037</v>
      </c>
      <c r="FB862" s="67" t="s">
        <v>6919</v>
      </c>
      <c r="FC862" s="67" t="s">
        <v>6920</v>
      </c>
      <c r="FD862" s="67" t="s">
        <v>6921</v>
      </c>
      <c r="FE862" s="68" t="s">
        <v>6922</v>
      </c>
      <c r="FF862" s="68" t="s">
        <v>6923</v>
      </c>
    </row>
    <row r="863" spans="151:162" x14ac:dyDescent="0.2">
      <c r="EU863" s="67">
        <v>565.78</v>
      </c>
      <c r="EV863" s="67" t="s">
        <v>6924</v>
      </c>
      <c r="EW863" s="67">
        <v>487.75</v>
      </c>
      <c r="EX863" s="67" t="s">
        <v>6925</v>
      </c>
      <c r="EY863" s="67">
        <v>5673</v>
      </c>
      <c r="EZ863" s="67" t="s">
        <v>6926</v>
      </c>
      <c r="FA863" s="67">
        <v>20036.75</v>
      </c>
      <c r="FB863" s="67" t="s">
        <v>6927</v>
      </c>
      <c r="FC863" s="67" t="s">
        <v>6928</v>
      </c>
      <c r="FD863" s="67" t="s">
        <v>6929</v>
      </c>
      <c r="FE863" s="68" t="s">
        <v>6930</v>
      </c>
      <c r="FF863" s="68" t="s">
        <v>6931</v>
      </c>
    </row>
    <row r="864" spans="151:162" x14ac:dyDescent="0.2">
      <c r="EU864" s="67">
        <v>565.80999999999995</v>
      </c>
      <c r="EV864" s="67" t="s">
        <v>6932</v>
      </c>
      <c r="EW864" s="67">
        <v>487.78</v>
      </c>
      <c r="EX864" s="67" t="s">
        <v>6933</v>
      </c>
      <c r="EY864" s="67">
        <v>5673.25</v>
      </c>
      <c r="EZ864" s="67" t="s">
        <v>6934</v>
      </c>
      <c r="FA864" s="67">
        <v>20038.25</v>
      </c>
      <c r="FB864" s="67" t="s">
        <v>6935</v>
      </c>
      <c r="FC864" s="67" t="s">
        <v>6936</v>
      </c>
      <c r="FD864" s="67" t="s">
        <v>6937</v>
      </c>
      <c r="FE864" s="68" t="s">
        <v>6938</v>
      </c>
      <c r="FF864" s="68" t="s">
        <v>6939</v>
      </c>
    </row>
    <row r="865" spans="151:162" x14ac:dyDescent="0.2">
      <c r="EU865" s="67">
        <v>565.79</v>
      </c>
      <c r="EV865" s="67" t="s">
        <v>6940</v>
      </c>
      <c r="EW865" s="67">
        <v>487.82</v>
      </c>
      <c r="EX865" s="67" t="s">
        <v>6941</v>
      </c>
      <c r="EY865" s="67">
        <v>5673.25</v>
      </c>
      <c r="EZ865" s="67" t="s">
        <v>6942</v>
      </c>
      <c r="FA865" s="67">
        <v>20040.5</v>
      </c>
      <c r="FB865" s="67" t="s">
        <v>6943</v>
      </c>
      <c r="FC865" s="67" t="s">
        <v>6944</v>
      </c>
      <c r="FD865" s="67" t="s">
        <v>6945</v>
      </c>
      <c r="FE865" s="68" t="s">
        <v>6946</v>
      </c>
      <c r="FF865" s="68" t="s">
        <v>6947</v>
      </c>
    </row>
    <row r="866" spans="151:162" x14ac:dyDescent="0.2">
      <c r="EU866" s="67">
        <v>565.72</v>
      </c>
      <c r="EV866" s="67" t="s">
        <v>6948</v>
      </c>
      <c r="EW866" s="67">
        <v>487.75</v>
      </c>
      <c r="EX866" s="67" t="s">
        <v>6949</v>
      </c>
      <c r="EY866" s="67">
        <v>5672.25</v>
      </c>
      <c r="EZ866" s="67" t="s">
        <v>6950</v>
      </c>
      <c r="FA866" s="67">
        <v>20037.75</v>
      </c>
      <c r="FB866" s="67" t="s">
        <v>6951</v>
      </c>
      <c r="FC866" s="67" t="s">
        <v>6952</v>
      </c>
      <c r="FD866" s="67" t="s">
        <v>6953</v>
      </c>
      <c r="FE866" s="68" t="s">
        <v>6954</v>
      </c>
      <c r="FF866" s="68" t="s">
        <v>6955</v>
      </c>
    </row>
    <row r="867" spans="151:162" x14ac:dyDescent="0.2">
      <c r="EU867" s="67">
        <v>565.63</v>
      </c>
      <c r="EV867" s="67" t="s">
        <v>6956</v>
      </c>
      <c r="EW867" s="67">
        <v>487.66</v>
      </c>
      <c r="EX867" s="67" t="s">
        <v>6957</v>
      </c>
      <c r="EY867" s="67">
        <v>5671.25</v>
      </c>
      <c r="EZ867" s="67" t="s">
        <v>6958</v>
      </c>
      <c r="FA867" s="67">
        <v>20033.25</v>
      </c>
      <c r="FB867" s="67" t="s">
        <v>6959</v>
      </c>
      <c r="FC867" s="67" t="s">
        <v>6960</v>
      </c>
      <c r="FD867" s="67" t="s">
        <v>6961</v>
      </c>
      <c r="FE867" s="68" t="s">
        <v>6962</v>
      </c>
      <c r="FF867" s="68" t="s">
        <v>6963</v>
      </c>
    </row>
    <row r="868" spans="151:162" x14ac:dyDescent="0.2">
      <c r="EU868" s="67">
        <v>565.57000000000005</v>
      </c>
      <c r="EV868" s="67" t="s">
        <v>6964</v>
      </c>
      <c r="EW868" s="67">
        <v>487.6</v>
      </c>
      <c r="EX868" s="67" t="s">
        <v>6965</v>
      </c>
      <c r="EY868" s="67">
        <v>5670.75</v>
      </c>
      <c r="EZ868" s="67" t="s">
        <v>6966</v>
      </c>
      <c r="FA868" s="67">
        <v>20031.25</v>
      </c>
      <c r="FB868" s="67" t="s">
        <v>6967</v>
      </c>
      <c r="FC868" s="67" t="s">
        <v>6968</v>
      </c>
      <c r="FD868" s="67" t="s">
        <v>6969</v>
      </c>
      <c r="FE868" s="68" t="s">
        <v>6970</v>
      </c>
      <c r="FF868" s="68" t="s">
        <v>6971</v>
      </c>
    </row>
    <row r="869" spans="151:162" x14ac:dyDescent="0.2">
      <c r="EU869" s="67">
        <v>565.63</v>
      </c>
      <c r="EV869" s="67" t="s">
        <v>6972</v>
      </c>
      <c r="EW869" s="67">
        <v>487.68400000000003</v>
      </c>
      <c r="EX869" s="67" t="s">
        <v>6973</v>
      </c>
      <c r="EY869" s="67">
        <v>5671.5</v>
      </c>
      <c r="EZ869" s="67" t="s">
        <v>6974</v>
      </c>
      <c r="FA869" s="67">
        <v>20034.75</v>
      </c>
      <c r="FB869" s="67" t="s">
        <v>6975</v>
      </c>
      <c r="FC869" s="67" t="s">
        <v>6976</v>
      </c>
      <c r="FD869" s="67" t="s">
        <v>6977</v>
      </c>
      <c r="FE869" s="68" t="s">
        <v>6978</v>
      </c>
      <c r="FF869" s="68" t="s">
        <v>6979</v>
      </c>
    </row>
    <row r="870" spans="151:162" x14ac:dyDescent="0.2">
      <c r="EU870" s="67">
        <v>565.34</v>
      </c>
      <c r="EV870" s="67" t="s">
        <v>6980</v>
      </c>
      <c r="EW870" s="67">
        <v>487.45</v>
      </c>
      <c r="EX870" s="67" t="s">
        <v>6981</v>
      </c>
      <c r="EY870" s="67">
        <v>5668.5</v>
      </c>
      <c r="EZ870" s="67" t="s">
        <v>6982</v>
      </c>
      <c r="FA870" s="67">
        <v>20024.25</v>
      </c>
      <c r="FB870" s="67" t="s">
        <v>6983</v>
      </c>
      <c r="FC870" s="67" t="s">
        <v>6984</v>
      </c>
      <c r="FD870" s="67" t="s">
        <v>6985</v>
      </c>
      <c r="FE870" s="68" t="s">
        <v>6986</v>
      </c>
      <c r="FF870" s="68" t="s">
        <v>6987</v>
      </c>
    </row>
    <row r="871" spans="151:162" x14ac:dyDescent="0.2">
      <c r="EU871" s="67">
        <v>565.22</v>
      </c>
      <c r="EV871" s="67" t="s">
        <v>6988</v>
      </c>
      <c r="EW871" s="67">
        <v>487.4</v>
      </c>
      <c r="EX871" s="67" t="s">
        <v>6989</v>
      </c>
      <c r="EY871" s="67">
        <v>5667.25</v>
      </c>
      <c r="EZ871" s="67" t="s">
        <v>6990</v>
      </c>
      <c r="FA871" s="67">
        <v>20019.75</v>
      </c>
      <c r="FB871" s="67" t="s">
        <v>6991</v>
      </c>
      <c r="FC871" s="67" t="s">
        <v>6992</v>
      </c>
      <c r="FD871" s="67" t="s">
        <v>6993</v>
      </c>
      <c r="FE871" s="68" t="s">
        <v>6994</v>
      </c>
      <c r="FF871" s="68" t="s">
        <v>6995</v>
      </c>
    </row>
    <row r="872" spans="151:162" x14ac:dyDescent="0.2">
      <c r="EU872" s="67">
        <v>565.39</v>
      </c>
      <c r="EV872" s="67" t="s">
        <v>6996</v>
      </c>
      <c r="EW872" s="67">
        <v>487.5</v>
      </c>
      <c r="EX872" s="67" t="s">
        <v>6997</v>
      </c>
      <c r="EY872" s="67">
        <v>5668.75</v>
      </c>
      <c r="EZ872" s="67" t="s">
        <v>6998</v>
      </c>
      <c r="FA872" s="67">
        <v>20026.25</v>
      </c>
      <c r="FB872" s="67" t="s">
        <v>6999</v>
      </c>
      <c r="FC872" s="67" t="s">
        <v>7000</v>
      </c>
      <c r="FD872" s="67" t="s">
        <v>7001</v>
      </c>
      <c r="FE872" s="68" t="s">
        <v>7002</v>
      </c>
      <c r="FF872" s="68" t="s">
        <v>7003</v>
      </c>
    </row>
    <row r="873" spans="151:162" x14ac:dyDescent="0.2">
      <c r="EU873" s="67">
        <v>565.45799999999997</v>
      </c>
      <c r="EV873" s="67" t="s">
        <v>7004</v>
      </c>
      <c r="EW873" s="67">
        <v>487.51</v>
      </c>
      <c r="EX873" s="67" t="s">
        <v>7005</v>
      </c>
      <c r="EY873" s="67">
        <v>5669.5</v>
      </c>
      <c r="EZ873" s="67" t="s">
        <v>7006</v>
      </c>
      <c r="FA873" s="67">
        <v>20028</v>
      </c>
      <c r="FB873" s="67" t="s">
        <v>7007</v>
      </c>
      <c r="FC873" s="67" t="s">
        <v>7008</v>
      </c>
      <c r="FD873" s="67" t="s">
        <v>7009</v>
      </c>
      <c r="FE873" s="68" t="s">
        <v>7010</v>
      </c>
      <c r="FF873" s="68" t="s">
        <v>7011</v>
      </c>
    </row>
    <row r="874" spans="151:162" x14ac:dyDescent="0.2">
      <c r="EU874" s="67">
        <v>565.37</v>
      </c>
      <c r="EV874" s="67" t="s">
        <v>7012</v>
      </c>
      <c r="EW874" s="67">
        <v>487.45499999999998</v>
      </c>
      <c r="EX874" s="67" t="s">
        <v>7013</v>
      </c>
      <c r="EY874" s="67">
        <v>5669</v>
      </c>
      <c r="EZ874" s="67" t="s">
        <v>7014</v>
      </c>
      <c r="FA874" s="67">
        <v>20025.5</v>
      </c>
      <c r="FB874" s="67" t="s">
        <v>7015</v>
      </c>
      <c r="FC874" s="67" t="s">
        <v>7016</v>
      </c>
      <c r="FD874" s="67" t="s">
        <v>7017</v>
      </c>
      <c r="FE874" s="68" t="s">
        <v>7018</v>
      </c>
      <c r="FF874" s="68" t="s">
        <v>7019</v>
      </c>
    </row>
    <row r="875" spans="151:162" x14ac:dyDescent="0.2">
      <c r="EU875" s="67">
        <v>565.39</v>
      </c>
      <c r="EV875" s="67" t="s">
        <v>7020</v>
      </c>
      <c r="EW875" s="67">
        <v>487.47</v>
      </c>
      <c r="EX875" s="67" t="s">
        <v>7021</v>
      </c>
      <c r="EY875" s="67">
        <v>5669</v>
      </c>
      <c r="EZ875" s="67" t="s">
        <v>7022</v>
      </c>
      <c r="FA875" s="67">
        <v>20025.75</v>
      </c>
      <c r="FB875" s="67" t="s">
        <v>7023</v>
      </c>
      <c r="FC875" s="67" t="s">
        <v>7024</v>
      </c>
      <c r="FD875" s="67" t="s">
        <v>7025</v>
      </c>
      <c r="FE875" s="68" t="s">
        <v>7026</v>
      </c>
      <c r="FF875" s="68" t="s">
        <v>7027</v>
      </c>
    </row>
    <row r="876" spans="151:162" x14ac:dyDescent="0.2">
      <c r="EU876" s="67">
        <v>565.30999999999995</v>
      </c>
      <c r="EV876" s="67" t="s">
        <v>7028</v>
      </c>
      <c r="EW876" s="67">
        <v>487.38</v>
      </c>
      <c r="EX876" s="67" t="s">
        <v>7029</v>
      </c>
      <c r="EY876" s="67">
        <v>5668.25</v>
      </c>
      <c r="EZ876" s="67" t="s">
        <v>7030</v>
      </c>
      <c r="FA876" s="67">
        <v>20022.25</v>
      </c>
      <c r="FB876" s="67" t="s">
        <v>7031</v>
      </c>
      <c r="FC876" s="67" t="s">
        <v>7032</v>
      </c>
      <c r="FD876" s="67" t="s">
        <v>7033</v>
      </c>
      <c r="FE876" s="68" t="s">
        <v>7034</v>
      </c>
      <c r="FF876" s="68" t="s">
        <v>7035</v>
      </c>
    </row>
    <row r="877" spans="151:162" x14ac:dyDescent="0.2">
      <c r="EU877" s="67">
        <v>565.33000000000004</v>
      </c>
      <c r="EV877" s="67" t="s">
        <v>7036</v>
      </c>
      <c r="EW877" s="67">
        <v>487.39</v>
      </c>
      <c r="EX877" s="67" t="s">
        <v>7037</v>
      </c>
      <c r="EY877" s="67">
        <v>5668</v>
      </c>
      <c r="EZ877" s="67" t="s">
        <v>7038</v>
      </c>
      <c r="FA877" s="67">
        <v>20022.25</v>
      </c>
      <c r="FB877" s="67" t="s">
        <v>7039</v>
      </c>
      <c r="FC877" s="67" t="s">
        <v>7040</v>
      </c>
      <c r="FD877" s="67" t="s">
        <v>7041</v>
      </c>
      <c r="FE877" s="68" t="s">
        <v>7042</v>
      </c>
      <c r="FF877" s="68" t="s">
        <v>7043</v>
      </c>
    </row>
    <row r="878" spans="151:162" x14ac:dyDescent="0.2">
      <c r="EU878" s="67">
        <v>565.39</v>
      </c>
      <c r="EV878" s="67" t="s">
        <v>7044</v>
      </c>
      <c r="EW878" s="67">
        <v>487.47</v>
      </c>
      <c r="EX878" s="67" t="s">
        <v>7045</v>
      </c>
      <c r="EY878" s="67">
        <v>5669</v>
      </c>
      <c r="EZ878" s="67" t="s">
        <v>7046</v>
      </c>
      <c r="FA878" s="67">
        <v>20025.75</v>
      </c>
      <c r="FB878" s="67" t="s">
        <v>7047</v>
      </c>
      <c r="FC878" s="67" t="s">
        <v>7048</v>
      </c>
      <c r="FD878" s="67" t="s">
        <v>7049</v>
      </c>
      <c r="FE878" s="68" t="s">
        <v>7050</v>
      </c>
      <c r="FF878" s="68" t="s">
        <v>7051</v>
      </c>
    </row>
    <row r="879" spans="151:162" x14ac:dyDescent="0.2">
      <c r="EU879" s="67">
        <v>565.53</v>
      </c>
      <c r="EV879" s="67" t="s">
        <v>7052</v>
      </c>
      <c r="EW879" s="67">
        <v>487.55</v>
      </c>
      <c r="EX879" s="67" t="s">
        <v>7053</v>
      </c>
      <c r="EY879" s="67">
        <v>5670.25</v>
      </c>
      <c r="EZ879" s="67" t="s">
        <v>7054</v>
      </c>
      <c r="FA879" s="67">
        <v>20029.25</v>
      </c>
      <c r="FB879" s="67" t="s">
        <v>7055</v>
      </c>
      <c r="FC879" s="67" t="s">
        <v>7056</v>
      </c>
      <c r="FD879" s="67" t="s">
        <v>7057</v>
      </c>
      <c r="FE879" s="68" t="s">
        <v>7058</v>
      </c>
      <c r="FF879" s="68" t="s">
        <v>7059</v>
      </c>
    </row>
    <row r="880" spans="151:162" x14ac:dyDescent="0.2">
      <c r="EU880" s="67">
        <v>565.54</v>
      </c>
      <c r="EV880" s="67" t="s">
        <v>7060</v>
      </c>
      <c r="EW880" s="67">
        <v>487.63</v>
      </c>
      <c r="EX880" s="67" t="s">
        <v>7061</v>
      </c>
      <c r="EY880" s="67">
        <v>5670.5</v>
      </c>
      <c r="EZ880" s="67" t="s">
        <v>7062</v>
      </c>
      <c r="FA880" s="67">
        <v>20031.25</v>
      </c>
      <c r="FB880" s="67" t="s">
        <v>7063</v>
      </c>
      <c r="FC880" s="67" t="s">
        <v>7064</v>
      </c>
      <c r="FD880" s="67" t="s">
        <v>7065</v>
      </c>
      <c r="FE880" s="68" t="s">
        <v>7066</v>
      </c>
      <c r="FF880" s="68" t="s">
        <v>7067</v>
      </c>
    </row>
    <row r="881" spans="151:162" x14ac:dyDescent="0.2">
      <c r="EU881" s="67">
        <v>565.49</v>
      </c>
      <c r="EV881" s="67" t="s">
        <v>7068</v>
      </c>
      <c r="EW881" s="67">
        <v>487.48</v>
      </c>
      <c r="EX881" s="67" t="s">
        <v>7069</v>
      </c>
      <c r="EY881" s="67">
        <v>5670</v>
      </c>
      <c r="EZ881" s="67" t="s">
        <v>7070</v>
      </c>
      <c r="FA881" s="67">
        <v>20026.25</v>
      </c>
      <c r="FB881" s="67" t="s">
        <v>7071</v>
      </c>
      <c r="FC881" s="67" t="s">
        <v>7072</v>
      </c>
      <c r="FD881" s="67" t="s">
        <v>7073</v>
      </c>
      <c r="FE881" s="68" t="s">
        <v>7074</v>
      </c>
      <c r="FF881" s="68" t="s">
        <v>7075</v>
      </c>
    </row>
    <row r="882" spans="151:162" x14ac:dyDescent="0.2">
      <c r="EU882" s="67">
        <v>565.41999999999996</v>
      </c>
      <c r="EV882" s="67" t="s">
        <v>7076</v>
      </c>
      <c r="EW882" s="67">
        <v>487.42</v>
      </c>
      <c r="EX882" s="67" t="s">
        <v>7077</v>
      </c>
      <c r="EY882" s="67">
        <v>5669</v>
      </c>
      <c r="EZ882" s="67" t="s">
        <v>7078</v>
      </c>
      <c r="FA882" s="67">
        <v>20024</v>
      </c>
      <c r="FB882" s="67" t="s">
        <v>7079</v>
      </c>
      <c r="FC882" s="67" t="s">
        <v>7080</v>
      </c>
      <c r="FD882" s="67" t="s">
        <v>7081</v>
      </c>
      <c r="FE882" s="68" t="s">
        <v>7082</v>
      </c>
      <c r="FF882" s="68" t="s">
        <v>7083</v>
      </c>
    </row>
    <row r="883" spans="151:162" x14ac:dyDescent="0.2">
      <c r="EU883" s="67">
        <v>565.39</v>
      </c>
      <c r="EV883" s="67" t="s">
        <v>7084</v>
      </c>
      <c r="EW883" s="67">
        <v>487.4</v>
      </c>
      <c r="EX883" s="67" t="s">
        <v>7085</v>
      </c>
      <c r="EY883" s="67">
        <v>5669</v>
      </c>
      <c r="EZ883" s="67" t="s">
        <v>7086</v>
      </c>
      <c r="FA883" s="67">
        <v>20023.25</v>
      </c>
      <c r="FB883" s="67" t="s">
        <v>7087</v>
      </c>
      <c r="FC883" s="67" t="s">
        <v>7088</v>
      </c>
      <c r="FD883" s="67" t="s">
        <v>7089</v>
      </c>
      <c r="FE883" s="68" t="s">
        <v>7090</v>
      </c>
      <c r="FF883" s="68" t="s">
        <v>7091</v>
      </c>
    </row>
    <row r="884" spans="151:162" x14ac:dyDescent="0.2">
      <c r="EU884" s="67">
        <v>565.02</v>
      </c>
      <c r="EV884" s="67" t="s">
        <v>7092</v>
      </c>
      <c r="EW884" s="67">
        <v>487.2</v>
      </c>
      <c r="EX884" s="67" t="s">
        <v>7093</v>
      </c>
      <c r="EY884" s="67">
        <v>5665.5</v>
      </c>
      <c r="EZ884" s="67" t="s">
        <v>7094</v>
      </c>
      <c r="FA884" s="67">
        <v>20015</v>
      </c>
      <c r="FB884" s="67" t="s">
        <v>7095</v>
      </c>
      <c r="FC884" s="67" t="s">
        <v>7096</v>
      </c>
      <c r="FD884" s="67" t="s">
        <v>7097</v>
      </c>
      <c r="FE884" s="68" t="s">
        <v>7098</v>
      </c>
      <c r="FF884" s="68" t="s">
        <v>7099</v>
      </c>
    </row>
    <row r="885" spans="151:162" x14ac:dyDescent="0.2">
      <c r="EU885" s="67">
        <v>565.01499999999999</v>
      </c>
      <c r="EV885" s="67" t="s">
        <v>7100</v>
      </c>
      <c r="EW885" s="67">
        <v>487.19</v>
      </c>
      <c r="EX885" s="67" t="s">
        <v>7101</v>
      </c>
      <c r="EY885" s="67">
        <v>5665</v>
      </c>
      <c r="EZ885" s="67" t="s">
        <v>7102</v>
      </c>
      <c r="FA885" s="67">
        <v>20014</v>
      </c>
      <c r="FB885" s="67" t="s">
        <v>7103</v>
      </c>
      <c r="FC885" s="67" t="s">
        <v>7104</v>
      </c>
      <c r="FD885" s="67" t="s">
        <v>7105</v>
      </c>
      <c r="FE885" s="68" t="s">
        <v>7106</v>
      </c>
      <c r="FF885" s="68" t="s">
        <v>7107</v>
      </c>
    </row>
    <row r="886" spans="151:162" x14ac:dyDescent="0.2">
      <c r="EU886" s="67">
        <v>565.30999999999995</v>
      </c>
      <c r="EV886" s="67" t="s">
        <v>7108</v>
      </c>
      <c r="EW886" s="67">
        <v>487.52</v>
      </c>
      <c r="EX886" s="67" t="s">
        <v>7109</v>
      </c>
      <c r="EY886" s="67">
        <v>5668.25</v>
      </c>
      <c r="EZ886" s="67" t="s">
        <v>7110</v>
      </c>
      <c r="FA886" s="67">
        <v>20027.75</v>
      </c>
      <c r="FB886" s="67" t="s">
        <v>7111</v>
      </c>
      <c r="FC886" s="67" t="s">
        <v>7112</v>
      </c>
      <c r="FD886" s="67" t="s">
        <v>7113</v>
      </c>
      <c r="FE886" s="68" t="s">
        <v>7114</v>
      </c>
      <c r="FF886" s="68" t="s">
        <v>7115</v>
      </c>
    </row>
    <row r="887" spans="151:162" x14ac:dyDescent="0.2">
      <c r="EU887" s="67">
        <v>565.03899999999999</v>
      </c>
      <c r="EV887" s="67" t="s">
        <v>7116</v>
      </c>
      <c r="EW887" s="67">
        <v>487.3</v>
      </c>
      <c r="EX887" s="67" t="s">
        <v>7117</v>
      </c>
      <c r="EY887" s="67">
        <v>5665.75</v>
      </c>
      <c r="EZ887" s="67" t="s">
        <v>7118</v>
      </c>
      <c r="FA887" s="67">
        <v>20018.5</v>
      </c>
      <c r="FB887" s="67" t="s">
        <v>7119</v>
      </c>
      <c r="FC887" s="67" t="s">
        <v>7120</v>
      </c>
      <c r="FD887" s="67" t="s">
        <v>7121</v>
      </c>
      <c r="FE887" s="68" t="s">
        <v>7122</v>
      </c>
      <c r="FF887" s="68" t="s">
        <v>7123</v>
      </c>
    </row>
    <row r="888" spans="151:162" x14ac:dyDescent="0.2">
      <c r="EU888" s="67">
        <v>565.11</v>
      </c>
      <c r="EV888" s="67" t="s">
        <v>7124</v>
      </c>
      <c r="EW888" s="67">
        <v>487.37</v>
      </c>
      <c r="EX888" s="67" t="s">
        <v>7125</v>
      </c>
      <c r="EY888" s="67">
        <v>5666</v>
      </c>
      <c r="EZ888" s="67" t="s">
        <v>7126</v>
      </c>
      <c r="FA888" s="67">
        <v>20021.75</v>
      </c>
      <c r="FB888" s="67" t="s">
        <v>7127</v>
      </c>
      <c r="FC888" s="67" t="s">
        <v>7128</v>
      </c>
      <c r="FD888" s="67" t="s">
        <v>7129</v>
      </c>
      <c r="FE888" s="68" t="s">
        <v>7130</v>
      </c>
      <c r="FF888" s="68" t="s">
        <v>7131</v>
      </c>
    </row>
    <row r="889" spans="151:162" x14ac:dyDescent="0.2">
      <c r="EU889" s="67">
        <v>565.15</v>
      </c>
      <c r="EV889" s="67" t="s">
        <v>7132</v>
      </c>
      <c r="EW889" s="67">
        <v>487.45</v>
      </c>
      <c r="EX889" s="67" t="s">
        <v>7133</v>
      </c>
      <c r="EY889" s="67">
        <v>5666.5</v>
      </c>
      <c r="EZ889" s="67" t="s">
        <v>7134</v>
      </c>
      <c r="FA889" s="67">
        <v>20026</v>
      </c>
      <c r="FB889" s="67" t="s">
        <v>7135</v>
      </c>
      <c r="FC889" s="67" t="s">
        <v>7136</v>
      </c>
      <c r="FD889" s="67" t="s">
        <v>7137</v>
      </c>
      <c r="FE889" s="68" t="s">
        <v>7138</v>
      </c>
      <c r="FF889" s="68" t="s">
        <v>7139</v>
      </c>
    </row>
    <row r="890" spans="151:162" x14ac:dyDescent="0.2">
      <c r="EU890" s="67">
        <v>565.19000000000005</v>
      </c>
      <c r="EV890" s="67" t="s">
        <v>7140</v>
      </c>
      <c r="EW890" s="67">
        <v>487.56</v>
      </c>
      <c r="EX890" s="67" t="s">
        <v>7141</v>
      </c>
      <c r="EY890" s="67">
        <v>5666.75</v>
      </c>
      <c r="EZ890" s="67" t="s">
        <v>7142</v>
      </c>
      <c r="FA890" s="67">
        <v>20029.75</v>
      </c>
      <c r="FB890" s="67" t="s">
        <v>7143</v>
      </c>
      <c r="FC890" s="67" t="s">
        <v>7144</v>
      </c>
      <c r="FD890" s="67" t="s">
        <v>7145</v>
      </c>
      <c r="FE890" s="68" t="s">
        <v>7146</v>
      </c>
      <c r="FF890" s="68" t="s">
        <v>7147</v>
      </c>
    </row>
    <row r="891" spans="151:162" x14ac:dyDescent="0.2">
      <c r="EU891" s="67">
        <v>565.09</v>
      </c>
      <c r="EV891" s="67" t="s">
        <v>7148</v>
      </c>
      <c r="EW891" s="67">
        <v>487.5</v>
      </c>
      <c r="EX891" s="67" t="s">
        <v>7149</v>
      </c>
      <c r="EY891" s="67">
        <v>5665.75</v>
      </c>
      <c r="EZ891" s="67" t="s">
        <v>7150</v>
      </c>
      <c r="FA891" s="67">
        <v>20028.25</v>
      </c>
      <c r="FB891" s="67" t="s">
        <v>7151</v>
      </c>
      <c r="FC891" s="67" t="s">
        <v>7152</v>
      </c>
      <c r="FD891" s="67" t="s">
        <v>7153</v>
      </c>
      <c r="FE891" s="68" t="s">
        <v>7154</v>
      </c>
      <c r="FF891" s="68" t="s">
        <v>7155</v>
      </c>
    </row>
    <row r="892" spans="151:162" x14ac:dyDescent="0.2">
      <c r="EU892" s="67">
        <v>565.03</v>
      </c>
      <c r="EV892" s="67" t="s">
        <v>7156</v>
      </c>
      <c r="EW892" s="67">
        <v>487.45</v>
      </c>
      <c r="EX892" s="67" t="s">
        <v>7157</v>
      </c>
      <c r="EY892" s="67">
        <v>5665</v>
      </c>
      <c r="EZ892" s="67" t="s">
        <v>7158</v>
      </c>
      <c r="FA892" s="67">
        <v>20025.25</v>
      </c>
      <c r="FB892" s="67" t="s">
        <v>7159</v>
      </c>
      <c r="FC892" s="67" t="s">
        <v>7160</v>
      </c>
      <c r="FD892" s="67" t="s">
        <v>7161</v>
      </c>
      <c r="FE892" s="68" t="s">
        <v>7162</v>
      </c>
      <c r="FF892" s="68" t="s">
        <v>7163</v>
      </c>
    </row>
    <row r="893" spans="151:162" x14ac:dyDescent="0.2">
      <c r="EU893" s="67">
        <v>564.99</v>
      </c>
      <c r="EV893" s="67" t="s">
        <v>7164</v>
      </c>
      <c r="EW893" s="67">
        <v>487.41</v>
      </c>
      <c r="EX893" s="67" t="s">
        <v>7165</v>
      </c>
      <c r="EY893" s="67">
        <v>5665</v>
      </c>
      <c r="EZ893" s="67" t="s">
        <v>7166</v>
      </c>
      <c r="FA893" s="67">
        <v>20023.5</v>
      </c>
      <c r="FB893" s="67" t="s">
        <v>7167</v>
      </c>
      <c r="FC893" s="67" t="s">
        <v>7168</v>
      </c>
      <c r="FD893" s="67" t="s">
        <v>7169</v>
      </c>
      <c r="FE893" s="68" t="s">
        <v>7170</v>
      </c>
      <c r="FF893" s="68" t="s">
        <v>7171</v>
      </c>
    </row>
    <row r="894" spans="151:162" x14ac:dyDescent="0.2">
      <c r="EU894" s="67">
        <v>565.25</v>
      </c>
      <c r="EV894" s="67" t="s">
        <v>7172</v>
      </c>
      <c r="EW894" s="67">
        <v>487.58</v>
      </c>
      <c r="EX894" s="67" t="s">
        <v>7173</v>
      </c>
      <c r="EY894" s="67">
        <v>5667.5</v>
      </c>
      <c r="EZ894" s="67" t="s">
        <v>7174</v>
      </c>
      <c r="FA894" s="67">
        <v>20031.25</v>
      </c>
      <c r="FB894" s="67" t="s">
        <v>7175</v>
      </c>
      <c r="FC894" s="67" t="s">
        <v>7176</v>
      </c>
      <c r="FD894" s="67" t="s">
        <v>7177</v>
      </c>
      <c r="FE894" s="68" t="s">
        <v>7178</v>
      </c>
      <c r="FF894" s="68" t="s">
        <v>7179</v>
      </c>
    </row>
    <row r="895" spans="151:162" x14ac:dyDescent="0.2">
      <c r="EU895" s="67">
        <v>564.97</v>
      </c>
      <c r="EV895" s="67" t="s">
        <v>7180</v>
      </c>
      <c r="EW895" s="67">
        <v>487.41</v>
      </c>
      <c r="EX895" s="67" t="s">
        <v>7181</v>
      </c>
      <c r="EY895" s="67">
        <v>5664.75</v>
      </c>
      <c r="EZ895" s="67" t="s">
        <v>7182</v>
      </c>
      <c r="FA895" s="67">
        <v>20024.25</v>
      </c>
      <c r="FB895" s="67" t="s">
        <v>7183</v>
      </c>
      <c r="FC895" s="67" t="s">
        <v>7184</v>
      </c>
      <c r="FD895" s="67" t="s">
        <v>7185</v>
      </c>
      <c r="FE895" s="68" t="s">
        <v>7186</v>
      </c>
      <c r="FF895" s="68" t="s">
        <v>7187</v>
      </c>
    </row>
    <row r="896" spans="151:162" x14ac:dyDescent="0.2">
      <c r="EU896" s="67">
        <v>565.17999999999995</v>
      </c>
      <c r="EV896" s="67" t="s">
        <v>7188</v>
      </c>
      <c r="EW896" s="67">
        <v>487.57</v>
      </c>
      <c r="EX896" s="67" t="s">
        <v>7189</v>
      </c>
      <c r="EY896" s="67">
        <v>5666.75</v>
      </c>
      <c r="EZ896" s="67" t="s">
        <v>7190</v>
      </c>
      <c r="FA896" s="67">
        <v>20031</v>
      </c>
      <c r="FB896" s="67" t="s">
        <v>7191</v>
      </c>
      <c r="FC896" s="67" t="s">
        <v>7192</v>
      </c>
      <c r="FD896" s="67" t="s">
        <v>7193</v>
      </c>
      <c r="FE896" s="68" t="s">
        <v>7194</v>
      </c>
      <c r="FF896" s="68" t="s">
        <v>7195</v>
      </c>
    </row>
    <row r="897" spans="151:162" x14ac:dyDescent="0.2">
      <c r="EU897" s="67">
        <v>565.16999999999996</v>
      </c>
      <c r="EV897" s="67" t="s">
        <v>7196</v>
      </c>
      <c r="EW897" s="67">
        <v>487.57</v>
      </c>
      <c r="EX897" s="67" t="s">
        <v>7197</v>
      </c>
      <c r="EY897" s="67">
        <v>5666.5</v>
      </c>
      <c r="EZ897" s="67" t="s">
        <v>7198</v>
      </c>
      <c r="FA897" s="67">
        <v>20029.5</v>
      </c>
      <c r="FB897" s="67" t="s">
        <v>7199</v>
      </c>
      <c r="FC897" s="67" t="s">
        <v>7200</v>
      </c>
      <c r="FD897" s="67" t="s">
        <v>7201</v>
      </c>
      <c r="FE897" s="68" t="s">
        <v>7202</v>
      </c>
      <c r="FF897" s="68" t="s">
        <v>7203</v>
      </c>
    </row>
    <row r="898" spans="151:162" x14ac:dyDescent="0.2">
      <c r="EU898" s="67">
        <v>565.12</v>
      </c>
      <c r="EV898" s="67" t="s">
        <v>7204</v>
      </c>
      <c r="EW898" s="67">
        <v>487.56</v>
      </c>
      <c r="EX898" s="67" t="s">
        <v>7205</v>
      </c>
      <c r="EY898" s="67">
        <v>5666.5</v>
      </c>
      <c r="EZ898" s="67" t="s">
        <v>7206</v>
      </c>
      <c r="FA898" s="67">
        <v>20030.25</v>
      </c>
      <c r="FB898" s="67" t="s">
        <v>7207</v>
      </c>
      <c r="FC898" s="67" t="s">
        <v>7208</v>
      </c>
      <c r="FD898" s="67" t="s">
        <v>7209</v>
      </c>
      <c r="FE898" s="68" t="s">
        <v>7210</v>
      </c>
      <c r="FF898" s="68" t="s">
        <v>7211</v>
      </c>
    </row>
    <row r="899" spans="151:162" x14ac:dyDescent="0.2">
      <c r="EU899" s="67">
        <v>565.29</v>
      </c>
      <c r="EV899" s="67" t="s">
        <v>7212</v>
      </c>
      <c r="EW899" s="67">
        <v>487.7</v>
      </c>
      <c r="EX899" s="67" t="s">
        <v>7213</v>
      </c>
      <c r="EY899" s="67">
        <v>5668</v>
      </c>
      <c r="EZ899" s="67" t="s">
        <v>7214</v>
      </c>
      <c r="FA899" s="67">
        <v>20034.5</v>
      </c>
      <c r="FB899" s="67" t="s">
        <v>7215</v>
      </c>
      <c r="FC899" s="67" t="s">
        <v>7216</v>
      </c>
      <c r="FD899" s="67" t="s">
        <v>7217</v>
      </c>
      <c r="FE899" s="68" t="s">
        <v>7218</v>
      </c>
      <c r="FF899" s="68" t="s">
        <v>7219</v>
      </c>
    </row>
    <row r="900" spans="151:162" x14ac:dyDescent="0.2">
      <c r="EU900" s="67">
        <v>565.45100000000002</v>
      </c>
      <c r="EV900" s="67" t="s">
        <v>7220</v>
      </c>
      <c r="EW900" s="67">
        <v>487.8</v>
      </c>
      <c r="EX900" s="67" t="s">
        <v>7221</v>
      </c>
      <c r="EY900" s="67">
        <v>5669.75</v>
      </c>
      <c r="EZ900" s="67" t="s">
        <v>7222</v>
      </c>
      <c r="FA900" s="67">
        <v>20040</v>
      </c>
      <c r="FB900" s="67" t="s">
        <v>7223</v>
      </c>
      <c r="FC900" s="67" t="s">
        <v>7224</v>
      </c>
      <c r="FD900" s="67" t="s">
        <v>7225</v>
      </c>
      <c r="FE900" s="68" t="s">
        <v>7226</v>
      </c>
      <c r="FF900" s="68" t="s">
        <v>7227</v>
      </c>
    </row>
    <row r="901" spans="151:162" x14ac:dyDescent="0.2">
      <c r="EU901" s="67">
        <v>565.73599999999999</v>
      </c>
      <c r="EV901" s="67" t="s">
        <v>7228</v>
      </c>
      <c r="EW901" s="67">
        <v>488.06</v>
      </c>
      <c r="EX901" s="67" t="s">
        <v>7229</v>
      </c>
      <c r="EY901" s="67">
        <v>5672.5</v>
      </c>
      <c r="EZ901" s="67" t="s">
        <v>7230</v>
      </c>
      <c r="FA901" s="67">
        <v>20050.75</v>
      </c>
      <c r="FB901" s="67" t="s">
        <v>7231</v>
      </c>
      <c r="FC901" s="67" t="s">
        <v>7232</v>
      </c>
      <c r="FD901" s="67" t="s">
        <v>7233</v>
      </c>
      <c r="FE901" s="68" t="s">
        <v>7234</v>
      </c>
      <c r="FF901" s="68" t="s">
        <v>7235</v>
      </c>
    </row>
    <row r="902" spans="151:162" x14ac:dyDescent="0.2">
      <c r="EU902" s="67">
        <v>565.53899999999999</v>
      </c>
      <c r="EV902" s="67" t="s">
        <v>7236</v>
      </c>
      <c r="EW902" s="67">
        <v>487.85</v>
      </c>
      <c r="EX902" s="67" t="s">
        <v>7237</v>
      </c>
      <c r="EY902" s="67">
        <v>5670.25</v>
      </c>
      <c r="EZ902" s="67" t="s">
        <v>7238</v>
      </c>
      <c r="FA902" s="67">
        <v>20042.25</v>
      </c>
      <c r="FB902" s="67" t="s">
        <v>7239</v>
      </c>
      <c r="FC902" s="67" t="s">
        <v>7240</v>
      </c>
      <c r="FD902" s="67" t="s">
        <v>7241</v>
      </c>
      <c r="FE902" s="68" t="s">
        <v>7242</v>
      </c>
      <c r="FF902" s="68" t="s">
        <v>7243</v>
      </c>
    </row>
    <row r="903" spans="151:162" x14ac:dyDescent="0.2">
      <c r="EU903" s="67">
        <v>565.59</v>
      </c>
      <c r="EV903" s="67" t="s">
        <v>7244</v>
      </c>
      <c r="EW903" s="67">
        <v>487.88</v>
      </c>
      <c r="EX903" s="67" t="s">
        <v>7245</v>
      </c>
      <c r="EY903" s="67">
        <v>5670.75</v>
      </c>
      <c r="EZ903" s="67" t="s">
        <v>7246</v>
      </c>
      <c r="FA903" s="67">
        <v>20042.75</v>
      </c>
      <c r="FB903" s="67" t="s">
        <v>7247</v>
      </c>
      <c r="FC903" s="67" t="s">
        <v>7248</v>
      </c>
      <c r="FD903" s="67" t="s">
        <v>7249</v>
      </c>
      <c r="FE903" s="68" t="s">
        <v>7250</v>
      </c>
      <c r="FF903" s="68" t="s">
        <v>7251</v>
      </c>
    </row>
    <row r="904" spans="151:162" x14ac:dyDescent="0.2">
      <c r="EU904" s="67">
        <v>565.67999999999995</v>
      </c>
      <c r="EV904" s="67" t="s">
        <v>7252</v>
      </c>
      <c r="EW904" s="67">
        <v>487.94499999999999</v>
      </c>
      <c r="EX904" s="67" t="s">
        <v>7253</v>
      </c>
      <c r="EY904" s="67">
        <v>5671.75</v>
      </c>
      <c r="EZ904" s="67" t="s">
        <v>7254</v>
      </c>
      <c r="FA904" s="67">
        <v>20046</v>
      </c>
      <c r="FB904" s="67" t="s">
        <v>7255</v>
      </c>
      <c r="FC904" s="67" t="s">
        <v>7256</v>
      </c>
      <c r="FD904" s="67" t="s">
        <v>7257</v>
      </c>
      <c r="FE904" s="68" t="s">
        <v>7258</v>
      </c>
      <c r="FF904" s="68" t="s">
        <v>7259</v>
      </c>
    </row>
    <row r="905" spans="151:162" x14ac:dyDescent="0.2">
      <c r="EU905" s="67">
        <v>565.72</v>
      </c>
      <c r="EV905" s="67" t="s">
        <v>7260</v>
      </c>
      <c r="EW905" s="67">
        <v>487.99</v>
      </c>
      <c r="EX905" s="67" t="s">
        <v>7261</v>
      </c>
      <c r="EY905" s="67">
        <v>5672</v>
      </c>
      <c r="EZ905" s="67" t="s">
        <v>7262</v>
      </c>
      <c r="FA905" s="67">
        <v>20047.25</v>
      </c>
      <c r="FB905" s="67" t="s">
        <v>7263</v>
      </c>
      <c r="FC905" s="67" t="s">
        <v>7264</v>
      </c>
      <c r="FD905" s="67" t="s">
        <v>7265</v>
      </c>
      <c r="FE905" s="68" t="s">
        <v>7266</v>
      </c>
      <c r="FF905" s="68" t="s">
        <v>7267</v>
      </c>
    </row>
    <row r="906" spans="151:162" x14ac:dyDescent="0.2">
      <c r="EU906" s="67">
        <v>565.72</v>
      </c>
      <c r="EV906" s="67" t="s">
        <v>7268</v>
      </c>
      <c r="EW906" s="67">
        <v>487.96</v>
      </c>
      <c r="EX906" s="67" t="s">
        <v>7269</v>
      </c>
      <c r="EY906" s="67">
        <v>5672.25</v>
      </c>
      <c r="EZ906" s="67" t="s">
        <v>7270</v>
      </c>
      <c r="FA906" s="67">
        <v>20046.75</v>
      </c>
      <c r="FB906" s="67" t="s">
        <v>7271</v>
      </c>
      <c r="FC906" s="67" t="s">
        <v>7272</v>
      </c>
      <c r="FD906" s="67" t="s">
        <v>7273</v>
      </c>
      <c r="FE906" s="68" t="s">
        <v>7274</v>
      </c>
      <c r="FF906" s="68" t="s">
        <v>7275</v>
      </c>
    </row>
    <row r="907" spans="151:162" x14ac:dyDescent="0.2">
      <c r="EU907" s="67">
        <v>565.57100000000003</v>
      </c>
      <c r="EV907" s="67" t="s">
        <v>7276</v>
      </c>
      <c r="EW907" s="67">
        <v>487.71</v>
      </c>
      <c r="EX907" s="67" t="s">
        <v>7277</v>
      </c>
      <c r="EY907" s="67">
        <v>5670.5</v>
      </c>
      <c r="EZ907" s="67" t="s">
        <v>7278</v>
      </c>
      <c r="FA907" s="67">
        <v>20036.25</v>
      </c>
      <c r="FB907" s="67" t="s">
        <v>7279</v>
      </c>
      <c r="FC907" s="67" t="s">
        <v>7280</v>
      </c>
      <c r="FD907" s="67" t="s">
        <v>7281</v>
      </c>
      <c r="FE907" s="68" t="s">
        <v>7282</v>
      </c>
      <c r="FF907" s="68" t="s">
        <v>7283</v>
      </c>
    </row>
    <row r="908" spans="151:162" x14ac:dyDescent="0.2">
      <c r="EU908" s="67">
        <v>565.66099999999994</v>
      </c>
      <c r="EV908" s="67" t="s">
        <v>7284</v>
      </c>
      <c r="EW908" s="67">
        <v>487.86</v>
      </c>
      <c r="EX908" s="67" t="s">
        <v>7285</v>
      </c>
      <c r="EY908" s="67">
        <v>5671.5</v>
      </c>
      <c r="EZ908" s="67" t="s">
        <v>7286</v>
      </c>
      <c r="FA908" s="67">
        <v>20041.5</v>
      </c>
      <c r="FB908" s="67" t="s">
        <v>7287</v>
      </c>
      <c r="FC908" s="67" t="s">
        <v>7288</v>
      </c>
      <c r="FD908" s="67" t="s">
        <v>7289</v>
      </c>
      <c r="FE908" s="68" t="s">
        <v>7290</v>
      </c>
      <c r="FF908" s="68" t="s">
        <v>7291</v>
      </c>
    </row>
    <row r="909" spans="151:162" x14ac:dyDescent="0.2">
      <c r="EU909" s="67">
        <v>565.66999999999996</v>
      </c>
      <c r="EV909" s="67" t="s">
        <v>7292</v>
      </c>
      <c r="EW909" s="67">
        <v>487.89</v>
      </c>
      <c r="EX909" s="67" t="s">
        <v>7293</v>
      </c>
      <c r="EY909" s="67">
        <v>5671.75</v>
      </c>
      <c r="EZ909" s="67" t="s">
        <v>7294</v>
      </c>
      <c r="FA909" s="67">
        <v>20042.75</v>
      </c>
      <c r="FB909" s="67" t="s">
        <v>7295</v>
      </c>
      <c r="FC909" s="67" t="s">
        <v>7296</v>
      </c>
      <c r="FD909" s="67" t="s">
        <v>7297</v>
      </c>
      <c r="FE909" s="68" t="s">
        <v>7298</v>
      </c>
      <c r="FF909" s="68" t="s">
        <v>7299</v>
      </c>
    </row>
    <row r="910" spans="151:162" x14ac:dyDescent="0.2">
      <c r="EU910" s="67">
        <v>565.58000000000004</v>
      </c>
      <c r="EV910" s="67" t="s">
        <v>7300</v>
      </c>
      <c r="EW910" s="67">
        <v>487.77100000000002</v>
      </c>
      <c r="EX910" s="67" t="s">
        <v>7301</v>
      </c>
      <c r="EY910" s="67">
        <v>5670.75</v>
      </c>
      <c r="EZ910" s="67" t="s">
        <v>7302</v>
      </c>
      <c r="FA910" s="67">
        <v>20039</v>
      </c>
      <c r="FB910" s="67" t="s">
        <v>7303</v>
      </c>
      <c r="FC910" s="67" t="s">
        <v>7304</v>
      </c>
      <c r="FD910" s="67" t="s">
        <v>7305</v>
      </c>
      <c r="FE910" s="68" t="s">
        <v>7306</v>
      </c>
      <c r="FF910" s="68" t="s">
        <v>7307</v>
      </c>
    </row>
    <row r="911" spans="151:162" x14ac:dyDescent="0.2">
      <c r="EU911" s="67">
        <v>565.57500000000005</v>
      </c>
      <c r="EV911" s="67" t="s">
        <v>7308</v>
      </c>
      <c r="EW911" s="67">
        <v>487.83</v>
      </c>
      <c r="EX911" s="67" t="s">
        <v>7309</v>
      </c>
      <c r="EY911" s="67">
        <v>5670.75</v>
      </c>
      <c r="EZ911" s="67" t="s">
        <v>7310</v>
      </c>
      <c r="FA911" s="67">
        <v>20040.75</v>
      </c>
      <c r="FB911" s="67" t="s">
        <v>7311</v>
      </c>
      <c r="FC911" s="67" t="s">
        <v>7312</v>
      </c>
      <c r="FD911" s="67" t="s">
        <v>7313</v>
      </c>
      <c r="FE911" s="68" t="s">
        <v>7314</v>
      </c>
      <c r="FF911" s="68" t="s">
        <v>7315</v>
      </c>
    </row>
    <row r="912" spans="151:162" x14ac:dyDescent="0.2">
      <c r="EU912" s="67">
        <v>565.52</v>
      </c>
      <c r="EV912" s="67" t="s">
        <v>7316</v>
      </c>
      <c r="EW912" s="67">
        <v>487.72</v>
      </c>
      <c r="EX912" s="67" t="s">
        <v>7317</v>
      </c>
      <c r="EY912" s="67">
        <v>5670.25</v>
      </c>
      <c r="EZ912" s="67" t="s">
        <v>7318</v>
      </c>
      <c r="FA912" s="67">
        <v>20037.5</v>
      </c>
      <c r="FB912" s="67" t="s">
        <v>7319</v>
      </c>
      <c r="FC912" s="67" t="s">
        <v>7320</v>
      </c>
      <c r="FD912" s="67" t="s">
        <v>7321</v>
      </c>
      <c r="FE912" s="68" t="s">
        <v>7322</v>
      </c>
      <c r="FF912" s="68" t="s">
        <v>7323</v>
      </c>
    </row>
    <row r="913" spans="151:162" x14ac:dyDescent="0.2">
      <c r="EU913" s="67">
        <v>565.49</v>
      </c>
      <c r="EV913" s="67" t="s">
        <v>7324</v>
      </c>
      <c r="EW913" s="67">
        <v>487.7</v>
      </c>
      <c r="EX913" s="67" t="s">
        <v>7325</v>
      </c>
      <c r="EY913" s="67">
        <v>5670</v>
      </c>
      <c r="EZ913" s="67" t="s">
        <v>7326</v>
      </c>
      <c r="FA913" s="67">
        <v>20036</v>
      </c>
      <c r="FB913" s="67" t="s">
        <v>7327</v>
      </c>
      <c r="FC913" s="67" t="s">
        <v>7328</v>
      </c>
      <c r="FD913" s="67" t="s">
        <v>7329</v>
      </c>
      <c r="FE913" s="68" t="s">
        <v>7330</v>
      </c>
      <c r="FF913" s="68" t="s">
        <v>7331</v>
      </c>
    </row>
    <row r="914" spans="151:162" x14ac:dyDescent="0.2">
      <c r="EU914" s="67">
        <v>565.67999999999995</v>
      </c>
      <c r="EV914" s="67" t="s">
        <v>7332</v>
      </c>
      <c r="EW914" s="67">
        <v>487.82</v>
      </c>
      <c r="EX914" s="67" t="s">
        <v>7333</v>
      </c>
      <c r="EY914" s="67">
        <v>5672</v>
      </c>
      <c r="EZ914" s="67" t="s">
        <v>7334</v>
      </c>
      <c r="FA914" s="67">
        <v>20041</v>
      </c>
      <c r="FB914" s="67" t="s">
        <v>7335</v>
      </c>
      <c r="FC914" s="67" t="s">
        <v>7336</v>
      </c>
      <c r="FD914" s="67" t="s">
        <v>7337</v>
      </c>
      <c r="FE914" s="68" t="s">
        <v>7338</v>
      </c>
      <c r="FF914" s="68" t="s">
        <v>7339</v>
      </c>
    </row>
    <row r="915" spans="151:162" x14ac:dyDescent="0.2">
      <c r="EU915" s="67">
        <v>565.79</v>
      </c>
      <c r="EV915" s="67" t="s">
        <v>7340</v>
      </c>
      <c r="EW915" s="67">
        <v>487.92</v>
      </c>
      <c r="EX915" s="67" t="s">
        <v>7341</v>
      </c>
      <c r="EY915" s="67">
        <v>5673</v>
      </c>
      <c r="EZ915" s="67" t="s">
        <v>7342</v>
      </c>
      <c r="FA915" s="67">
        <v>20044.25</v>
      </c>
      <c r="FB915" s="67" t="s">
        <v>7343</v>
      </c>
      <c r="FC915" s="67" t="s">
        <v>7344</v>
      </c>
      <c r="FD915" s="67" t="s">
        <v>7345</v>
      </c>
      <c r="FE915" s="68" t="s">
        <v>7346</v>
      </c>
      <c r="FF915" s="68" t="s">
        <v>7347</v>
      </c>
    </row>
    <row r="916" spans="151:162" x14ac:dyDescent="0.2">
      <c r="EU916" s="67">
        <v>565.88</v>
      </c>
      <c r="EV916" s="67" t="s">
        <v>7348</v>
      </c>
      <c r="EW916" s="67">
        <v>488.01</v>
      </c>
      <c r="EX916" s="67" t="s">
        <v>7349</v>
      </c>
      <c r="EY916" s="67">
        <v>5673.5</v>
      </c>
      <c r="EZ916" s="67" t="s">
        <v>7350</v>
      </c>
      <c r="FA916" s="67">
        <v>20047.75</v>
      </c>
      <c r="FB916" s="67" t="s">
        <v>7351</v>
      </c>
      <c r="FC916" s="67" t="s">
        <v>7352</v>
      </c>
      <c r="FD916" s="67" t="s">
        <v>7353</v>
      </c>
      <c r="FE916" s="68" t="s">
        <v>7354</v>
      </c>
      <c r="FF916" s="68" t="s">
        <v>7355</v>
      </c>
    </row>
    <row r="917" spans="151:162" x14ac:dyDescent="0.2">
      <c r="EU917" s="67">
        <v>565.91499999999996</v>
      </c>
      <c r="EV917" s="67" t="s">
        <v>7356</v>
      </c>
      <c r="EW917" s="67">
        <v>488.01100000000002</v>
      </c>
      <c r="EX917" s="67" t="s">
        <v>7357</v>
      </c>
      <c r="EY917" s="67">
        <v>5674</v>
      </c>
      <c r="EZ917" s="67" t="s">
        <v>7358</v>
      </c>
      <c r="FA917" s="67">
        <v>20048.25</v>
      </c>
      <c r="FB917" s="67" t="s">
        <v>7359</v>
      </c>
      <c r="FC917" s="67" t="s">
        <v>7360</v>
      </c>
      <c r="FD917" s="67" t="s">
        <v>7361</v>
      </c>
      <c r="FE917" s="68" t="s">
        <v>7362</v>
      </c>
      <c r="FF917" s="68" t="s">
        <v>7363</v>
      </c>
    </row>
    <row r="918" spans="151:162" x14ac:dyDescent="0.2">
      <c r="EU918" s="67">
        <v>565.86</v>
      </c>
      <c r="EV918" s="67" t="s">
        <v>7364</v>
      </c>
      <c r="EW918" s="67">
        <v>487.94</v>
      </c>
      <c r="EX918" s="67" t="s">
        <v>7365</v>
      </c>
      <c r="EY918" s="67">
        <v>5673.75</v>
      </c>
      <c r="EZ918" s="67" t="s">
        <v>7366</v>
      </c>
      <c r="FA918" s="67">
        <v>20045.5</v>
      </c>
      <c r="FB918" s="67" t="s">
        <v>7367</v>
      </c>
      <c r="FC918" s="67" t="s">
        <v>7368</v>
      </c>
      <c r="FD918" s="67" t="s">
        <v>7369</v>
      </c>
      <c r="FE918" s="68" t="s">
        <v>7370</v>
      </c>
      <c r="FF918" s="68" t="s">
        <v>7371</v>
      </c>
    </row>
    <row r="919" spans="151:162" x14ac:dyDescent="0.2">
      <c r="EU919" s="67">
        <v>565.98</v>
      </c>
      <c r="EV919" s="67" t="s">
        <v>7372</v>
      </c>
      <c r="EW919" s="67">
        <v>488.06</v>
      </c>
      <c r="EX919" s="67" t="s">
        <v>7373</v>
      </c>
      <c r="EY919" s="67">
        <v>5674.75</v>
      </c>
      <c r="EZ919" s="67" t="s">
        <v>7374</v>
      </c>
      <c r="FA919" s="67">
        <v>20051</v>
      </c>
      <c r="FB919" s="67" t="s">
        <v>7375</v>
      </c>
      <c r="FC919" s="67" t="s">
        <v>7376</v>
      </c>
      <c r="FD919" s="67" t="s">
        <v>7377</v>
      </c>
      <c r="FE919" s="68" t="s">
        <v>7378</v>
      </c>
      <c r="FF919" s="68" t="s">
        <v>7379</v>
      </c>
    </row>
    <row r="920" spans="151:162" x14ac:dyDescent="0.2">
      <c r="EU920" s="67">
        <v>565.995</v>
      </c>
      <c r="EV920" s="67" t="s">
        <v>7380</v>
      </c>
      <c r="EW920" s="67">
        <v>488.1</v>
      </c>
      <c r="EX920" s="67" t="s">
        <v>7381</v>
      </c>
      <c r="EY920" s="67">
        <v>5675</v>
      </c>
      <c r="EZ920" s="67" t="s">
        <v>7382</v>
      </c>
      <c r="FA920" s="67">
        <v>20051.25</v>
      </c>
      <c r="FB920" s="67" t="s">
        <v>7383</v>
      </c>
      <c r="FC920" s="67" t="s">
        <v>7384</v>
      </c>
      <c r="FD920" s="67" t="s">
        <v>7385</v>
      </c>
      <c r="FE920" s="68" t="s">
        <v>7386</v>
      </c>
      <c r="FF920" s="68" t="s">
        <v>7387</v>
      </c>
    </row>
    <row r="921" spans="151:162" x14ac:dyDescent="0.2">
      <c r="EU921" s="67">
        <v>565.79</v>
      </c>
      <c r="EV921" s="67" t="s">
        <v>7388</v>
      </c>
      <c r="EW921" s="67">
        <v>487.88</v>
      </c>
      <c r="EX921" s="67" t="s">
        <v>7389</v>
      </c>
      <c r="EY921" s="67">
        <v>5672.75</v>
      </c>
      <c r="EZ921" s="67" t="s">
        <v>7390</v>
      </c>
      <c r="FA921" s="67">
        <v>20043.75</v>
      </c>
      <c r="FB921" s="67" t="s">
        <v>7391</v>
      </c>
      <c r="FC921" s="67" t="s">
        <v>7392</v>
      </c>
      <c r="FD921" s="67" t="s">
        <v>7393</v>
      </c>
      <c r="FE921" s="68" t="s">
        <v>7394</v>
      </c>
      <c r="FF921" s="68" t="s">
        <v>7395</v>
      </c>
    </row>
    <row r="922" spans="151:162" x14ac:dyDescent="0.2">
      <c r="EU922" s="67">
        <v>565.88</v>
      </c>
      <c r="EV922" s="67" t="s">
        <v>7396</v>
      </c>
      <c r="EW922" s="67">
        <v>488</v>
      </c>
      <c r="EX922" s="67" t="s">
        <v>7397</v>
      </c>
      <c r="EY922" s="67">
        <v>5674</v>
      </c>
      <c r="EZ922" s="67" t="s">
        <v>7398</v>
      </c>
      <c r="FA922" s="67">
        <v>20048.5</v>
      </c>
      <c r="FB922" s="67" t="s">
        <v>7399</v>
      </c>
      <c r="FC922" s="67" t="s">
        <v>7400</v>
      </c>
      <c r="FD922" s="67" t="s">
        <v>7401</v>
      </c>
      <c r="FE922" s="68" t="s">
        <v>7402</v>
      </c>
      <c r="FF922" s="68" t="s">
        <v>7403</v>
      </c>
    </row>
    <row r="923" spans="151:162" x14ac:dyDescent="0.2">
      <c r="EU923" s="67">
        <v>565.83000000000004</v>
      </c>
      <c r="EV923" s="67" t="s">
        <v>7404</v>
      </c>
      <c r="EW923" s="67">
        <v>487.97</v>
      </c>
      <c r="EX923" s="67" t="s">
        <v>7405</v>
      </c>
      <c r="EY923" s="67">
        <v>5673.25</v>
      </c>
      <c r="EZ923" s="67" t="s">
        <v>7406</v>
      </c>
      <c r="FA923" s="67">
        <v>20046.25</v>
      </c>
      <c r="FB923" s="67" t="s">
        <v>7407</v>
      </c>
      <c r="FC923" s="67" t="s">
        <v>7408</v>
      </c>
      <c r="FD923" s="67" t="s">
        <v>7409</v>
      </c>
      <c r="FE923" s="68" t="s">
        <v>7410</v>
      </c>
      <c r="FF923" s="68" t="s">
        <v>7411</v>
      </c>
    </row>
    <row r="924" spans="151:162" x14ac:dyDescent="0.2">
      <c r="EU924" s="67">
        <v>565.80999999999995</v>
      </c>
      <c r="EV924" s="67" t="s">
        <v>7412</v>
      </c>
      <c r="EW924" s="67">
        <v>487.98</v>
      </c>
      <c r="EX924" s="67" t="s">
        <v>7413</v>
      </c>
      <c r="EY924" s="67">
        <v>5673</v>
      </c>
      <c r="EZ924" s="67" t="s">
        <v>7414</v>
      </c>
      <c r="FA924" s="67">
        <v>20047</v>
      </c>
      <c r="FB924" s="67" t="s">
        <v>7415</v>
      </c>
      <c r="FC924" s="67" t="s">
        <v>7416</v>
      </c>
      <c r="FD924" s="67" t="s">
        <v>7417</v>
      </c>
      <c r="FE924" s="68" t="s">
        <v>7418</v>
      </c>
      <c r="FF924" s="68" t="s">
        <v>7419</v>
      </c>
    </row>
    <row r="925" spans="151:162" x14ac:dyDescent="0.2">
      <c r="EU925" s="67">
        <v>565.83000000000004</v>
      </c>
      <c r="EV925" s="67" t="s">
        <v>7420</v>
      </c>
      <c r="EW925" s="67">
        <v>487.97</v>
      </c>
      <c r="EX925" s="67" t="s">
        <v>7421</v>
      </c>
      <c r="EY925" s="67">
        <v>5673.25</v>
      </c>
      <c r="EZ925" s="67" t="s">
        <v>7422</v>
      </c>
      <c r="FA925" s="67">
        <v>20047.25</v>
      </c>
      <c r="FB925" s="67" t="s">
        <v>7423</v>
      </c>
      <c r="FC925" s="67" t="s">
        <v>7424</v>
      </c>
      <c r="FD925" s="67" t="s">
        <v>7425</v>
      </c>
      <c r="FE925" s="68" t="s">
        <v>7426</v>
      </c>
      <c r="FF925" s="68" t="s">
        <v>7427</v>
      </c>
    </row>
    <row r="926" spans="151:162" x14ac:dyDescent="0.2">
      <c r="EU926" s="67">
        <v>565.78499999999997</v>
      </c>
      <c r="EV926" s="67" t="s">
        <v>7428</v>
      </c>
      <c r="EW926" s="67">
        <v>488</v>
      </c>
      <c r="EX926" s="67" t="s">
        <v>7429</v>
      </c>
      <c r="EY926" s="67">
        <v>5673.75</v>
      </c>
      <c r="EZ926" s="67" t="s">
        <v>7430</v>
      </c>
      <c r="FA926" s="67">
        <v>20048.5</v>
      </c>
      <c r="FB926" s="67" t="s">
        <v>7431</v>
      </c>
      <c r="FC926" s="67" t="s">
        <v>7432</v>
      </c>
      <c r="FD926" s="67" t="s">
        <v>7433</v>
      </c>
      <c r="FE926" s="68" t="s">
        <v>7434</v>
      </c>
      <c r="FF926" s="68" t="s">
        <v>7435</v>
      </c>
    </row>
    <row r="927" spans="151:162" x14ac:dyDescent="0.2">
      <c r="EU927" s="67">
        <v>565.79</v>
      </c>
      <c r="EV927" s="67" t="s">
        <v>7436</v>
      </c>
      <c r="EW927" s="67">
        <v>487.97</v>
      </c>
      <c r="EX927" s="67" t="s">
        <v>7437</v>
      </c>
      <c r="EY927" s="67">
        <v>5673</v>
      </c>
      <c r="EZ927" s="67" t="s">
        <v>7438</v>
      </c>
      <c r="FA927" s="67">
        <v>20047</v>
      </c>
      <c r="FB927" s="67" t="s">
        <v>7439</v>
      </c>
      <c r="FC927" s="67" t="s">
        <v>7440</v>
      </c>
      <c r="FD927" s="67" t="s">
        <v>7441</v>
      </c>
      <c r="FE927" s="68" t="s">
        <v>7442</v>
      </c>
      <c r="FF927" s="68" t="s">
        <v>7443</v>
      </c>
    </row>
    <row r="928" spans="151:162" x14ac:dyDescent="0.2">
      <c r="EU928" s="67">
        <v>565.70000000000005</v>
      </c>
      <c r="EV928" s="67" t="s">
        <v>7444</v>
      </c>
      <c r="EW928" s="67">
        <v>487.89499999999998</v>
      </c>
      <c r="EX928" s="67" t="s">
        <v>7445</v>
      </c>
      <c r="EY928" s="67">
        <v>5672</v>
      </c>
      <c r="EZ928" s="67" t="s">
        <v>7446</v>
      </c>
      <c r="FA928" s="67">
        <v>20044.25</v>
      </c>
      <c r="FB928" s="67" t="s">
        <v>7447</v>
      </c>
      <c r="FC928" s="67" t="s">
        <v>7448</v>
      </c>
      <c r="FD928" s="67" t="s">
        <v>7449</v>
      </c>
      <c r="FE928" s="68" t="s">
        <v>7450</v>
      </c>
      <c r="FF928" s="68" t="s">
        <v>7451</v>
      </c>
    </row>
    <row r="929" spans="151:162" x14ac:dyDescent="0.2">
      <c r="EU929" s="67">
        <v>565.72</v>
      </c>
      <c r="EV929" s="67" t="s">
        <v>7452</v>
      </c>
      <c r="EW929" s="67">
        <v>487.92</v>
      </c>
      <c r="EX929" s="67" t="s">
        <v>7453</v>
      </c>
      <c r="EY929" s="67">
        <v>5672.25</v>
      </c>
      <c r="EZ929" s="67" t="s">
        <v>7454</v>
      </c>
      <c r="FA929" s="67">
        <v>20045</v>
      </c>
      <c r="FB929" s="67" t="s">
        <v>7455</v>
      </c>
      <c r="FC929" s="67" t="s">
        <v>7456</v>
      </c>
      <c r="FD929" s="67" t="s">
        <v>7457</v>
      </c>
      <c r="FE929" s="68" t="s">
        <v>7458</v>
      </c>
      <c r="FF929" s="68" t="s">
        <v>7459</v>
      </c>
    </row>
    <row r="930" spans="151:162" x14ac:dyDescent="0.2">
      <c r="EU930" s="67">
        <v>565.82000000000005</v>
      </c>
      <c r="EV930" s="67" t="s">
        <v>7460</v>
      </c>
      <c r="EW930" s="67">
        <v>488.06</v>
      </c>
      <c r="EX930" s="67" t="s">
        <v>7461</v>
      </c>
      <c r="EY930" s="67">
        <v>5673.5</v>
      </c>
      <c r="EZ930" s="67" t="s">
        <v>7462</v>
      </c>
      <c r="FA930" s="67">
        <v>20051.25</v>
      </c>
      <c r="FB930" s="67" t="s">
        <v>7463</v>
      </c>
      <c r="FC930" s="67" t="s">
        <v>7464</v>
      </c>
      <c r="FD930" s="67" t="s">
        <v>7465</v>
      </c>
      <c r="FE930" s="68" t="s">
        <v>7466</v>
      </c>
      <c r="FF930" s="68" t="s">
        <v>7467</v>
      </c>
    </row>
    <row r="931" spans="151:162" x14ac:dyDescent="0.2">
      <c r="EU931" s="67">
        <v>565.83199999999999</v>
      </c>
      <c r="EV931" s="67" t="s">
        <v>7468</v>
      </c>
      <c r="EW931" s="67">
        <v>488.1</v>
      </c>
      <c r="EX931" s="67" t="s">
        <v>7469</v>
      </c>
      <c r="EY931" s="67">
        <v>5673.5</v>
      </c>
      <c r="EZ931" s="67" t="s">
        <v>7470</v>
      </c>
      <c r="FA931" s="67">
        <v>20053.25</v>
      </c>
      <c r="FB931" s="67" t="s">
        <v>7471</v>
      </c>
      <c r="FC931" s="67" t="s">
        <v>7472</v>
      </c>
      <c r="FD931" s="67" t="s">
        <v>7473</v>
      </c>
      <c r="FE931" s="68" t="s">
        <v>7474</v>
      </c>
      <c r="FF931" s="68" t="s">
        <v>7475</v>
      </c>
    </row>
    <row r="932" spans="151:162" x14ac:dyDescent="0.2">
      <c r="EU932" s="67">
        <v>565.91999999999996</v>
      </c>
      <c r="EV932" s="67" t="s">
        <v>7476</v>
      </c>
      <c r="EW932" s="67">
        <v>488.17099999999999</v>
      </c>
      <c r="EX932" s="67" t="s">
        <v>7477</v>
      </c>
      <c r="EY932" s="67">
        <v>5674.5</v>
      </c>
      <c r="EZ932" s="67" t="s">
        <v>7478</v>
      </c>
      <c r="FA932" s="67">
        <v>20055.75</v>
      </c>
      <c r="FB932" s="67" t="s">
        <v>7479</v>
      </c>
      <c r="FC932" s="67" t="s">
        <v>7480</v>
      </c>
      <c r="FD932" s="67" t="s">
        <v>7481</v>
      </c>
      <c r="FE932" s="68" t="s">
        <v>7482</v>
      </c>
      <c r="FF932" s="68" t="s">
        <v>7483</v>
      </c>
    </row>
    <row r="933" spans="151:162" x14ac:dyDescent="0.2">
      <c r="EU933" s="67">
        <v>565.95000000000005</v>
      </c>
      <c r="EV933" s="67" t="s">
        <v>7484</v>
      </c>
      <c r="EW933" s="67">
        <v>488.22</v>
      </c>
      <c r="EX933" s="67" t="s">
        <v>7485</v>
      </c>
      <c r="EY933" s="67">
        <v>5674.75</v>
      </c>
      <c r="EZ933" s="67" t="s">
        <v>7486</v>
      </c>
      <c r="FA933" s="67">
        <v>20056.75</v>
      </c>
      <c r="FB933" s="67" t="s">
        <v>7487</v>
      </c>
      <c r="FC933" s="67" t="s">
        <v>7488</v>
      </c>
      <c r="FD933" s="67" t="s">
        <v>7489</v>
      </c>
      <c r="FE933" s="68" t="s">
        <v>7490</v>
      </c>
      <c r="FF933" s="68" t="s">
        <v>7491</v>
      </c>
    </row>
    <row r="934" spans="151:162" x14ac:dyDescent="0.2">
      <c r="EU934" s="67">
        <v>565.92999999999995</v>
      </c>
      <c r="EV934" s="67" t="s">
        <v>7492</v>
      </c>
      <c r="EW934" s="67">
        <v>488.23</v>
      </c>
      <c r="EX934" s="67" t="s">
        <v>7493</v>
      </c>
      <c r="EY934" s="67">
        <v>5674.25</v>
      </c>
      <c r="EZ934" s="67" t="s">
        <v>7494</v>
      </c>
      <c r="FA934" s="67">
        <v>20057.5</v>
      </c>
      <c r="FB934" s="67" t="s">
        <v>7495</v>
      </c>
      <c r="FC934" s="67" t="s">
        <v>7496</v>
      </c>
      <c r="FD934" s="67" t="s">
        <v>7497</v>
      </c>
      <c r="FE934" s="68" t="s">
        <v>7498</v>
      </c>
      <c r="FF934" s="68" t="s">
        <v>7499</v>
      </c>
    </row>
    <row r="935" spans="151:162" x14ac:dyDescent="0.2">
      <c r="EU935" s="67">
        <v>566.17999999999995</v>
      </c>
      <c r="EV935" s="67" t="s">
        <v>7500</v>
      </c>
      <c r="EW935" s="67">
        <v>488.46</v>
      </c>
      <c r="EX935" s="67" t="s">
        <v>7501</v>
      </c>
      <c r="EY935" s="67">
        <v>5677</v>
      </c>
      <c r="EZ935" s="67" t="s">
        <v>7502</v>
      </c>
      <c r="FA935" s="67">
        <v>20067.25</v>
      </c>
      <c r="FB935" s="67" t="s">
        <v>7503</v>
      </c>
      <c r="FC935" s="67" t="s">
        <v>7504</v>
      </c>
      <c r="FD935" s="67" t="s">
        <v>7505</v>
      </c>
      <c r="FE935" s="68" t="s">
        <v>7506</v>
      </c>
      <c r="FF935" s="68" t="s">
        <v>7507</v>
      </c>
    </row>
    <row r="936" spans="151:162" x14ac:dyDescent="0.2">
      <c r="EU936" s="67">
        <v>566.09</v>
      </c>
      <c r="EV936" s="67" t="s">
        <v>7508</v>
      </c>
      <c r="EW936" s="67">
        <v>488.4</v>
      </c>
      <c r="EX936" s="67" t="s">
        <v>7509</v>
      </c>
      <c r="EY936" s="67">
        <v>5676</v>
      </c>
      <c r="EZ936" s="67" t="s">
        <v>7510</v>
      </c>
      <c r="FA936" s="67">
        <v>20063</v>
      </c>
      <c r="FB936" s="67" t="s">
        <v>7511</v>
      </c>
      <c r="FC936" s="67" t="s">
        <v>7512</v>
      </c>
      <c r="FD936" s="67" t="s">
        <v>7513</v>
      </c>
      <c r="FE936" s="68" t="s">
        <v>7514</v>
      </c>
      <c r="FF936" s="68" t="s">
        <v>7515</v>
      </c>
    </row>
    <row r="937" spans="151:162" x14ac:dyDescent="0.2">
      <c r="EU937" s="67">
        <v>566.09</v>
      </c>
      <c r="EV937" s="67" t="s">
        <v>7516</v>
      </c>
      <c r="EW937" s="67">
        <v>488.3</v>
      </c>
      <c r="EX937" s="67" t="s">
        <v>7517</v>
      </c>
      <c r="EY937" s="67">
        <v>5676</v>
      </c>
      <c r="EZ937" s="67" t="s">
        <v>7518</v>
      </c>
      <c r="FA937" s="67">
        <v>20060.25</v>
      </c>
      <c r="FB937" s="67" t="s">
        <v>7519</v>
      </c>
      <c r="FC937" s="67" t="s">
        <v>7520</v>
      </c>
      <c r="FD937" s="67" t="s">
        <v>7521</v>
      </c>
      <c r="FE937" s="68" t="s">
        <v>7522</v>
      </c>
      <c r="FF937" s="68" t="s">
        <v>7523</v>
      </c>
    </row>
    <row r="938" spans="151:162" x14ac:dyDescent="0.2">
      <c r="EU938" s="67">
        <v>566.1</v>
      </c>
      <c r="EV938" s="67" t="s">
        <v>7524</v>
      </c>
      <c r="EW938" s="67">
        <v>488.31</v>
      </c>
      <c r="EX938" s="67" t="s">
        <v>7525</v>
      </c>
      <c r="EY938" s="67">
        <v>5676.25</v>
      </c>
      <c r="EZ938" s="67" t="s">
        <v>7526</v>
      </c>
      <c r="FA938" s="67">
        <v>20060.75</v>
      </c>
      <c r="FB938" s="67" t="s">
        <v>7527</v>
      </c>
      <c r="FC938" s="67" t="s">
        <v>7528</v>
      </c>
      <c r="FD938" s="67" t="s">
        <v>7529</v>
      </c>
      <c r="FE938" s="68" t="s">
        <v>7530</v>
      </c>
      <c r="FF938" s="68" t="s">
        <v>7531</v>
      </c>
    </row>
    <row r="939" spans="151:162" x14ac:dyDescent="0.2">
      <c r="EU939" s="67">
        <v>566.15499999999997</v>
      </c>
      <c r="EV939" s="67" t="s">
        <v>7532</v>
      </c>
      <c r="EW939" s="67">
        <v>488.32</v>
      </c>
      <c r="EX939" s="67" t="s">
        <v>7533</v>
      </c>
      <c r="EY939" s="67">
        <v>5676.75</v>
      </c>
      <c r="EZ939" s="67" t="s">
        <v>7534</v>
      </c>
      <c r="FA939" s="67">
        <v>20060.75</v>
      </c>
      <c r="FB939" s="67" t="s">
        <v>7535</v>
      </c>
      <c r="FC939" s="67" t="s">
        <v>7536</v>
      </c>
      <c r="FD939" s="67" t="s">
        <v>7537</v>
      </c>
      <c r="FE939" s="68" t="s">
        <v>7538</v>
      </c>
      <c r="FF939" s="68" t="s">
        <v>7539</v>
      </c>
    </row>
    <row r="940" spans="151:162" x14ac:dyDescent="0.2">
      <c r="EU940" s="67">
        <v>566.12</v>
      </c>
      <c r="EV940" s="67" t="s">
        <v>7540</v>
      </c>
      <c r="EW940" s="67">
        <v>488.34</v>
      </c>
      <c r="EX940" s="67" t="s">
        <v>7541</v>
      </c>
      <c r="EY940" s="67">
        <v>5676.25</v>
      </c>
      <c r="EZ940" s="67" t="s">
        <v>7542</v>
      </c>
      <c r="FA940" s="67">
        <v>20061.5</v>
      </c>
      <c r="FB940" s="67" t="s">
        <v>7543</v>
      </c>
      <c r="FC940" s="67" t="s">
        <v>7544</v>
      </c>
      <c r="FD940" s="67" t="s">
        <v>7545</v>
      </c>
      <c r="FE940" s="68" t="s">
        <v>7546</v>
      </c>
      <c r="FF940" s="68" t="s">
        <v>7547</v>
      </c>
    </row>
    <row r="941" spans="151:162" x14ac:dyDescent="0.2">
      <c r="EU941" s="67">
        <v>566.14</v>
      </c>
      <c r="EV941" s="67" t="s">
        <v>7548</v>
      </c>
      <c r="EW941" s="67">
        <v>488.35</v>
      </c>
      <c r="EX941" s="67" t="s">
        <v>7549</v>
      </c>
      <c r="EY941" s="67">
        <v>5676.25</v>
      </c>
      <c r="EZ941" s="67" t="s">
        <v>7550</v>
      </c>
      <c r="FA941" s="67">
        <v>20063.25</v>
      </c>
      <c r="FB941" s="67" t="s">
        <v>7551</v>
      </c>
      <c r="FC941" s="67" t="s">
        <v>7552</v>
      </c>
      <c r="FD941" s="67" t="s">
        <v>7553</v>
      </c>
      <c r="FE941" s="68" t="s">
        <v>7554</v>
      </c>
      <c r="FF941" s="68" t="s">
        <v>7555</v>
      </c>
    </row>
    <row r="942" spans="151:162" x14ac:dyDescent="0.2">
      <c r="EU942" s="67">
        <v>566.28399999999999</v>
      </c>
      <c r="EV942" s="67" t="s">
        <v>7556</v>
      </c>
      <c r="EW942" s="67">
        <v>488.495</v>
      </c>
      <c r="EX942" s="67" t="s">
        <v>7557</v>
      </c>
      <c r="EY942" s="67">
        <v>5678</v>
      </c>
      <c r="EZ942" s="67" t="s">
        <v>7558</v>
      </c>
      <c r="FA942" s="67">
        <v>20068.75</v>
      </c>
      <c r="FB942" s="67" t="s">
        <v>7559</v>
      </c>
      <c r="FC942" s="67" t="s">
        <v>7560</v>
      </c>
      <c r="FD942" s="67" t="s">
        <v>7561</v>
      </c>
      <c r="FE942" s="68" t="s">
        <v>7562</v>
      </c>
      <c r="FF942" s="68" t="s">
        <v>7563</v>
      </c>
    </row>
    <row r="943" spans="151:162" x14ac:dyDescent="0.2">
      <c r="EU943" s="67">
        <v>566.26</v>
      </c>
      <c r="EV943" s="67" t="s">
        <v>7564</v>
      </c>
      <c r="EW943" s="67">
        <v>488.44</v>
      </c>
      <c r="EX943" s="67" t="s">
        <v>7565</v>
      </c>
      <c r="EY943" s="67">
        <v>5677.75</v>
      </c>
      <c r="EZ943" s="67" t="s">
        <v>7566</v>
      </c>
      <c r="FA943" s="67">
        <v>20066.25</v>
      </c>
      <c r="FB943" s="67" t="s">
        <v>7567</v>
      </c>
      <c r="FC943" s="67" t="s">
        <v>7568</v>
      </c>
      <c r="FD943" s="67" t="s">
        <v>7569</v>
      </c>
      <c r="FE943" s="68" t="s">
        <v>7570</v>
      </c>
      <c r="FF943" s="68" t="s">
        <v>7571</v>
      </c>
    </row>
    <row r="944" spans="151:162" x14ac:dyDescent="0.2">
      <c r="EU944" s="67">
        <v>566.24</v>
      </c>
      <c r="EV944" s="67" t="s">
        <v>7572</v>
      </c>
      <c r="EW944" s="67">
        <v>488.38</v>
      </c>
      <c r="EX944" s="67" t="s">
        <v>7573</v>
      </c>
      <c r="EY944" s="67">
        <v>5677.5</v>
      </c>
      <c r="EZ944" s="67" t="s">
        <v>7574</v>
      </c>
      <c r="FA944" s="67">
        <v>20064.5</v>
      </c>
      <c r="FB944" s="67" t="s">
        <v>7575</v>
      </c>
      <c r="FC944" s="67" t="s">
        <v>7576</v>
      </c>
      <c r="FD944" s="67" t="s">
        <v>7577</v>
      </c>
      <c r="FE944" s="68" t="s">
        <v>7578</v>
      </c>
      <c r="FF944" s="68" t="s">
        <v>7579</v>
      </c>
    </row>
    <row r="945" spans="151:162" x14ac:dyDescent="0.2">
      <c r="EU945" s="67">
        <v>566.17999999999995</v>
      </c>
      <c r="EV945" s="67" t="s">
        <v>7580</v>
      </c>
      <c r="EW945" s="67">
        <v>488.38099999999997</v>
      </c>
      <c r="EX945" s="67" t="s">
        <v>7581</v>
      </c>
      <c r="EY945" s="67">
        <v>5677</v>
      </c>
      <c r="EZ945" s="67" t="s">
        <v>7582</v>
      </c>
      <c r="FA945" s="67">
        <v>20064</v>
      </c>
      <c r="FB945" s="67" t="s">
        <v>7583</v>
      </c>
      <c r="FC945" s="67" t="s">
        <v>7584</v>
      </c>
      <c r="FD945" s="67" t="s">
        <v>7585</v>
      </c>
      <c r="FE945" s="68" t="s">
        <v>7586</v>
      </c>
      <c r="FF945" s="68" t="s">
        <v>7587</v>
      </c>
    </row>
    <row r="946" spans="151:162" x14ac:dyDescent="0.2">
      <c r="EU946" s="67">
        <v>566.08000000000004</v>
      </c>
      <c r="EV946" s="67" t="s">
        <v>7588</v>
      </c>
      <c r="EW946" s="67">
        <v>488.28</v>
      </c>
      <c r="EX946" s="67" t="s">
        <v>7589</v>
      </c>
      <c r="EY946" s="67">
        <v>5676</v>
      </c>
      <c r="EZ946" s="67" t="s">
        <v>7590</v>
      </c>
      <c r="FA946" s="67">
        <v>20059.75</v>
      </c>
      <c r="FB946" s="67" t="s">
        <v>7591</v>
      </c>
      <c r="FC946" s="67" t="s">
        <v>7592</v>
      </c>
      <c r="FD946" s="67" t="s">
        <v>7593</v>
      </c>
      <c r="FE946" s="68" t="s">
        <v>7594</v>
      </c>
      <c r="FF946" s="68" t="s">
        <v>7595</v>
      </c>
    </row>
    <row r="947" spans="151:162" x14ac:dyDescent="0.2">
      <c r="EU947" s="67">
        <v>566.08500000000004</v>
      </c>
      <c r="EV947" s="67" t="s">
        <v>7596</v>
      </c>
      <c r="EW947" s="67">
        <v>488.22500000000002</v>
      </c>
      <c r="EX947" s="67" t="s">
        <v>7597</v>
      </c>
      <c r="EY947" s="67">
        <v>5675.75</v>
      </c>
      <c r="EZ947" s="67" t="s">
        <v>7598</v>
      </c>
      <c r="FA947" s="67">
        <v>20057.5</v>
      </c>
      <c r="FB947" s="67" t="s">
        <v>7599</v>
      </c>
      <c r="FC947" s="67" t="s">
        <v>7600</v>
      </c>
      <c r="FD947" s="67" t="s">
        <v>7601</v>
      </c>
      <c r="FE947" s="68" t="s">
        <v>7602</v>
      </c>
      <c r="FF947" s="68" t="s">
        <v>7603</v>
      </c>
    </row>
    <row r="948" spans="151:162" x14ac:dyDescent="0.2">
      <c r="EU948" s="67">
        <v>566.27499999999998</v>
      </c>
      <c r="EV948" s="67" t="s">
        <v>7604</v>
      </c>
      <c r="EW948" s="67">
        <v>488.46</v>
      </c>
      <c r="EX948" s="67" t="s">
        <v>7605</v>
      </c>
      <c r="EY948" s="67">
        <v>5678</v>
      </c>
      <c r="EZ948" s="67" t="s">
        <v>7606</v>
      </c>
      <c r="FA948" s="67">
        <v>20067</v>
      </c>
      <c r="FB948" s="67" t="s">
        <v>7607</v>
      </c>
      <c r="FC948" s="67" t="s">
        <v>7608</v>
      </c>
      <c r="FD948" s="67" t="s">
        <v>7609</v>
      </c>
      <c r="FE948" s="68" t="s">
        <v>7610</v>
      </c>
      <c r="FF948" s="68" t="s">
        <v>7611</v>
      </c>
    </row>
    <row r="949" spans="151:162" x14ac:dyDescent="0.2">
      <c r="EU949" s="67">
        <v>566.23</v>
      </c>
      <c r="EV949" s="67" t="s">
        <v>7612</v>
      </c>
      <c r="EW949" s="67">
        <v>488.44</v>
      </c>
      <c r="EX949" s="67" t="s">
        <v>7613</v>
      </c>
      <c r="EY949" s="67">
        <v>5677.5</v>
      </c>
      <c r="EZ949" s="67" t="s">
        <v>7614</v>
      </c>
      <c r="FA949" s="67">
        <v>20066.5</v>
      </c>
      <c r="FB949" s="67" t="s">
        <v>7615</v>
      </c>
      <c r="FC949" s="67" t="s">
        <v>7616</v>
      </c>
      <c r="FD949" s="67" t="s">
        <v>7617</v>
      </c>
      <c r="FE949" s="68" t="s">
        <v>7618</v>
      </c>
      <c r="FF949" s="68" t="s">
        <v>7619</v>
      </c>
    </row>
    <row r="950" spans="151:162" x14ac:dyDescent="0.2">
      <c r="EU950" s="67">
        <v>566.19000000000005</v>
      </c>
      <c r="EV950" s="67" t="s">
        <v>7620</v>
      </c>
      <c r="EW950" s="67">
        <v>488.43</v>
      </c>
      <c r="EX950" s="67" t="s">
        <v>7621</v>
      </c>
      <c r="EY950" s="67">
        <v>5677</v>
      </c>
      <c r="EZ950" s="67" t="s">
        <v>7622</v>
      </c>
      <c r="FA950" s="67">
        <v>20065.5</v>
      </c>
      <c r="FB950" s="67" t="s">
        <v>7623</v>
      </c>
      <c r="FC950" s="67" t="s">
        <v>7624</v>
      </c>
      <c r="FD950" s="67" t="s">
        <v>7625</v>
      </c>
      <c r="FE950" s="68" t="s">
        <v>7626</v>
      </c>
      <c r="FF950" s="68" t="s">
        <v>7627</v>
      </c>
    </row>
    <row r="951" spans="151:162" x14ac:dyDescent="0.2">
      <c r="EU951" s="67">
        <v>566.15</v>
      </c>
      <c r="EV951" s="67" t="s">
        <v>7628</v>
      </c>
      <c r="EW951" s="67">
        <v>488.33</v>
      </c>
      <c r="EX951" s="67" t="s">
        <v>7629</v>
      </c>
      <c r="EY951" s="67">
        <v>5676.5</v>
      </c>
      <c r="EZ951" s="67" t="s">
        <v>7630</v>
      </c>
      <c r="FA951" s="67">
        <v>20060.75</v>
      </c>
      <c r="FB951" s="67" t="s">
        <v>7631</v>
      </c>
      <c r="FC951" s="67" t="s">
        <v>7632</v>
      </c>
      <c r="FD951" s="67" t="s">
        <v>7633</v>
      </c>
      <c r="FE951" s="68" t="s">
        <v>7634</v>
      </c>
      <c r="FF951" s="68" t="s">
        <v>7635</v>
      </c>
    </row>
    <row r="952" spans="151:162" x14ac:dyDescent="0.2">
      <c r="EU952" s="67">
        <v>566.20000000000005</v>
      </c>
      <c r="EV952" s="67" t="s">
        <v>7636</v>
      </c>
      <c r="EW952" s="67">
        <v>488.375</v>
      </c>
      <c r="EX952" s="67" t="s">
        <v>7637</v>
      </c>
      <c r="EY952" s="67">
        <v>5677.25</v>
      </c>
      <c r="EZ952" s="67" t="s">
        <v>7638</v>
      </c>
      <c r="FA952" s="67">
        <v>20063.25</v>
      </c>
      <c r="FB952" s="67" t="s">
        <v>7639</v>
      </c>
      <c r="FC952" s="67" t="s">
        <v>7640</v>
      </c>
      <c r="FD952" s="67" t="s">
        <v>7641</v>
      </c>
      <c r="FE952" s="68" t="s">
        <v>7642</v>
      </c>
      <c r="FF952" s="68" t="s">
        <v>7643</v>
      </c>
    </row>
    <row r="953" spans="151:162" x14ac:dyDescent="0.2">
      <c r="EU953" s="67">
        <v>566.34</v>
      </c>
      <c r="EV953" s="67" t="s">
        <v>7644</v>
      </c>
      <c r="EW953" s="67">
        <v>488.53500000000003</v>
      </c>
      <c r="EX953" s="67" t="s">
        <v>7645</v>
      </c>
      <c r="EY953" s="67">
        <v>5678.75</v>
      </c>
      <c r="EZ953" s="67" t="s">
        <v>7646</v>
      </c>
      <c r="FA953" s="67">
        <v>20069.75</v>
      </c>
      <c r="FB953" s="67" t="s">
        <v>7647</v>
      </c>
      <c r="FC953" s="67" t="s">
        <v>7648</v>
      </c>
      <c r="FD953" s="67" t="s">
        <v>7649</v>
      </c>
      <c r="FE953" s="68" t="s">
        <v>7650</v>
      </c>
      <c r="FF953" s="68" t="s">
        <v>7651</v>
      </c>
    </row>
    <row r="954" spans="151:162" x14ac:dyDescent="0.2">
      <c r="EU954" s="67">
        <v>566.33000000000004</v>
      </c>
      <c r="EV954" s="67" t="s">
        <v>7652</v>
      </c>
      <c r="EW954" s="67">
        <v>488.5</v>
      </c>
      <c r="EX954" s="67" t="s">
        <v>7653</v>
      </c>
      <c r="EY954" s="67">
        <v>5678.25</v>
      </c>
      <c r="EZ954" s="67" t="s">
        <v>7654</v>
      </c>
      <c r="FA954" s="67">
        <v>20068.25</v>
      </c>
      <c r="FB954" s="67" t="s">
        <v>7655</v>
      </c>
      <c r="FC954" s="67" t="s">
        <v>7656</v>
      </c>
      <c r="FD954" s="67" t="s">
        <v>7657</v>
      </c>
      <c r="FE954" s="68" t="s">
        <v>7658</v>
      </c>
      <c r="FF954" s="68" t="s">
        <v>7659</v>
      </c>
    </row>
    <row r="955" spans="151:162" x14ac:dyDescent="0.2">
      <c r="EU955" s="67">
        <v>566.16</v>
      </c>
      <c r="EV955" s="67" t="s">
        <v>7660</v>
      </c>
      <c r="EW955" s="67">
        <v>488.34</v>
      </c>
      <c r="EX955" s="67" t="s">
        <v>7661</v>
      </c>
      <c r="EY955" s="67">
        <v>5676.75</v>
      </c>
      <c r="EZ955" s="67" t="s">
        <v>7662</v>
      </c>
      <c r="FA955" s="67">
        <v>20062</v>
      </c>
      <c r="FB955" s="67" t="s">
        <v>7663</v>
      </c>
      <c r="FC955" s="67" t="s">
        <v>7664</v>
      </c>
      <c r="FD955" s="67" t="s">
        <v>7665</v>
      </c>
      <c r="FE955" s="68" t="s">
        <v>7666</v>
      </c>
      <c r="FF955" s="68" t="s">
        <v>7667</v>
      </c>
    </row>
    <row r="956" spans="151:162" x14ac:dyDescent="0.2">
      <c r="EU956" s="67">
        <v>566.17999999999995</v>
      </c>
      <c r="EV956" s="67" t="s">
        <v>7668</v>
      </c>
      <c r="EW956" s="67">
        <v>488.37</v>
      </c>
      <c r="EX956" s="67" t="s">
        <v>7669</v>
      </c>
      <c r="EY956" s="67">
        <v>5677</v>
      </c>
      <c r="EZ956" s="67" t="s">
        <v>7670</v>
      </c>
      <c r="FA956" s="67">
        <v>20063.25</v>
      </c>
      <c r="FB956" s="67" t="s">
        <v>7671</v>
      </c>
      <c r="FC956" s="67" t="s">
        <v>7672</v>
      </c>
      <c r="FD956" s="67" t="s">
        <v>7673</v>
      </c>
      <c r="FE956" s="68" t="s">
        <v>7674</v>
      </c>
      <c r="FF956" s="68" t="s">
        <v>7675</v>
      </c>
    </row>
    <row r="957" spans="151:162" x14ac:dyDescent="0.2">
      <c r="EU957" s="67">
        <v>566.12900000000002</v>
      </c>
      <c r="EV957" s="67" t="s">
        <v>7676</v>
      </c>
      <c r="EW957" s="67">
        <v>488.3</v>
      </c>
      <c r="EX957" s="67" t="s">
        <v>7677</v>
      </c>
      <c r="EY957" s="67">
        <v>5676.25</v>
      </c>
      <c r="EZ957" s="67" t="s">
        <v>7678</v>
      </c>
      <c r="FA957" s="67">
        <v>20060</v>
      </c>
      <c r="FB957" s="67" t="s">
        <v>7679</v>
      </c>
      <c r="FC957" s="67" t="s">
        <v>7680</v>
      </c>
      <c r="FD957" s="67" t="s">
        <v>7681</v>
      </c>
      <c r="FE957" s="68" t="s">
        <v>7682</v>
      </c>
      <c r="FF957" s="68" t="s">
        <v>7683</v>
      </c>
    </row>
    <row r="958" spans="151:162" x14ac:dyDescent="0.2">
      <c r="EU958" s="67">
        <v>566.29899999999998</v>
      </c>
      <c r="EV958" s="67" t="s">
        <v>7684</v>
      </c>
      <c r="EW958" s="67">
        <v>488.51</v>
      </c>
      <c r="EX958" s="67" t="s">
        <v>7685</v>
      </c>
      <c r="EY958" s="67">
        <v>5678.25</v>
      </c>
      <c r="EZ958" s="67" t="s">
        <v>7686</v>
      </c>
      <c r="FA958" s="67">
        <v>20069</v>
      </c>
      <c r="FB958" s="67" t="s">
        <v>7687</v>
      </c>
      <c r="FC958" s="67" t="s">
        <v>7688</v>
      </c>
      <c r="FD958" s="67" t="s">
        <v>7689</v>
      </c>
      <c r="FE958" s="68" t="s">
        <v>7690</v>
      </c>
      <c r="FF958" s="68" t="s">
        <v>7691</v>
      </c>
    </row>
    <row r="959" spans="151:162" x14ac:dyDescent="0.2">
      <c r="EU959" s="67">
        <v>566.33000000000004</v>
      </c>
      <c r="EV959" s="67" t="s">
        <v>7692</v>
      </c>
      <c r="EW959" s="67">
        <v>488.58</v>
      </c>
      <c r="EX959" s="67" t="s">
        <v>7693</v>
      </c>
      <c r="EY959" s="67">
        <v>5678.5</v>
      </c>
      <c r="EZ959" s="67" t="s">
        <v>7694</v>
      </c>
      <c r="FA959" s="67">
        <v>20070.75</v>
      </c>
      <c r="FB959" s="67" t="s">
        <v>7695</v>
      </c>
      <c r="FC959" s="67" t="s">
        <v>7696</v>
      </c>
      <c r="FD959" s="67" t="s">
        <v>7697</v>
      </c>
      <c r="FE959" s="68" t="s">
        <v>7698</v>
      </c>
      <c r="FF959" s="68" t="s">
        <v>7699</v>
      </c>
    </row>
    <row r="960" spans="151:162" x14ac:dyDescent="0.2">
      <c r="EU960" s="67">
        <v>566.428</v>
      </c>
      <c r="EV960" s="67" t="s">
        <v>7700</v>
      </c>
      <c r="EW960" s="67">
        <v>488.709</v>
      </c>
      <c r="EX960" s="67" t="s">
        <v>7701</v>
      </c>
      <c r="EY960" s="67">
        <v>5679.5</v>
      </c>
      <c r="EZ960" s="67" t="s">
        <v>7702</v>
      </c>
      <c r="FA960" s="67">
        <v>20077</v>
      </c>
      <c r="FB960" s="67" t="s">
        <v>7703</v>
      </c>
      <c r="FC960" s="67" t="s">
        <v>7704</v>
      </c>
      <c r="FD960" s="67" t="s">
        <v>7705</v>
      </c>
      <c r="FE960" s="68" t="s">
        <v>7706</v>
      </c>
      <c r="FF960" s="68" t="s">
        <v>7707</v>
      </c>
    </row>
    <row r="961" spans="151:162" x14ac:dyDescent="0.2">
      <c r="EU961" s="67">
        <v>566.43899999999996</v>
      </c>
      <c r="EV961" s="67" t="s">
        <v>7708</v>
      </c>
      <c r="EW961" s="67">
        <v>488.76</v>
      </c>
      <c r="EX961" s="67" t="s">
        <v>7709</v>
      </c>
      <c r="EY961" s="67">
        <v>5679.5</v>
      </c>
      <c r="EZ961" s="67" t="s">
        <v>7710</v>
      </c>
      <c r="FA961" s="67">
        <v>20080.25</v>
      </c>
      <c r="FB961" s="67" t="s">
        <v>7711</v>
      </c>
      <c r="FC961" s="67" t="s">
        <v>7712</v>
      </c>
      <c r="FD961" s="67" t="s">
        <v>7713</v>
      </c>
      <c r="FE961" s="68" t="s">
        <v>7714</v>
      </c>
      <c r="FF961" s="68" t="s">
        <v>7715</v>
      </c>
    </row>
    <row r="962" spans="151:162" x14ac:dyDescent="0.2">
      <c r="EU962" s="67">
        <v>566.34</v>
      </c>
      <c r="EV962" s="67" t="s">
        <v>7716</v>
      </c>
      <c r="EW962" s="67">
        <v>488.65</v>
      </c>
      <c r="EX962" s="67" t="s">
        <v>7717</v>
      </c>
      <c r="EY962" s="67">
        <v>5678.5</v>
      </c>
      <c r="EZ962" s="67" t="s">
        <v>7718</v>
      </c>
      <c r="FA962" s="67">
        <v>20075</v>
      </c>
      <c r="FB962" s="67" t="s">
        <v>7719</v>
      </c>
      <c r="FC962" s="67" t="s">
        <v>7720</v>
      </c>
      <c r="FD962" s="67" t="s">
        <v>7721</v>
      </c>
      <c r="FE962" s="68" t="s">
        <v>7722</v>
      </c>
      <c r="FF962" s="68" t="s">
        <v>7723</v>
      </c>
    </row>
    <row r="963" spans="151:162" x14ac:dyDescent="0.2">
      <c r="EU963" s="67">
        <v>566.39</v>
      </c>
      <c r="EV963" s="67" t="s">
        <v>7724</v>
      </c>
      <c r="EW963" s="67">
        <v>488.7</v>
      </c>
      <c r="EX963" s="67" t="s">
        <v>7725</v>
      </c>
      <c r="EY963" s="67">
        <v>5679</v>
      </c>
      <c r="EZ963" s="67" t="s">
        <v>7726</v>
      </c>
      <c r="FA963" s="67">
        <v>20077.25</v>
      </c>
      <c r="FB963" s="67" t="s">
        <v>7727</v>
      </c>
      <c r="FC963" s="67" t="s">
        <v>7728</v>
      </c>
      <c r="FD963" s="67" t="s">
        <v>7729</v>
      </c>
      <c r="FE963" s="68" t="s">
        <v>7730</v>
      </c>
      <c r="FF963" s="68" t="s">
        <v>7731</v>
      </c>
    </row>
    <row r="964" spans="151:162" x14ac:dyDescent="0.2">
      <c r="EU964" s="67">
        <v>566.4</v>
      </c>
      <c r="EV964" s="67" t="s">
        <v>7732</v>
      </c>
      <c r="EW964" s="67">
        <v>488.75</v>
      </c>
      <c r="EX964" s="67" t="s">
        <v>7733</v>
      </c>
      <c r="EY964" s="67">
        <v>5679</v>
      </c>
      <c r="EZ964" s="67" t="s">
        <v>7734</v>
      </c>
      <c r="FA964" s="67">
        <v>20078.5</v>
      </c>
      <c r="FB964" s="67" t="s">
        <v>7735</v>
      </c>
      <c r="FC964" s="67" t="s">
        <v>7736</v>
      </c>
      <c r="FD964" s="67" t="s">
        <v>7737</v>
      </c>
      <c r="FE964" s="68" t="s">
        <v>7738</v>
      </c>
      <c r="FF964" s="68" t="s">
        <v>7739</v>
      </c>
    </row>
    <row r="965" spans="151:162" x14ac:dyDescent="0.2">
      <c r="EU965" s="67">
        <v>566.4</v>
      </c>
      <c r="EV965" s="67" t="s">
        <v>7740</v>
      </c>
      <c r="EW965" s="67">
        <v>488.75</v>
      </c>
      <c r="EX965" s="67" t="s">
        <v>7741</v>
      </c>
      <c r="EY965" s="67">
        <v>5679.5</v>
      </c>
      <c r="EZ965" s="67" t="s">
        <v>7742</v>
      </c>
      <c r="FA965" s="67">
        <v>20079.5</v>
      </c>
      <c r="FB965" s="67" t="s">
        <v>7743</v>
      </c>
      <c r="FC965" s="67" t="s">
        <v>7744</v>
      </c>
      <c r="FD965" s="67" t="s">
        <v>7745</v>
      </c>
      <c r="FE965" s="68" t="s">
        <v>7746</v>
      </c>
      <c r="FF965" s="68" t="s">
        <v>7747</v>
      </c>
    </row>
    <row r="966" spans="151:162" x14ac:dyDescent="0.2">
      <c r="EU966" s="67">
        <v>566.48500000000001</v>
      </c>
      <c r="EV966" s="67" t="s">
        <v>7748</v>
      </c>
      <c r="EW966" s="67">
        <v>488.8</v>
      </c>
      <c r="EX966" s="67" t="s">
        <v>7749</v>
      </c>
      <c r="EY966" s="67">
        <v>5680</v>
      </c>
      <c r="EZ966" s="67" t="s">
        <v>7750</v>
      </c>
      <c r="FA966" s="67">
        <v>20081</v>
      </c>
      <c r="FB966" s="67" t="s">
        <v>7751</v>
      </c>
      <c r="FC966" s="67" t="s">
        <v>7752</v>
      </c>
      <c r="FD966" s="67" t="s">
        <v>7753</v>
      </c>
      <c r="FE966" s="68" t="s">
        <v>7754</v>
      </c>
      <c r="FF966" s="68" t="s">
        <v>7755</v>
      </c>
    </row>
    <row r="967" spans="151:162" x14ac:dyDescent="0.2">
      <c r="EU967" s="67">
        <v>566.53</v>
      </c>
      <c r="EV967" s="67" t="s">
        <v>7756</v>
      </c>
      <c r="EW967" s="67">
        <v>488.87</v>
      </c>
      <c r="EX967" s="67" t="s">
        <v>7757</v>
      </c>
      <c r="EY967" s="67">
        <v>5680.75</v>
      </c>
      <c r="EZ967" s="67" t="s">
        <v>7758</v>
      </c>
      <c r="FA967" s="67">
        <v>20084.25</v>
      </c>
      <c r="FB967" s="67" t="s">
        <v>7759</v>
      </c>
      <c r="FC967" s="67" t="s">
        <v>7760</v>
      </c>
      <c r="FD967" s="67" t="s">
        <v>7761</v>
      </c>
      <c r="FE967" s="68" t="s">
        <v>7762</v>
      </c>
      <c r="FF967" s="68" t="s">
        <v>7763</v>
      </c>
    </row>
    <row r="968" spans="151:162" x14ac:dyDescent="0.2">
      <c r="EU968" s="67">
        <v>566.59</v>
      </c>
      <c r="EV968" s="67" t="s">
        <v>7764</v>
      </c>
      <c r="EW968" s="67">
        <v>488.97</v>
      </c>
      <c r="EX968" s="67" t="s">
        <v>7765</v>
      </c>
      <c r="EY968" s="67">
        <v>5681.25</v>
      </c>
      <c r="EZ968" s="67" t="s">
        <v>7766</v>
      </c>
      <c r="FA968" s="67">
        <v>20088.75</v>
      </c>
      <c r="FB968" s="67" t="s">
        <v>7767</v>
      </c>
      <c r="FC968" s="67" t="s">
        <v>7768</v>
      </c>
      <c r="FD968" s="67" t="s">
        <v>7769</v>
      </c>
      <c r="FE968" s="68" t="s">
        <v>7770</v>
      </c>
      <c r="FF968" s="68" t="s">
        <v>7771</v>
      </c>
    </row>
    <row r="969" spans="151:162" x14ac:dyDescent="0.2">
      <c r="EU969" s="67">
        <v>566.44000000000005</v>
      </c>
      <c r="EV969" s="67" t="s">
        <v>7772</v>
      </c>
      <c r="EW969" s="67">
        <v>488.85</v>
      </c>
      <c r="EX969" s="67" t="s">
        <v>7773</v>
      </c>
      <c r="EY969" s="67">
        <v>5679.75</v>
      </c>
      <c r="EZ969" s="67" t="s">
        <v>7774</v>
      </c>
      <c r="FA969" s="67">
        <v>20084.25</v>
      </c>
      <c r="FB969" s="67" t="s">
        <v>7775</v>
      </c>
      <c r="FC969" s="67" t="s">
        <v>7776</v>
      </c>
      <c r="FD969" s="67" t="s">
        <v>7777</v>
      </c>
      <c r="FE969" s="68" t="s">
        <v>7778</v>
      </c>
      <c r="FF969" s="68" t="s">
        <v>7779</v>
      </c>
    </row>
    <row r="970" spans="151:162" x14ac:dyDescent="0.2">
      <c r="EU970" s="67">
        <v>566.54</v>
      </c>
      <c r="EV970" s="67" t="s">
        <v>7780</v>
      </c>
      <c r="EW970" s="67">
        <v>488.97800000000001</v>
      </c>
      <c r="EX970" s="67" t="s">
        <v>7781</v>
      </c>
      <c r="EY970" s="67">
        <v>5680.5</v>
      </c>
      <c r="EZ970" s="67" t="s">
        <v>7782</v>
      </c>
      <c r="FA970" s="67">
        <v>20088.75</v>
      </c>
      <c r="FB970" s="67" t="s">
        <v>7783</v>
      </c>
      <c r="FC970" s="67" t="s">
        <v>7784</v>
      </c>
      <c r="FD970" s="67" t="s">
        <v>7785</v>
      </c>
      <c r="FE970" s="68" t="s">
        <v>7786</v>
      </c>
      <c r="FF970" s="68" t="s">
        <v>7787</v>
      </c>
    </row>
    <row r="971" spans="151:162" x14ac:dyDescent="0.2">
      <c r="EU971" s="67">
        <v>566.54</v>
      </c>
      <c r="EV971" s="67" t="s">
        <v>7788</v>
      </c>
      <c r="EW971" s="67">
        <v>488.99</v>
      </c>
      <c r="EX971" s="67" t="s">
        <v>7789</v>
      </c>
      <c r="EY971" s="67">
        <v>5680.75</v>
      </c>
      <c r="EZ971" s="67" t="s">
        <v>7790</v>
      </c>
      <c r="FA971" s="67">
        <v>20089.25</v>
      </c>
      <c r="FB971" s="67" t="s">
        <v>7791</v>
      </c>
      <c r="FC971" s="67" t="s">
        <v>7792</v>
      </c>
      <c r="FD971" s="67" t="s">
        <v>7793</v>
      </c>
      <c r="FE971" s="68" t="s">
        <v>7794</v>
      </c>
      <c r="FF971" s="68" t="s">
        <v>7795</v>
      </c>
    </row>
    <row r="972" spans="151:162" x14ac:dyDescent="0.2">
      <c r="EU972" s="67">
        <v>566.53</v>
      </c>
      <c r="EV972" s="67" t="s">
        <v>7796</v>
      </c>
      <c r="EW972" s="67">
        <v>488.97</v>
      </c>
      <c r="EX972" s="67" t="s">
        <v>7797</v>
      </c>
      <c r="EY972" s="67">
        <v>5680.75</v>
      </c>
      <c r="EZ972" s="67" t="s">
        <v>7798</v>
      </c>
      <c r="FA972" s="67">
        <v>20088.75</v>
      </c>
      <c r="FB972" s="67" t="s">
        <v>7799</v>
      </c>
      <c r="FC972" s="67" t="s">
        <v>7800</v>
      </c>
      <c r="FD972" s="67" t="s">
        <v>7801</v>
      </c>
      <c r="FE972" s="68" t="s">
        <v>7802</v>
      </c>
      <c r="FF972" s="68" t="s">
        <v>7803</v>
      </c>
    </row>
    <row r="973" spans="151:162" x14ac:dyDescent="0.2">
      <c r="EU973" s="67">
        <v>566.51800000000003</v>
      </c>
      <c r="EV973" s="67" t="s">
        <v>7804</v>
      </c>
      <c r="EW973" s="67">
        <v>488.9</v>
      </c>
      <c r="EX973" s="67" t="s">
        <v>7805</v>
      </c>
      <c r="EY973" s="67">
        <v>5680.5</v>
      </c>
      <c r="EZ973" s="67" t="s">
        <v>7806</v>
      </c>
      <c r="FA973" s="67">
        <v>20086.25</v>
      </c>
      <c r="FB973" s="67" t="s">
        <v>7807</v>
      </c>
      <c r="FC973" s="67" t="s">
        <v>7808</v>
      </c>
      <c r="FD973" s="67" t="s">
        <v>7809</v>
      </c>
      <c r="FE973" s="68" t="s">
        <v>7810</v>
      </c>
      <c r="FF973" s="68" t="s">
        <v>7811</v>
      </c>
    </row>
    <row r="974" spans="151:162" x14ac:dyDescent="0.2">
      <c r="EU974" s="67">
        <v>566.47</v>
      </c>
      <c r="EV974" s="67" t="s">
        <v>7812</v>
      </c>
      <c r="EW974" s="67">
        <v>488.84</v>
      </c>
      <c r="EX974" s="67" t="s">
        <v>7813</v>
      </c>
      <c r="EY974" s="67">
        <v>5679.75</v>
      </c>
      <c r="EZ974" s="67" t="s">
        <v>7814</v>
      </c>
      <c r="FA974" s="67">
        <v>20083.5</v>
      </c>
      <c r="FB974" s="67" t="s">
        <v>7815</v>
      </c>
      <c r="FC974" s="67" t="s">
        <v>7816</v>
      </c>
      <c r="FD974" s="67" t="s">
        <v>7817</v>
      </c>
      <c r="FE974" s="68" t="s">
        <v>7818</v>
      </c>
      <c r="FF974" s="68" t="s">
        <v>7819</v>
      </c>
    </row>
    <row r="975" spans="151:162" x14ac:dyDescent="0.2">
      <c r="EU975" s="67">
        <v>566.34</v>
      </c>
      <c r="EV975" s="67" t="s">
        <v>7820</v>
      </c>
      <c r="EW975" s="67">
        <v>488.7</v>
      </c>
      <c r="EX975" s="67" t="s">
        <v>7821</v>
      </c>
      <c r="EY975" s="67">
        <v>5678.5</v>
      </c>
      <c r="EZ975" s="67" t="s">
        <v>7822</v>
      </c>
      <c r="FA975" s="67">
        <v>20077.5</v>
      </c>
      <c r="FB975" s="67" t="s">
        <v>7823</v>
      </c>
      <c r="FC975" s="67" t="s">
        <v>7824</v>
      </c>
      <c r="FD975" s="67" t="s">
        <v>7825</v>
      </c>
      <c r="FE975" s="68" t="s">
        <v>7826</v>
      </c>
      <c r="FF975" s="68" t="s">
        <v>7827</v>
      </c>
    </row>
    <row r="976" spans="151:162" x14ac:dyDescent="0.2">
      <c r="EU976" s="67">
        <v>566.42999999999995</v>
      </c>
      <c r="EV976" s="67" t="s">
        <v>7828</v>
      </c>
      <c r="EW976" s="67">
        <v>488.84</v>
      </c>
      <c r="EX976" s="67" t="s">
        <v>7829</v>
      </c>
      <c r="EY976" s="67">
        <v>5679.5</v>
      </c>
      <c r="EZ976" s="67" t="s">
        <v>7830</v>
      </c>
      <c r="FA976" s="67">
        <v>20083.25</v>
      </c>
      <c r="FB976" s="67" t="s">
        <v>7831</v>
      </c>
      <c r="FC976" s="67" t="s">
        <v>7832</v>
      </c>
      <c r="FD976" s="67" t="s">
        <v>7833</v>
      </c>
      <c r="FE976" s="68" t="s">
        <v>7834</v>
      </c>
      <c r="FF976" s="68" t="s">
        <v>7835</v>
      </c>
    </row>
    <row r="977" spans="151:162" x14ac:dyDescent="0.2">
      <c r="EU977" s="67">
        <v>566.38</v>
      </c>
      <c r="EV977" s="67" t="s">
        <v>7836</v>
      </c>
      <c r="EW977" s="67">
        <v>488.77</v>
      </c>
      <c r="EX977" s="67" t="s">
        <v>7837</v>
      </c>
      <c r="EY977" s="67">
        <v>5679.25</v>
      </c>
      <c r="EZ977" s="67" t="s">
        <v>7838</v>
      </c>
      <c r="FA977" s="67">
        <v>20080</v>
      </c>
      <c r="FB977" s="67" t="s">
        <v>7839</v>
      </c>
      <c r="FC977" s="67" t="s">
        <v>7840</v>
      </c>
      <c r="FD977" s="67" t="s">
        <v>7841</v>
      </c>
      <c r="FE977" s="68" t="s">
        <v>7842</v>
      </c>
      <c r="FF977" s="68" t="s">
        <v>7843</v>
      </c>
    </row>
    <row r="978" spans="151:162" x14ac:dyDescent="0.2">
      <c r="EU978" s="67">
        <v>566.46</v>
      </c>
      <c r="EV978" s="67" t="s">
        <v>7844</v>
      </c>
      <c r="EW978" s="67">
        <v>488.83</v>
      </c>
      <c r="EX978" s="67" t="s">
        <v>7845</v>
      </c>
      <c r="EY978" s="67">
        <v>5680</v>
      </c>
      <c r="EZ978" s="67" t="s">
        <v>7846</v>
      </c>
      <c r="FA978" s="67">
        <v>20083.5</v>
      </c>
      <c r="FB978" s="67" t="s">
        <v>7847</v>
      </c>
      <c r="FC978" s="67" t="s">
        <v>7848</v>
      </c>
      <c r="FD978" s="67" t="s">
        <v>7849</v>
      </c>
      <c r="FE978" s="68" t="s">
        <v>7850</v>
      </c>
      <c r="FF978" s="68" t="s">
        <v>7851</v>
      </c>
    </row>
    <row r="979" spans="151:162" x14ac:dyDescent="0.2">
      <c r="EU979" s="67">
        <v>566.35</v>
      </c>
      <c r="EV979" s="67" t="s">
        <v>7852</v>
      </c>
      <c r="EW979" s="67">
        <v>488.78</v>
      </c>
      <c r="EX979" s="67" t="s">
        <v>7853</v>
      </c>
      <c r="EY979" s="67">
        <v>5679</v>
      </c>
      <c r="EZ979" s="67" t="s">
        <v>7854</v>
      </c>
      <c r="FA979" s="67">
        <v>20081</v>
      </c>
      <c r="FB979" s="67" t="s">
        <v>7855</v>
      </c>
      <c r="FC979" s="67" t="s">
        <v>7856</v>
      </c>
      <c r="FD979" s="67" t="s">
        <v>7857</v>
      </c>
      <c r="FE979" s="68" t="s">
        <v>7858</v>
      </c>
      <c r="FF979" s="68" t="s">
        <v>7859</v>
      </c>
    </row>
    <row r="980" spans="151:162" x14ac:dyDescent="0.2">
      <c r="EU980" s="67">
        <v>566.16</v>
      </c>
      <c r="EV980" s="67" t="s">
        <v>7860</v>
      </c>
      <c r="EW980" s="67">
        <v>488.6</v>
      </c>
      <c r="EX980" s="67" t="s">
        <v>7861</v>
      </c>
      <c r="EY980" s="67">
        <v>5677</v>
      </c>
      <c r="EZ980" s="67" t="s">
        <v>7862</v>
      </c>
      <c r="FA980" s="67">
        <v>20073.25</v>
      </c>
      <c r="FB980" s="67" t="s">
        <v>7863</v>
      </c>
      <c r="FC980" s="67" t="s">
        <v>7864</v>
      </c>
      <c r="FD980" s="67" t="s">
        <v>7865</v>
      </c>
      <c r="FE980" s="68" t="s">
        <v>7866</v>
      </c>
      <c r="FF980" s="68" t="s">
        <v>7867</v>
      </c>
    </row>
    <row r="981" spans="151:162" x14ac:dyDescent="0.2">
      <c r="EU981" s="67">
        <v>566.15</v>
      </c>
      <c r="EV981" s="67" t="s">
        <v>7868</v>
      </c>
      <c r="EW981" s="67">
        <v>488.51</v>
      </c>
      <c r="EX981" s="67" t="s">
        <v>7869</v>
      </c>
      <c r="EY981" s="67">
        <v>5676.75</v>
      </c>
      <c r="EZ981" s="67" t="s">
        <v>7870</v>
      </c>
      <c r="FA981" s="67">
        <v>20069.25</v>
      </c>
      <c r="FB981" s="67" t="s">
        <v>7871</v>
      </c>
      <c r="FC981" s="67" t="s">
        <v>7872</v>
      </c>
      <c r="FD981" s="67" t="s">
        <v>7873</v>
      </c>
      <c r="FE981" s="68" t="s">
        <v>7874</v>
      </c>
      <c r="FF981" s="68" t="s">
        <v>7875</v>
      </c>
    </row>
    <row r="982" spans="151:162" x14ac:dyDescent="0.2">
      <c r="EU982" s="67">
        <v>566</v>
      </c>
      <c r="EV982" s="67" t="s">
        <v>7876</v>
      </c>
      <c r="EW982" s="67">
        <v>488.35</v>
      </c>
      <c r="EX982" s="67" t="s">
        <v>7877</v>
      </c>
      <c r="EY982" s="67">
        <v>5675.25</v>
      </c>
      <c r="EZ982" s="67" t="s">
        <v>7878</v>
      </c>
      <c r="FA982" s="67">
        <v>20062.5</v>
      </c>
      <c r="FB982" s="67" t="s">
        <v>7879</v>
      </c>
      <c r="FC982" s="67" t="s">
        <v>7880</v>
      </c>
      <c r="FD982" s="67" t="s">
        <v>7881</v>
      </c>
      <c r="FE982" s="68" t="s">
        <v>7882</v>
      </c>
      <c r="FF982" s="68" t="s">
        <v>7883</v>
      </c>
    </row>
    <row r="983" spans="151:162" x14ac:dyDescent="0.2">
      <c r="EU983" s="67">
        <v>565.98599999999999</v>
      </c>
      <c r="EV983" s="67" t="s">
        <v>7884</v>
      </c>
      <c r="EW983" s="67">
        <v>488.35</v>
      </c>
      <c r="EX983" s="67" t="s">
        <v>7885</v>
      </c>
      <c r="EY983" s="67">
        <v>5675.25</v>
      </c>
      <c r="EZ983" s="67" t="s">
        <v>7886</v>
      </c>
      <c r="FA983" s="67">
        <v>20063.5</v>
      </c>
      <c r="FB983" s="67" t="s">
        <v>7887</v>
      </c>
      <c r="FC983" s="67" t="s">
        <v>7888</v>
      </c>
      <c r="FD983" s="67" t="s">
        <v>7889</v>
      </c>
      <c r="FE983" s="68" t="s">
        <v>7890</v>
      </c>
      <c r="FF983" s="68" t="s">
        <v>7891</v>
      </c>
    </row>
    <row r="984" spans="151:162" x14ac:dyDescent="0.2">
      <c r="EU984" s="67">
        <v>565.95000000000005</v>
      </c>
      <c r="EV984" s="67" t="s">
        <v>7892</v>
      </c>
      <c r="EW984" s="67">
        <v>488.34</v>
      </c>
      <c r="EX984" s="67" t="s">
        <v>7893</v>
      </c>
      <c r="EY984" s="67">
        <v>5674.75</v>
      </c>
      <c r="EZ984" s="67" t="s">
        <v>7894</v>
      </c>
      <c r="FA984" s="67">
        <v>20062.25</v>
      </c>
      <c r="FB984" s="67" t="s">
        <v>7895</v>
      </c>
      <c r="FC984" s="67" t="s">
        <v>7896</v>
      </c>
      <c r="FD984" s="67" t="s">
        <v>7897</v>
      </c>
      <c r="FE984" s="68" t="s">
        <v>7898</v>
      </c>
      <c r="FF984" s="68" t="s">
        <v>7899</v>
      </c>
    </row>
    <row r="985" spans="151:162" x14ac:dyDescent="0.2">
      <c r="EU985" s="67">
        <v>565.78</v>
      </c>
      <c r="EV985" s="67" t="s">
        <v>7900</v>
      </c>
      <c r="EW985" s="67">
        <v>488.13</v>
      </c>
      <c r="EX985" s="67" t="s">
        <v>7901</v>
      </c>
      <c r="EY985" s="67">
        <v>5672.75</v>
      </c>
      <c r="EZ985" s="67" t="s">
        <v>7902</v>
      </c>
      <c r="FA985" s="67">
        <v>20054.5</v>
      </c>
      <c r="FB985" s="67" t="s">
        <v>7903</v>
      </c>
      <c r="FC985" s="67" t="s">
        <v>7904</v>
      </c>
      <c r="FD985" s="67" t="s">
        <v>7905</v>
      </c>
      <c r="FE985" s="68" t="s">
        <v>7906</v>
      </c>
      <c r="FF985" s="68" t="s">
        <v>7907</v>
      </c>
    </row>
    <row r="986" spans="151:162" x14ac:dyDescent="0.2">
      <c r="EU986" s="67">
        <v>565.74</v>
      </c>
      <c r="EV986" s="67" t="s">
        <v>7908</v>
      </c>
      <c r="EW986" s="67">
        <v>488.04</v>
      </c>
      <c r="EX986" s="67" t="s">
        <v>7909</v>
      </c>
      <c r="EY986" s="67">
        <v>5672.5</v>
      </c>
      <c r="EZ986" s="67" t="s">
        <v>7910</v>
      </c>
      <c r="FA986" s="67">
        <v>20050.25</v>
      </c>
      <c r="FB986" s="67" t="s">
        <v>7911</v>
      </c>
      <c r="FC986" s="67" t="s">
        <v>7912</v>
      </c>
      <c r="FD986" s="67" t="s">
        <v>7913</v>
      </c>
      <c r="FE986" s="68" t="s">
        <v>7914</v>
      </c>
      <c r="FF986" s="68" t="s">
        <v>7915</v>
      </c>
    </row>
    <row r="987" spans="151:162" x14ac:dyDescent="0.2">
      <c r="EU987" s="67">
        <v>565.16</v>
      </c>
      <c r="EV987" s="67" t="s">
        <v>7916</v>
      </c>
      <c r="EW987" s="67">
        <v>487.53</v>
      </c>
      <c r="EX987" s="67" t="s">
        <v>7917</v>
      </c>
      <c r="EY987" s="67">
        <v>5666.5</v>
      </c>
      <c r="EZ987" s="67" t="s">
        <v>7918</v>
      </c>
      <c r="FA987" s="67">
        <v>20027.25</v>
      </c>
      <c r="FB987" s="67" t="s">
        <v>7919</v>
      </c>
      <c r="FC987" s="67" t="s">
        <v>7920</v>
      </c>
      <c r="FD987" s="67" t="s">
        <v>7921</v>
      </c>
      <c r="FE987" s="68" t="s">
        <v>7922</v>
      </c>
      <c r="FF987" s="68" t="s">
        <v>7923</v>
      </c>
    </row>
    <row r="988" spans="151:162" x14ac:dyDescent="0.2">
      <c r="EU988" s="67">
        <v>565.39</v>
      </c>
      <c r="EV988" s="67" t="s">
        <v>7924</v>
      </c>
      <c r="EW988" s="67">
        <v>487.67</v>
      </c>
      <c r="EX988" s="67" t="s">
        <v>7925</v>
      </c>
      <c r="EY988" s="67">
        <v>5669</v>
      </c>
      <c r="EZ988" s="67" t="s">
        <v>7926</v>
      </c>
      <c r="FA988" s="67">
        <v>20035.25</v>
      </c>
      <c r="FB988" s="67" t="s">
        <v>7927</v>
      </c>
      <c r="FC988" s="67" t="s">
        <v>7928</v>
      </c>
      <c r="FD988" s="67" t="s">
        <v>7929</v>
      </c>
      <c r="FE988" s="68" t="s">
        <v>7930</v>
      </c>
      <c r="FF988" s="68" t="s">
        <v>7931</v>
      </c>
    </row>
    <row r="989" spans="151:162" x14ac:dyDescent="0.2">
      <c r="EU989" s="67">
        <v>565.45000000000005</v>
      </c>
      <c r="EV989" s="67" t="s">
        <v>7932</v>
      </c>
      <c r="EW989" s="67">
        <v>487.80500000000001</v>
      </c>
      <c r="EX989" s="67" t="s">
        <v>7933</v>
      </c>
      <c r="EY989" s="67">
        <v>5669.25</v>
      </c>
      <c r="EZ989" s="67" t="s">
        <v>7934</v>
      </c>
      <c r="FA989" s="67">
        <v>20040</v>
      </c>
      <c r="FB989" s="67" t="s">
        <v>7935</v>
      </c>
      <c r="FC989" s="67" t="s">
        <v>7936</v>
      </c>
      <c r="FD989" s="67" t="s">
        <v>7937</v>
      </c>
      <c r="FE989" s="68" t="s">
        <v>7938</v>
      </c>
      <c r="FF989" s="68" t="s">
        <v>7939</v>
      </c>
    </row>
    <row r="990" spans="151:162" x14ac:dyDescent="0.2">
      <c r="EU990" s="67">
        <v>565.54</v>
      </c>
      <c r="EV990" s="67" t="s">
        <v>7940</v>
      </c>
      <c r="EW990" s="67">
        <v>487.8</v>
      </c>
      <c r="EX990" s="67" t="s">
        <v>7941</v>
      </c>
      <c r="EY990" s="67">
        <v>5670.5</v>
      </c>
      <c r="EZ990" s="67" t="s">
        <v>7942</v>
      </c>
      <c r="FA990" s="67">
        <v>20042.25</v>
      </c>
      <c r="FB990" s="67" t="s">
        <v>7943</v>
      </c>
      <c r="FC990" s="67" t="s">
        <v>7944</v>
      </c>
      <c r="FD990" s="67" t="s">
        <v>7945</v>
      </c>
      <c r="FE990" s="68" t="s">
        <v>7946</v>
      </c>
      <c r="FF990" s="68" t="s">
        <v>7947</v>
      </c>
    </row>
    <row r="991" spans="151:162" x14ac:dyDescent="0.2">
      <c r="EU991" s="67">
        <v>565.67999999999995</v>
      </c>
      <c r="EV991" s="67" t="s">
        <v>7948</v>
      </c>
      <c r="EW991" s="67">
        <v>487.98</v>
      </c>
      <c r="EX991" s="67" t="s">
        <v>7949</v>
      </c>
      <c r="EY991" s="67">
        <v>5672</v>
      </c>
      <c r="EZ991" s="67" t="s">
        <v>7950</v>
      </c>
      <c r="FA991" s="67">
        <v>20048</v>
      </c>
      <c r="FB991" s="67" t="s">
        <v>7951</v>
      </c>
      <c r="FC991" s="67" t="s">
        <v>7952</v>
      </c>
      <c r="FD991" s="67" t="s">
        <v>7953</v>
      </c>
      <c r="FE991" s="68" t="s">
        <v>7954</v>
      </c>
      <c r="FF991" s="68" t="s">
        <v>7955</v>
      </c>
    </row>
    <row r="992" spans="151:162" x14ac:dyDescent="0.2">
      <c r="EU992" s="67">
        <v>565.79</v>
      </c>
      <c r="EV992" s="67" t="s">
        <v>7956</v>
      </c>
      <c r="EW992" s="67">
        <v>488.04</v>
      </c>
      <c r="EX992" s="67" t="s">
        <v>7957</v>
      </c>
      <c r="EY992" s="67">
        <v>5673</v>
      </c>
      <c r="EZ992" s="67" t="s">
        <v>7958</v>
      </c>
      <c r="FA992" s="67">
        <v>20050</v>
      </c>
      <c r="FB992" s="67" t="s">
        <v>7959</v>
      </c>
      <c r="FC992" s="67" t="s">
        <v>7960</v>
      </c>
      <c r="FD992" s="67" t="s">
        <v>7961</v>
      </c>
      <c r="FE992" s="68" t="s">
        <v>7962</v>
      </c>
      <c r="FF992" s="68" t="s">
        <v>7963</v>
      </c>
    </row>
    <row r="993" spans="151:162" x14ac:dyDescent="0.2">
      <c r="EU993" s="67">
        <v>565.44000000000005</v>
      </c>
      <c r="EV993" s="67" t="s">
        <v>7964</v>
      </c>
      <c r="EW993" s="67">
        <v>487.72</v>
      </c>
      <c r="EX993" s="67" t="s">
        <v>7965</v>
      </c>
      <c r="EY993" s="67">
        <v>5669.5</v>
      </c>
      <c r="EZ993" s="67" t="s">
        <v>7966</v>
      </c>
      <c r="FA993" s="67">
        <v>20036.25</v>
      </c>
      <c r="FB993" s="67" t="s">
        <v>7967</v>
      </c>
      <c r="FC993" s="67" t="s">
        <v>7968</v>
      </c>
      <c r="FD993" s="67" t="s">
        <v>7969</v>
      </c>
      <c r="FE993" s="68" t="s">
        <v>7970</v>
      </c>
      <c r="FF993" s="68" t="s">
        <v>7971</v>
      </c>
    </row>
    <row r="994" spans="151:162" x14ac:dyDescent="0.2">
      <c r="EU994" s="67">
        <v>565.41499999999996</v>
      </c>
      <c r="EV994" s="67" t="s">
        <v>7972</v>
      </c>
      <c r="EW994" s="67">
        <v>487.71</v>
      </c>
      <c r="EX994" s="67" t="s">
        <v>7973</v>
      </c>
      <c r="EY994" s="67">
        <v>5669.25</v>
      </c>
      <c r="EZ994" s="67" t="s">
        <v>7974</v>
      </c>
      <c r="FA994" s="67">
        <v>20037.25</v>
      </c>
      <c r="FB994" s="67" t="s">
        <v>7975</v>
      </c>
      <c r="FC994" s="67" t="s">
        <v>7976</v>
      </c>
      <c r="FD994" s="67" t="s">
        <v>7977</v>
      </c>
      <c r="FE994" s="68" t="s">
        <v>7978</v>
      </c>
      <c r="FF994" s="68" t="s">
        <v>7979</v>
      </c>
    </row>
    <row r="995" spans="151:162" x14ac:dyDescent="0.2">
      <c r="EU995" s="67">
        <v>565.38</v>
      </c>
      <c r="EV995" s="67" t="s">
        <v>7980</v>
      </c>
      <c r="EW995" s="67">
        <v>487.66</v>
      </c>
      <c r="EX995" s="67" t="s">
        <v>7981</v>
      </c>
      <c r="EY995" s="67">
        <v>5669</v>
      </c>
      <c r="EZ995" s="67" t="s">
        <v>7982</v>
      </c>
      <c r="FA995" s="67">
        <v>20034.75</v>
      </c>
      <c r="FB995" s="67" t="s">
        <v>7983</v>
      </c>
      <c r="FC995" s="67" t="s">
        <v>7984</v>
      </c>
      <c r="FD995" s="67" t="s">
        <v>7985</v>
      </c>
      <c r="FE995" s="68" t="s">
        <v>7986</v>
      </c>
      <c r="FF995" s="68" t="s">
        <v>7987</v>
      </c>
    </row>
    <row r="996" spans="151:162" x14ac:dyDescent="0.2">
      <c r="EU996" s="67">
        <v>565.22</v>
      </c>
      <c r="EV996" s="67" t="s">
        <v>7988</v>
      </c>
      <c r="EW996" s="67">
        <v>487.53</v>
      </c>
      <c r="EX996" s="67" t="s">
        <v>7989</v>
      </c>
      <c r="EY996" s="67">
        <v>5667.25</v>
      </c>
      <c r="EZ996" s="67" t="s">
        <v>7990</v>
      </c>
      <c r="FA996" s="67">
        <v>20029.25</v>
      </c>
      <c r="FB996" s="67" t="s">
        <v>7991</v>
      </c>
      <c r="FC996" s="67" t="s">
        <v>7992</v>
      </c>
      <c r="FD996" s="67" t="s">
        <v>7993</v>
      </c>
      <c r="FE996" s="68" t="s">
        <v>7994</v>
      </c>
      <c r="FF996" s="68" t="s">
        <v>7995</v>
      </c>
    </row>
    <row r="997" spans="151:162" x14ac:dyDescent="0.2">
      <c r="EU997" s="67">
        <v>565.30999999999995</v>
      </c>
      <c r="EV997" s="67" t="s">
        <v>7996</v>
      </c>
      <c r="EW997" s="67">
        <v>487.64499999999998</v>
      </c>
      <c r="EX997" s="67" t="s">
        <v>7997</v>
      </c>
      <c r="EY997" s="67">
        <v>5668.75</v>
      </c>
      <c r="EZ997" s="67" t="s">
        <v>7998</v>
      </c>
      <c r="FA997" s="67">
        <v>20033</v>
      </c>
      <c r="FB997" s="67" t="s">
        <v>7999</v>
      </c>
      <c r="FC997" s="67" t="s">
        <v>8000</v>
      </c>
      <c r="FD997" s="67" t="s">
        <v>8001</v>
      </c>
      <c r="FE997" s="68" t="s">
        <v>8002</v>
      </c>
      <c r="FF997" s="68" t="s">
        <v>8003</v>
      </c>
    </row>
    <row r="998" spans="151:162" x14ac:dyDescent="0.2">
      <c r="EU998" s="67">
        <v>565.37599999999998</v>
      </c>
      <c r="EV998" s="67" t="s">
        <v>8004</v>
      </c>
      <c r="EW998" s="67">
        <v>487.67</v>
      </c>
      <c r="EX998" s="67" t="s">
        <v>8005</v>
      </c>
      <c r="EY998" s="67">
        <v>5668.5</v>
      </c>
      <c r="EZ998" s="67" t="s">
        <v>8006</v>
      </c>
      <c r="FA998" s="67">
        <v>20034</v>
      </c>
      <c r="FB998" s="67" t="s">
        <v>8007</v>
      </c>
      <c r="FC998" s="67" t="s">
        <v>8008</v>
      </c>
      <c r="FD998" s="67" t="s">
        <v>8009</v>
      </c>
      <c r="FE998" s="68" t="s">
        <v>8010</v>
      </c>
      <c r="FF998" s="68" t="s">
        <v>8011</v>
      </c>
    </row>
    <row r="999" spans="151:162" x14ac:dyDescent="0.2">
      <c r="EU999" s="67">
        <v>565.25</v>
      </c>
      <c r="EV999" s="67" t="s">
        <v>8012</v>
      </c>
      <c r="EW999" s="67">
        <v>487.57100000000003</v>
      </c>
      <c r="EX999" s="67" t="s">
        <v>8013</v>
      </c>
      <c r="EY999" s="67">
        <v>5667.5</v>
      </c>
      <c r="EZ999" s="67" t="s">
        <v>8014</v>
      </c>
      <c r="FA999" s="67">
        <v>20029.75</v>
      </c>
      <c r="FB999" s="67" t="s">
        <v>8015</v>
      </c>
      <c r="FC999" s="67" t="s">
        <v>8016</v>
      </c>
      <c r="FD999" s="67" t="s">
        <v>8017</v>
      </c>
      <c r="FE999" s="68" t="s">
        <v>8018</v>
      </c>
      <c r="FF999" s="68" t="s">
        <v>8019</v>
      </c>
    </row>
    <row r="1000" spans="151:162" x14ac:dyDescent="0.2">
      <c r="EU1000" s="67">
        <v>565.38</v>
      </c>
      <c r="EV1000" s="67" t="s">
        <v>8020</v>
      </c>
      <c r="EW1000" s="67">
        <v>487.68</v>
      </c>
      <c r="EX1000" s="67" t="s">
        <v>8021</v>
      </c>
      <c r="EY1000" s="67">
        <v>5668.75</v>
      </c>
      <c r="EZ1000" s="67" t="s">
        <v>8022</v>
      </c>
      <c r="FA1000" s="67">
        <v>20035.75</v>
      </c>
      <c r="FB1000" s="67" t="s">
        <v>8023</v>
      </c>
      <c r="FC1000" s="67" t="s">
        <v>8024</v>
      </c>
      <c r="FD1000" s="67" t="s">
        <v>8025</v>
      </c>
      <c r="FE1000" s="68" t="s">
        <v>8026</v>
      </c>
      <c r="FF1000" s="68" t="s">
        <v>8027</v>
      </c>
    </row>
    <row r="1001" spans="151:162" x14ac:dyDescent="0.2">
      <c r="EU1001" s="67">
        <v>565.42499999999995</v>
      </c>
      <c r="EV1001" s="67" t="s">
        <v>8028</v>
      </c>
      <c r="EW1001" s="67">
        <v>487.78</v>
      </c>
      <c r="EX1001" s="67" t="s">
        <v>8029</v>
      </c>
      <c r="EY1001" s="67">
        <v>5669.5</v>
      </c>
      <c r="EZ1001" s="67" t="s">
        <v>8030</v>
      </c>
      <c r="FA1001" s="67">
        <v>20038.25</v>
      </c>
      <c r="FB1001" s="67" t="s">
        <v>8031</v>
      </c>
      <c r="FC1001" s="67" t="s">
        <v>8032</v>
      </c>
      <c r="FD1001" s="67" t="s">
        <v>8033</v>
      </c>
      <c r="FE1001" s="68" t="s">
        <v>8034</v>
      </c>
      <c r="FF1001" s="68" t="s">
        <v>8035</v>
      </c>
    </row>
    <row r="1002" spans="151:162" x14ac:dyDescent="0.2">
      <c r="EU1002" s="67">
        <v>565.52</v>
      </c>
      <c r="EV1002" s="67" t="s">
        <v>8036</v>
      </c>
      <c r="EW1002" s="67">
        <v>487.85</v>
      </c>
      <c r="EX1002" s="67" t="s">
        <v>8037</v>
      </c>
      <c r="EY1002" s="67">
        <v>5670.25</v>
      </c>
      <c r="EZ1002" s="67" t="s">
        <v>8038</v>
      </c>
      <c r="FA1002" s="67">
        <v>20041.5</v>
      </c>
      <c r="FB1002" s="67" t="s">
        <v>8039</v>
      </c>
      <c r="FC1002" s="67" t="s">
        <v>8040</v>
      </c>
      <c r="FD1002" s="67" t="s">
        <v>8041</v>
      </c>
      <c r="FE1002" s="68" t="s">
        <v>8042</v>
      </c>
      <c r="FF1002" s="68" t="s">
        <v>8043</v>
      </c>
    </row>
    <row r="1003" spans="151:162" x14ac:dyDescent="0.2">
      <c r="EU1003" s="67">
        <v>565.52</v>
      </c>
      <c r="EV1003" s="67" t="s">
        <v>8044</v>
      </c>
      <c r="EW1003" s="67">
        <v>487.88</v>
      </c>
      <c r="EX1003" s="67" t="s">
        <v>8045</v>
      </c>
      <c r="EY1003" s="67">
        <v>5670.25</v>
      </c>
      <c r="EZ1003" s="67" t="s">
        <v>8046</v>
      </c>
      <c r="FA1003" s="67">
        <v>20042.25</v>
      </c>
      <c r="FB1003" s="67" t="s">
        <v>8047</v>
      </c>
      <c r="FC1003" s="67" t="s">
        <v>8048</v>
      </c>
      <c r="FD1003" s="67" t="s">
        <v>8049</v>
      </c>
      <c r="FE1003" s="68" t="s">
        <v>8050</v>
      </c>
      <c r="FF1003" s="68" t="s">
        <v>8051</v>
      </c>
    </row>
    <row r="1004" spans="151:162" x14ac:dyDescent="0.2">
      <c r="EU1004" s="67">
        <v>565.39499999999998</v>
      </c>
      <c r="EV1004" s="67" t="s">
        <v>8052</v>
      </c>
      <c r="EW1004" s="67">
        <v>487.76</v>
      </c>
      <c r="EX1004" s="67" t="s">
        <v>8053</v>
      </c>
      <c r="EY1004" s="67">
        <v>5669</v>
      </c>
      <c r="EZ1004" s="67" t="s">
        <v>8054</v>
      </c>
      <c r="FA1004" s="67">
        <v>20038</v>
      </c>
      <c r="FB1004" s="67" t="s">
        <v>8055</v>
      </c>
      <c r="FC1004" s="67" t="s">
        <v>8056</v>
      </c>
      <c r="FD1004" s="67" t="s">
        <v>8057</v>
      </c>
      <c r="FE1004" s="68" t="s">
        <v>8058</v>
      </c>
      <c r="FF1004" s="68" t="s">
        <v>8059</v>
      </c>
    </row>
    <row r="1005" spans="151:162" x14ac:dyDescent="0.2">
      <c r="EU1005" s="67">
        <v>565.24</v>
      </c>
      <c r="EV1005" s="67" t="s">
        <v>8060</v>
      </c>
      <c r="EW1005" s="67">
        <v>487.6</v>
      </c>
      <c r="EX1005" s="67" t="s">
        <v>8061</v>
      </c>
      <c r="EY1005" s="67">
        <v>5667.25</v>
      </c>
      <c r="EZ1005" s="67" t="s">
        <v>8062</v>
      </c>
      <c r="FA1005" s="67">
        <v>20031</v>
      </c>
      <c r="FB1005" s="67" t="s">
        <v>8063</v>
      </c>
      <c r="FC1005" s="67" t="s">
        <v>8064</v>
      </c>
      <c r="FD1005" s="67" t="s">
        <v>8065</v>
      </c>
      <c r="FE1005" s="68" t="s">
        <v>8066</v>
      </c>
      <c r="FF1005" s="68" t="s">
        <v>8067</v>
      </c>
    </row>
    <row r="1006" spans="151:162" x14ac:dyDescent="0.2">
      <c r="EU1006" s="67">
        <v>565.17999999999995</v>
      </c>
      <c r="EV1006" s="67" t="s">
        <v>8068</v>
      </c>
      <c r="EW1006" s="67">
        <v>487.59300000000002</v>
      </c>
      <c r="EX1006" s="67" t="s">
        <v>8069</v>
      </c>
      <c r="EY1006" s="67">
        <v>5666.75</v>
      </c>
      <c r="EZ1006" s="67" t="s">
        <v>8070</v>
      </c>
      <c r="FA1006" s="67">
        <v>20031.25</v>
      </c>
      <c r="FB1006" s="67" t="s">
        <v>8071</v>
      </c>
      <c r="FC1006" s="67" t="s">
        <v>8072</v>
      </c>
      <c r="FD1006" s="67" t="s">
        <v>8073</v>
      </c>
      <c r="FE1006" s="68" t="s">
        <v>8074</v>
      </c>
      <c r="FF1006" s="68" t="s">
        <v>8075</v>
      </c>
    </row>
    <row r="1007" spans="151:162" x14ac:dyDescent="0.2">
      <c r="EU1007" s="67">
        <v>565.15</v>
      </c>
      <c r="EV1007" s="67" t="s">
        <v>8076</v>
      </c>
      <c r="EW1007" s="67">
        <v>487.55</v>
      </c>
      <c r="EX1007" s="67" t="s">
        <v>8077</v>
      </c>
      <c r="EY1007" s="67">
        <v>5666.5</v>
      </c>
      <c r="EZ1007" s="67" t="s">
        <v>8078</v>
      </c>
      <c r="FA1007" s="67">
        <v>20030</v>
      </c>
      <c r="FB1007" s="67" t="s">
        <v>8079</v>
      </c>
      <c r="FC1007" s="67" t="s">
        <v>8080</v>
      </c>
      <c r="FD1007" s="67" t="s">
        <v>8081</v>
      </c>
      <c r="FE1007" s="68" t="s">
        <v>8082</v>
      </c>
      <c r="FF1007" s="68" t="s">
        <v>8083</v>
      </c>
    </row>
    <row r="1008" spans="151:162" x14ac:dyDescent="0.2">
      <c r="EU1008" s="67">
        <v>564.87</v>
      </c>
      <c r="EV1008" s="67" t="s">
        <v>8084</v>
      </c>
      <c r="EW1008" s="67">
        <v>487.31</v>
      </c>
      <c r="EX1008" s="67" t="s">
        <v>8085</v>
      </c>
      <c r="EY1008" s="67">
        <v>5663.75</v>
      </c>
      <c r="EZ1008" s="67" t="s">
        <v>8086</v>
      </c>
      <c r="FA1008" s="67">
        <v>20019.75</v>
      </c>
      <c r="FB1008" s="67" t="s">
        <v>8087</v>
      </c>
      <c r="FC1008" s="67" t="s">
        <v>8088</v>
      </c>
      <c r="FD1008" s="67" t="s">
        <v>8089</v>
      </c>
      <c r="FE1008" s="68" t="s">
        <v>8090</v>
      </c>
      <c r="FF1008" s="68" t="s">
        <v>8091</v>
      </c>
    </row>
    <row r="1009" spans="151:162" x14ac:dyDescent="0.2">
      <c r="EU1009" s="67">
        <v>564.93499999999995</v>
      </c>
      <c r="EV1009" s="67" t="s">
        <v>8092</v>
      </c>
      <c r="EW1009" s="67">
        <v>487.40499999999997</v>
      </c>
      <c r="EX1009" s="67" t="s">
        <v>8093</v>
      </c>
      <c r="EY1009" s="67">
        <v>5664.25</v>
      </c>
      <c r="EZ1009" s="67" t="s">
        <v>8094</v>
      </c>
      <c r="FA1009" s="67">
        <v>20023.5</v>
      </c>
      <c r="FB1009" s="67" t="s">
        <v>8095</v>
      </c>
      <c r="FC1009" s="67" t="s">
        <v>8096</v>
      </c>
      <c r="FD1009" s="67" t="s">
        <v>8097</v>
      </c>
      <c r="FE1009" s="68" t="s">
        <v>8098</v>
      </c>
      <c r="FF1009" s="68" t="s">
        <v>8099</v>
      </c>
    </row>
    <row r="1010" spans="151:162" x14ac:dyDescent="0.2">
      <c r="EU1010" s="67">
        <v>564.84</v>
      </c>
      <c r="EV1010" s="67" t="s">
        <v>8100</v>
      </c>
      <c r="EW1010" s="67">
        <v>487.31</v>
      </c>
      <c r="EX1010" s="67" t="s">
        <v>8101</v>
      </c>
      <c r="EY1010" s="67">
        <v>5663.25</v>
      </c>
      <c r="EZ1010" s="67" t="s">
        <v>8102</v>
      </c>
      <c r="FA1010" s="67">
        <v>20019.5</v>
      </c>
      <c r="FB1010" s="67" t="s">
        <v>8103</v>
      </c>
      <c r="FC1010" s="67" t="s">
        <v>8104</v>
      </c>
      <c r="FD1010" s="67" t="s">
        <v>8105</v>
      </c>
      <c r="FE1010" s="68" t="s">
        <v>8106</v>
      </c>
      <c r="FF1010" s="68" t="s">
        <v>8107</v>
      </c>
    </row>
    <row r="1011" spans="151:162" x14ac:dyDescent="0.2">
      <c r="EU1011" s="67">
        <v>564.77800000000002</v>
      </c>
      <c r="EV1011" s="67" t="s">
        <v>8108</v>
      </c>
      <c r="EW1011" s="67">
        <v>487.21</v>
      </c>
      <c r="EX1011" s="67" t="s">
        <v>8109</v>
      </c>
      <c r="EY1011" s="67">
        <v>5662.5</v>
      </c>
      <c r="EZ1011" s="67" t="s">
        <v>8110</v>
      </c>
      <c r="FA1011" s="67">
        <v>20016</v>
      </c>
      <c r="FB1011" s="67" t="s">
        <v>8111</v>
      </c>
      <c r="FC1011" s="67" t="s">
        <v>8112</v>
      </c>
      <c r="FD1011" s="67" t="s">
        <v>8113</v>
      </c>
      <c r="FE1011" s="68" t="s">
        <v>8114</v>
      </c>
      <c r="FF1011" s="68" t="s">
        <v>8115</v>
      </c>
    </row>
    <row r="1012" spans="151:162" x14ac:dyDescent="0.2">
      <c r="EU1012" s="67">
        <v>564.79</v>
      </c>
      <c r="EV1012" s="67" t="s">
        <v>8116</v>
      </c>
      <c r="EW1012" s="67">
        <v>487.19</v>
      </c>
      <c r="EX1012" s="67" t="s">
        <v>8117</v>
      </c>
      <c r="EY1012" s="67">
        <v>5662.75</v>
      </c>
      <c r="EZ1012" s="67" t="s">
        <v>8118</v>
      </c>
      <c r="FA1012" s="67">
        <v>20014</v>
      </c>
      <c r="FB1012" s="67" t="s">
        <v>8119</v>
      </c>
      <c r="FC1012" s="67" t="s">
        <v>8120</v>
      </c>
      <c r="FD1012" s="67" t="s">
        <v>8121</v>
      </c>
      <c r="FE1012" s="68" t="s">
        <v>8122</v>
      </c>
      <c r="FF1012" s="68" t="s">
        <v>8123</v>
      </c>
    </row>
    <row r="1013" spans="151:162" x14ac:dyDescent="0.2">
      <c r="EU1013" s="67">
        <v>564.92999999999995</v>
      </c>
      <c r="EV1013" s="67" t="s">
        <v>8124</v>
      </c>
      <c r="EW1013" s="67">
        <v>487.3</v>
      </c>
      <c r="EX1013" s="67" t="s">
        <v>8125</v>
      </c>
      <c r="EY1013" s="67">
        <v>5664</v>
      </c>
      <c r="EZ1013" s="67" t="s">
        <v>8126</v>
      </c>
      <c r="FA1013" s="67">
        <v>20020</v>
      </c>
      <c r="FB1013" s="67" t="s">
        <v>8127</v>
      </c>
      <c r="FC1013" s="67" t="s">
        <v>8128</v>
      </c>
      <c r="FD1013" s="67" t="s">
        <v>8129</v>
      </c>
      <c r="FE1013" s="68" t="s">
        <v>8130</v>
      </c>
      <c r="FF1013" s="68" t="s">
        <v>8131</v>
      </c>
    </row>
    <row r="1014" spans="151:162" x14ac:dyDescent="0.2">
      <c r="EU1014" s="67">
        <v>564.75</v>
      </c>
      <c r="EV1014" s="67" t="s">
        <v>8132</v>
      </c>
      <c r="EW1014" s="67">
        <v>487.2</v>
      </c>
      <c r="EX1014" s="67" t="s">
        <v>8133</v>
      </c>
      <c r="EY1014" s="67">
        <v>5662</v>
      </c>
      <c r="EZ1014" s="67" t="s">
        <v>8134</v>
      </c>
      <c r="FA1014" s="67">
        <v>20013.75</v>
      </c>
      <c r="FB1014" s="67" t="s">
        <v>8135</v>
      </c>
      <c r="FC1014" s="67" t="s">
        <v>8136</v>
      </c>
      <c r="FD1014" s="67" t="s">
        <v>8137</v>
      </c>
      <c r="FE1014" s="68" t="s">
        <v>8138</v>
      </c>
      <c r="FF1014" s="68" t="s">
        <v>8139</v>
      </c>
    </row>
    <row r="1015" spans="151:162" x14ac:dyDescent="0.2">
      <c r="EU1015" s="67">
        <v>564.77</v>
      </c>
      <c r="EV1015" s="67" t="s">
        <v>8140</v>
      </c>
      <c r="EW1015" s="67">
        <v>487.15</v>
      </c>
      <c r="EX1015" s="67" t="s">
        <v>8141</v>
      </c>
      <c r="EY1015" s="67">
        <v>5662.5</v>
      </c>
      <c r="EZ1015" s="67" t="s">
        <v>8142</v>
      </c>
      <c r="FA1015" s="67">
        <v>20013.75</v>
      </c>
      <c r="FB1015" s="67" t="s">
        <v>8143</v>
      </c>
      <c r="FC1015" s="67" t="s">
        <v>8144</v>
      </c>
      <c r="FD1015" s="67" t="s">
        <v>8145</v>
      </c>
      <c r="FE1015" s="68" t="s">
        <v>8146</v>
      </c>
      <c r="FF1015" s="68" t="s">
        <v>8147</v>
      </c>
    </row>
    <row r="1016" spans="151:162" x14ac:dyDescent="0.2">
      <c r="EU1016" s="67">
        <v>564.72</v>
      </c>
      <c r="EV1016" s="67" t="s">
        <v>8148</v>
      </c>
      <c r="EW1016" s="67">
        <v>487.18</v>
      </c>
      <c r="EX1016" s="67" t="s">
        <v>8149</v>
      </c>
      <c r="EY1016" s="67">
        <v>5661.75</v>
      </c>
      <c r="EZ1016" s="67" t="s">
        <v>8150</v>
      </c>
      <c r="FA1016" s="67">
        <v>20013.25</v>
      </c>
      <c r="FB1016" s="67" t="s">
        <v>8151</v>
      </c>
      <c r="FC1016" s="67" t="s">
        <v>8152</v>
      </c>
      <c r="FD1016" s="67" t="s">
        <v>8153</v>
      </c>
      <c r="FE1016" s="68" t="s">
        <v>8154</v>
      </c>
      <c r="FF1016" s="68" t="s">
        <v>8155</v>
      </c>
    </row>
    <row r="1017" spans="151:162" x14ac:dyDescent="0.2">
      <c r="EU1017" s="67">
        <v>564.73</v>
      </c>
      <c r="EV1017" s="67" t="s">
        <v>8156</v>
      </c>
      <c r="EW1017" s="67">
        <v>487.18799999999999</v>
      </c>
      <c r="EX1017" s="67" t="s">
        <v>8157</v>
      </c>
      <c r="EY1017" s="67">
        <v>5662</v>
      </c>
      <c r="EZ1017" s="67" t="s">
        <v>8158</v>
      </c>
      <c r="FA1017" s="67">
        <v>20014.75</v>
      </c>
      <c r="FB1017" s="67" t="s">
        <v>8159</v>
      </c>
      <c r="FC1017" s="67" t="s">
        <v>8160</v>
      </c>
      <c r="FD1017" s="67" t="s">
        <v>8161</v>
      </c>
      <c r="FE1017" s="68" t="s">
        <v>8162</v>
      </c>
      <c r="FF1017" s="68" t="s">
        <v>8163</v>
      </c>
    </row>
    <row r="1018" spans="151:162" x14ac:dyDescent="0.2">
      <c r="EU1018" s="67">
        <v>564.77</v>
      </c>
      <c r="EV1018" s="67" t="s">
        <v>8164</v>
      </c>
      <c r="EW1018" s="67">
        <v>487.24</v>
      </c>
      <c r="EX1018" s="67" t="s">
        <v>8165</v>
      </c>
      <c r="EY1018" s="67">
        <v>5662.5</v>
      </c>
      <c r="EZ1018" s="67" t="s">
        <v>8166</v>
      </c>
      <c r="FA1018" s="67">
        <v>20017</v>
      </c>
      <c r="FB1018" s="67" t="s">
        <v>8167</v>
      </c>
      <c r="FC1018" s="67" t="s">
        <v>8168</v>
      </c>
      <c r="FD1018" s="67" t="s">
        <v>8169</v>
      </c>
      <c r="FE1018" s="68" t="s">
        <v>8170</v>
      </c>
      <c r="FF1018" s="68" t="s">
        <v>8171</v>
      </c>
    </row>
    <row r="1019" spans="151:162" x14ac:dyDescent="0.2">
      <c r="EU1019" s="67">
        <v>564.774</v>
      </c>
      <c r="EV1019" s="67" t="s">
        <v>8172</v>
      </c>
      <c r="EW1019" s="67">
        <v>487.22</v>
      </c>
      <c r="EX1019" s="67" t="s">
        <v>8173</v>
      </c>
      <c r="EY1019" s="67">
        <v>5662.25</v>
      </c>
      <c r="EZ1019" s="67" t="s">
        <v>8174</v>
      </c>
      <c r="FA1019" s="67">
        <v>20015</v>
      </c>
      <c r="FB1019" s="67" t="s">
        <v>8175</v>
      </c>
      <c r="FC1019" s="67" t="s">
        <v>8176</v>
      </c>
      <c r="FD1019" s="67" t="s">
        <v>8177</v>
      </c>
      <c r="FE1019" s="68" t="s">
        <v>8178</v>
      </c>
      <c r="FF1019" s="68" t="s">
        <v>8179</v>
      </c>
    </row>
    <row r="1020" spans="151:162" x14ac:dyDescent="0.2">
      <c r="EU1020" s="67">
        <v>564.94000000000005</v>
      </c>
      <c r="EV1020" s="67" t="s">
        <v>8180</v>
      </c>
      <c r="EW1020" s="67">
        <v>487.35</v>
      </c>
      <c r="EX1020" s="67" t="s">
        <v>8181</v>
      </c>
      <c r="EY1020" s="67">
        <v>5664.25</v>
      </c>
      <c r="EZ1020" s="67" t="s">
        <v>8182</v>
      </c>
      <c r="FA1020" s="67">
        <v>20020.75</v>
      </c>
      <c r="FB1020" s="67" t="s">
        <v>8183</v>
      </c>
      <c r="FC1020" s="67" t="s">
        <v>8184</v>
      </c>
      <c r="FD1020" s="67" t="s">
        <v>8185</v>
      </c>
      <c r="FE1020" s="68" t="s">
        <v>8186</v>
      </c>
      <c r="FF1020" s="68" t="s">
        <v>8187</v>
      </c>
    </row>
    <row r="1021" spans="151:162" x14ac:dyDescent="0.2">
      <c r="EU1021" s="67">
        <v>565.03</v>
      </c>
      <c r="EV1021" s="67" t="s">
        <v>8188</v>
      </c>
      <c r="EW1021" s="67">
        <v>487.43</v>
      </c>
      <c r="EX1021" s="67" t="s">
        <v>8189</v>
      </c>
      <c r="EY1021" s="67">
        <v>5664.75</v>
      </c>
      <c r="EZ1021" s="67" t="s">
        <v>8190</v>
      </c>
      <c r="FA1021" s="67">
        <v>20023.75</v>
      </c>
      <c r="FB1021" s="67" t="s">
        <v>8191</v>
      </c>
      <c r="FC1021" s="67" t="s">
        <v>8192</v>
      </c>
      <c r="FD1021" s="67" t="s">
        <v>8193</v>
      </c>
      <c r="FE1021" s="68" t="s">
        <v>8194</v>
      </c>
      <c r="FF1021" s="68" t="s">
        <v>8195</v>
      </c>
    </row>
    <row r="1022" spans="151:162" x14ac:dyDescent="0.2">
      <c r="EU1022" s="67">
        <v>565.15</v>
      </c>
      <c r="EV1022" s="67" t="s">
        <v>8196</v>
      </c>
      <c r="EW1022" s="67">
        <v>487.59</v>
      </c>
      <c r="EX1022" s="67" t="s">
        <v>8197</v>
      </c>
      <c r="EY1022" s="67">
        <v>5666.25</v>
      </c>
      <c r="EZ1022" s="67" t="s">
        <v>8198</v>
      </c>
      <c r="FA1022" s="67">
        <v>20031.25</v>
      </c>
      <c r="FB1022" s="67" t="s">
        <v>8199</v>
      </c>
      <c r="FC1022" s="67" t="s">
        <v>8200</v>
      </c>
      <c r="FD1022" s="67" t="s">
        <v>8201</v>
      </c>
      <c r="FE1022" s="68" t="s">
        <v>8202</v>
      </c>
      <c r="FF1022" s="68" t="s">
        <v>8203</v>
      </c>
    </row>
    <row r="1023" spans="151:162" x14ac:dyDescent="0.2">
      <c r="EU1023" s="67">
        <v>565.25</v>
      </c>
      <c r="EV1023" s="67" t="s">
        <v>8204</v>
      </c>
      <c r="EW1023" s="67">
        <v>487.67500000000001</v>
      </c>
      <c r="EX1023" s="67" t="s">
        <v>8205</v>
      </c>
      <c r="EY1023" s="67">
        <v>5667.5</v>
      </c>
      <c r="EZ1023" s="67" t="s">
        <v>8206</v>
      </c>
      <c r="FA1023" s="67">
        <v>20034.25</v>
      </c>
      <c r="FB1023" s="67" t="s">
        <v>8207</v>
      </c>
      <c r="FC1023" s="67" t="s">
        <v>8208</v>
      </c>
      <c r="FD1023" s="67" t="s">
        <v>8209</v>
      </c>
      <c r="FE1023" s="68" t="s">
        <v>8210</v>
      </c>
      <c r="FF1023" s="68" t="s">
        <v>8211</v>
      </c>
    </row>
    <row r="1024" spans="151:162" x14ac:dyDescent="0.2">
      <c r="EU1024" s="67">
        <v>565.1</v>
      </c>
      <c r="EV1024" s="67" t="s">
        <v>8212</v>
      </c>
      <c r="EW1024" s="67">
        <v>487.56</v>
      </c>
      <c r="EX1024" s="67" t="s">
        <v>8213</v>
      </c>
      <c r="EY1024" s="67">
        <v>5665.75</v>
      </c>
      <c r="EZ1024" s="67" t="s">
        <v>8214</v>
      </c>
      <c r="FA1024" s="67">
        <v>20029</v>
      </c>
      <c r="FB1024" s="67" t="s">
        <v>8215</v>
      </c>
      <c r="FC1024" s="67" t="s">
        <v>8216</v>
      </c>
      <c r="FD1024" s="67" t="s">
        <v>8217</v>
      </c>
      <c r="FE1024" s="68" t="s">
        <v>8218</v>
      </c>
      <c r="FF1024" s="68" t="s">
        <v>8219</v>
      </c>
    </row>
    <row r="1025" spans="151:162" x14ac:dyDescent="0.2">
      <c r="EU1025" s="67">
        <v>565.14</v>
      </c>
      <c r="EV1025" s="67" t="s">
        <v>8220</v>
      </c>
      <c r="EW1025" s="67">
        <v>487.62</v>
      </c>
      <c r="EX1025" s="67" t="s">
        <v>8221</v>
      </c>
      <c r="EY1025" s="67">
        <v>5666.25</v>
      </c>
      <c r="EZ1025" s="67" t="s">
        <v>8222</v>
      </c>
      <c r="FA1025" s="67">
        <v>20032.25</v>
      </c>
      <c r="FB1025" s="67" t="s">
        <v>8223</v>
      </c>
      <c r="FC1025" s="67" t="s">
        <v>8224</v>
      </c>
      <c r="FD1025" s="67" t="s">
        <v>8225</v>
      </c>
      <c r="FE1025" s="68" t="s">
        <v>8226</v>
      </c>
      <c r="FF1025" s="68" t="s">
        <v>8227</v>
      </c>
    </row>
    <row r="1026" spans="151:162" x14ac:dyDescent="0.2">
      <c r="EU1026" s="67">
        <v>565.04</v>
      </c>
      <c r="EV1026" s="67" t="s">
        <v>8228</v>
      </c>
      <c r="EW1026" s="67">
        <v>487.54</v>
      </c>
      <c r="EX1026" s="67" t="s">
        <v>8229</v>
      </c>
      <c r="EY1026" s="67">
        <v>5665.5</v>
      </c>
      <c r="EZ1026" s="67" t="s">
        <v>8230</v>
      </c>
      <c r="FA1026" s="67">
        <v>20029.25</v>
      </c>
      <c r="FB1026" s="67" t="s">
        <v>8231</v>
      </c>
      <c r="FC1026" s="67" t="s">
        <v>8232</v>
      </c>
      <c r="FD1026" s="67" t="s">
        <v>8233</v>
      </c>
      <c r="FE1026" s="68" t="s">
        <v>8234</v>
      </c>
      <c r="FF1026" s="68" t="s">
        <v>8235</v>
      </c>
    </row>
    <row r="1027" spans="151:162" x14ac:dyDescent="0.2">
      <c r="EU1027" s="67">
        <v>564.99</v>
      </c>
      <c r="EV1027" s="67" t="s">
        <v>8236</v>
      </c>
      <c r="EW1027" s="67">
        <v>487.49</v>
      </c>
      <c r="EX1027" s="67" t="s">
        <v>8237</v>
      </c>
      <c r="EY1027" s="67">
        <v>5664.75</v>
      </c>
      <c r="EZ1027" s="67" t="s">
        <v>8238</v>
      </c>
      <c r="FA1027" s="67">
        <v>20026.75</v>
      </c>
      <c r="FB1027" s="67" t="s">
        <v>8239</v>
      </c>
      <c r="FC1027" s="67" t="s">
        <v>8240</v>
      </c>
      <c r="FD1027" s="67" t="s">
        <v>8241</v>
      </c>
      <c r="FE1027" s="68" t="s">
        <v>8242</v>
      </c>
      <c r="FF1027" s="68" t="s">
        <v>8243</v>
      </c>
    </row>
    <row r="1028" spans="151:162" x14ac:dyDescent="0.2">
      <c r="EU1028" s="67">
        <v>564.74</v>
      </c>
      <c r="EV1028" s="67" t="s">
        <v>8244</v>
      </c>
      <c r="EW1028" s="67">
        <v>487.28</v>
      </c>
      <c r="EX1028" s="67" t="s">
        <v>8245</v>
      </c>
      <c r="EY1028" s="67">
        <v>5662.25</v>
      </c>
      <c r="EZ1028" s="67" t="s">
        <v>8246</v>
      </c>
      <c r="FA1028" s="67">
        <v>20018.75</v>
      </c>
      <c r="FB1028" s="67" t="s">
        <v>8247</v>
      </c>
      <c r="FC1028" s="67" t="s">
        <v>8248</v>
      </c>
      <c r="FD1028" s="67" t="s">
        <v>8249</v>
      </c>
      <c r="FE1028" s="68" t="s">
        <v>8250</v>
      </c>
      <c r="FF1028" s="68" t="s">
        <v>8251</v>
      </c>
    </row>
    <row r="1029" spans="151:162" x14ac:dyDescent="0.2">
      <c r="EU1029" s="67">
        <v>564.37</v>
      </c>
      <c r="EV1029" s="67" t="s">
        <v>8252</v>
      </c>
      <c r="EW1029" s="67">
        <v>486.86</v>
      </c>
      <c r="EX1029" s="67" t="s">
        <v>8253</v>
      </c>
      <c r="EY1029" s="67">
        <v>5658.75</v>
      </c>
      <c r="EZ1029" s="67" t="s">
        <v>8254</v>
      </c>
      <c r="FA1029" s="67">
        <v>20001</v>
      </c>
      <c r="FB1029" s="67" t="s">
        <v>8255</v>
      </c>
      <c r="FC1029" s="67" t="s">
        <v>8256</v>
      </c>
      <c r="FD1029" s="67" t="s">
        <v>8257</v>
      </c>
      <c r="FE1029" s="68" t="s">
        <v>8258</v>
      </c>
      <c r="FF1029" s="68" t="s">
        <v>8259</v>
      </c>
    </row>
    <row r="1030" spans="151:162" x14ac:dyDescent="0.2">
      <c r="EU1030" s="67">
        <v>564.55499999999995</v>
      </c>
      <c r="EV1030" s="67" t="s">
        <v>8260</v>
      </c>
      <c r="EW1030" s="67">
        <v>487.01</v>
      </c>
      <c r="EX1030" s="67" t="s">
        <v>8261</v>
      </c>
      <c r="EY1030" s="67">
        <v>5660.5</v>
      </c>
      <c r="EZ1030" s="67" t="s">
        <v>8262</v>
      </c>
      <c r="FA1030" s="67">
        <v>20007</v>
      </c>
      <c r="FB1030" s="67" t="s">
        <v>8263</v>
      </c>
      <c r="FC1030" s="67" t="s">
        <v>8264</v>
      </c>
      <c r="FD1030" s="67" t="s">
        <v>8265</v>
      </c>
      <c r="FE1030" s="68" t="s">
        <v>8266</v>
      </c>
      <c r="FF1030" s="68" t="s">
        <v>8267</v>
      </c>
    </row>
    <row r="1031" spans="151:162" x14ac:dyDescent="0.2">
      <c r="EU1031" s="67">
        <v>564.08000000000004</v>
      </c>
      <c r="EV1031" s="67" t="s">
        <v>8268</v>
      </c>
      <c r="EW1031" s="67">
        <v>486.57</v>
      </c>
      <c r="EX1031" s="67" t="s">
        <v>8269</v>
      </c>
      <c r="EY1031" s="67">
        <v>5655.5</v>
      </c>
      <c r="EZ1031" s="67" t="s">
        <v>8270</v>
      </c>
      <c r="FA1031" s="67">
        <v>19988.75</v>
      </c>
      <c r="FB1031" s="67" t="s">
        <v>8271</v>
      </c>
      <c r="FC1031" s="67" t="s">
        <v>8272</v>
      </c>
      <c r="FD1031" s="67" t="s">
        <v>8273</v>
      </c>
      <c r="FE1031" s="68" t="s">
        <v>8274</v>
      </c>
      <c r="FF1031" s="68" t="s">
        <v>8275</v>
      </c>
    </row>
    <row r="1032" spans="151:162" x14ac:dyDescent="0.2">
      <c r="EU1032" s="67">
        <v>564.16999999999996</v>
      </c>
      <c r="EV1032" s="67" t="s">
        <v>8276</v>
      </c>
      <c r="EW1032" s="67">
        <v>486.72</v>
      </c>
      <c r="EX1032" s="67" t="s">
        <v>8277</v>
      </c>
      <c r="EY1032" s="67">
        <v>5656.5</v>
      </c>
      <c r="EZ1032" s="67" t="s">
        <v>8278</v>
      </c>
      <c r="FA1032" s="67">
        <v>19996.75</v>
      </c>
      <c r="FB1032" s="67" t="s">
        <v>8279</v>
      </c>
      <c r="FC1032" s="67" t="s">
        <v>8280</v>
      </c>
      <c r="FD1032" s="67" t="s">
        <v>8281</v>
      </c>
      <c r="FE1032" s="68" t="s">
        <v>8282</v>
      </c>
      <c r="FF1032" s="68" t="s">
        <v>8283</v>
      </c>
    </row>
    <row r="1033" spans="151:162" x14ac:dyDescent="0.2">
      <c r="EU1033" s="67">
        <v>564.22</v>
      </c>
      <c r="EV1033" s="67" t="s">
        <v>8284</v>
      </c>
      <c r="EW1033" s="67">
        <v>486.8</v>
      </c>
      <c r="EX1033" s="67" t="s">
        <v>8285</v>
      </c>
      <c r="EY1033" s="67">
        <v>5657</v>
      </c>
      <c r="EZ1033" s="67" t="s">
        <v>8286</v>
      </c>
      <c r="FA1033" s="67">
        <v>19998.25</v>
      </c>
      <c r="FB1033" s="67" t="s">
        <v>8287</v>
      </c>
      <c r="FC1033" s="67" t="s">
        <v>8288</v>
      </c>
      <c r="FD1033" s="67" t="s">
        <v>8289</v>
      </c>
      <c r="FE1033" s="68" t="s">
        <v>8290</v>
      </c>
      <c r="FF1033" s="68" t="s">
        <v>8291</v>
      </c>
    </row>
    <row r="1034" spans="151:162" x14ac:dyDescent="0.2">
      <c r="EU1034" s="67">
        <v>564.16</v>
      </c>
      <c r="EV1034" s="67" t="s">
        <v>8292</v>
      </c>
      <c r="EW1034" s="67">
        <v>486.74</v>
      </c>
      <c r="EX1034" s="67" t="s">
        <v>8293</v>
      </c>
      <c r="EY1034" s="67">
        <v>5656.25</v>
      </c>
      <c r="EZ1034" s="67" t="s">
        <v>8294</v>
      </c>
      <c r="FA1034" s="67">
        <v>19997</v>
      </c>
      <c r="FB1034" s="67" t="s">
        <v>8295</v>
      </c>
      <c r="FC1034" s="67" t="s">
        <v>8296</v>
      </c>
      <c r="FD1034" s="67" t="s">
        <v>8297</v>
      </c>
      <c r="FE1034" s="68" t="s">
        <v>8298</v>
      </c>
      <c r="FF1034" s="68" t="s">
        <v>8299</v>
      </c>
    </row>
    <row r="1035" spans="151:162" x14ac:dyDescent="0.2">
      <c r="EU1035" s="67">
        <v>563.995</v>
      </c>
      <c r="EV1035" s="67" t="s">
        <v>8300</v>
      </c>
      <c r="EW1035" s="67">
        <v>486.57</v>
      </c>
      <c r="EX1035" s="67" t="s">
        <v>8301</v>
      </c>
      <c r="EY1035" s="67">
        <v>5654.75</v>
      </c>
      <c r="EZ1035" s="67" t="s">
        <v>8302</v>
      </c>
      <c r="FA1035" s="67">
        <v>19989.25</v>
      </c>
      <c r="FB1035" s="67" t="s">
        <v>8303</v>
      </c>
      <c r="FC1035" s="67" t="s">
        <v>8304</v>
      </c>
      <c r="FD1035" s="67" t="s">
        <v>8305</v>
      </c>
      <c r="FE1035" s="68" t="s">
        <v>8306</v>
      </c>
      <c r="FF1035" s="68" t="s">
        <v>8307</v>
      </c>
    </row>
    <row r="1036" spans="151:162" x14ac:dyDescent="0.2">
      <c r="EU1036" s="67">
        <v>563.91999999999996</v>
      </c>
      <c r="EV1036" s="67" t="s">
        <v>8308</v>
      </c>
      <c r="EW1036" s="67">
        <v>486.5</v>
      </c>
      <c r="EX1036" s="67" t="s">
        <v>8309</v>
      </c>
      <c r="EY1036" s="67">
        <v>5653.75</v>
      </c>
      <c r="EZ1036" s="67" t="s">
        <v>8310</v>
      </c>
      <c r="FA1036" s="67">
        <v>19985.5</v>
      </c>
      <c r="FB1036" s="67" t="s">
        <v>8311</v>
      </c>
      <c r="FC1036" s="67" t="s">
        <v>8312</v>
      </c>
      <c r="FD1036" s="67" t="s">
        <v>8313</v>
      </c>
      <c r="FE1036" s="68" t="s">
        <v>8314</v>
      </c>
      <c r="FF1036" s="68" t="s">
        <v>8315</v>
      </c>
    </row>
    <row r="1037" spans="151:162" x14ac:dyDescent="0.2">
      <c r="EU1037" s="67">
        <v>563.87</v>
      </c>
      <c r="EV1037" s="67" t="s">
        <v>8316</v>
      </c>
      <c r="EW1037" s="67">
        <v>486.34</v>
      </c>
      <c r="EX1037" s="67" t="s">
        <v>8317</v>
      </c>
      <c r="EY1037" s="67">
        <v>5653.25</v>
      </c>
      <c r="EZ1037" s="67" t="s">
        <v>8318</v>
      </c>
      <c r="FA1037" s="67">
        <v>19981.75</v>
      </c>
      <c r="FB1037" s="67" t="s">
        <v>8319</v>
      </c>
      <c r="FC1037" s="67" t="s">
        <v>8320</v>
      </c>
      <c r="FD1037" s="67" t="s">
        <v>8321</v>
      </c>
      <c r="FE1037" s="68" t="s">
        <v>8322</v>
      </c>
      <c r="FF1037" s="68" t="s">
        <v>8323</v>
      </c>
    </row>
    <row r="1038" spans="151:162" x14ac:dyDescent="0.2">
      <c r="EU1038" s="67">
        <v>563.58000000000004</v>
      </c>
      <c r="EV1038" s="67" t="s">
        <v>8324</v>
      </c>
      <c r="EW1038" s="67">
        <v>486.1</v>
      </c>
      <c r="EX1038" s="67" t="s">
        <v>8325</v>
      </c>
      <c r="EY1038" s="67">
        <v>5650.5</v>
      </c>
      <c r="EZ1038" s="67" t="s">
        <v>8326</v>
      </c>
      <c r="FA1038" s="67">
        <v>19971.5</v>
      </c>
      <c r="FB1038" s="67" t="s">
        <v>8327</v>
      </c>
      <c r="FC1038" s="67" t="s">
        <v>8328</v>
      </c>
      <c r="FD1038" s="67" t="s">
        <v>8329</v>
      </c>
      <c r="FE1038" s="68" t="s">
        <v>8330</v>
      </c>
      <c r="FF1038" s="68" t="s">
        <v>8331</v>
      </c>
    </row>
    <row r="1039" spans="151:162" x14ac:dyDescent="0.2">
      <c r="EU1039" s="67">
        <v>563.34</v>
      </c>
      <c r="EV1039" s="67" t="s">
        <v>8332</v>
      </c>
      <c r="EW1039" s="67">
        <v>485.685</v>
      </c>
      <c r="EX1039" s="67" t="s">
        <v>8333</v>
      </c>
      <c r="EY1039" s="67">
        <v>5647.75</v>
      </c>
      <c r="EZ1039" s="67" t="s">
        <v>8334</v>
      </c>
      <c r="FA1039" s="67">
        <v>19953.5</v>
      </c>
      <c r="FB1039" s="67" t="s">
        <v>8335</v>
      </c>
      <c r="FC1039" s="67" t="s">
        <v>8336</v>
      </c>
      <c r="FD1039" s="67" t="s">
        <v>8337</v>
      </c>
      <c r="FE1039" s="68" t="s">
        <v>8338</v>
      </c>
      <c r="FF1039" s="68" t="s">
        <v>8339</v>
      </c>
    </row>
    <row r="1040" spans="151:162" x14ac:dyDescent="0.2">
      <c r="EU1040" s="67">
        <v>563.30499999999995</v>
      </c>
      <c r="EV1040" s="67" t="s">
        <v>8340</v>
      </c>
      <c r="EW1040" s="67">
        <v>485.77</v>
      </c>
      <c r="EX1040" s="67" t="s">
        <v>8341</v>
      </c>
      <c r="EY1040" s="67">
        <v>5647.75</v>
      </c>
      <c r="EZ1040" s="67" t="s">
        <v>8342</v>
      </c>
      <c r="FA1040" s="67">
        <v>19956</v>
      </c>
      <c r="FB1040" s="67" t="s">
        <v>8343</v>
      </c>
      <c r="FC1040" s="67" t="s">
        <v>8344</v>
      </c>
      <c r="FD1040" s="67" t="s">
        <v>8345</v>
      </c>
      <c r="FE1040" s="68" t="s">
        <v>8346</v>
      </c>
      <c r="FF1040" s="68" t="s">
        <v>8347</v>
      </c>
    </row>
    <row r="1041" spans="151:162" x14ac:dyDescent="0.2">
      <c r="EU1041" s="67">
        <v>563.27</v>
      </c>
      <c r="EV1041" s="67" t="s">
        <v>8348</v>
      </c>
      <c r="EW1041" s="67">
        <v>485.625</v>
      </c>
      <c r="EX1041" s="67" t="s">
        <v>8349</v>
      </c>
      <c r="EY1041" s="67">
        <v>5646.75</v>
      </c>
      <c r="EZ1041" s="67" t="s">
        <v>8350</v>
      </c>
      <c r="FA1041" s="67">
        <v>19952.75</v>
      </c>
      <c r="FB1041" s="67" t="s">
        <v>8351</v>
      </c>
      <c r="FC1041" s="67" t="s">
        <v>8352</v>
      </c>
      <c r="FD1041" s="67" t="s">
        <v>8353</v>
      </c>
      <c r="FE1041" s="68" t="s">
        <v>8354</v>
      </c>
      <c r="FF1041" s="68" t="s">
        <v>8355</v>
      </c>
    </row>
    <row r="1042" spans="151:162" x14ac:dyDescent="0.2">
      <c r="EU1042" s="67">
        <v>563.505</v>
      </c>
      <c r="EV1042" s="67" t="s">
        <v>8356</v>
      </c>
      <c r="EW1042" s="67">
        <v>485.92500000000001</v>
      </c>
      <c r="EX1042" s="67" t="s">
        <v>8357</v>
      </c>
      <c r="EY1042" s="67">
        <v>5649.75</v>
      </c>
      <c r="EZ1042" s="67" t="s">
        <v>8358</v>
      </c>
      <c r="FA1042" s="67">
        <v>19963.25</v>
      </c>
      <c r="FB1042" s="67" t="s">
        <v>8359</v>
      </c>
      <c r="FC1042" s="67" t="s">
        <v>8360</v>
      </c>
      <c r="FD1042" s="67" t="s">
        <v>8361</v>
      </c>
      <c r="FE1042" s="68" t="s">
        <v>8362</v>
      </c>
      <c r="FF1042" s="68" t="s">
        <v>8363</v>
      </c>
    </row>
    <row r="1043" spans="151:162" x14ac:dyDescent="0.2">
      <c r="EU1043" s="67">
        <v>563.34</v>
      </c>
      <c r="EV1043" s="67" t="s">
        <v>8364</v>
      </c>
      <c r="EW1043" s="67">
        <v>485.73</v>
      </c>
      <c r="EX1043" s="67" t="s">
        <v>8365</v>
      </c>
      <c r="EY1043" s="67">
        <v>5647.75</v>
      </c>
      <c r="EZ1043" s="67" t="s">
        <v>8366</v>
      </c>
      <c r="FA1043" s="67">
        <v>19954.75</v>
      </c>
      <c r="FB1043" s="67" t="s">
        <v>8367</v>
      </c>
      <c r="FC1043" s="67" t="s">
        <v>8368</v>
      </c>
      <c r="FD1043" s="67" t="s">
        <v>8369</v>
      </c>
      <c r="FE1043" s="68" t="s">
        <v>8370</v>
      </c>
      <c r="FF1043" s="68" t="s">
        <v>8371</v>
      </c>
    </row>
    <row r="1044" spans="151:162" x14ac:dyDescent="0.2">
      <c r="EU1044" s="67">
        <v>563.51</v>
      </c>
      <c r="EV1044" s="67" t="s">
        <v>8372</v>
      </c>
      <c r="EW1044" s="67">
        <v>485.98</v>
      </c>
      <c r="EX1044" s="67" t="s">
        <v>8373</v>
      </c>
      <c r="EY1044" s="67">
        <v>5650</v>
      </c>
      <c r="EZ1044" s="67" t="s">
        <v>8374</v>
      </c>
      <c r="FA1044" s="67">
        <v>19966</v>
      </c>
      <c r="FB1044" s="67" t="s">
        <v>8375</v>
      </c>
      <c r="FC1044" s="67" t="s">
        <v>8376</v>
      </c>
      <c r="FD1044" s="67" t="s">
        <v>8377</v>
      </c>
      <c r="FE1044" s="68" t="s">
        <v>8378</v>
      </c>
      <c r="FF1044" s="68" t="s">
        <v>8379</v>
      </c>
    </row>
    <row r="1045" spans="151:162" x14ac:dyDescent="0.2">
      <c r="EU1045" s="67">
        <v>563.29999999999995</v>
      </c>
      <c r="EV1045" s="67" t="s">
        <v>8380</v>
      </c>
      <c r="EW1045" s="67">
        <v>485.67</v>
      </c>
      <c r="EX1045" s="67" t="s">
        <v>8381</v>
      </c>
      <c r="EY1045" s="67">
        <v>5647.75</v>
      </c>
      <c r="EZ1045" s="67" t="s">
        <v>8382</v>
      </c>
      <c r="FA1045" s="67">
        <v>19950.5</v>
      </c>
      <c r="FB1045" s="67" t="s">
        <v>8383</v>
      </c>
      <c r="FC1045" s="67" t="s">
        <v>8384</v>
      </c>
      <c r="FD1045" s="67" t="s">
        <v>8385</v>
      </c>
      <c r="FE1045" s="68" t="s">
        <v>8386</v>
      </c>
      <c r="FF1045" s="68" t="s">
        <v>8387</v>
      </c>
    </row>
    <row r="1046" spans="151:162" x14ac:dyDescent="0.2">
      <c r="EU1046" s="67">
        <v>563.17999999999995</v>
      </c>
      <c r="EV1046" s="67" t="s">
        <v>8388</v>
      </c>
      <c r="EW1046" s="67">
        <v>485.55</v>
      </c>
      <c r="EX1046" s="67" t="s">
        <v>8389</v>
      </c>
      <c r="EY1046" s="67">
        <v>5646.5</v>
      </c>
      <c r="EZ1046" s="67" t="s">
        <v>8390</v>
      </c>
      <c r="FA1046" s="67">
        <v>19947</v>
      </c>
      <c r="FB1046" s="67" t="s">
        <v>8391</v>
      </c>
      <c r="FC1046" s="67" t="s">
        <v>8392</v>
      </c>
      <c r="FD1046" s="67" t="s">
        <v>8393</v>
      </c>
      <c r="FE1046" s="68" t="s">
        <v>8394</v>
      </c>
      <c r="FF1046" s="68" t="s">
        <v>8395</v>
      </c>
    </row>
    <row r="1047" spans="151:162" x14ac:dyDescent="0.2">
      <c r="EU1047" s="67">
        <v>563.15</v>
      </c>
      <c r="EV1047" s="67" t="s">
        <v>8396</v>
      </c>
      <c r="EW1047" s="67">
        <v>485.4</v>
      </c>
      <c r="EX1047" s="67" t="s">
        <v>8397</v>
      </c>
      <c r="EY1047" s="67">
        <v>5646</v>
      </c>
      <c r="EZ1047" s="67" t="s">
        <v>8398</v>
      </c>
      <c r="FA1047" s="67">
        <v>19941.75</v>
      </c>
      <c r="FB1047" s="67" t="s">
        <v>8399</v>
      </c>
      <c r="FC1047" s="67" t="s">
        <v>8400</v>
      </c>
      <c r="FD1047" s="67" t="s">
        <v>8401</v>
      </c>
      <c r="FE1047" s="68" t="s">
        <v>8402</v>
      </c>
      <c r="FF1047" s="68" t="s">
        <v>8403</v>
      </c>
    </row>
    <row r="1048" spans="151:162" x14ac:dyDescent="0.2">
      <c r="EU1048" s="67">
        <v>563.08000000000004</v>
      </c>
      <c r="EV1048" s="67" t="s">
        <v>8404</v>
      </c>
      <c r="EW1048" s="67">
        <v>485.37</v>
      </c>
      <c r="EX1048" s="67" t="s">
        <v>8405</v>
      </c>
      <c r="EY1048" s="67">
        <v>5645.25</v>
      </c>
      <c r="EZ1048" s="67" t="s">
        <v>8406</v>
      </c>
      <c r="FA1048" s="67">
        <v>19938.75</v>
      </c>
      <c r="FB1048" s="67" t="s">
        <v>8407</v>
      </c>
      <c r="FC1048" s="67" t="s">
        <v>8408</v>
      </c>
      <c r="FD1048" s="67" t="s">
        <v>8409</v>
      </c>
      <c r="FE1048" s="68" t="s">
        <v>8410</v>
      </c>
      <c r="FF1048" s="68" t="s">
        <v>8411</v>
      </c>
    </row>
    <row r="1049" spans="151:162" x14ac:dyDescent="0.2">
      <c r="EU1049" s="67">
        <v>562.77</v>
      </c>
      <c r="EV1049" s="67" t="s">
        <v>8412</v>
      </c>
      <c r="EW1049" s="67">
        <v>484.89</v>
      </c>
      <c r="EX1049" s="67" t="s">
        <v>8413</v>
      </c>
      <c r="EY1049" s="67">
        <v>5642.25</v>
      </c>
      <c r="EZ1049" s="67" t="s">
        <v>8414</v>
      </c>
      <c r="FA1049" s="67">
        <v>19918.5</v>
      </c>
      <c r="FB1049" s="67" t="s">
        <v>8415</v>
      </c>
      <c r="FC1049" s="67" t="s">
        <v>8416</v>
      </c>
      <c r="FD1049" s="67" t="s">
        <v>8417</v>
      </c>
      <c r="FE1049" s="68" t="s">
        <v>8418</v>
      </c>
      <c r="FF1049" s="68" t="s">
        <v>8419</v>
      </c>
    </row>
    <row r="1050" spans="151:162" x14ac:dyDescent="0.2">
      <c r="EU1050" s="67">
        <v>562.91</v>
      </c>
      <c r="EV1050" s="67" t="s">
        <v>8420</v>
      </c>
      <c r="EW1050" s="67">
        <v>485.14</v>
      </c>
      <c r="EX1050" s="67" t="s">
        <v>8421</v>
      </c>
      <c r="EY1050" s="67">
        <v>5643.5</v>
      </c>
      <c r="EZ1050" s="67" t="s">
        <v>8422</v>
      </c>
      <c r="FA1050" s="67">
        <v>19929</v>
      </c>
      <c r="FB1050" s="67" t="s">
        <v>8423</v>
      </c>
      <c r="FC1050" s="67" t="s">
        <v>8424</v>
      </c>
      <c r="FD1050" s="67" t="s">
        <v>8425</v>
      </c>
      <c r="FE1050" s="68" t="s">
        <v>8426</v>
      </c>
      <c r="FF1050" s="68" t="s">
        <v>8427</v>
      </c>
    </row>
    <row r="1051" spans="151:162" x14ac:dyDescent="0.2">
      <c r="EU1051" s="67">
        <v>563.04999999999995</v>
      </c>
      <c r="EV1051" s="67" t="s">
        <v>8428</v>
      </c>
      <c r="EW1051" s="67">
        <v>485.56</v>
      </c>
      <c r="EX1051" s="67" t="s">
        <v>8429</v>
      </c>
      <c r="EY1051" s="67">
        <v>5644.75</v>
      </c>
      <c r="EZ1051" s="67" t="s">
        <v>8430</v>
      </c>
      <c r="FA1051" s="67">
        <v>19947</v>
      </c>
      <c r="FB1051" s="67" t="s">
        <v>8431</v>
      </c>
      <c r="FC1051" s="67" t="s">
        <v>8432</v>
      </c>
      <c r="FD1051" s="67" t="s">
        <v>8433</v>
      </c>
      <c r="FE1051" s="68" t="s">
        <v>8434</v>
      </c>
      <c r="FF1051" s="68" t="s">
        <v>8435</v>
      </c>
    </row>
    <row r="1052" spans="151:162" x14ac:dyDescent="0.2">
      <c r="EU1052" s="67">
        <v>563.27</v>
      </c>
      <c r="EV1052" s="67" t="s">
        <v>8436</v>
      </c>
      <c r="EW1052" s="67">
        <v>485.89</v>
      </c>
      <c r="EX1052" s="67" t="s">
        <v>8437</v>
      </c>
      <c r="EY1052" s="67">
        <v>5647</v>
      </c>
      <c r="EZ1052" s="67" t="s">
        <v>8438</v>
      </c>
      <c r="FA1052" s="67">
        <v>19958.75</v>
      </c>
      <c r="FB1052" s="67" t="s">
        <v>8439</v>
      </c>
      <c r="FC1052" s="67" t="s">
        <v>8440</v>
      </c>
      <c r="FD1052" s="67" t="s">
        <v>8441</v>
      </c>
      <c r="FE1052" s="68" t="s">
        <v>8442</v>
      </c>
      <c r="FF1052" s="68" t="s">
        <v>8443</v>
      </c>
    </row>
    <row r="1053" spans="151:162" x14ac:dyDescent="0.2">
      <c r="EU1053" s="67">
        <v>563.09</v>
      </c>
      <c r="EV1053" s="67" t="s">
        <v>8444</v>
      </c>
      <c r="EW1053" s="67">
        <v>485.55</v>
      </c>
      <c r="EX1053" s="67" t="s">
        <v>8445</v>
      </c>
      <c r="EY1053" s="67">
        <v>5645.5</v>
      </c>
      <c r="EZ1053" s="67" t="s">
        <v>8446</v>
      </c>
      <c r="FA1053" s="67">
        <v>19944.5</v>
      </c>
      <c r="FB1053" s="67" t="s">
        <v>8447</v>
      </c>
      <c r="FC1053" s="67" t="s">
        <v>8448</v>
      </c>
      <c r="FD1053" s="67" t="s">
        <v>8449</v>
      </c>
      <c r="FE1053" s="68" t="s">
        <v>8450</v>
      </c>
      <c r="FF1053" s="68" t="s">
        <v>8451</v>
      </c>
    </row>
    <row r="1054" spans="151:162" x14ac:dyDescent="0.2">
      <c r="EU1054" s="67">
        <v>563.03</v>
      </c>
      <c r="EV1054" s="67" t="s">
        <v>8452</v>
      </c>
      <c r="EW1054" s="67">
        <v>485.17</v>
      </c>
      <c r="EX1054" s="67" t="s">
        <v>8453</v>
      </c>
      <c r="EY1054" s="67">
        <v>5644.75</v>
      </c>
      <c r="EZ1054" s="67" t="s">
        <v>8454</v>
      </c>
      <c r="FA1054" s="67">
        <v>19930.75</v>
      </c>
      <c r="FB1054" s="67" t="s">
        <v>8455</v>
      </c>
      <c r="FC1054" s="67" t="s">
        <v>8456</v>
      </c>
      <c r="FD1054" s="67" t="s">
        <v>8457</v>
      </c>
      <c r="FE1054" s="68" t="s">
        <v>8458</v>
      </c>
      <c r="FF1054" s="68" t="s">
        <v>8459</v>
      </c>
    </row>
    <row r="1055" spans="151:162" x14ac:dyDescent="0.2">
      <c r="EU1055" s="67">
        <v>562.98</v>
      </c>
      <c r="EV1055" s="67" t="s">
        <v>8460</v>
      </c>
      <c r="EW1055" s="67">
        <v>485.26</v>
      </c>
      <c r="EX1055" s="67" t="s">
        <v>8461</v>
      </c>
      <c r="EY1055" s="67">
        <v>5644</v>
      </c>
      <c r="EZ1055" s="67" t="s">
        <v>8462</v>
      </c>
      <c r="FA1055" s="67">
        <v>19934</v>
      </c>
      <c r="FB1055" s="67" t="s">
        <v>8463</v>
      </c>
      <c r="FC1055" s="67" t="s">
        <v>8464</v>
      </c>
      <c r="FD1055" s="67" t="s">
        <v>8465</v>
      </c>
      <c r="FE1055" s="68" t="s">
        <v>8466</v>
      </c>
      <c r="FF1055" s="68" t="s">
        <v>8467</v>
      </c>
    </row>
    <row r="1056" spans="151:162" x14ac:dyDescent="0.2">
      <c r="EU1056" s="67">
        <v>562.95000000000005</v>
      </c>
      <c r="EV1056" s="67" t="s">
        <v>8468</v>
      </c>
      <c r="EW1056" s="67">
        <v>485.21</v>
      </c>
      <c r="EX1056" s="67" t="s">
        <v>8469</v>
      </c>
      <c r="EY1056" s="67">
        <v>5643.75</v>
      </c>
      <c r="EZ1056" s="67" t="s">
        <v>8470</v>
      </c>
      <c r="FA1056" s="67">
        <v>19932.5</v>
      </c>
      <c r="FB1056" s="67" t="s">
        <v>8471</v>
      </c>
      <c r="FC1056" s="67" t="s">
        <v>8472</v>
      </c>
      <c r="FD1056" s="67" t="s">
        <v>8473</v>
      </c>
      <c r="FE1056" s="68" t="s">
        <v>8474</v>
      </c>
      <c r="FF1056" s="68" t="s">
        <v>8475</v>
      </c>
    </row>
    <row r="1057" spans="151:162" x14ac:dyDescent="0.2">
      <c r="EU1057" s="67">
        <v>562.91999999999996</v>
      </c>
      <c r="EV1057" s="67" t="s">
        <v>8476</v>
      </c>
      <c r="EW1057" s="67">
        <v>485.09</v>
      </c>
      <c r="EX1057" s="67" t="s">
        <v>8477</v>
      </c>
      <c r="EY1057" s="67">
        <v>5643.25</v>
      </c>
      <c r="EZ1057" s="67" t="s">
        <v>8478</v>
      </c>
      <c r="FA1057" s="67">
        <v>19928.5</v>
      </c>
      <c r="FB1057" s="67" t="s">
        <v>8479</v>
      </c>
      <c r="FC1057" s="67" t="s">
        <v>8480</v>
      </c>
      <c r="FD1057" s="67" t="s">
        <v>8481</v>
      </c>
      <c r="FE1057" s="68" t="s">
        <v>8482</v>
      </c>
      <c r="FF1057" s="68" t="s">
        <v>8483</v>
      </c>
    </row>
    <row r="1058" spans="151:162" x14ac:dyDescent="0.2">
      <c r="EU1058" s="67">
        <v>562.98</v>
      </c>
      <c r="EV1058" s="67" t="s">
        <v>8484</v>
      </c>
      <c r="EW1058" s="67">
        <v>485.29</v>
      </c>
      <c r="EX1058" s="67" t="s">
        <v>8485</v>
      </c>
      <c r="EY1058" s="67">
        <v>5644</v>
      </c>
      <c r="EZ1058" s="67" t="s">
        <v>8486</v>
      </c>
      <c r="FA1058" s="67">
        <v>19935.5</v>
      </c>
      <c r="FB1058" s="67" t="s">
        <v>8487</v>
      </c>
      <c r="FC1058" s="67" t="s">
        <v>8488</v>
      </c>
      <c r="FD1058" s="67" t="s">
        <v>8489</v>
      </c>
      <c r="FE1058" s="68" t="s">
        <v>8490</v>
      </c>
      <c r="FF1058" s="68" t="s">
        <v>8491</v>
      </c>
    </row>
    <row r="1059" spans="151:162" x14ac:dyDescent="0.2">
      <c r="EU1059" s="67">
        <v>562.99</v>
      </c>
      <c r="EV1059" s="67" t="s">
        <v>8492</v>
      </c>
      <c r="EW1059" s="67">
        <v>485.28</v>
      </c>
      <c r="EX1059" s="67" t="s">
        <v>8493</v>
      </c>
      <c r="EY1059" s="67">
        <v>5644.5</v>
      </c>
      <c r="EZ1059" s="67" t="s">
        <v>8494</v>
      </c>
      <c r="FA1059" s="67">
        <v>19935</v>
      </c>
      <c r="FB1059" s="67" t="s">
        <v>8495</v>
      </c>
      <c r="FC1059" s="67" t="s">
        <v>8496</v>
      </c>
      <c r="FD1059" s="67" t="s">
        <v>8497</v>
      </c>
      <c r="FE1059" s="68" t="s">
        <v>8498</v>
      </c>
      <c r="FF1059" s="68" t="s">
        <v>8499</v>
      </c>
    </row>
    <row r="1060" spans="151:162" x14ac:dyDescent="0.2">
      <c r="EU1060" s="67">
        <v>563</v>
      </c>
      <c r="EV1060" s="67" t="s">
        <v>8500</v>
      </c>
      <c r="EW1060" s="67">
        <v>485.24</v>
      </c>
      <c r="EX1060" s="67" t="s">
        <v>8501</v>
      </c>
      <c r="EY1060" s="67">
        <v>5644.25</v>
      </c>
      <c r="EZ1060" s="67" t="s">
        <v>8502</v>
      </c>
      <c r="FA1060" s="67">
        <v>19933.5</v>
      </c>
      <c r="FB1060" s="67" t="s">
        <v>8503</v>
      </c>
      <c r="FC1060" s="67" t="s">
        <v>8504</v>
      </c>
      <c r="FD1060" s="67" t="s">
        <v>8505</v>
      </c>
      <c r="FE1060" s="68" t="s">
        <v>8506</v>
      </c>
      <c r="FF1060" s="68" t="s">
        <v>8507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B42 C41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disablePrompts="1"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"GEX-OI,GEX-VOL,DEX,VOLPRESS,INVENTORY"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zoomScale="80" zoomScaleNormal="80" workbookViewId="0">
      <selection activeCell="Z22" sqref="Z22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250511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/>
      </c>
      <c r="E1" s="92" t="str">
        <f ca="1">IF(AND(TEXT(E3,"YYMMDD")&gt;$A$1,TEXT(E3,"YYMMDD")&lt;&gt;Hoja1!$C$2,TEXT(E3,"YYMMDD")&lt;&gt;Hoja1!$D$2),TEXT(E3,"YYMMDD"),"")</f>
        <v/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>250620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564.79999999999995</v>
      </c>
      <c r="B4" s="92"/>
      <c r="C4" s="92"/>
      <c r="D4" s="92"/>
    </row>
    <row r="5" spans="1:25" x14ac:dyDescent="0.25">
      <c r="A5" s="92">
        <f>+Hoja1!A4</f>
        <v>582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0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0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287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282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62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273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9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0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34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0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947</v>
      </c>
    </row>
    <row r="6" spans="1:25" x14ac:dyDescent="0.25">
      <c r="A6" s="92">
        <f>+Hoja1!A5</f>
        <v>581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0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0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315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655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55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518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92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11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2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0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2</v>
      </c>
      <c r="Y6" s="98">
        <f t="shared" ref="Y6:Y39" ca="1" si="3">SUM(B6:X6)</f>
        <v>1650</v>
      </c>
    </row>
    <row r="7" spans="1:25" x14ac:dyDescent="0.25">
      <c r="A7" s="92">
        <f>+Hoja1!A6</f>
        <v>580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0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0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3107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3249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807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1810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598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3673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162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116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3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-647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-13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36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224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-125</v>
      </c>
      <c r="Y7" s="98">
        <f t="shared" ca="1" si="3"/>
        <v>13000</v>
      </c>
    </row>
    <row r="8" spans="1:25" x14ac:dyDescent="0.25">
      <c r="A8" s="92">
        <f>+Hoja1!A7</f>
        <v>579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0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126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282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164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483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-34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18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0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0</v>
      </c>
      <c r="Y8" s="98">
        <f t="shared" ca="1" si="3"/>
        <v>1040</v>
      </c>
    </row>
    <row r="9" spans="1:25" x14ac:dyDescent="0.25">
      <c r="A9" s="93">
        <f>+Hoja1!A8</f>
        <v>578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0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0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227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564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55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463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38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-2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67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-21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-20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3"/>
        <v>1371</v>
      </c>
    </row>
    <row r="10" spans="1:25" x14ac:dyDescent="0.25">
      <c r="A10" s="93">
        <f>+Hoja1!A9</f>
        <v>577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0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170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282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113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200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9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2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29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0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3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0</v>
      </c>
      <c r="Y10" s="98">
        <f t="shared" ca="1" si="3"/>
        <v>808</v>
      </c>
    </row>
    <row r="11" spans="1:25" x14ac:dyDescent="0.25">
      <c r="A11" s="93">
        <f>+Hoja1!A10</f>
        <v>576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0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401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342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207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360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12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0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95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0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0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1417</v>
      </c>
    </row>
    <row r="12" spans="1:25" x14ac:dyDescent="0.25">
      <c r="A12" s="93">
        <f>+Hoja1!A11</f>
        <v>575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0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0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978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2397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537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2945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363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537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106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155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-2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103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24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-1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-8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-80</v>
      </c>
      <c r="Y12" s="98">
        <f t="shared" ca="1" si="3"/>
        <v>8054</v>
      </c>
    </row>
    <row r="13" spans="1:25" x14ac:dyDescent="0.25">
      <c r="A13" s="93">
        <f>+Hoja1!A12</f>
        <v>574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0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113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374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116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69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18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6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9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-4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-1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0</v>
      </c>
      <c r="Y13" s="98">
        <f t="shared" ca="1" si="3"/>
        <v>700</v>
      </c>
    </row>
    <row r="14" spans="1:25" x14ac:dyDescent="0.25">
      <c r="A14" s="93">
        <f>+Hoja1!A13</f>
        <v>573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0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152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861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204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160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43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0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9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6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0</v>
      </c>
      <c r="Y14" s="98">
        <f t="shared" ca="1" si="3"/>
        <v>1435</v>
      </c>
    </row>
    <row r="15" spans="1:25" x14ac:dyDescent="0.25">
      <c r="A15" s="93">
        <f>+Hoja1!A14</f>
        <v>572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0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0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282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483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426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262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-18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1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-6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0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0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-12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8</v>
      </c>
      <c r="Y15" s="98">
        <f t="shared" ca="1" si="3"/>
        <v>1426</v>
      </c>
    </row>
    <row r="16" spans="1:25" x14ac:dyDescent="0.25">
      <c r="A16" s="93">
        <f>+Hoja1!A15</f>
        <v>571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0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1562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192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167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98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13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0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121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-1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-1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19</v>
      </c>
      <c r="Y16" s="98">
        <f t="shared" ca="1" si="3"/>
        <v>2170</v>
      </c>
    </row>
    <row r="17" spans="1:25" x14ac:dyDescent="0.25">
      <c r="A17" s="93">
        <f>+Hoja1!A16</f>
        <v>570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0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1240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1834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1064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-50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721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-668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77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-40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-15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-178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-40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-33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-363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-5</v>
      </c>
      <c r="Y17" s="98">
        <f t="shared" ca="1" si="3"/>
        <v>3544</v>
      </c>
    </row>
    <row r="18" spans="1:25" x14ac:dyDescent="0.25">
      <c r="A18" s="93">
        <f>+Hoja1!A17</f>
        <v>569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0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23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343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4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56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-8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5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-10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4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6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-9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-1</v>
      </c>
      <c r="Y18" s="98">
        <f t="shared" ca="1" si="3"/>
        <v>413</v>
      </c>
    </row>
    <row r="19" spans="1:25" x14ac:dyDescent="0.25">
      <c r="A19" s="93">
        <f>+Hoja1!A18</f>
        <v>568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0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303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923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137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-43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-7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0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104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5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3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-12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3</v>
      </c>
      <c r="Y19" s="98">
        <f t="shared" ca="1" si="3"/>
        <v>1416</v>
      </c>
    </row>
    <row r="20" spans="1:25" x14ac:dyDescent="0.25">
      <c r="A20" s="93">
        <f>+Hoja1!A19</f>
        <v>567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580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326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70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-261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86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-1028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14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-29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-3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-2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0</v>
      </c>
      <c r="Y20" s="98">
        <f t="shared" ca="1" si="3"/>
        <v>-247</v>
      </c>
    </row>
    <row r="21" spans="1:25" x14ac:dyDescent="0.25">
      <c r="A21" s="93">
        <f>+Hoja1!A20</f>
        <v>566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0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476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570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-672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-179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62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27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-24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23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-2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18</v>
      </c>
      <c r="Y21" s="98">
        <f t="shared" ca="1" si="3"/>
        <v>299</v>
      </c>
    </row>
    <row r="22" spans="1:25" x14ac:dyDescent="0.25">
      <c r="A22" s="93">
        <f>+Hoja1!A21</f>
        <v>565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0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890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2227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1060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-4398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-72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-33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-140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-144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-52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-349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-100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-36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-8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56</v>
      </c>
      <c r="Y22" s="98">
        <f t="shared" ca="1" si="3"/>
        <v>-1099</v>
      </c>
    </row>
    <row r="23" spans="1:25" x14ac:dyDescent="0.25">
      <c r="A23" s="93">
        <f>+Hoja1!A22</f>
        <v>564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0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0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104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132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-1034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-23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87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-24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-137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-13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16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-101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-33</v>
      </c>
      <c r="Y23" s="98">
        <f t="shared" ca="1" si="3"/>
        <v>-1026</v>
      </c>
    </row>
    <row r="24" spans="1:25" x14ac:dyDescent="0.25">
      <c r="A24" s="93">
        <f>+Hoja1!A23</f>
        <v>563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0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0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372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78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356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-335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82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-108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-130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9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2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-2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-151</v>
      </c>
      <c r="Y24" s="98">
        <f t="shared" ca="1" si="3"/>
        <v>173</v>
      </c>
    </row>
    <row r="25" spans="1:25" x14ac:dyDescent="0.25">
      <c r="A25" s="93">
        <f>+Hoja1!A24</f>
        <v>562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0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-392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517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27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-187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-28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-3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-110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0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-11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-10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-387</v>
      </c>
      <c r="Y25" s="98">
        <f t="shared" ca="1" si="3"/>
        <v>-584</v>
      </c>
    </row>
    <row r="26" spans="1:25" x14ac:dyDescent="0.25">
      <c r="A26" s="93">
        <f>+Hoja1!A25</f>
        <v>561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0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-1002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-625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26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-334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-35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0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-146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0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-3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-13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-132</v>
      </c>
      <c r="Y26" s="98">
        <f t="shared" ca="1" si="3"/>
        <v>-2264</v>
      </c>
    </row>
    <row r="27" spans="1:25" x14ac:dyDescent="0.25">
      <c r="A27" s="93">
        <f>+Hoja1!A26</f>
        <v>560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0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0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-1429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-820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-614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-6658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-658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-1015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-409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-539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-9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-194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-7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-31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-118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-3</v>
      </c>
      <c r="Y27" s="98">
        <f t="shared" ca="1" si="3"/>
        <v>-12504</v>
      </c>
    </row>
    <row r="28" spans="1:25" x14ac:dyDescent="0.25">
      <c r="A28" s="93">
        <f>+Hoja1!A27</f>
        <v>559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0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0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-194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-138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-118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-122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-386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-281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-2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0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0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-1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0</v>
      </c>
      <c r="Y28" s="98">
        <f t="shared" ca="1" si="3"/>
        <v>-1242</v>
      </c>
    </row>
    <row r="29" spans="1:25" x14ac:dyDescent="0.25">
      <c r="A29" s="93">
        <f>+Hoja1!A28</f>
        <v>558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-391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-321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11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-191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-76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-148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6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-7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-1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-7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2</v>
      </c>
      <c r="Y29" s="98">
        <f t="shared" ca="1" si="3"/>
        <v>-1123</v>
      </c>
    </row>
    <row r="30" spans="1:25" x14ac:dyDescent="0.25">
      <c r="A30" s="93">
        <f>+Hoja1!A29</f>
        <v>557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0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-132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-335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-193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-371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-4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-61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-9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0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-5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-5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0</v>
      </c>
      <c r="Y30" s="98">
        <f t="shared" ca="1" si="3"/>
        <v>-1115</v>
      </c>
    </row>
    <row r="31" spans="1:25" x14ac:dyDescent="0.25">
      <c r="A31" s="93">
        <f>+Hoja1!A30</f>
        <v>556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0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-257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-1971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-106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-361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-76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11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-1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-1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-2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-7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3"/>
        <v>-2771</v>
      </c>
    </row>
    <row r="32" spans="1:25" x14ac:dyDescent="0.25">
      <c r="A32" s="93">
        <f>+Hoja1!A31</f>
        <v>555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0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-6444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-1941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-442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-743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-567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-457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-124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-177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-23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-79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-3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-82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-62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-8</v>
      </c>
      <c r="Y32" s="98">
        <f t="shared" ca="1" si="3"/>
        <v>-11152</v>
      </c>
    </row>
    <row r="33" spans="1:25" x14ac:dyDescent="0.25">
      <c r="A33" s="93">
        <f>+Hoja1!A32</f>
        <v>554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0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0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-179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-445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-218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-628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-13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2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-10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-3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-6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-1</v>
      </c>
      <c r="Y33" s="98">
        <f t="shared" ca="1" si="3"/>
        <v>-1501</v>
      </c>
    </row>
    <row r="34" spans="1:25" x14ac:dyDescent="0.25">
      <c r="A34" s="93">
        <f>+Hoja1!A33</f>
        <v>553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0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0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-126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-291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-71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-327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-95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2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-122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-3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17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-3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3"/>
        <v>-1019</v>
      </c>
    </row>
    <row r="35" spans="1:25" x14ac:dyDescent="0.25">
      <c r="A35" s="93">
        <f>+Hoja1!A34</f>
        <v>552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0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0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-244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6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-8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-386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-19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-1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-5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0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-2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-5</v>
      </c>
      <c r="Y35" s="98">
        <f t="shared" ca="1" si="3"/>
        <v>-664</v>
      </c>
    </row>
    <row r="36" spans="1:25" x14ac:dyDescent="0.25">
      <c r="A36" s="93">
        <f>+Hoja1!A35</f>
        <v>551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0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-100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-80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-25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-181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-8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-9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-1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-2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-4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0</v>
      </c>
      <c r="Y36" s="98">
        <f t="shared" ca="1" si="3"/>
        <v>-410</v>
      </c>
    </row>
    <row r="37" spans="1:25" x14ac:dyDescent="0.25">
      <c r="A37" s="93">
        <f>+Hoja1!A36</f>
        <v>550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0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-2900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-3537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-393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-8829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-667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-2060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-341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-353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-21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-1301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-107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-91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-575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-70</v>
      </c>
      <c r="Y37" s="98">
        <f t="shared" ca="1" si="3"/>
        <v>-21245</v>
      </c>
    </row>
    <row r="38" spans="1:25" x14ac:dyDescent="0.25">
      <c r="A38" s="93">
        <f>+Hoja1!A37</f>
        <v>549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0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0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-226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-66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-189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-456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-15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-4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-10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-3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-10</v>
      </c>
      <c r="Y38" s="98">
        <f t="shared" ca="1" si="3"/>
        <v>-980</v>
      </c>
    </row>
    <row r="39" spans="1:25" x14ac:dyDescent="0.25">
      <c r="A39" s="93">
        <f>+Hoja1!A38</f>
        <v>548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0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0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-147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-39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-15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-75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-4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1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-52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0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-1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0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0</v>
      </c>
      <c r="Y39" s="98">
        <f t="shared" ca="1" si="3"/>
        <v>-332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>250620</v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487.92</v>
      </c>
      <c r="B45" s="92"/>
      <c r="C45" s="92"/>
      <c r="D45" s="92"/>
    </row>
    <row r="46" spans="1:25" x14ac:dyDescent="0.25">
      <c r="A46" s="93">
        <f>+Hoja1!A45</f>
        <v>502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0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0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-164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17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7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3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12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-125</v>
      </c>
    </row>
    <row r="47" spans="1:25" x14ac:dyDescent="0.25">
      <c r="A47" s="93">
        <f>+Hoja1!A46</f>
        <v>501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-92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367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9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-40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7">SUM(B47:X47)</f>
        <v>244</v>
      </c>
    </row>
    <row r="48" spans="1:25" x14ac:dyDescent="0.25">
      <c r="A48" s="93">
        <f>+Hoja1!A47</f>
        <v>500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0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0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5887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5652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544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3351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-188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159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4033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277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65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358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114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115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32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-6</v>
      </c>
      <c r="Y48" s="98">
        <f t="shared" ca="1" si="7"/>
        <v>20393</v>
      </c>
    </row>
    <row r="49" spans="1:25" x14ac:dyDescent="0.25">
      <c r="A49" s="93">
        <f>+Hoja1!A48</f>
        <v>499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0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0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-228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-6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1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10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-5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2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7"/>
        <v>-226</v>
      </c>
    </row>
    <row r="50" spans="1:25" x14ac:dyDescent="0.25">
      <c r="A50" s="93">
        <f>+Hoja1!A49</f>
        <v>498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0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0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62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56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-3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-2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-10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0</v>
      </c>
      <c r="Y50" s="98">
        <f t="shared" ca="1" si="7"/>
        <v>103</v>
      </c>
    </row>
    <row r="51" spans="1:25" x14ac:dyDescent="0.25">
      <c r="A51" s="93">
        <f>+Hoja1!A50</f>
        <v>497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0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0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182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223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117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-191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-20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1</v>
      </c>
      <c r="Y51" s="98">
        <f t="shared" ca="1" si="7"/>
        <v>312</v>
      </c>
    </row>
    <row r="52" spans="1:25" x14ac:dyDescent="0.25">
      <c r="A52" s="93">
        <f>+Hoja1!A51</f>
        <v>496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0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0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12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57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28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-8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1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0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1</v>
      </c>
      <c r="Y52" s="98">
        <f t="shared" ca="1" si="7"/>
        <v>91</v>
      </c>
    </row>
    <row r="53" spans="1:25" x14ac:dyDescent="0.25">
      <c r="A53" s="93">
        <f>+Hoja1!A52</f>
        <v>495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0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584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645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114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4475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17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97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50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53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29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47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-14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96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4</v>
      </c>
      <c r="Y53" s="98">
        <f t="shared" ca="1" si="7"/>
        <v>6197</v>
      </c>
    </row>
    <row r="54" spans="1:25" x14ac:dyDescent="0.25">
      <c r="A54" s="93">
        <f>+Hoja1!A53</f>
        <v>494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0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135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23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-3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-3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-3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-3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7"/>
        <v>146</v>
      </c>
    </row>
    <row r="55" spans="1:25" x14ac:dyDescent="0.25">
      <c r="A55" s="93">
        <f>+Hoja1!A54</f>
        <v>493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0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27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304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39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10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-3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7"/>
        <v>377</v>
      </c>
    </row>
    <row r="56" spans="1:25" x14ac:dyDescent="0.25">
      <c r="A56" s="93">
        <f>+Hoja1!A55</f>
        <v>492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0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455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-86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118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13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18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5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523</v>
      </c>
    </row>
    <row r="57" spans="1:25" x14ac:dyDescent="0.25">
      <c r="A57" s="93">
        <f>+Hoja1!A56</f>
        <v>491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0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0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1264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-356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98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29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-3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-2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0</v>
      </c>
      <c r="Y57" s="98">
        <f t="shared" ca="1" si="7"/>
        <v>1030</v>
      </c>
    </row>
    <row r="58" spans="1:25" x14ac:dyDescent="0.25">
      <c r="A58" s="93">
        <f>+Hoja1!A57</f>
        <v>490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24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-400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-150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1235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-6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-184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108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-78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-62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-80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-9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-101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14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8</v>
      </c>
      <c r="Y58" s="98">
        <f t="shared" ca="1" si="7"/>
        <v>319</v>
      </c>
    </row>
    <row r="59" spans="1:25" x14ac:dyDescent="0.25">
      <c r="A59" s="93">
        <f>+Hoja1!A58</f>
        <v>489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0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0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-17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-137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-42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-6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-10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4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3</v>
      </c>
      <c r="Y59" s="98">
        <f t="shared" ca="1" si="7"/>
        <v>-205</v>
      </c>
    </row>
    <row r="60" spans="1:25" x14ac:dyDescent="0.25">
      <c r="A60" s="93">
        <f>+Hoja1!A59</f>
        <v>488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0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193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-274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-61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-1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-102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4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-8</v>
      </c>
      <c r="Y60" s="98">
        <f t="shared" ca="1" si="7"/>
        <v>-249</v>
      </c>
    </row>
    <row r="61" spans="1:25" x14ac:dyDescent="0.25">
      <c r="A61" s="93">
        <f>+Hoja1!A60</f>
        <v>487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0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0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-284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-195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-119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-16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-18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44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19</v>
      </c>
      <c r="Y61" s="98">
        <f t="shared" ca="1" si="7"/>
        <v>-569</v>
      </c>
    </row>
    <row r="62" spans="1:25" x14ac:dyDescent="0.25">
      <c r="A62" s="93">
        <f>+Hoja1!A61</f>
        <v>486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0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-290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-237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-28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-52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-2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20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0</v>
      </c>
      <c r="Y62" s="98">
        <f t="shared" ca="1" si="7"/>
        <v>-589</v>
      </c>
    </row>
    <row r="63" spans="1:25" x14ac:dyDescent="0.25">
      <c r="A63" s="93">
        <f>+Hoja1!A62</f>
        <v>485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0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-2069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-262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-60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-1295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3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-64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-3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17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26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-545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-95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102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-11</v>
      </c>
      <c r="Y63" s="98">
        <f t="shared" ca="1" si="7"/>
        <v>-4256</v>
      </c>
    </row>
    <row r="64" spans="1:25" x14ac:dyDescent="0.25">
      <c r="A64" s="93">
        <f>+Hoja1!A63</f>
        <v>484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0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0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-106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-1766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-2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0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-1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8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9</v>
      </c>
      <c r="Y64" s="98">
        <f t="shared" ca="1" si="7"/>
        <v>-1858</v>
      </c>
    </row>
    <row r="65" spans="1:25" x14ac:dyDescent="0.25">
      <c r="A65" s="93">
        <f>+Hoja1!A64</f>
        <v>483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0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-230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-118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-3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9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-20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0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-2</v>
      </c>
      <c r="Y65" s="98">
        <f t="shared" ca="1" si="7"/>
        <v>-364</v>
      </c>
    </row>
    <row r="66" spans="1:25" x14ac:dyDescent="0.25">
      <c r="A66" s="93">
        <f>+Hoja1!A65</f>
        <v>482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0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0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-31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95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-99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3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18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0</v>
      </c>
      <c r="Y66" s="98">
        <f t="shared" ca="1" si="7"/>
        <v>-14</v>
      </c>
    </row>
    <row r="67" spans="1:25" x14ac:dyDescent="0.25">
      <c r="A67" s="93">
        <f>+Hoja1!A66</f>
        <v>481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0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-299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53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-8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-10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1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7"/>
        <v>-263</v>
      </c>
    </row>
    <row r="68" spans="1:25" x14ac:dyDescent="0.25">
      <c r="A68" s="93">
        <f>+Hoja1!A67</f>
        <v>480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0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-5459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-5181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-369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-4520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-141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-501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66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-57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-16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-124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-10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-3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-15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3</v>
      </c>
      <c r="Y68" s="98">
        <f t="shared" ca="1" si="7"/>
        <v>-16327</v>
      </c>
    </row>
    <row r="69" spans="1:25" x14ac:dyDescent="0.25">
      <c r="A69" s="93">
        <f>+Hoja1!A68</f>
        <v>479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0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-19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-55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-5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-8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-2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-1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3</v>
      </c>
      <c r="Y69" s="98">
        <f t="shared" ca="1" si="7"/>
        <v>-87</v>
      </c>
    </row>
    <row r="70" spans="1:25" x14ac:dyDescent="0.25">
      <c r="A70" s="93">
        <f>+Hoja1!A69</f>
        <v>478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0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0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-113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-36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-14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-2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-14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1</v>
      </c>
      <c r="Y70" s="98">
        <f t="shared" ca="1" si="7"/>
        <v>-181</v>
      </c>
    </row>
    <row r="71" spans="1:25" x14ac:dyDescent="0.25">
      <c r="A71" s="93">
        <f>+Hoja1!A70</f>
        <v>477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0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-103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-33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-227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-5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-3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0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-1</v>
      </c>
      <c r="Y71" s="98">
        <f t="shared" ca="1" si="7"/>
        <v>-372</v>
      </c>
    </row>
    <row r="72" spans="1:25" x14ac:dyDescent="0.25">
      <c r="A72" s="93">
        <f>+Hoja1!A71</f>
        <v>476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0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-148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-112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-24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-10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-12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-42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7"/>
        <v>-348</v>
      </c>
    </row>
    <row r="73" spans="1:25" x14ac:dyDescent="0.25">
      <c r="A73" s="93">
        <f>+Hoja1!A72</f>
        <v>475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-6874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-2882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-82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-978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1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-277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-4015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-188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-7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-74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-25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-30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-1</v>
      </c>
      <c r="Y73" s="98">
        <f t="shared" ca="1" si="7"/>
        <v>-15432</v>
      </c>
    </row>
    <row r="74" spans="1:25" x14ac:dyDescent="0.25">
      <c r="A74" s="93">
        <f>+Hoja1!A73</f>
        <v>474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0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-53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-81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-58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-8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-6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-25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7"/>
        <v>-231</v>
      </c>
    </row>
    <row r="75" spans="1:25" x14ac:dyDescent="0.25">
      <c r="A75" s="93">
        <f>+Hoja1!A74</f>
        <v>473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0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-134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-7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-15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-1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7"/>
        <v>-158</v>
      </c>
    </row>
    <row r="76" spans="1:25" x14ac:dyDescent="0.25">
      <c r="A76" s="93">
        <f>+Hoja1!A75</f>
        <v>472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0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-676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-129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-11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0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0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-1</v>
      </c>
      <c r="Y76" s="98">
        <f t="shared" ca="1" si="7"/>
        <v>-817</v>
      </c>
    </row>
    <row r="77" spans="1:25" x14ac:dyDescent="0.25">
      <c r="A77" s="93">
        <f>+Hoja1!A76</f>
        <v>471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0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-86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-84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1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-8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4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7"/>
        <v>-173</v>
      </c>
    </row>
    <row r="78" spans="1:25" x14ac:dyDescent="0.25">
      <c r="A78" s="93">
        <f>+Hoja1!A77</f>
        <v>470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0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0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-1597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-2291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33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-4518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-126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-4794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-36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-486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-6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-478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-15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-29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-7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0</v>
      </c>
      <c r="Y78" s="98">
        <f t="shared" ca="1" si="7"/>
        <v>-14350</v>
      </c>
    </row>
    <row r="79" spans="1:25" x14ac:dyDescent="0.25">
      <c r="A79" s="93">
        <f>+Hoja1!A78</f>
        <v>469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0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0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-54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-127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-9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-3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-2</v>
      </c>
      <c r="Y79" s="98">
        <f t="shared" ca="1" si="7"/>
        <v>-194</v>
      </c>
    </row>
    <row r="80" spans="1:25" x14ac:dyDescent="0.25">
      <c r="A80" s="93">
        <f>+Hoja1!A79</f>
        <v>468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0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0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-319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-42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-8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2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-12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7"/>
        <v>-379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/>
      </c>
      <c r="E82" s="92" t="str">
        <f t="shared" ca="1" si="8"/>
        <v/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>250620</v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5660</v>
      </c>
      <c r="B85" s="92"/>
    </row>
    <row r="86" spans="1:25" x14ac:dyDescent="0.25">
      <c r="A86" s="93">
        <f>+Hoja1!A85</f>
        <v>5870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0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0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15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45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-5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1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3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0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0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59</v>
      </c>
    </row>
    <row r="87" spans="1:25" x14ac:dyDescent="0.25">
      <c r="A87" s="93">
        <f>+Hoja1!A86</f>
        <v>5860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0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57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57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1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1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-1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115</v>
      </c>
    </row>
    <row r="88" spans="1:25" x14ac:dyDescent="0.25">
      <c r="A88" s="93">
        <f>+Hoja1!A87</f>
        <v>5850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0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0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271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34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594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18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178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4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-10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0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69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14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12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2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30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10"/>
        <v>1216</v>
      </c>
    </row>
    <row r="89" spans="1:25" x14ac:dyDescent="0.25">
      <c r="A89" s="93">
        <f>+Hoja1!A88</f>
        <v>5840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0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0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214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14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0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1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1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4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0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234</v>
      </c>
    </row>
    <row r="90" spans="1:25" x14ac:dyDescent="0.25">
      <c r="A90" s="93">
        <f>+Hoja1!A89</f>
        <v>5830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90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87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58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0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1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236</v>
      </c>
    </row>
    <row r="91" spans="1:25" x14ac:dyDescent="0.25">
      <c r="A91" s="93">
        <f>+Hoja1!A90</f>
        <v>5820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0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0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44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20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2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0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16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0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-4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1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14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93</v>
      </c>
    </row>
    <row r="92" spans="1:25" x14ac:dyDescent="0.25">
      <c r="A92" s="93">
        <f>+Hoja1!A91</f>
        <v>5810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0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12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240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5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52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15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4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328</v>
      </c>
    </row>
    <row r="93" spans="1:25" x14ac:dyDescent="0.25">
      <c r="A93" s="93">
        <f>+Hoja1!A92</f>
        <v>5800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0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1188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875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1293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2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39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5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71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0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475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240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-1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-202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-385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-1</v>
      </c>
      <c r="Y93" s="98">
        <f t="shared" ca="1" si="10"/>
        <v>3599</v>
      </c>
    </row>
    <row r="94" spans="1:25" x14ac:dyDescent="0.25">
      <c r="A94" s="93">
        <f>+Hoja1!A93</f>
        <v>5790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0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0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262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256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28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3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16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-6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-1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2</v>
      </c>
      <c r="Y94" s="98">
        <f t="shared" ca="1" si="10"/>
        <v>560</v>
      </c>
    </row>
    <row r="95" spans="1:25" x14ac:dyDescent="0.25">
      <c r="A95" s="93">
        <f>+Hoja1!A94</f>
        <v>5780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0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27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553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36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0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12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-9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0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11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0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2</v>
      </c>
      <c r="Y95" s="98">
        <f t="shared" ca="1" si="10"/>
        <v>632</v>
      </c>
    </row>
    <row r="96" spans="1:25" x14ac:dyDescent="0.25">
      <c r="A96" s="93">
        <f>+Hoja1!A95</f>
        <v>5770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0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0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37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980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49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0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4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0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-17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-2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1051</v>
      </c>
    </row>
    <row r="97" spans="1:25" x14ac:dyDescent="0.25">
      <c r="A97" s="93">
        <f>+Hoja1!A96</f>
        <v>5760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0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0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53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534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4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1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24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-22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-8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3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4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10"/>
        <v>593</v>
      </c>
    </row>
    <row r="98" spans="1:25" x14ac:dyDescent="0.25">
      <c r="A98" s="93">
        <f>+Hoja1!A97</f>
        <v>5750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0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0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84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66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321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16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47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3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-1476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0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200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1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-8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0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404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-11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0</v>
      </c>
      <c r="Y98" s="98">
        <f t="shared" ca="1" si="10"/>
        <v>-353</v>
      </c>
    </row>
    <row r="99" spans="1:25" x14ac:dyDescent="0.25">
      <c r="A99" s="93">
        <f>+Hoja1!A98</f>
        <v>5740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0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0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13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5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22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4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34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9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-12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-15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10"/>
        <v>60</v>
      </c>
    </row>
    <row r="100" spans="1:25" x14ac:dyDescent="0.25">
      <c r="A100" s="93">
        <f>+Hoja1!A99</f>
        <v>5730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0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106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4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-25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3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-82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1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-12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-2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1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-6</v>
      </c>
    </row>
    <row r="101" spans="1:25" x14ac:dyDescent="0.25">
      <c r="A101" s="93">
        <f>+Hoja1!A100</f>
        <v>5720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0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13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63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-18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-1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89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0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-2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7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2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3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0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156</v>
      </c>
    </row>
    <row r="102" spans="1:25" x14ac:dyDescent="0.25">
      <c r="A102" s="93">
        <f>+Hoja1!A101</f>
        <v>5710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0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0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29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-19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-19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88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3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14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-6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90</v>
      </c>
    </row>
    <row r="103" spans="1:25" x14ac:dyDescent="0.25">
      <c r="A103" s="93">
        <f>+Hoja1!A102</f>
        <v>5700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0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0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180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-449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434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-59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26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132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0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36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4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8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-22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-108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0</v>
      </c>
      <c r="Y103" s="98">
        <f t="shared" ca="1" si="10"/>
        <v>182</v>
      </c>
    </row>
    <row r="104" spans="1:25" x14ac:dyDescent="0.25">
      <c r="A104" s="93">
        <f>+Hoja1!A103</f>
        <v>5690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0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0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4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-2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-137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5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-91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-1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-2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0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1</v>
      </c>
      <c r="Y104" s="98">
        <f t="shared" ca="1" si="10"/>
        <v>-223</v>
      </c>
    </row>
    <row r="105" spans="1:25" x14ac:dyDescent="0.25">
      <c r="A105" s="93">
        <f>+Hoja1!A104</f>
        <v>5680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0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0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67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-135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-19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0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66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-2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-4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-1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12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-1</v>
      </c>
      <c r="Y105" s="98">
        <f t="shared" ca="1" si="10"/>
        <v>-17</v>
      </c>
    </row>
    <row r="106" spans="1:25" x14ac:dyDescent="0.25">
      <c r="A106" s="93">
        <f>+Hoja1!A105</f>
        <v>5670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0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-11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7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-48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1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-17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0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1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-1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-68</v>
      </c>
    </row>
    <row r="107" spans="1:25" x14ac:dyDescent="0.25">
      <c r="A107" s="93">
        <f>+Hoja1!A106</f>
        <v>5660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0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49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-466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-68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7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-4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0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1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4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-1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-11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2</v>
      </c>
      <c r="Y107" s="98">
        <f t="shared" ca="1" si="10"/>
        <v>-487</v>
      </c>
    </row>
    <row r="108" spans="1:25" x14ac:dyDescent="0.25">
      <c r="A108" s="93">
        <f>+Hoja1!A107</f>
        <v>5650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0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-335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81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-402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-17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-76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-12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-1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1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-255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-1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-4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-15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-9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0</v>
      </c>
      <c r="Y108" s="98">
        <f t="shared" ca="1" si="10"/>
        <v>-1045</v>
      </c>
    </row>
    <row r="109" spans="1:25" x14ac:dyDescent="0.25">
      <c r="A109" s="93">
        <f>+Hoja1!A108</f>
        <v>5640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0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0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-8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-37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-20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2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13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0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13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-4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3</v>
      </c>
      <c r="Y109" s="98">
        <f t="shared" ca="1" si="10"/>
        <v>-38</v>
      </c>
    </row>
    <row r="110" spans="1:25" x14ac:dyDescent="0.25">
      <c r="A110" s="93">
        <f>+Hoja1!A109</f>
        <v>5630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0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0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-59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3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-8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-1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12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0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19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-34</v>
      </c>
    </row>
    <row r="111" spans="1:25" x14ac:dyDescent="0.25">
      <c r="A111" s="93">
        <f>+Hoja1!A110</f>
        <v>5620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0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-13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4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-11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0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-12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-1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8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-1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-11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5</v>
      </c>
      <c r="Y111" s="98">
        <f t="shared" ca="1" si="10"/>
        <v>-32</v>
      </c>
    </row>
    <row r="112" spans="1:25" x14ac:dyDescent="0.25">
      <c r="A112" s="93">
        <f>+Hoja1!A111</f>
        <v>5610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0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-18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3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-2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-1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-8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-3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-1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-13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-43</v>
      </c>
    </row>
    <row r="113" spans="1:25" x14ac:dyDescent="0.25">
      <c r="A113" s="93">
        <f>+Hoja1!A112</f>
        <v>5600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0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-285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-22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-622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-47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119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3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-197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1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-79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-159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82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-7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2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-57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4</v>
      </c>
      <c r="Y113" s="98">
        <f t="shared" ca="1" si="10"/>
        <v>-1264</v>
      </c>
    </row>
    <row r="114" spans="1:25" x14ac:dyDescent="0.25">
      <c r="A114" s="93">
        <f>+Hoja1!A113</f>
        <v>5590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0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0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-4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-3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-11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-3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-66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-2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-1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-6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-96</v>
      </c>
    </row>
    <row r="115" spans="1:25" x14ac:dyDescent="0.25">
      <c r="A115" s="93">
        <f>+Hoja1!A114</f>
        <v>5580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-10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-27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0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-52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-1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-5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0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-36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10"/>
        <v>-131</v>
      </c>
    </row>
    <row r="116" spans="1:25" x14ac:dyDescent="0.25">
      <c r="A116" s="93">
        <f>+Hoja1!A115</f>
        <v>5570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0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0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-53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-5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-3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-1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-62</v>
      </c>
    </row>
    <row r="117" spans="1:25" x14ac:dyDescent="0.25">
      <c r="A117" s="93">
        <f>+Hoja1!A116</f>
        <v>5560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0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0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-17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-221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0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0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-9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-2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10"/>
        <v>-249</v>
      </c>
    </row>
    <row r="118" spans="1:25" x14ac:dyDescent="0.25">
      <c r="A118" s="93">
        <f>+Hoja1!A117</f>
        <v>5550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0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-177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-15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-2603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-313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-22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-2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-2517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0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-156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-7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0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188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0</v>
      </c>
      <c r="Y118" s="98">
        <f t="shared" ca="1" si="10"/>
        <v>-5624</v>
      </c>
    </row>
    <row r="119" spans="1:25" x14ac:dyDescent="0.25">
      <c r="A119" s="93">
        <f>+Hoja1!A118</f>
        <v>5540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0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-9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-32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-126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2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-5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-2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-5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0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10"/>
        <v>-177</v>
      </c>
    </row>
    <row r="120" spans="1:25" x14ac:dyDescent="0.25">
      <c r="A120" s="93">
        <f>+Hoja1!A119</f>
        <v>5530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0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-9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-248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122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-1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-19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-5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-3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-163</v>
      </c>
    </row>
    <row r="121" spans="1:25" x14ac:dyDescent="0.25">
      <c r="A121" s="93">
        <f>+Hoja1!A120</f>
        <v>5520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0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0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-1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-59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2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-5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-14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-2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-1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-80</v>
      </c>
    </row>
    <row r="122" spans="1:25" x14ac:dyDescent="0.25">
      <c r="A122" s="93">
        <f>+Hoja1!A121</f>
        <v>5510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0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0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-8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-8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1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3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-11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0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-14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-1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-38</v>
      </c>
    </row>
    <row r="123" spans="1:25" x14ac:dyDescent="0.25">
      <c r="A123" s="93">
        <f>+Hoja1!A122</f>
        <v>5500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0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0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-1211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-329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-3578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-411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-198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-4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-8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-81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79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-54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-6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-9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1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-62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0</v>
      </c>
      <c r="Y123" s="98">
        <f t="shared" ca="1" si="10"/>
        <v>-5871</v>
      </c>
    </row>
    <row r="124" spans="1:25" x14ac:dyDescent="0.25">
      <c r="A124" s="93">
        <f>+Hoja1!A123</f>
        <v>5490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0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-19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-1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0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-23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-2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-1</v>
      </c>
      <c r="Y124" s="98">
        <f t="shared" ca="1" si="10"/>
        <v>-46</v>
      </c>
    </row>
    <row r="125" spans="1:25" x14ac:dyDescent="0.25">
      <c r="A125" s="93">
        <f>+Hoja1!A124</f>
        <v>5480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0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0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-196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-5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0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-6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-3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-6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10"/>
        <v>-216</v>
      </c>
    </row>
    <row r="126" spans="1:25" x14ac:dyDescent="0.25">
      <c r="A126" s="93">
        <f>+Hoja1!A125</f>
        <v>5470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0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-12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-3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-19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-1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-1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-7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-1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-44</v>
      </c>
    </row>
    <row r="127" spans="1:25" x14ac:dyDescent="0.25">
      <c r="A127" s="93">
        <f>+Hoja1!A126</f>
        <v>5460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0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0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-25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-28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-1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-112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-166</v>
      </c>
    </row>
    <row r="128" spans="1:25" x14ac:dyDescent="0.25">
      <c r="A128" s="93">
        <f>+Hoja1!A127</f>
        <v>5450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0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-111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-215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-524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-71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-220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-5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-108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-14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-136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-1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-3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198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2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-3</v>
      </c>
      <c r="Y128" s="98">
        <f t="shared" ca="1" si="10"/>
        <v>-1211</v>
      </c>
    </row>
    <row r="129" spans="1:27" x14ac:dyDescent="0.25">
      <c r="A129" s="93">
        <f>+Hoja1!A128</f>
        <v>5440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0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0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-33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-55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-47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0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-17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-9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-2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-3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-4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10"/>
        <v>-170</v>
      </c>
    </row>
    <row r="130" spans="1:27" x14ac:dyDescent="0.25">
      <c r="A130" s="93">
        <f>+Hoja1!A129</f>
        <v>5430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0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-13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-5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-17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1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-88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-2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-4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10"/>
        <v>-128</v>
      </c>
    </row>
    <row r="131" spans="1:27" x14ac:dyDescent="0.25">
      <c r="A131" s="93">
        <f>+Hoja1!A130</f>
        <v>5420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0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-3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-1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-100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-4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-7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-2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-1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-118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/>
      </c>
      <c r="E134" s="92" t="str">
        <f t="shared" ca="1" si="11"/>
        <v/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>250620</v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20046.5</v>
      </c>
      <c r="B137" s="92"/>
      <c r="X137" s="91"/>
    </row>
    <row r="138" spans="1:27" x14ac:dyDescent="0.25">
      <c r="A138" s="93">
        <f>+Hoja1!A137</f>
        <v>20450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0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0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16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2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18</v>
      </c>
      <c r="Z138" s="91"/>
      <c r="AA138" s="91"/>
    </row>
    <row r="139" spans="1:27" x14ac:dyDescent="0.25">
      <c r="A139" s="93">
        <f>+Hoja1!A138</f>
        <v>20425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0</v>
      </c>
      <c r="Z139" s="91"/>
      <c r="AA139" s="91"/>
    </row>
    <row r="140" spans="1:27" x14ac:dyDescent="0.25">
      <c r="A140" s="93">
        <f>+Hoja1!A139</f>
        <v>20400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0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0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9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2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2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13</v>
      </c>
      <c r="Z140" s="91"/>
      <c r="AA140" s="91"/>
    </row>
    <row r="141" spans="1:27" x14ac:dyDescent="0.25">
      <c r="A141" s="93">
        <f>+Hoja1!A140</f>
        <v>20375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0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0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2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2</v>
      </c>
      <c r="Z141" s="91"/>
      <c r="AA141" s="91"/>
    </row>
    <row r="142" spans="1:27" x14ac:dyDescent="0.25">
      <c r="A142" s="93">
        <f>+Hoja1!A141</f>
        <v>20350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0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0</v>
      </c>
      <c r="Z142" s="91"/>
      <c r="AA142" s="91"/>
    </row>
    <row r="143" spans="1:27" x14ac:dyDescent="0.25">
      <c r="A143" s="93">
        <f>+Hoja1!A142</f>
        <v>20325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1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1</v>
      </c>
      <c r="Z143" s="91"/>
      <c r="AA143" s="91"/>
    </row>
    <row r="144" spans="1:27" x14ac:dyDescent="0.25">
      <c r="A144" s="93">
        <f>+Hoja1!A143</f>
        <v>20300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0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0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5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3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-3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8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3"/>
        <v>13</v>
      </c>
      <c r="Z144" s="91"/>
      <c r="AA144" s="91"/>
    </row>
    <row r="145" spans="1:27" x14ac:dyDescent="0.25">
      <c r="A145" s="93">
        <f>+Hoja1!A144</f>
        <v>20275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0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16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2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18</v>
      </c>
      <c r="Z145" s="91"/>
      <c r="AA145" s="91"/>
    </row>
    <row r="146" spans="1:27" x14ac:dyDescent="0.25">
      <c r="A146" s="93">
        <f>+Hoja1!A145</f>
        <v>20250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0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0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1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-25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-24</v>
      </c>
      <c r="Z146" s="91"/>
      <c r="AA146" s="91"/>
    </row>
    <row r="147" spans="1:27" x14ac:dyDescent="0.25">
      <c r="A147" s="93">
        <f>+Hoja1!A146</f>
        <v>20225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0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19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19</v>
      </c>
      <c r="Z147" s="91"/>
      <c r="AA147" s="91"/>
    </row>
    <row r="148" spans="1:27" x14ac:dyDescent="0.25">
      <c r="A148" s="93">
        <f>+Hoja1!A147</f>
        <v>20200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0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0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-2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2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-1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2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1</v>
      </c>
      <c r="Z148" s="91"/>
      <c r="AA148" s="91"/>
    </row>
    <row r="149" spans="1:27" x14ac:dyDescent="0.25">
      <c r="A149" s="93">
        <f>+Hoja1!A148</f>
        <v>20175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0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0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0</v>
      </c>
      <c r="Z149" s="91"/>
      <c r="AA149" s="91"/>
    </row>
    <row r="150" spans="1:27" x14ac:dyDescent="0.25">
      <c r="A150" s="93">
        <f>+Hoja1!A149</f>
        <v>20150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0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1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-5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-4</v>
      </c>
      <c r="Z150" s="91"/>
      <c r="AA150" s="91"/>
    </row>
    <row r="151" spans="1:27" x14ac:dyDescent="0.25">
      <c r="A151" s="93">
        <f>+Hoja1!A150</f>
        <v>20125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0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-1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1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0</v>
      </c>
      <c r="Z151" s="91"/>
      <c r="AA151" s="91"/>
    </row>
    <row r="152" spans="1:27" x14ac:dyDescent="0.25">
      <c r="A152" s="93">
        <f>+Hoja1!A151</f>
        <v>20100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0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0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-8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0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1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2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-1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-8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3"/>
        <v>-14</v>
      </c>
      <c r="Z152" s="91"/>
      <c r="AA152" s="91"/>
    </row>
    <row r="153" spans="1:27" x14ac:dyDescent="0.25">
      <c r="A153" s="93">
        <f>+Hoja1!A152</f>
        <v>20075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0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-1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-1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-2</v>
      </c>
      <c r="Z153" s="91"/>
      <c r="AA153" s="91"/>
    </row>
    <row r="154" spans="1:27" x14ac:dyDescent="0.25">
      <c r="A154" s="93">
        <f>+Hoja1!A153</f>
        <v>20050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0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0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2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0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26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-9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19</v>
      </c>
      <c r="Z154" s="91"/>
      <c r="AA154" s="91"/>
    </row>
    <row r="155" spans="1:27" x14ac:dyDescent="0.25">
      <c r="A155" s="93">
        <f>+Hoja1!A154</f>
        <v>20025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-3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13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10</v>
      </c>
      <c r="Z155" s="91"/>
      <c r="AA155" s="91"/>
    </row>
    <row r="156" spans="1:27" x14ac:dyDescent="0.25">
      <c r="A156" s="93">
        <f>+Hoja1!A155</f>
        <v>20000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0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0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-24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-2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2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-2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3"/>
        <v>-26</v>
      </c>
      <c r="Z156" s="91"/>
      <c r="AA156" s="91"/>
    </row>
    <row r="157" spans="1:27" x14ac:dyDescent="0.25">
      <c r="A157" s="93">
        <f>+Hoja1!A156</f>
        <v>19975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0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-4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-4</v>
      </c>
      <c r="Z157" s="91"/>
      <c r="AA157" s="91"/>
    </row>
    <row r="158" spans="1:27" x14ac:dyDescent="0.25">
      <c r="A158" s="93">
        <f>+Hoja1!A157</f>
        <v>19950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0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0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-2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-2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-2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1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-5</v>
      </c>
      <c r="Z158" s="91"/>
      <c r="AA158" s="91"/>
    </row>
    <row r="159" spans="1:27" x14ac:dyDescent="0.25">
      <c r="A159" s="93">
        <f>+Hoja1!A158</f>
        <v>19925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0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-4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-4</v>
      </c>
      <c r="Z159" s="91"/>
      <c r="AA159" s="91"/>
    </row>
    <row r="160" spans="1:27" x14ac:dyDescent="0.25">
      <c r="A160" s="93">
        <f>+Hoja1!A159</f>
        <v>19900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0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-4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1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0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-3</v>
      </c>
      <c r="Z160" s="91"/>
      <c r="AA160" s="91"/>
    </row>
    <row r="161" spans="1:27" x14ac:dyDescent="0.25">
      <c r="A161" s="93">
        <f>+Hoja1!A160</f>
        <v>19875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0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1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1</v>
      </c>
      <c r="Z161" s="91"/>
      <c r="AA161" s="91"/>
    </row>
    <row r="162" spans="1:27" x14ac:dyDescent="0.25">
      <c r="A162" s="93">
        <f>+Hoja1!A161</f>
        <v>19850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0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0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0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-2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0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-2</v>
      </c>
      <c r="Z162" s="91"/>
      <c r="AA162" s="91"/>
    </row>
    <row r="163" spans="1:27" x14ac:dyDescent="0.25">
      <c r="A163" s="93">
        <f>+Hoja1!A162</f>
        <v>19825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0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1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-1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0</v>
      </c>
      <c r="Z163" s="91"/>
      <c r="AA163" s="91"/>
    </row>
    <row r="164" spans="1:27" x14ac:dyDescent="0.25">
      <c r="A164" s="93">
        <f>+Hoja1!A163</f>
        <v>19800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-3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-1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-2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3"/>
        <v>-6</v>
      </c>
      <c r="Z164" s="91"/>
      <c r="AA164" s="91"/>
    </row>
    <row r="165" spans="1:27" x14ac:dyDescent="0.25">
      <c r="A165" s="93">
        <f>+Hoja1!A164</f>
        <v>19775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0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1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1</v>
      </c>
      <c r="Z165" s="91"/>
      <c r="AA165" s="91"/>
    </row>
    <row r="166" spans="1:27" x14ac:dyDescent="0.25">
      <c r="A166" s="93">
        <f>+Hoja1!A165</f>
        <v>19750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0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-4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-4</v>
      </c>
      <c r="Z166" s="91"/>
      <c r="AA166" s="91"/>
    </row>
    <row r="167" spans="1:27" x14ac:dyDescent="0.25">
      <c r="A167" s="93">
        <f>+Hoja1!A166</f>
        <v>19725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0</v>
      </c>
      <c r="Z167" s="91"/>
      <c r="AA167" s="91"/>
    </row>
    <row r="168" spans="1:27" x14ac:dyDescent="0.25">
      <c r="A168" s="93">
        <f>+Hoja1!A167</f>
        <v>19700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0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0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-1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-1</v>
      </c>
      <c r="Z168" s="91"/>
      <c r="AA168" s="91"/>
    </row>
    <row r="169" spans="1:27" x14ac:dyDescent="0.25">
      <c r="A169" s="93">
        <f>+Hoja1!A168</f>
        <v>19675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-2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0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-2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-4</v>
      </c>
      <c r="Z169" s="91"/>
      <c r="AA169" s="91"/>
    </row>
    <row r="170" spans="1:27" x14ac:dyDescent="0.25">
      <c r="A170" s="93">
        <f>+Hoja1!A169</f>
        <v>19650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0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0</v>
      </c>
      <c r="Z170" s="91"/>
      <c r="AA170" s="91"/>
    </row>
    <row r="171" spans="1:27" x14ac:dyDescent="0.25">
      <c r="A171" s="93">
        <f>+Hoja1!A170</f>
        <v>19625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9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9</v>
      </c>
      <c r="Z171" s="91"/>
      <c r="AA171" s="91"/>
    </row>
    <row r="172" spans="1:27" x14ac:dyDescent="0.25">
      <c r="A172" s="93">
        <f>+Hoja1!A171</f>
        <v>19600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0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-1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-6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-7</v>
      </c>
      <c r="Z172" s="91"/>
      <c r="AA172" s="91"/>
    </row>
    <row r="173" spans="1:27" x14ac:dyDescent="0.25">
      <c r="A173" s="93">
        <f>+Hoja1!A172</f>
        <v>19575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-1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-1</v>
      </c>
      <c r="Z173" s="91"/>
      <c r="AA173" s="91"/>
    </row>
    <row r="174" spans="1:27" x14ac:dyDescent="0.25">
      <c r="A174" s="93">
        <f>+Hoja1!A173</f>
        <v>19550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-1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-2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-3</v>
      </c>
      <c r="Z174" s="91"/>
      <c r="AA174" s="91"/>
    </row>
    <row r="175" spans="1:27" x14ac:dyDescent="0.25">
      <c r="A175" s="93">
        <f>+Hoja1!A174</f>
        <v>19525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-3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-3</v>
      </c>
      <c r="Z175" s="91"/>
      <c r="AA175" s="91"/>
    </row>
    <row r="176" spans="1:27" x14ac:dyDescent="0.25">
      <c r="A176" s="93">
        <f>+Hoja1!A175</f>
        <v>19500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-2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-1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-3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-13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-19</v>
      </c>
      <c r="Z176" s="91"/>
      <c r="AA176" s="91"/>
    </row>
    <row r="177" spans="1:27" x14ac:dyDescent="0.25">
      <c r="A177" s="93">
        <f>+Hoja1!A176</f>
        <v>19475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0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-4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-3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-7</v>
      </c>
      <c r="Z177" s="91"/>
      <c r="AA177" s="91"/>
    </row>
    <row r="178" spans="1:27" x14ac:dyDescent="0.25">
      <c r="A178" s="93">
        <f>+Hoja1!A177</f>
        <v>19450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-2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-4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-1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-7</v>
      </c>
      <c r="Z178" s="91"/>
      <c r="AA178" s="91"/>
    </row>
    <row r="179" spans="1:27" x14ac:dyDescent="0.25">
      <c r="A179" s="93">
        <f>+Hoja1!A178</f>
        <v>19425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-6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-3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-2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-11</v>
      </c>
      <c r="Z179" s="91"/>
      <c r="AA179" s="91"/>
    </row>
    <row r="180" spans="1:27" x14ac:dyDescent="0.25">
      <c r="A180" s="93">
        <f>+Hoja1!A179</f>
        <v>19400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0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0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0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-6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0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0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0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-2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-8</v>
      </c>
      <c r="Z180" s="91"/>
      <c r="AA180" s="91"/>
    </row>
    <row r="181" spans="1:27" x14ac:dyDescent="0.25">
      <c r="A181" s="93">
        <f>+Hoja1!A180</f>
        <v>19375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0</v>
      </c>
      <c r="Z181" s="91"/>
      <c r="AA181" s="91"/>
    </row>
    <row r="182" spans="1:27" x14ac:dyDescent="0.25">
      <c r="A182" s="93">
        <f>+Hoja1!A181</f>
        <v>19350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-4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0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-4</v>
      </c>
      <c r="Z182" s="91"/>
      <c r="AA182" s="91"/>
    </row>
    <row r="183" spans="1:27" x14ac:dyDescent="0.25">
      <c r="A183" s="93">
        <f>+Hoja1!A182</f>
        <v>19325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0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0</v>
      </c>
      <c r="Z183" s="91"/>
      <c r="AA183" s="91"/>
    </row>
    <row r="184" spans="1:27" x14ac:dyDescent="0.25">
      <c r="A184" s="93">
        <f>+Hoja1!A183</f>
        <v>19300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0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-3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-7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2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2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-6</v>
      </c>
      <c r="Z184" s="91"/>
      <c r="AA184" s="91"/>
    </row>
    <row r="185" spans="1:27" x14ac:dyDescent="0.25">
      <c r="A185" s="93">
        <f>+Hoja1!A184</f>
        <v>19275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0</v>
      </c>
      <c r="Z185" s="91"/>
      <c r="AA185" s="91"/>
    </row>
    <row r="186" spans="1:27" x14ac:dyDescent="0.25">
      <c r="A186" s="93">
        <f>+Hoja1!A185</f>
        <v>19250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0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1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1</v>
      </c>
      <c r="Z186" s="91"/>
      <c r="AA186" s="91"/>
    </row>
    <row r="187" spans="1:27" x14ac:dyDescent="0.25">
      <c r="A187" s="93">
        <f>+Hoja1!A186</f>
        <v>19225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-2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-2</v>
      </c>
      <c r="Z187" s="91"/>
      <c r="AA187" s="91"/>
    </row>
    <row r="188" spans="1:27" x14ac:dyDescent="0.25">
      <c r="A188" s="93">
        <f>+Hoja1!A187</f>
        <v>19200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0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0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-35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0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-2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-37</v>
      </c>
      <c r="Z188" s="91"/>
      <c r="AA188" s="91"/>
    </row>
    <row r="189" spans="1:27" x14ac:dyDescent="0.25">
      <c r="A189" s="93">
        <f>+Hoja1!A188</f>
        <v>19175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0</v>
      </c>
      <c r="Z189" s="91"/>
      <c r="AA189" s="91"/>
    </row>
    <row r="190" spans="1:27" x14ac:dyDescent="0.25">
      <c r="A190" s="93">
        <f>+Hoja1!A189</f>
        <v>19150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0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-4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-4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2025-05-11T19:21:01Z</dcterms:modified>
</cp:coreProperties>
</file>